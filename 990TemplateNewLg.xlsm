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C:\Users\rlee\OneDrive - SullivanCotter\Documents\Streamlit Sources and Files\"/>
    </mc:Choice>
  </mc:AlternateContent>
  <xr:revisionPtr revIDLastSave="0" documentId="13_ncr:1_{B5E66B9E-A3B2-4FDC-A9A2-81514CD159F3}" xr6:coauthVersionLast="47" xr6:coauthVersionMax="47" xr10:uidLastSave="{00000000-0000-0000-0000-000000000000}"/>
  <bookViews>
    <workbookView xWindow="16140" yWindow="-16370" windowWidth="29020" windowHeight="15820" activeTab="1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externalReferences>
    <externalReference r:id="rId6"/>
  </externalReference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>SETUP!$C$5</definedName>
    <definedName name="_xlnm.Print_Area" localSheetId="2">'Form 990 - Position Title'!$B$1:$AD$661</definedName>
    <definedName name="_xlnm.Print_Area" localSheetId="3">'Form 990PF - Position Title'!$B$1:$W$661</definedName>
    <definedName name="_xlnm.Print_Area" localSheetId="1">'PEER GROUP'!$B$2:$N$661</definedName>
    <definedName name="_xlnm.Print_Area" localSheetId="4">'Summary Table'!$C$1:$K$10</definedName>
    <definedName name="UpdateFactor">SETUP!$C$6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6" l="1"/>
  <c r="S1" i="6"/>
  <c r="K36" i="6"/>
  <c r="L36" i="6"/>
  <c r="R36" i="6"/>
  <c r="AC36" i="6"/>
  <c r="AD36" i="6"/>
  <c r="AE36" i="6"/>
  <c r="AF36" i="6"/>
  <c r="AG36" i="6"/>
  <c r="AH36" i="6"/>
  <c r="AI36" i="6"/>
  <c r="K37" i="6"/>
  <c r="L37" i="6"/>
  <c r="R37" i="6"/>
  <c r="AI37" i="6" s="1"/>
  <c r="AC37" i="6"/>
  <c r="AD37" i="6"/>
  <c r="AE37" i="6"/>
  <c r="AF37" i="6"/>
  <c r="AG37" i="6"/>
  <c r="AH37" i="6"/>
  <c r="K38" i="6"/>
  <c r="L38" i="6"/>
  <c r="R38" i="6"/>
  <c r="AI38" i="6" s="1"/>
  <c r="AC38" i="6"/>
  <c r="AD38" i="6"/>
  <c r="AE38" i="6"/>
  <c r="AF38" i="6"/>
  <c r="AG38" i="6"/>
  <c r="AH38" i="6"/>
  <c r="K39" i="6"/>
  <c r="L39" i="6"/>
  <c r="R39" i="6"/>
  <c r="AI39" i="6" s="1"/>
  <c r="AC39" i="6"/>
  <c r="AD39" i="6"/>
  <c r="AE39" i="6"/>
  <c r="AF39" i="6"/>
  <c r="AG39" i="6"/>
  <c r="AH39" i="6"/>
  <c r="K40" i="6"/>
  <c r="L40" i="6"/>
  <c r="R40" i="6"/>
  <c r="AC40" i="6"/>
  <c r="AD40" i="6"/>
  <c r="AE40" i="6"/>
  <c r="AF40" i="6"/>
  <c r="AG40" i="6"/>
  <c r="AH40" i="6"/>
  <c r="AI40" i="6"/>
  <c r="K41" i="6"/>
  <c r="L41" i="6"/>
  <c r="R41" i="6"/>
  <c r="AC41" i="6"/>
  <c r="AD41" i="6"/>
  <c r="AE41" i="6"/>
  <c r="AF41" i="6"/>
  <c r="AG41" i="6"/>
  <c r="AH41" i="6"/>
  <c r="AI41" i="6"/>
  <c r="K42" i="6"/>
  <c r="L42" i="6"/>
  <c r="R42" i="6"/>
  <c r="AC42" i="6"/>
  <c r="AD42" i="6"/>
  <c r="AE42" i="6"/>
  <c r="AF42" i="6"/>
  <c r="AG42" i="6"/>
  <c r="AH42" i="6"/>
  <c r="AI42" i="6"/>
  <c r="K43" i="6"/>
  <c r="L43" i="6"/>
  <c r="R43" i="6"/>
  <c r="AC43" i="6"/>
  <c r="AD43" i="6"/>
  <c r="AE43" i="6"/>
  <c r="AF43" i="6"/>
  <c r="AG43" i="6"/>
  <c r="AH43" i="6"/>
  <c r="AI43" i="6"/>
  <c r="K44" i="6"/>
  <c r="L44" i="6"/>
  <c r="R44" i="6"/>
  <c r="AI44" i="6" s="1"/>
  <c r="AC44" i="6"/>
  <c r="AD44" i="6"/>
  <c r="AE44" i="6"/>
  <c r="AF44" i="6"/>
  <c r="AG44" i="6"/>
  <c r="AH44" i="6"/>
  <c r="K45" i="6"/>
  <c r="L45" i="6"/>
  <c r="R45" i="6"/>
  <c r="AI45" i="6" s="1"/>
  <c r="AC45" i="6"/>
  <c r="AD45" i="6"/>
  <c r="AE45" i="6"/>
  <c r="AF45" i="6"/>
  <c r="AG45" i="6"/>
  <c r="AH45" i="6"/>
  <c r="K46" i="6"/>
  <c r="L46" i="6"/>
  <c r="R46" i="6"/>
  <c r="AI46" i="6" s="1"/>
  <c r="AC46" i="6"/>
  <c r="AD46" i="6"/>
  <c r="AE46" i="6"/>
  <c r="AF46" i="6"/>
  <c r="AG46" i="6"/>
  <c r="AH46" i="6"/>
  <c r="K47" i="6"/>
  <c r="L47" i="6"/>
  <c r="R47" i="6"/>
  <c r="AI47" i="6" s="1"/>
  <c r="AC47" i="6"/>
  <c r="AD47" i="6"/>
  <c r="AE47" i="6"/>
  <c r="AF47" i="6"/>
  <c r="AG47" i="6"/>
  <c r="AH47" i="6"/>
  <c r="K48" i="6"/>
  <c r="L48" i="6"/>
  <c r="R48" i="6"/>
  <c r="AC48" i="6"/>
  <c r="AD48" i="6"/>
  <c r="AE48" i="6"/>
  <c r="AF48" i="6"/>
  <c r="AG48" i="6"/>
  <c r="AH48" i="6"/>
  <c r="AI48" i="6"/>
  <c r="K49" i="6"/>
  <c r="L49" i="6"/>
  <c r="R49" i="6"/>
  <c r="AC49" i="6"/>
  <c r="AD49" i="6"/>
  <c r="AE49" i="6"/>
  <c r="AF49" i="6"/>
  <c r="AG49" i="6"/>
  <c r="AH49" i="6"/>
  <c r="AI49" i="6"/>
  <c r="K50" i="6"/>
  <c r="L50" i="6"/>
  <c r="R50" i="6"/>
  <c r="AC50" i="6"/>
  <c r="AD50" i="6"/>
  <c r="AE50" i="6"/>
  <c r="AF50" i="6"/>
  <c r="AG50" i="6"/>
  <c r="AH50" i="6"/>
  <c r="AI50" i="6"/>
  <c r="K51" i="6"/>
  <c r="L51" i="6"/>
  <c r="R51" i="6"/>
  <c r="AC51" i="6"/>
  <c r="AD51" i="6"/>
  <c r="AE51" i="6"/>
  <c r="AF51" i="6"/>
  <c r="AG51" i="6"/>
  <c r="AH51" i="6"/>
  <c r="AI51" i="6"/>
  <c r="K52" i="6"/>
  <c r="L52" i="6"/>
  <c r="R52" i="6"/>
  <c r="AI52" i="6" s="1"/>
  <c r="AC52" i="6"/>
  <c r="AD52" i="6"/>
  <c r="AE52" i="6"/>
  <c r="AF52" i="6"/>
  <c r="AG52" i="6"/>
  <c r="AH52" i="6"/>
  <c r="K53" i="6"/>
  <c r="L53" i="6"/>
  <c r="R53" i="6"/>
  <c r="AI53" i="6" s="1"/>
  <c r="AC53" i="6"/>
  <c r="AD53" i="6"/>
  <c r="AE53" i="6"/>
  <c r="AF53" i="6"/>
  <c r="AG53" i="6"/>
  <c r="AH53" i="6"/>
  <c r="K54" i="6"/>
  <c r="L54" i="6"/>
  <c r="R54" i="6"/>
  <c r="AI54" i="6" s="1"/>
  <c r="AC54" i="6"/>
  <c r="AD54" i="6"/>
  <c r="AE54" i="6"/>
  <c r="AF54" i="6"/>
  <c r="AG54" i="6"/>
  <c r="AH54" i="6"/>
  <c r="K55" i="6"/>
  <c r="L55" i="6"/>
  <c r="R55" i="6"/>
  <c r="AI55" i="6" s="1"/>
  <c r="AC55" i="6"/>
  <c r="AD55" i="6"/>
  <c r="AE55" i="6"/>
  <c r="AF55" i="6"/>
  <c r="AG55" i="6"/>
  <c r="AH55" i="6"/>
  <c r="K56" i="6"/>
  <c r="L56" i="6"/>
  <c r="R56" i="6"/>
  <c r="AC56" i="6"/>
  <c r="AD56" i="6"/>
  <c r="AE56" i="6"/>
  <c r="AF56" i="6"/>
  <c r="AG56" i="6"/>
  <c r="AH56" i="6"/>
  <c r="AI56" i="6"/>
  <c r="K57" i="6"/>
  <c r="L57" i="6"/>
  <c r="R57" i="6"/>
  <c r="AC57" i="6"/>
  <c r="AD57" i="6"/>
  <c r="AE57" i="6"/>
  <c r="AF57" i="6"/>
  <c r="AG57" i="6"/>
  <c r="AH57" i="6"/>
  <c r="AI57" i="6"/>
  <c r="K58" i="6"/>
  <c r="L58" i="6"/>
  <c r="R58" i="6"/>
  <c r="AC58" i="6"/>
  <c r="AD58" i="6"/>
  <c r="AE58" i="6"/>
  <c r="AF58" i="6"/>
  <c r="AG58" i="6"/>
  <c r="AH58" i="6"/>
  <c r="AI58" i="6"/>
  <c r="K59" i="6"/>
  <c r="L59" i="6"/>
  <c r="R59" i="6"/>
  <c r="AC59" i="6"/>
  <c r="AD59" i="6"/>
  <c r="AE59" i="6"/>
  <c r="AF59" i="6"/>
  <c r="AG59" i="6"/>
  <c r="AH59" i="6"/>
  <c r="AI59" i="6"/>
  <c r="K60" i="6"/>
  <c r="L60" i="6"/>
  <c r="R60" i="6"/>
  <c r="AI60" i="6" s="1"/>
  <c r="AC60" i="6"/>
  <c r="AD60" i="6"/>
  <c r="AE60" i="6"/>
  <c r="AF60" i="6"/>
  <c r="AG60" i="6"/>
  <c r="AH60" i="6"/>
  <c r="K61" i="6"/>
  <c r="L61" i="6"/>
  <c r="R61" i="6"/>
  <c r="AI61" i="6" s="1"/>
  <c r="AC61" i="6"/>
  <c r="AD61" i="6"/>
  <c r="AE61" i="6"/>
  <c r="AF61" i="6"/>
  <c r="AG61" i="6"/>
  <c r="AH61" i="6"/>
  <c r="K62" i="6"/>
  <c r="L62" i="6"/>
  <c r="R62" i="6"/>
  <c r="AI62" i="6" s="1"/>
  <c r="AC62" i="6"/>
  <c r="AD62" i="6"/>
  <c r="AE62" i="6"/>
  <c r="AF62" i="6"/>
  <c r="AG62" i="6"/>
  <c r="AH62" i="6"/>
  <c r="K63" i="6"/>
  <c r="L63" i="6"/>
  <c r="R63" i="6"/>
  <c r="AI63" i="6" s="1"/>
  <c r="AC63" i="6"/>
  <c r="AD63" i="6"/>
  <c r="AE63" i="6"/>
  <c r="AF63" i="6"/>
  <c r="AG63" i="6"/>
  <c r="AH63" i="6"/>
  <c r="K64" i="6"/>
  <c r="L64" i="6"/>
  <c r="R64" i="6"/>
  <c r="AC64" i="6"/>
  <c r="AD64" i="6"/>
  <c r="AE64" i="6"/>
  <c r="AF64" i="6"/>
  <c r="AG64" i="6"/>
  <c r="AH64" i="6"/>
  <c r="AI64" i="6"/>
  <c r="K65" i="6"/>
  <c r="L65" i="6"/>
  <c r="R65" i="6"/>
  <c r="AC65" i="6"/>
  <c r="AD65" i="6"/>
  <c r="AE65" i="6"/>
  <c r="AF65" i="6"/>
  <c r="AG65" i="6"/>
  <c r="AH65" i="6"/>
  <c r="AI65" i="6"/>
  <c r="K66" i="6"/>
  <c r="L66" i="6"/>
  <c r="R66" i="6"/>
  <c r="AC66" i="6"/>
  <c r="AD66" i="6"/>
  <c r="AE66" i="6"/>
  <c r="AF66" i="6"/>
  <c r="AG66" i="6"/>
  <c r="AH66" i="6"/>
  <c r="AI66" i="6"/>
  <c r="K67" i="6"/>
  <c r="L67" i="6"/>
  <c r="R67" i="6"/>
  <c r="AC67" i="6"/>
  <c r="AD67" i="6"/>
  <c r="AE67" i="6"/>
  <c r="AF67" i="6"/>
  <c r="AG67" i="6"/>
  <c r="AH67" i="6"/>
  <c r="AI67" i="6"/>
  <c r="K68" i="6"/>
  <c r="L68" i="6"/>
  <c r="R68" i="6"/>
  <c r="AI68" i="6" s="1"/>
  <c r="AC68" i="6"/>
  <c r="AD68" i="6"/>
  <c r="AE68" i="6"/>
  <c r="AF68" i="6"/>
  <c r="AG68" i="6"/>
  <c r="AH68" i="6"/>
  <c r="K69" i="6"/>
  <c r="L69" i="6"/>
  <c r="R69" i="6"/>
  <c r="AI69" i="6" s="1"/>
  <c r="AC69" i="6"/>
  <c r="AD69" i="6"/>
  <c r="AE69" i="6"/>
  <c r="AF69" i="6"/>
  <c r="AG69" i="6"/>
  <c r="AH69" i="6"/>
  <c r="K70" i="6"/>
  <c r="L70" i="6"/>
  <c r="R70" i="6"/>
  <c r="AI70" i="6" s="1"/>
  <c r="AC70" i="6"/>
  <c r="AD70" i="6"/>
  <c r="AE70" i="6"/>
  <c r="AF70" i="6"/>
  <c r="AG70" i="6"/>
  <c r="AH70" i="6"/>
  <c r="K71" i="6"/>
  <c r="L71" i="6"/>
  <c r="R71" i="6"/>
  <c r="AI71" i="6" s="1"/>
  <c r="AC71" i="6"/>
  <c r="AD71" i="6"/>
  <c r="AE71" i="6"/>
  <c r="AF71" i="6"/>
  <c r="AG71" i="6"/>
  <c r="AH71" i="6"/>
  <c r="K72" i="6"/>
  <c r="L72" i="6"/>
  <c r="R72" i="6"/>
  <c r="AC72" i="6"/>
  <c r="AD72" i="6"/>
  <c r="AE72" i="6"/>
  <c r="AF72" i="6"/>
  <c r="AG72" i="6"/>
  <c r="AH72" i="6"/>
  <c r="AI72" i="6"/>
  <c r="K73" i="6"/>
  <c r="L73" i="6"/>
  <c r="R73" i="6"/>
  <c r="AC73" i="6"/>
  <c r="AD73" i="6"/>
  <c r="AE73" i="6"/>
  <c r="AF73" i="6"/>
  <c r="AG73" i="6"/>
  <c r="AH73" i="6"/>
  <c r="AI73" i="6"/>
  <c r="K74" i="6"/>
  <c r="L74" i="6"/>
  <c r="R74" i="6"/>
  <c r="AC74" i="6"/>
  <c r="AD74" i="6"/>
  <c r="AE74" i="6"/>
  <c r="AF74" i="6"/>
  <c r="AG74" i="6"/>
  <c r="AH74" i="6"/>
  <c r="AI74" i="6"/>
  <c r="K75" i="6"/>
  <c r="L75" i="6"/>
  <c r="R75" i="6"/>
  <c r="AC75" i="6"/>
  <c r="AD75" i="6"/>
  <c r="AE75" i="6"/>
  <c r="AF75" i="6"/>
  <c r="AG75" i="6"/>
  <c r="AH75" i="6"/>
  <c r="AI75" i="6"/>
  <c r="K76" i="6"/>
  <c r="L76" i="6"/>
  <c r="R76" i="6"/>
  <c r="AI76" i="6" s="1"/>
  <c r="AC76" i="6"/>
  <c r="AD76" i="6"/>
  <c r="AE76" i="6"/>
  <c r="AF76" i="6"/>
  <c r="AG76" i="6"/>
  <c r="AH76" i="6"/>
  <c r="K77" i="6"/>
  <c r="L77" i="6"/>
  <c r="R77" i="6"/>
  <c r="AI77" i="6" s="1"/>
  <c r="AC77" i="6"/>
  <c r="AD77" i="6"/>
  <c r="AE77" i="6"/>
  <c r="AF77" i="6"/>
  <c r="AG77" i="6"/>
  <c r="AH77" i="6"/>
  <c r="K78" i="6"/>
  <c r="L78" i="6"/>
  <c r="R78" i="6"/>
  <c r="AI78" i="6" s="1"/>
  <c r="AC78" i="6"/>
  <c r="AD78" i="6"/>
  <c r="AE78" i="6"/>
  <c r="AF78" i="6"/>
  <c r="AG78" i="6"/>
  <c r="AH78" i="6"/>
  <c r="K79" i="6"/>
  <c r="L79" i="6"/>
  <c r="R79" i="6"/>
  <c r="AI79" i="6" s="1"/>
  <c r="AC79" i="6"/>
  <c r="AD79" i="6"/>
  <c r="AE79" i="6"/>
  <c r="AF79" i="6"/>
  <c r="AG79" i="6"/>
  <c r="AH79" i="6"/>
  <c r="K80" i="6"/>
  <c r="L80" i="6"/>
  <c r="R80" i="6"/>
  <c r="AC80" i="6"/>
  <c r="AD80" i="6"/>
  <c r="AE80" i="6"/>
  <c r="AF80" i="6"/>
  <c r="AG80" i="6"/>
  <c r="AH80" i="6"/>
  <c r="AI80" i="6"/>
  <c r="K81" i="6"/>
  <c r="L81" i="6"/>
  <c r="R81" i="6"/>
  <c r="AC81" i="6"/>
  <c r="AD81" i="6"/>
  <c r="AE81" i="6"/>
  <c r="AF81" i="6"/>
  <c r="AG81" i="6"/>
  <c r="AH81" i="6"/>
  <c r="AI81" i="6"/>
  <c r="K82" i="6"/>
  <c r="L82" i="6"/>
  <c r="R82" i="6"/>
  <c r="AC82" i="6"/>
  <c r="AD82" i="6"/>
  <c r="AE82" i="6"/>
  <c r="AF82" i="6"/>
  <c r="AG82" i="6"/>
  <c r="AH82" i="6"/>
  <c r="AI82" i="6"/>
  <c r="K83" i="6"/>
  <c r="L83" i="6"/>
  <c r="R83" i="6"/>
  <c r="AC83" i="6"/>
  <c r="AD83" i="6"/>
  <c r="AE83" i="6"/>
  <c r="AF83" i="6"/>
  <c r="AG83" i="6"/>
  <c r="AH83" i="6"/>
  <c r="AI83" i="6"/>
  <c r="K84" i="6"/>
  <c r="L84" i="6"/>
  <c r="R84" i="6"/>
  <c r="AI84" i="6" s="1"/>
  <c r="AC84" i="6"/>
  <c r="AD84" i="6"/>
  <c r="AE84" i="6"/>
  <c r="AF84" i="6"/>
  <c r="AG84" i="6"/>
  <c r="AH84" i="6"/>
  <c r="K85" i="6"/>
  <c r="L85" i="6"/>
  <c r="R85" i="6"/>
  <c r="AI85" i="6" s="1"/>
  <c r="AC85" i="6"/>
  <c r="AD85" i="6"/>
  <c r="AE85" i="6"/>
  <c r="AF85" i="6"/>
  <c r="AG85" i="6"/>
  <c r="AH85" i="6"/>
  <c r="K86" i="6"/>
  <c r="L86" i="6"/>
  <c r="R86" i="6"/>
  <c r="AI86" i="6" s="1"/>
  <c r="AC86" i="6"/>
  <c r="AD86" i="6"/>
  <c r="AE86" i="6"/>
  <c r="AF86" i="6"/>
  <c r="AG86" i="6"/>
  <c r="AH86" i="6"/>
  <c r="K87" i="6"/>
  <c r="L87" i="6"/>
  <c r="R87" i="6"/>
  <c r="AI87" i="6" s="1"/>
  <c r="AC87" i="6"/>
  <c r="AD87" i="6"/>
  <c r="AE87" i="6"/>
  <c r="AF87" i="6"/>
  <c r="AG87" i="6"/>
  <c r="AH87" i="6"/>
  <c r="K88" i="6"/>
  <c r="L88" i="6"/>
  <c r="R88" i="6"/>
  <c r="AC88" i="6"/>
  <c r="AD88" i="6"/>
  <c r="AE88" i="6"/>
  <c r="AF88" i="6"/>
  <c r="AG88" i="6"/>
  <c r="AH88" i="6"/>
  <c r="AI88" i="6"/>
  <c r="K89" i="6"/>
  <c r="L89" i="6"/>
  <c r="R89" i="6"/>
  <c r="AC89" i="6"/>
  <c r="AD89" i="6"/>
  <c r="AE89" i="6"/>
  <c r="AF89" i="6"/>
  <c r="AG89" i="6"/>
  <c r="AH89" i="6"/>
  <c r="AI89" i="6"/>
  <c r="K90" i="6"/>
  <c r="L90" i="6"/>
  <c r="R90" i="6"/>
  <c r="AC90" i="6"/>
  <c r="AD90" i="6"/>
  <c r="AE90" i="6"/>
  <c r="AF90" i="6"/>
  <c r="AG90" i="6"/>
  <c r="AH90" i="6"/>
  <c r="AI90" i="6"/>
  <c r="K91" i="6"/>
  <c r="L91" i="6"/>
  <c r="R91" i="6"/>
  <c r="AC91" i="6"/>
  <c r="AD91" i="6"/>
  <c r="AE91" i="6"/>
  <c r="AF91" i="6"/>
  <c r="AG91" i="6"/>
  <c r="AH91" i="6"/>
  <c r="AI91" i="6"/>
  <c r="K92" i="6"/>
  <c r="L92" i="6"/>
  <c r="R92" i="6"/>
  <c r="AI92" i="6" s="1"/>
  <c r="AC92" i="6"/>
  <c r="AD92" i="6"/>
  <c r="AE92" i="6"/>
  <c r="AF92" i="6"/>
  <c r="AG92" i="6"/>
  <c r="AH92" i="6"/>
  <c r="K93" i="6"/>
  <c r="L93" i="6"/>
  <c r="R93" i="6"/>
  <c r="AI93" i="6" s="1"/>
  <c r="AC93" i="6"/>
  <c r="AD93" i="6"/>
  <c r="AE93" i="6"/>
  <c r="AF93" i="6"/>
  <c r="AG93" i="6"/>
  <c r="AH93" i="6"/>
  <c r="K94" i="6"/>
  <c r="L94" i="6"/>
  <c r="R94" i="6"/>
  <c r="AI94" i="6" s="1"/>
  <c r="AC94" i="6"/>
  <c r="AD94" i="6"/>
  <c r="AE94" i="6"/>
  <c r="AF94" i="6"/>
  <c r="AG94" i="6"/>
  <c r="AH94" i="6"/>
  <c r="K95" i="6"/>
  <c r="L95" i="6"/>
  <c r="R95" i="6"/>
  <c r="AI95" i="6" s="1"/>
  <c r="AC95" i="6"/>
  <c r="AD95" i="6"/>
  <c r="AE95" i="6"/>
  <c r="AF95" i="6"/>
  <c r="AG95" i="6"/>
  <c r="AH95" i="6"/>
  <c r="K96" i="6"/>
  <c r="L96" i="6"/>
  <c r="R96" i="6"/>
  <c r="AC96" i="6"/>
  <c r="AD96" i="6"/>
  <c r="AE96" i="6"/>
  <c r="AF96" i="6"/>
  <c r="AG96" i="6"/>
  <c r="AH96" i="6"/>
  <c r="AI96" i="6"/>
  <c r="K97" i="6"/>
  <c r="L97" i="6"/>
  <c r="R97" i="6"/>
  <c r="AC97" i="6"/>
  <c r="AD97" i="6"/>
  <c r="AE97" i="6"/>
  <c r="AF97" i="6"/>
  <c r="AG97" i="6"/>
  <c r="AH97" i="6"/>
  <c r="AI97" i="6"/>
  <c r="K98" i="6"/>
  <c r="L98" i="6"/>
  <c r="R98" i="6"/>
  <c r="AC98" i="6"/>
  <c r="AD98" i="6"/>
  <c r="AE98" i="6"/>
  <c r="AF98" i="6"/>
  <c r="AG98" i="6"/>
  <c r="AH98" i="6"/>
  <c r="AI98" i="6"/>
  <c r="K99" i="6"/>
  <c r="L99" i="6"/>
  <c r="R99" i="6"/>
  <c r="AC99" i="6"/>
  <c r="AD99" i="6"/>
  <c r="AE99" i="6"/>
  <c r="AF99" i="6"/>
  <c r="AG99" i="6"/>
  <c r="AH99" i="6"/>
  <c r="AI99" i="6"/>
  <c r="K100" i="6"/>
  <c r="L100" i="6"/>
  <c r="R100" i="6"/>
  <c r="AI100" i="6" s="1"/>
  <c r="AC100" i="6"/>
  <c r="AD100" i="6"/>
  <c r="AE100" i="6"/>
  <c r="AF100" i="6"/>
  <c r="AG100" i="6"/>
  <c r="AH100" i="6"/>
  <c r="K101" i="6"/>
  <c r="L101" i="6"/>
  <c r="R101" i="6"/>
  <c r="AI101" i="6" s="1"/>
  <c r="AC101" i="6"/>
  <c r="AD101" i="6"/>
  <c r="AE101" i="6"/>
  <c r="AF101" i="6"/>
  <c r="AG101" i="6"/>
  <c r="AH101" i="6"/>
  <c r="K102" i="6"/>
  <c r="L102" i="6"/>
  <c r="R102" i="6"/>
  <c r="AI102" i="6" s="1"/>
  <c r="AC102" i="6"/>
  <c r="AD102" i="6"/>
  <c r="AE102" i="6"/>
  <c r="AF102" i="6"/>
  <c r="AG102" i="6"/>
  <c r="AH102" i="6"/>
  <c r="K103" i="6"/>
  <c r="L103" i="6"/>
  <c r="R103" i="6"/>
  <c r="AI103" i="6" s="1"/>
  <c r="AC103" i="6"/>
  <c r="AD103" i="6"/>
  <c r="AE103" i="6"/>
  <c r="AF103" i="6"/>
  <c r="AG103" i="6"/>
  <c r="AH103" i="6"/>
  <c r="K104" i="6"/>
  <c r="L104" i="6"/>
  <c r="R104" i="6"/>
  <c r="AC104" i="6"/>
  <c r="AD104" i="6"/>
  <c r="AE104" i="6"/>
  <c r="AF104" i="6"/>
  <c r="AG104" i="6"/>
  <c r="AH104" i="6"/>
  <c r="AI104" i="6"/>
  <c r="R105" i="6"/>
  <c r="AC105" i="6"/>
  <c r="AD105" i="6"/>
  <c r="AE105" i="6"/>
  <c r="AF105" i="6"/>
  <c r="AG105" i="6"/>
  <c r="AH105" i="6"/>
  <c r="AI105" i="6"/>
  <c r="R106" i="6"/>
  <c r="AC106" i="6"/>
  <c r="AD106" i="6"/>
  <c r="AE106" i="6"/>
  <c r="AF106" i="6"/>
  <c r="AG106" i="6"/>
  <c r="AH106" i="6"/>
  <c r="AI106" i="6"/>
  <c r="R107" i="6"/>
  <c r="AC107" i="6"/>
  <c r="AD107" i="6"/>
  <c r="AE107" i="6"/>
  <c r="AF107" i="6"/>
  <c r="AG107" i="6"/>
  <c r="AH107" i="6"/>
  <c r="AI107" i="6"/>
  <c r="R108" i="6"/>
  <c r="AI108" i="6" s="1"/>
  <c r="AC108" i="6"/>
  <c r="AD108" i="6"/>
  <c r="AE108" i="6"/>
  <c r="AF108" i="6"/>
  <c r="AG108" i="6"/>
  <c r="AH108" i="6"/>
  <c r="R109" i="6"/>
  <c r="AC109" i="6"/>
  <c r="AD109" i="6"/>
  <c r="AE109" i="6"/>
  <c r="AF109" i="6"/>
  <c r="AG109" i="6"/>
  <c r="AH109" i="6"/>
  <c r="AI109" i="6"/>
  <c r="R110" i="6"/>
  <c r="AI110" i="6" s="1"/>
  <c r="AC110" i="6"/>
  <c r="AD110" i="6"/>
  <c r="AE110" i="6"/>
  <c r="AF110" i="6"/>
  <c r="AG110" i="6"/>
  <c r="AH110" i="6"/>
  <c r="R111" i="6"/>
  <c r="AI111" i="6" s="1"/>
  <c r="AC111" i="6"/>
  <c r="AD111" i="6"/>
  <c r="AE111" i="6"/>
  <c r="AF111" i="6"/>
  <c r="AG111" i="6"/>
  <c r="AH111" i="6"/>
  <c r="R112" i="6"/>
  <c r="AC112" i="6"/>
  <c r="AD112" i="6"/>
  <c r="AE112" i="6"/>
  <c r="AF112" i="6"/>
  <c r="AG112" i="6"/>
  <c r="AH112" i="6"/>
  <c r="AI112" i="6"/>
  <c r="R113" i="6"/>
  <c r="AI113" i="6" s="1"/>
  <c r="AC113" i="6"/>
  <c r="AD113" i="6"/>
  <c r="AE113" i="6"/>
  <c r="AF113" i="6"/>
  <c r="AG113" i="6"/>
  <c r="AH113" i="6"/>
  <c r="R114" i="6"/>
  <c r="AC114" i="6"/>
  <c r="AD114" i="6"/>
  <c r="AE114" i="6"/>
  <c r="AF114" i="6"/>
  <c r="AG114" i="6"/>
  <c r="AH114" i="6"/>
  <c r="AI114" i="6"/>
  <c r="R115" i="6"/>
  <c r="AC115" i="6"/>
  <c r="AD115" i="6"/>
  <c r="AE115" i="6"/>
  <c r="AF115" i="6"/>
  <c r="AG115" i="6"/>
  <c r="AH115" i="6"/>
  <c r="AI115" i="6"/>
  <c r="R116" i="6"/>
  <c r="AI116" i="6" s="1"/>
  <c r="AC116" i="6"/>
  <c r="AD116" i="6"/>
  <c r="AE116" i="6"/>
  <c r="AF116" i="6"/>
  <c r="AG116" i="6"/>
  <c r="AH116" i="6"/>
  <c r="R117" i="6"/>
  <c r="AC117" i="6"/>
  <c r="AD117" i="6"/>
  <c r="AE117" i="6"/>
  <c r="AF117" i="6"/>
  <c r="AG117" i="6"/>
  <c r="AH117" i="6"/>
  <c r="AI117" i="6"/>
  <c r="R118" i="6"/>
  <c r="AI118" i="6" s="1"/>
  <c r="AC118" i="6"/>
  <c r="AD118" i="6"/>
  <c r="AE118" i="6"/>
  <c r="AF118" i="6"/>
  <c r="AG118" i="6"/>
  <c r="AH118" i="6"/>
  <c r="R119" i="6"/>
  <c r="AI119" i="6" s="1"/>
  <c r="AC119" i="6"/>
  <c r="AD119" i="6"/>
  <c r="AE119" i="6"/>
  <c r="AF119" i="6"/>
  <c r="AG119" i="6"/>
  <c r="AH119" i="6"/>
  <c r="R120" i="6"/>
  <c r="AC120" i="6"/>
  <c r="AD120" i="6"/>
  <c r="AE120" i="6"/>
  <c r="AF120" i="6"/>
  <c r="AG120" i="6"/>
  <c r="AH120" i="6"/>
  <c r="AI120" i="6"/>
  <c r="R121" i="6"/>
  <c r="AI121" i="6" s="1"/>
  <c r="AC121" i="6"/>
  <c r="AD121" i="6"/>
  <c r="AE121" i="6"/>
  <c r="AF121" i="6"/>
  <c r="AG121" i="6"/>
  <c r="AH121" i="6"/>
  <c r="R122" i="6"/>
  <c r="AC122" i="6"/>
  <c r="AD122" i="6"/>
  <c r="AE122" i="6"/>
  <c r="AF122" i="6"/>
  <c r="AG122" i="6"/>
  <c r="AH122" i="6"/>
  <c r="AI122" i="6"/>
  <c r="R123" i="6"/>
  <c r="AC123" i="6"/>
  <c r="AD123" i="6"/>
  <c r="AE123" i="6"/>
  <c r="AF123" i="6"/>
  <c r="AG123" i="6"/>
  <c r="AH123" i="6"/>
  <c r="AI123" i="6"/>
  <c r="R124" i="6"/>
  <c r="AI124" i="6" s="1"/>
  <c r="AC124" i="6"/>
  <c r="AD124" i="6"/>
  <c r="AE124" i="6"/>
  <c r="AF124" i="6"/>
  <c r="AG124" i="6"/>
  <c r="AH124" i="6"/>
  <c r="R125" i="6"/>
  <c r="AC125" i="6"/>
  <c r="AD125" i="6"/>
  <c r="AE125" i="6"/>
  <c r="AF125" i="6"/>
  <c r="AG125" i="6"/>
  <c r="AH125" i="6"/>
  <c r="AI125" i="6"/>
  <c r="R126" i="6"/>
  <c r="AI126" i="6" s="1"/>
  <c r="AC126" i="6"/>
  <c r="AD126" i="6"/>
  <c r="AE126" i="6"/>
  <c r="AF126" i="6"/>
  <c r="AG126" i="6"/>
  <c r="AH126" i="6"/>
  <c r="R127" i="6"/>
  <c r="AI127" i="6" s="1"/>
  <c r="AC127" i="6"/>
  <c r="AD127" i="6"/>
  <c r="AE127" i="6"/>
  <c r="AF127" i="6"/>
  <c r="AG127" i="6"/>
  <c r="AH127" i="6"/>
  <c r="R128" i="6"/>
  <c r="AC128" i="6"/>
  <c r="AD128" i="6"/>
  <c r="AE128" i="6"/>
  <c r="AF128" i="6"/>
  <c r="AG128" i="6"/>
  <c r="AH128" i="6"/>
  <c r="AI128" i="6"/>
  <c r="R129" i="6"/>
  <c r="AC129" i="6"/>
  <c r="AD129" i="6"/>
  <c r="AE129" i="6"/>
  <c r="AF129" i="6"/>
  <c r="AG129" i="6"/>
  <c r="AH129" i="6"/>
  <c r="AI129" i="6"/>
  <c r="R130" i="6"/>
  <c r="AC130" i="6"/>
  <c r="AD130" i="6"/>
  <c r="AE130" i="6"/>
  <c r="AF130" i="6"/>
  <c r="AG130" i="6"/>
  <c r="AH130" i="6"/>
  <c r="AI130" i="6"/>
  <c r="R131" i="6"/>
  <c r="AC131" i="6"/>
  <c r="AD131" i="6"/>
  <c r="AE131" i="6"/>
  <c r="AF131" i="6"/>
  <c r="AG131" i="6"/>
  <c r="AH131" i="6"/>
  <c r="AI131" i="6"/>
  <c r="R132" i="6"/>
  <c r="AI132" i="6" s="1"/>
  <c r="AC132" i="6"/>
  <c r="AD132" i="6"/>
  <c r="AE132" i="6"/>
  <c r="AF132" i="6"/>
  <c r="AG132" i="6"/>
  <c r="AH132" i="6"/>
  <c r="R133" i="6"/>
  <c r="AI133" i="6" s="1"/>
  <c r="AC133" i="6"/>
  <c r="AD133" i="6"/>
  <c r="AE133" i="6"/>
  <c r="AF133" i="6"/>
  <c r="AG133" i="6"/>
  <c r="AH133" i="6"/>
  <c r="R134" i="6"/>
  <c r="AI134" i="6" s="1"/>
  <c r="AC134" i="6"/>
  <c r="AD134" i="6"/>
  <c r="AE134" i="6"/>
  <c r="AF134" i="6"/>
  <c r="AG134" i="6"/>
  <c r="AH134" i="6"/>
  <c r="R135" i="6"/>
  <c r="AI135" i="6" s="1"/>
  <c r="AC135" i="6"/>
  <c r="AD135" i="6"/>
  <c r="AE135" i="6"/>
  <c r="AF135" i="6"/>
  <c r="AG135" i="6"/>
  <c r="AH135" i="6"/>
  <c r="R136" i="6"/>
  <c r="AC136" i="6"/>
  <c r="AD136" i="6"/>
  <c r="AE136" i="6"/>
  <c r="AF136" i="6"/>
  <c r="AG136" i="6"/>
  <c r="AH136" i="6"/>
  <c r="AI136" i="6"/>
  <c r="R137" i="6"/>
  <c r="AC137" i="6"/>
  <c r="AD137" i="6"/>
  <c r="AE137" i="6"/>
  <c r="AF137" i="6"/>
  <c r="AG137" i="6"/>
  <c r="AH137" i="6"/>
  <c r="AI137" i="6"/>
  <c r="R138" i="6"/>
  <c r="AC138" i="6"/>
  <c r="AD138" i="6"/>
  <c r="AE138" i="6"/>
  <c r="AF138" i="6"/>
  <c r="AG138" i="6"/>
  <c r="AH138" i="6"/>
  <c r="AI138" i="6"/>
  <c r="R139" i="6"/>
  <c r="AC139" i="6"/>
  <c r="AD139" i="6"/>
  <c r="AE139" i="6"/>
  <c r="AF139" i="6"/>
  <c r="AG139" i="6"/>
  <c r="AH139" i="6"/>
  <c r="AI139" i="6"/>
  <c r="R140" i="6"/>
  <c r="AI140" i="6" s="1"/>
  <c r="AC140" i="6"/>
  <c r="AD140" i="6"/>
  <c r="AE140" i="6"/>
  <c r="AF140" i="6"/>
  <c r="AG140" i="6"/>
  <c r="AH140" i="6"/>
  <c r="R141" i="6"/>
  <c r="AI141" i="6" s="1"/>
  <c r="AC141" i="6"/>
  <c r="AD141" i="6"/>
  <c r="AE141" i="6"/>
  <c r="AF141" i="6"/>
  <c r="AG141" i="6"/>
  <c r="AH141" i="6"/>
  <c r="R142" i="6"/>
  <c r="AI142" i="6" s="1"/>
  <c r="AC142" i="6"/>
  <c r="AD142" i="6"/>
  <c r="AE142" i="6"/>
  <c r="AF142" i="6"/>
  <c r="AG142" i="6"/>
  <c r="AH142" i="6"/>
  <c r="R143" i="6"/>
  <c r="AI143" i="6" s="1"/>
  <c r="AC143" i="6"/>
  <c r="AD143" i="6"/>
  <c r="AE143" i="6"/>
  <c r="AF143" i="6"/>
  <c r="AG143" i="6"/>
  <c r="AH143" i="6"/>
  <c r="R144" i="6"/>
  <c r="AC144" i="6"/>
  <c r="AD144" i="6"/>
  <c r="AE144" i="6"/>
  <c r="AF144" i="6"/>
  <c r="AG144" i="6"/>
  <c r="AH144" i="6"/>
  <c r="AI144" i="6"/>
  <c r="R145" i="6"/>
  <c r="AC145" i="6"/>
  <c r="AD145" i="6"/>
  <c r="AE145" i="6"/>
  <c r="AF145" i="6"/>
  <c r="AG145" i="6"/>
  <c r="AH145" i="6"/>
  <c r="AI145" i="6"/>
  <c r="R146" i="6"/>
  <c r="AC146" i="6"/>
  <c r="AD146" i="6"/>
  <c r="AE146" i="6"/>
  <c r="AF146" i="6"/>
  <c r="AG146" i="6"/>
  <c r="AH146" i="6"/>
  <c r="AI146" i="6"/>
  <c r="R147" i="6"/>
  <c r="AC147" i="6"/>
  <c r="AD147" i="6"/>
  <c r="AE147" i="6"/>
  <c r="AF147" i="6"/>
  <c r="AG147" i="6"/>
  <c r="AH147" i="6"/>
  <c r="AI147" i="6"/>
  <c r="R148" i="6"/>
  <c r="AI148" i="6" s="1"/>
  <c r="AC148" i="6"/>
  <c r="AD148" i="6"/>
  <c r="AE148" i="6"/>
  <c r="AF148" i="6"/>
  <c r="AG148" i="6"/>
  <c r="AH148" i="6"/>
  <c r="R149" i="6"/>
  <c r="AI149" i="6" s="1"/>
  <c r="AC149" i="6"/>
  <c r="AD149" i="6"/>
  <c r="AE149" i="6"/>
  <c r="AF149" i="6"/>
  <c r="AG149" i="6"/>
  <c r="AH149" i="6"/>
  <c r="R150" i="6"/>
  <c r="AI150" i="6" s="1"/>
  <c r="AC150" i="6"/>
  <c r="AD150" i="6"/>
  <c r="AE150" i="6"/>
  <c r="AF150" i="6"/>
  <c r="AG150" i="6"/>
  <c r="AH150" i="6"/>
  <c r="R151" i="6"/>
  <c r="AC151" i="6"/>
  <c r="AD151" i="6"/>
  <c r="AE151" i="6"/>
  <c r="AF151" i="6"/>
  <c r="AG151" i="6"/>
  <c r="AH151" i="6"/>
  <c r="AI151" i="6"/>
  <c r="R152" i="6"/>
  <c r="AC152" i="6"/>
  <c r="AD152" i="6"/>
  <c r="AE152" i="6"/>
  <c r="AF152" i="6"/>
  <c r="AG152" i="6"/>
  <c r="AH152" i="6"/>
  <c r="AI152" i="6"/>
  <c r="R153" i="6"/>
  <c r="AC153" i="6"/>
  <c r="AD153" i="6"/>
  <c r="AE153" i="6"/>
  <c r="AF153" i="6"/>
  <c r="AG153" i="6"/>
  <c r="AH153" i="6"/>
  <c r="AI153" i="6"/>
  <c r="R154" i="6"/>
  <c r="AC154" i="6"/>
  <c r="AD154" i="6"/>
  <c r="AE154" i="6"/>
  <c r="AF154" i="6"/>
  <c r="AG154" i="6"/>
  <c r="AH154" i="6"/>
  <c r="AI154" i="6"/>
  <c r="R155" i="6"/>
  <c r="AI155" i="6" s="1"/>
  <c r="AC155" i="6"/>
  <c r="AD155" i="6"/>
  <c r="AE155" i="6"/>
  <c r="AF155" i="6"/>
  <c r="AG155" i="6"/>
  <c r="AH155" i="6"/>
  <c r="R156" i="6"/>
  <c r="AI156" i="6" s="1"/>
  <c r="AC156" i="6"/>
  <c r="AD156" i="6"/>
  <c r="AE156" i="6"/>
  <c r="AF156" i="6"/>
  <c r="AG156" i="6"/>
  <c r="AH156" i="6"/>
  <c r="R157" i="6"/>
  <c r="AI157" i="6" s="1"/>
  <c r="AC157" i="6"/>
  <c r="AD157" i="6"/>
  <c r="AE157" i="6"/>
  <c r="AF157" i="6"/>
  <c r="AG157" i="6"/>
  <c r="AH157" i="6"/>
  <c r="R158" i="6"/>
  <c r="AI158" i="6" s="1"/>
  <c r="AC158" i="6"/>
  <c r="AD158" i="6"/>
  <c r="AE158" i="6"/>
  <c r="AF158" i="6"/>
  <c r="AG158" i="6"/>
  <c r="AH158" i="6"/>
  <c r="R159" i="6"/>
  <c r="AI159" i="6" s="1"/>
  <c r="AC159" i="6"/>
  <c r="AD159" i="6"/>
  <c r="AE159" i="6"/>
  <c r="AF159" i="6"/>
  <c r="AG159" i="6"/>
  <c r="AH159" i="6"/>
  <c r="R160" i="6"/>
  <c r="AI160" i="6" s="1"/>
  <c r="AC160" i="6"/>
  <c r="AD160" i="6"/>
  <c r="AE160" i="6"/>
  <c r="AF160" i="6"/>
  <c r="AG160" i="6"/>
  <c r="AH160" i="6"/>
  <c r="R161" i="6"/>
  <c r="AC161" i="6"/>
  <c r="AD161" i="6"/>
  <c r="AE161" i="6"/>
  <c r="AF161" i="6"/>
  <c r="AG161" i="6"/>
  <c r="AH161" i="6"/>
  <c r="AI161" i="6"/>
  <c r="R162" i="6"/>
  <c r="AC162" i="6"/>
  <c r="AD162" i="6"/>
  <c r="AE162" i="6"/>
  <c r="AF162" i="6"/>
  <c r="AG162" i="6"/>
  <c r="AH162" i="6"/>
  <c r="AI162" i="6"/>
  <c r="R163" i="6"/>
  <c r="AC163" i="6"/>
  <c r="AD163" i="6"/>
  <c r="AE163" i="6"/>
  <c r="AF163" i="6"/>
  <c r="AG163" i="6"/>
  <c r="AH163" i="6"/>
  <c r="AI163" i="6"/>
  <c r="R164" i="6"/>
  <c r="AI164" i="6" s="1"/>
  <c r="AC164" i="6"/>
  <c r="AD164" i="6"/>
  <c r="AE164" i="6"/>
  <c r="AF164" i="6"/>
  <c r="AG164" i="6"/>
  <c r="AH164" i="6"/>
  <c r="R165" i="6"/>
  <c r="AI165" i="6" s="1"/>
  <c r="AC165" i="6"/>
  <c r="AD165" i="6"/>
  <c r="AE165" i="6"/>
  <c r="AF165" i="6"/>
  <c r="AG165" i="6"/>
  <c r="AH165" i="6"/>
  <c r="R166" i="6"/>
  <c r="AI166" i="6" s="1"/>
  <c r="AC166" i="6"/>
  <c r="AD166" i="6"/>
  <c r="AE166" i="6"/>
  <c r="AF166" i="6"/>
  <c r="AG166" i="6"/>
  <c r="AH166" i="6"/>
  <c r="R167" i="6"/>
  <c r="AI167" i="6" s="1"/>
  <c r="AC167" i="6"/>
  <c r="AD167" i="6"/>
  <c r="AE167" i="6"/>
  <c r="AF167" i="6"/>
  <c r="AG167" i="6"/>
  <c r="AH167" i="6"/>
  <c r="R168" i="6"/>
  <c r="AC168" i="6"/>
  <c r="AD168" i="6"/>
  <c r="AE168" i="6"/>
  <c r="AF168" i="6"/>
  <c r="AG168" i="6"/>
  <c r="AH168" i="6"/>
  <c r="AI168" i="6"/>
  <c r="R169" i="6"/>
  <c r="AC169" i="6"/>
  <c r="AD169" i="6"/>
  <c r="AE169" i="6"/>
  <c r="AF169" i="6"/>
  <c r="AG169" i="6"/>
  <c r="AH169" i="6"/>
  <c r="AI169" i="6"/>
  <c r="R170" i="6"/>
  <c r="AC170" i="6"/>
  <c r="AD170" i="6"/>
  <c r="AE170" i="6"/>
  <c r="AF170" i="6"/>
  <c r="AG170" i="6"/>
  <c r="AH170" i="6"/>
  <c r="AI170" i="6"/>
  <c r="R171" i="6"/>
  <c r="AC171" i="6"/>
  <c r="AD171" i="6"/>
  <c r="AE171" i="6"/>
  <c r="AF171" i="6"/>
  <c r="AG171" i="6"/>
  <c r="AH171" i="6"/>
  <c r="AI171" i="6"/>
  <c r="R172" i="6"/>
  <c r="AI172" i="6" s="1"/>
  <c r="AC172" i="6"/>
  <c r="AD172" i="6"/>
  <c r="AE172" i="6"/>
  <c r="AF172" i="6"/>
  <c r="AG172" i="6"/>
  <c r="AH172" i="6"/>
  <c r="R173" i="6"/>
  <c r="AI173" i="6" s="1"/>
  <c r="AC173" i="6"/>
  <c r="AD173" i="6"/>
  <c r="AE173" i="6"/>
  <c r="AF173" i="6"/>
  <c r="AG173" i="6"/>
  <c r="AH173" i="6"/>
  <c r="R174" i="6"/>
  <c r="AI174" i="6" s="1"/>
  <c r="AC174" i="6"/>
  <c r="AD174" i="6"/>
  <c r="AE174" i="6"/>
  <c r="AF174" i="6"/>
  <c r="AG174" i="6"/>
  <c r="AH174" i="6"/>
  <c r="R175" i="6"/>
  <c r="AI175" i="6" s="1"/>
  <c r="AC175" i="6"/>
  <c r="AD175" i="6"/>
  <c r="AE175" i="6"/>
  <c r="AF175" i="6"/>
  <c r="AG175" i="6"/>
  <c r="AH175" i="6"/>
  <c r="R176" i="6"/>
  <c r="AC176" i="6"/>
  <c r="AD176" i="6"/>
  <c r="AE176" i="6"/>
  <c r="AF176" i="6"/>
  <c r="AG176" i="6"/>
  <c r="AH176" i="6"/>
  <c r="AI176" i="6"/>
  <c r="R177" i="6"/>
  <c r="AC177" i="6"/>
  <c r="AD177" i="6"/>
  <c r="AE177" i="6"/>
  <c r="AF177" i="6"/>
  <c r="AG177" i="6"/>
  <c r="AH177" i="6"/>
  <c r="AI177" i="6"/>
  <c r="R178" i="6"/>
  <c r="AC178" i="6"/>
  <c r="AD178" i="6"/>
  <c r="AE178" i="6"/>
  <c r="AF178" i="6"/>
  <c r="AG178" i="6"/>
  <c r="AH178" i="6"/>
  <c r="AI178" i="6"/>
  <c r="R179" i="6"/>
  <c r="AC179" i="6"/>
  <c r="AD179" i="6"/>
  <c r="AE179" i="6"/>
  <c r="AF179" i="6"/>
  <c r="AG179" i="6"/>
  <c r="AH179" i="6"/>
  <c r="AI179" i="6"/>
  <c r="R180" i="6"/>
  <c r="AI180" i="6" s="1"/>
  <c r="AC180" i="6"/>
  <c r="AD180" i="6"/>
  <c r="AE180" i="6"/>
  <c r="AF180" i="6"/>
  <c r="AG180" i="6"/>
  <c r="AH180" i="6"/>
  <c r="R181" i="6"/>
  <c r="AI181" i="6" s="1"/>
  <c r="AC181" i="6"/>
  <c r="AD181" i="6"/>
  <c r="AE181" i="6"/>
  <c r="AF181" i="6"/>
  <c r="AG181" i="6"/>
  <c r="AH181" i="6"/>
  <c r="R182" i="6"/>
  <c r="AI182" i="6" s="1"/>
  <c r="AC182" i="6"/>
  <c r="AD182" i="6"/>
  <c r="AE182" i="6"/>
  <c r="AF182" i="6"/>
  <c r="AG182" i="6"/>
  <c r="AH182" i="6"/>
  <c r="R183" i="6"/>
  <c r="AI183" i="6" s="1"/>
  <c r="AC183" i="6"/>
  <c r="AD183" i="6"/>
  <c r="AE183" i="6"/>
  <c r="AF183" i="6"/>
  <c r="AG183" i="6"/>
  <c r="AH183" i="6"/>
  <c r="R184" i="6"/>
  <c r="AC184" i="6"/>
  <c r="AD184" i="6"/>
  <c r="AE184" i="6"/>
  <c r="AF184" i="6"/>
  <c r="AG184" i="6"/>
  <c r="AH184" i="6"/>
  <c r="AI184" i="6"/>
  <c r="R185" i="6"/>
  <c r="AC185" i="6"/>
  <c r="AD185" i="6"/>
  <c r="AE185" i="6"/>
  <c r="AF185" i="6"/>
  <c r="AG185" i="6"/>
  <c r="AH185" i="6"/>
  <c r="AI185" i="6"/>
  <c r="R186" i="6"/>
  <c r="AC186" i="6"/>
  <c r="AD186" i="6"/>
  <c r="AE186" i="6"/>
  <c r="AF186" i="6"/>
  <c r="AG186" i="6"/>
  <c r="AH186" i="6"/>
  <c r="AI186" i="6"/>
  <c r="R187" i="6"/>
  <c r="AC187" i="6"/>
  <c r="AD187" i="6"/>
  <c r="AE187" i="6"/>
  <c r="AF187" i="6"/>
  <c r="AG187" i="6"/>
  <c r="AH187" i="6"/>
  <c r="AI187" i="6"/>
  <c r="R188" i="6"/>
  <c r="AI188" i="6" s="1"/>
  <c r="AC188" i="6"/>
  <c r="AD188" i="6"/>
  <c r="AE188" i="6"/>
  <c r="AF188" i="6"/>
  <c r="AG188" i="6"/>
  <c r="AH188" i="6"/>
  <c r="R189" i="6"/>
  <c r="AI189" i="6" s="1"/>
  <c r="AC189" i="6"/>
  <c r="AD189" i="6"/>
  <c r="AE189" i="6"/>
  <c r="AF189" i="6"/>
  <c r="AG189" i="6"/>
  <c r="AH189" i="6"/>
  <c r="R190" i="6"/>
  <c r="AI190" i="6" s="1"/>
  <c r="AC190" i="6"/>
  <c r="AD190" i="6"/>
  <c r="AE190" i="6"/>
  <c r="AF190" i="6"/>
  <c r="AG190" i="6"/>
  <c r="AH190" i="6"/>
  <c r="R191" i="6"/>
  <c r="AI191" i="6" s="1"/>
  <c r="AC191" i="6"/>
  <c r="AD191" i="6"/>
  <c r="AE191" i="6"/>
  <c r="AF191" i="6"/>
  <c r="AG191" i="6"/>
  <c r="AH191" i="6"/>
  <c r="R192" i="6"/>
  <c r="AC192" i="6"/>
  <c r="AD192" i="6"/>
  <c r="AE192" i="6"/>
  <c r="AF192" i="6"/>
  <c r="AG192" i="6"/>
  <c r="AH192" i="6"/>
  <c r="AI192" i="6"/>
  <c r="R193" i="6"/>
  <c r="AC193" i="6"/>
  <c r="AD193" i="6"/>
  <c r="AE193" i="6"/>
  <c r="AF193" i="6"/>
  <c r="AG193" i="6"/>
  <c r="AH193" i="6"/>
  <c r="AI193" i="6"/>
  <c r="R194" i="6"/>
  <c r="AC194" i="6"/>
  <c r="AD194" i="6"/>
  <c r="AE194" i="6"/>
  <c r="AF194" i="6"/>
  <c r="AG194" i="6"/>
  <c r="AH194" i="6"/>
  <c r="AI194" i="6"/>
  <c r="R195" i="6"/>
  <c r="AC195" i="6"/>
  <c r="AD195" i="6"/>
  <c r="AE195" i="6"/>
  <c r="AF195" i="6"/>
  <c r="AG195" i="6"/>
  <c r="AH195" i="6"/>
  <c r="AI195" i="6"/>
  <c r="R196" i="6"/>
  <c r="AI196" i="6" s="1"/>
  <c r="AC196" i="6"/>
  <c r="AD196" i="6"/>
  <c r="AE196" i="6"/>
  <c r="AF196" i="6"/>
  <c r="AG196" i="6"/>
  <c r="AH196" i="6"/>
  <c r="R197" i="6"/>
  <c r="AI197" i="6" s="1"/>
  <c r="AC197" i="6"/>
  <c r="AD197" i="6"/>
  <c r="AE197" i="6"/>
  <c r="AF197" i="6"/>
  <c r="AG197" i="6"/>
  <c r="AH197" i="6"/>
  <c r="R198" i="6"/>
  <c r="AI198" i="6" s="1"/>
  <c r="AC198" i="6"/>
  <c r="AD198" i="6"/>
  <c r="AE198" i="6"/>
  <c r="AF198" i="6"/>
  <c r="AG198" i="6"/>
  <c r="AH198" i="6"/>
  <c r="R199" i="6"/>
  <c r="AI199" i="6" s="1"/>
  <c r="AC199" i="6"/>
  <c r="AD199" i="6"/>
  <c r="AE199" i="6"/>
  <c r="AF199" i="6"/>
  <c r="AG199" i="6"/>
  <c r="AH199" i="6"/>
  <c r="R200" i="6"/>
  <c r="AC200" i="6"/>
  <c r="AD200" i="6"/>
  <c r="AE200" i="6"/>
  <c r="AF200" i="6"/>
  <c r="AG200" i="6"/>
  <c r="AH200" i="6"/>
  <c r="AI200" i="6"/>
  <c r="R201" i="6"/>
  <c r="AC201" i="6"/>
  <c r="AD201" i="6"/>
  <c r="AE201" i="6"/>
  <c r="AF201" i="6"/>
  <c r="AG201" i="6"/>
  <c r="AH201" i="6"/>
  <c r="AI201" i="6"/>
  <c r="R202" i="6"/>
  <c r="AC202" i="6"/>
  <c r="AD202" i="6"/>
  <c r="AE202" i="6"/>
  <c r="AF202" i="6"/>
  <c r="AG202" i="6"/>
  <c r="AH202" i="6"/>
  <c r="AI202" i="6"/>
  <c r="R203" i="6"/>
  <c r="AC203" i="6"/>
  <c r="AD203" i="6"/>
  <c r="AE203" i="6"/>
  <c r="AF203" i="6"/>
  <c r="AG203" i="6"/>
  <c r="AH203" i="6"/>
  <c r="AI203" i="6"/>
  <c r="R204" i="6"/>
  <c r="AI204" i="6" s="1"/>
  <c r="AC204" i="6"/>
  <c r="AD204" i="6"/>
  <c r="AE204" i="6"/>
  <c r="AF204" i="6"/>
  <c r="AG204" i="6"/>
  <c r="AH204" i="6"/>
  <c r="R205" i="6"/>
  <c r="AI205" i="6" s="1"/>
  <c r="AC205" i="6"/>
  <c r="AD205" i="6"/>
  <c r="AE205" i="6"/>
  <c r="AF205" i="6"/>
  <c r="AG205" i="6"/>
  <c r="AH205" i="6"/>
  <c r="R206" i="6"/>
  <c r="AI206" i="6" s="1"/>
  <c r="AC206" i="6"/>
  <c r="AD206" i="6"/>
  <c r="AE206" i="6"/>
  <c r="AF206" i="6"/>
  <c r="AG206" i="6"/>
  <c r="AH206" i="6"/>
  <c r="R207" i="6"/>
  <c r="AI207" i="6" s="1"/>
  <c r="AC207" i="6"/>
  <c r="AD207" i="6"/>
  <c r="AE207" i="6"/>
  <c r="AF207" i="6"/>
  <c r="AG207" i="6"/>
  <c r="AH207" i="6"/>
  <c r="R208" i="6"/>
  <c r="AC208" i="6"/>
  <c r="AD208" i="6"/>
  <c r="AE208" i="6"/>
  <c r="AF208" i="6"/>
  <c r="AG208" i="6"/>
  <c r="AH208" i="6"/>
  <c r="AI208" i="6"/>
  <c r="R209" i="6"/>
  <c r="AC209" i="6"/>
  <c r="AD209" i="6"/>
  <c r="AE209" i="6"/>
  <c r="AF209" i="6"/>
  <c r="AG209" i="6"/>
  <c r="AH209" i="6"/>
  <c r="AI209" i="6"/>
  <c r="R210" i="6"/>
  <c r="AC210" i="6"/>
  <c r="AD210" i="6"/>
  <c r="AE210" i="6"/>
  <c r="AF210" i="6"/>
  <c r="AG210" i="6"/>
  <c r="AH210" i="6"/>
  <c r="AI210" i="6"/>
  <c r="R211" i="6"/>
  <c r="AC211" i="6"/>
  <c r="AD211" i="6"/>
  <c r="AE211" i="6"/>
  <c r="AF211" i="6"/>
  <c r="AG211" i="6"/>
  <c r="AH211" i="6"/>
  <c r="AI211" i="6"/>
  <c r="R212" i="6"/>
  <c r="AI212" i="6" s="1"/>
  <c r="AC212" i="6"/>
  <c r="AD212" i="6"/>
  <c r="AE212" i="6"/>
  <c r="AF212" i="6"/>
  <c r="AG212" i="6"/>
  <c r="AH212" i="6"/>
  <c r="R213" i="6"/>
  <c r="AI213" i="6" s="1"/>
  <c r="AC213" i="6"/>
  <c r="AD213" i="6"/>
  <c r="AE213" i="6"/>
  <c r="AF213" i="6"/>
  <c r="AG213" i="6"/>
  <c r="AH213" i="6"/>
  <c r="R214" i="6"/>
  <c r="AI214" i="6" s="1"/>
  <c r="AC214" i="6"/>
  <c r="AD214" i="6"/>
  <c r="AE214" i="6"/>
  <c r="AF214" i="6"/>
  <c r="AG214" i="6"/>
  <c r="AH214" i="6"/>
  <c r="R215" i="6"/>
  <c r="AI215" i="6" s="1"/>
  <c r="AC215" i="6"/>
  <c r="AD215" i="6"/>
  <c r="AE215" i="6"/>
  <c r="AF215" i="6"/>
  <c r="AG215" i="6"/>
  <c r="AH215" i="6"/>
  <c r="R216" i="6"/>
  <c r="AC216" i="6"/>
  <c r="AD216" i="6"/>
  <c r="AE216" i="6"/>
  <c r="AF216" i="6"/>
  <c r="AG216" i="6"/>
  <c r="AH216" i="6"/>
  <c r="AI216" i="6"/>
  <c r="R217" i="6"/>
  <c r="AC217" i="6"/>
  <c r="AD217" i="6"/>
  <c r="AE217" i="6"/>
  <c r="AF217" i="6"/>
  <c r="AG217" i="6"/>
  <c r="AH217" i="6"/>
  <c r="AI217" i="6"/>
  <c r="R218" i="6"/>
  <c r="AC218" i="6"/>
  <c r="AD218" i="6"/>
  <c r="AE218" i="6"/>
  <c r="AF218" i="6"/>
  <c r="AG218" i="6"/>
  <c r="AH218" i="6"/>
  <c r="AI218" i="6"/>
  <c r="R219" i="6"/>
  <c r="AC219" i="6"/>
  <c r="AD219" i="6"/>
  <c r="AE219" i="6"/>
  <c r="AF219" i="6"/>
  <c r="AG219" i="6"/>
  <c r="AH219" i="6"/>
  <c r="AI219" i="6"/>
  <c r="R220" i="6"/>
  <c r="AI220" i="6" s="1"/>
  <c r="AC220" i="6"/>
  <c r="AD220" i="6"/>
  <c r="AE220" i="6"/>
  <c r="AF220" i="6"/>
  <c r="AG220" i="6"/>
  <c r="AH220" i="6"/>
  <c r="R221" i="6"/>
  <c r="AI221" i="6" s="1"/>
  <c r="AC221" i="6"/>
  <c r="AD221" i="6"/>
  <c r="AE221" i="6"/>
  <c r="AF221" i="6"/>
  <c r="AG221" i="6"/>
  <c r="AH221" i="6"/>
  <c r="R222" i="6"/>
  <c r="AI222" i="6" s="1"/>
  <c r="AC222" i="6"/>
  <c r="AD222" i="6"/>
  <c r="AE222" i="6"/>
  <c r="AF222" i="6"/>
  <c r="AG222" i="6"/>
  <c r="AH222" i="6"/>
  <c r="R223" i="6"/>
  <c r="AI223" i="6" s="1"/>
  <c r="AC223" i="6"/>
  <c r="AD223" i="6"/>
  <c r="AE223" i="6"/>
  <c r="AF223" i="6"/>
  <c r="AG223" i="6"/>
  <c r="AH223" i="6"/>
  <c r="R224" i="6"/>
  <c r="AC224" i="6"/>
  <c r="AD224" i="6"/>
  <c r="AE224" i="6"/>
  <c r="AF224" i="6"/>
  <c r="AG224" i="6"/>
  <c r="AH224" i="6"/>
  <c r="AI224" i="6"/>
  <c r="R225" i="6"/>
  <c r="AC225" i="6"/>
  <c r="AD225" i="6"/>
  <c r="AE225" i="6"/>
  <c r="AF225" i="6"/>
  <c r="AG225" i="6"/>
  <c r="AH225" i="6"/>
  <c r="AI225" i="6"/>
  <c r="R226" i="6"/>
  <c r="AC226" i="6"/>
  <c r="AD226" i="6"/>
  <c r="AE226" i="6"/>
  <c r="AF226" i="6"/>
  <c r="AG226" i="6"/>
  <c r="AH226" i="6"/>
  <c r="AI226" i="6"/>
  <c r="R227" i="6"/>
  <c r="AC227" i="6"/>
  <c r="AD227" i="6"/>
  <c r="AE227" i="6"/>
  <c r="AF227" i="6"/>
  <c r="AG227" i="6"/>
  <c r="AH227" i="6"/>
  <c r="AI227" i="6"/>
  <c r="R228" i="6"/>
  <c r="AI228" i="6" s="1"/>
  <c r="AC228" i="6"/>
  <c r="AD228" i="6"/>
  <c r="AE228" i="6"/>
  <c r="AF228" i="6"/>
  <c r="AG228" i="6"/>
  <c r="AH228" i="6"/>
  <c r="R229" i="6"/>
  <c r="AI229" i="6" s="1"/>
  <c r="AC229" i="6"/>
  <c r="AD229" i="6"/>
  <c r="AE229" i="6"/>
  <c r="AF229" i="6"/>
  <c r="AG229" i="6"/>
  <c r="AH229" i="6"/>
  <c r="R230" i="6"/>
  <c r="AI230" i="6" s="1"/>
  <c r="AC230" i="6"/>
  <c r="AD230" i="6"/>
  <c r="AE230" i="6"/>
  <c r="AF230" i="6"/>
  <c r="AG230" i="6"/>
  <c r="AH230" i="6"/>
  <c r="R231" i="6"/>
  <c r="AI231" i="6" s="1"/>
  <c r="AC231" i="6"/>
  <c r="AD231" i="6"/>
  <c r="AE231" i="6"/>
  <c r="AF231" i="6"/>
  <c r="AG231" i="6"/>
  <c r="AH231" i="6"/>
  <c r="R232" i="6"/>
  <c r="AC232" i="6"/>
  <c r="AD232" i="6"/>
  <c r="AE232" i="6"/>
  <c r="AF232" i="6"/>
  <c r="AG232" i="6"/>
  <c r="AH232" i="6"/>
  <c r="AI232" i="6"/>
  <c r="R233" i="6"/>
  <c r="AC233" i="6"/>
  <c r="AD233" i="6"/>
  <c r="AE233" i="6"/>
  <c r="AF233" i="6"/>
  <c r="AG233" i="6"/>
  <c r="AH233" i="6"/>
  <c r="AI233" i="6"/>
  <c r="R234" i="6"/>
  <c r="AC234" i="6"/>
  <c r="AD234" i="6"/>
  <c r="AE234" i="6"/>
  <c r="AF234" i="6"/>
  <c r="AG234" i="6"/>
  <c r="AH234" i="6"/>
  <c r="AI234" i="6"/>
  <c r="R235" i="6"/>
  <c r="AC235" i="6"/>
  <c r="AD235" i="6"/>
  <c r="AE235" i="6"/>
  <c r="AF235" i="6"/>
  <c r="AG235" i="6"/>
  <c r="AH235" i="6"/>
  <c r="AI235" i="6"/>
  <c r="R236" i="6"/>
  <c r="AI236" i="6" s="1"/>
  <c r="AC236" i="6"/>
  <c r="AD236" i="6"/>
  <c r="AE236" i="6"/>
  <c r="AF236" i="6"/>
  <c r="AG236" i="6"/>
  <c r="AH236" i="6"/>
  <c r="R237" i="6"/>
  <c r="AI237" i="6" s="1"/>
  <c r="AC237" i="6"/>
  <c r="AD237" i="6"/>
  <c r="AE237" i="6"/>
  <c r="AF237" i="6"/>
  <c r="AG237" i="6"/>
  <c r="AH237" i="6"/>
  <c r="R238" i="6"/>
  <c r="AI238" i="6" s="1"/>
  <c r="AC238" i="6"/>
  <c r="AD238" i="6"/>
  <c r="AE238" i="6"/>
  <c r="AF238" i="6"/>
  <c r="AG238" i="6"/>
  <c r="AH238" i="6"/>
  <c r="R239" i="6"/>
  <c r="AI239" i="6" s="1"/>
  <c r="AC239" i="6"/>
  <c r="AD239" i="6"/>
  <c r="AE239" i="6"/>
  <c r="AF239" i="6"/>
  <c r="AG239" i="6"/>
  <c r="AH239" i="6"/>
  <c r="R240" i="6"/>
  <c r="AC240" i="6"/>
  <c r="AD240" i="6"/>
  <c r="AE240" i="6"/>
  <c r="AF240" i="6"/>
  <c r="AG240" i="6"/>
  <c r="AH240" i="6"/>
  <c r="AI240" i="6"/>
  <c r="R241" i="6"/>
  <c r="AC241" i="6"/>
  <c r="AD241" i="6"/>
  <c r="AE241" i="6"/>
  <c r="AF241" i="6"/>
  <c r="AG241" i="6"/>
  <c r="AH241" i="6"/>
  <c r="AI241" i="6"/>
  <c r="R242" i="6"/>
  <c r="AC242" i="6"/>
  <c r="AD242" i="6"/>
  <c r="AE242" i="6"/>
  <c r="AF242" i="6"/>
  <c r="AG242" i="6"/>
  <c r="AH242" i="6"/>
  <c r="AI242" i="6"/>
  <c r="R243" i="6"/>
  <c r="AC243" i="6"/>
  <c r="AD243" i="6"/>
  <c r="AE243" i="6"/>
  <c r="AF243" i="6"/>
  <c r="AG243" i="6"/>
  <c r="AH243" i="6"/>
  <c r="AI243" i="6"/>
  <c r="R244" i="6"/>
  <c r="AI244" i="6" s="1"/>
  <c r="AC244" i="6"/>
  <c r="AD244" i="6"/>
  <c r="AE244" i="6"/>
  <c r="AF244" i="6"/>
  <c r="AG244" i="6"/>
  <c r="AH244" i="6"/>
  <c r="R245" i="6"/>
  <c r="AI245" i="6" s="1"/>
  <c r="AC245" i="6"/>
  <c r="AD245" i="6"/>
  <c r="AE245" i="6"/>
  <c r="AF245" i="6"/>
  <c r="AG245" i="6"/>
  <c r="AH245" i="6"/>
  <c r="R246" i="6"/>
  <c r="AI246" i="6" s="1"/>
  <c r="AC246" i="6"/>
  <c r="AD246" i="6"/>
  <c r="AE246" i="6"/>
  <c r="AF246" i="6"/>
  <c r="AG246" i="6"/>
  <c r="AH246" i="6"/>
  <c r="R247" i="6"/>
  <c r="AI247" i="6" s="1"/>
  <c r="AC247" i="6"/>
  <c r="AD247" i="6"/>
  <c r="AE247" i="6"/>
  <c r="AF247" i="6"/>
  <c r="AG247" i="6"/>
  <c r="AH247" i="6"/>
  <c r="R248" i="6"/>
  <c r="AC248" i="6"/>
  <c r="AD248" i="6"/>
  <c r="AE248" i="6"/>
  <c r="AF248" i="6"/>
  <c r="AG248" i="6"/>
  <c r="AH248" i="6"/>
  <c r="AI248" i="6"/>
  <c r="R249" i="6"/>
  <c r="AC249" i="6"/>
  <c r="AD249" i="6"/>
  <c r="AE249" i="6"/>
  <c r="AF249" i="6"/>
  <c r="AG249" i="6"/>
  <c r="AH249" i="6"/>
  <c r="AI249" i="6"/>
  <c r="R250" i="6"/>
  <c r="AC250" i="6"/>
  <c r="AD250" i="6"/>
  <c r="AE250" i="6"/>
  <c r="AF250" i="6"/>
  <c r="AG250" i="6"/>
  <c r="AH250" i="6"/>
  <c r="AI250" i="6"/>
  <c r="R251" i="6"/>
  <c r="AC251" i="6"/>
  <c r="AD251" i="6"/>
  <c r="AE251" i="6"/>
  <c r="AF251" i="6"/>
  <c r="AG251" i="6"/>
  <c r="AH251" i="6"/>
  <c r="AI251" i="6"/>
  <c r="R252" i="6"/>
  <c r="AI252" i="6" s="1"/>
  <c r="AC252" i="6"/>
  <c r="AD252" i="6"/>
  <c r="AE252" i="6"/>
  <c r="AF252" i="6"/>
  <c r="AG252" i="6"/>
  <c r="AH252" i="6"/>
  <c r="R253" i="6"/>
  <c r="AI253" i="6" s="1"/>
  <c r="AC253" i="6"/>
  <c r="AD253" i="6"/>
  <c r="AE253" i="6"/>
  <c r="AF253" i="6"/>
  <c r="AG253" i="6"/>
  <c r="AH253" i="6"/>
  <c r="R254" i="6"/>
  <c r="AI254" i="6" s="1"/>
  <c r="AC254" i="6"/>
  <c r="AD254" i="6"/>
  <c r="AE254" i="6"/>
  <c r="AF254" i="6"/>
  <c r="AG254" i="6"/>
  <c r="AH254" i="6"/>
  <c r="R255" i="6"/>
  <c r="AI255" i="6" s="1"/>
  <c r="AC255" i="6"/>
  <c r="AD255" i="6"/>
  <c r="AE255" i="6"/>
  <c r="AF255" i="6"/>
  <c r="AG255" i="6"/>
  <c r="AH255" i="6"/>
  <c r="R256" i="6"/>
  <c r="AC256" i="6"/>
  <c r="AD256" i="6"/>
  <c r="AE256" i="6"/>
  <c r="AF256" i="6"/>
  <c r="AG256" i="6"/>
  <c r="AH256" i="6"/>
  <c r="AI256" i="6"/>
  <c r="R257" i="6"/>
  <c r="AC257" i="6"/>
  <c r="AD257" i="6"/>
  <c r="AE257" i="6"/>
  <c r="AF257" i="6"/>
  <c r="AG257" i="6"/>
  <c r="AH257" i="6"/>
  <c r="AI257" i="6"/>
  <c r="R258" i="6"/>
  <c r="AC258" i="6"/>
  <c r="AD258" i="6"/>
  <c r="AE258" i="6"/>
  <c r="AF258" i="6"/>
  <c r="AG258" i="6"/>
  <c r="AH258" i="6"/>
  <c r="AI258" i="6"/>
  <c r="R259" i="6"/>
  <c r="AC259" i="6"/>
  <c r="AD259" i="6"/>
  <c r="AE259" i="6"/>
  <c r="AF259" i="6"/>
  <c r="AG259" i="6"/>
  <c r="AH259" i="6"/>
  <c r="AI259" i="6"/>
  <c r="R260" i="6"/>
  <c r="AI260" i="6" s="1"/>
  <c r="AC260" i="6"/>
  <c r="AD260" i="6"/>
  <c r="AE260" i="6"/>
  <c r="AF260" i="6"/>
  <c r="AG260" i="6"/>
  <c r="AH260" i="6"/>
  <c r="R261" i="6"/>
  <c r="AI261" i="6" s="1"/>
  <c r="AC261" i="6"/>
  <c r="AD261" i="6"/>
  <c r="AE261" i="6"/>
  <c r="AF261" i="6"/>
  <c r="AG261" i="6"/>
  <c r="AH261" i="6"/>
  <c r="R262" i="6"/>
  <c r="AI262" i="6" s="1"/>
  <c r="AC262" i="6"/>
  <c r="AD262" i="6"/>
  <c r="AE262" i="6"/>
  <c r="AF262" i="6"/>
  <c r="AG262" i="6"/>
  <c r="AH262" i="6"/>
  <c r="R263" i="6"/>
  <c r="AI263" i="6" s="1"/>
  <c r="AC263" i="6"/>
  <c r="AD263" i="6"/>
  <c r="AE263" i="6"/>
  <c r="AF263" i="6"/>
  <c r="AG263" i="6"/>
  <c r="AH263" i="6"/>
  <c r="R264" i="6"/>
  <c r="AC264" i="6"/>
  <c r="AD264" i="6"/>
  <c r="AE264" i="6"/>
  <c r="AF264" i="6"/>
  <c r="AG264" i="6"/>
  <c r="AH264" i="6"/>
  <c r="AI264" i="6"/>
  <c r="R265" i="6"/>
  <c r="AC265" i="6"/>
  <c r="AD265" i="6"/>
  <c r="AE265" i="6"/>
  <c r="AF265" i="6"/>
  <c r="AG265" i="6"/>
  <c r="AH265" i="6"/>
  <c r="AI265" i="6"/>
  <c r="R266" i="6"/>
  <c r="AC266" i="6"/>
  <c r="AD266" i="6"/>
  <c r="AE266" i="6"/>
  <c r="AF266" i="6"/>
  <c r="AG266" i="6"/>
  <c r="AH266" i="6"/>
  <c r="AI266" i="6"/>
  <c r="R267" i="6"/>
  <c r="AC267" i="6"/>
  <c r="AD267" i="6"/>
  <c r="AE267" i="6"/>
  <c r="AF267" i="6"/>
  <c r="AG267" i="6"/>
  <c r="AH267" i="6"/>
  <c r="AI267" i="6"/>
  <c r="R268" i="6"/>
  <c r="AI268" i="6" s="1"/>
  <c r="AC268" i="6"/>
  <c r="AD268" i="6"/>
  <c r="AE268" i="6"/>
  <c r="AF268" i="6"/>
  <c r="AG268" i="6"/>
  <c r="AH268" i="6"/>
  <c r="R269" i="6"/>
  <c r="AI269" i="6" s="1"/>
  <c r="AC269" i="6"/>
  <c r="AD269" i="6"/>
  <c r="AE269" i="6"/>
  <c r="AF269" i="6"/>
  <c r="AG269" i="6"/>
  <c r="AH269" i="6"/>
  <c r="R270" i="6"/>
  <c r="AI270" i="6" s="1"/>
  <c r="AC270" i="6"/>
  <c r="AD270" i="6"/>
  <c r="AE270" i="6"/>
  <c r="AF270" i="6"/>
  <c r="AG270" i="6"/>
  <c r="AH270" i="6"/>
  <c r="R271" i="6"/>
  <c r="AI271" i="6" s="1"/>
  <c r="AC271" i="6"/>
  <c r="AD271" i="6"/>
  <c r="AE271" i="6"/>
  <c r="AF271" i="6"/>
  <c r="AG271" i="6"/>
  <c r="AH271" i="6"/>
  <c r="R272" i="6"/>
  <c r="AC272" i="6"/>
  <c r="AD272" i="6"/>
  <c r="AE272" i="6"/>
  <c r="AF272" i="6"/>
  <c r="AG272" i="6"/>
  <c r="AH272" i="6"/>
  <c r="AI272" i="6"/>
  <c r="R273" i="6"/>
  <c r="AC273" i="6"/>
  <c r="AD273" i="6"/>
  <c r="AE273" i="6"/>
  <c r="AF273" i="6"/>
  <c r="AG273" i="6"/>
  <c r="AH273" i="6"/>
  <c r="AI273" i="6"/>
  <c r="R274" i="6"/>
  <c r="AC274" i="6"/>
  <c r="AD274" i="6"/>
  <c r="AE274" i="6"/>
  <c r="AF274" i="6"/>
  <c r="AG274" i="6"/>
  <c r="AH274" i="6"/>
  <c r="AI274" i="6"/>
  <c r="R275" i="6"/>
  <c r="AC275" i="6"/>
  <c r="AD275" i="6"/>
  <c r="AE275" i="6"/>
  <c r="AF275" i="6"/>
  <c r="AG275" i="6"/>
  <c r="AH275" i="6"/>
  <c r="AI275" i="6"/>
  <c r="R276" i="6"/>
  <c r="AI276" i="6" s="1"/>
  <c r="AC276" i="6"/>
  <c r="AD276" i="6"/>
  <c r="AE276" i="6"/>
  <c r="AF276" i="6"/>
  <c r="AG276" i="6"/>
  <c r="AH276" i="6"/>
  <c r="R277" i="6"/>
  <c r="AI277" i="6" s="1"/>
  <c r="AC277" i="6"/>
  <c r="AD277" i="6"/>
  <c r="AE277" i="6"/>
  <c r="AF277" i="6"/>
  <c r="AG277" i="6"/>
  <c r="AH277" i="6"/>
  <c r="R278" i="6"/>
  <c r="AI278" i="6" s="1"/>
  <c r="AC278" i="6"/>
  <c r="AD278" i="6"/>
  <c r="AE278" i="6"/>
  <c r="AF278" i="6"/>
  <c r="AG278" i="6"/>
  <c r="AH278" i="6"/>
  <c r="R279" i="6"/>
  <c r="AI279" i="6" s="1"/>
  <c r="AC279" i="6"/>
  <c r="AD279" i="6"/>
  <c r="AE279" i="6"/>
  <c r="AF279" i="6"/>
  <c r="AG279" i="6"/>
  <c r="AH279" i="6"/>
  <c r="R280" i="6"/>
  <c r="AC280" i="6"/>
  <c r="AD280" i="6"/>
  <c r="AE280" i="6"/>
  <c r="AF280" i="6"/>
  <c r="AG280" i="6"/>
  <c r="AH280" i="6"/>
  <c r="AI280" i="6"/>
  <c r="R281" i="6"/>
  <c r="AC281" i="6"/>
  <c r="AD281" i="6"/>
  <c r="AE281" i="6"/>
  <c r="AF281" i="6"/>
  <c r="AG281" i="6"/>
  <c r="AH281" i="6"/>
  <c r="AI281" i="6"/>
  <c r="R282" i="6"/>
  <c r="AC282" i="6"/>
  <c r="AD282" i="6"/>
  <c r="AE282" i="6"/>
  <c r="AF282" i="6"/>
  <c r="AG282" i="6"/>
  <c r="AH282" i="6"/>
  <c r="AI282" i="6"/>
  <c r="R283" i="6"/>
  <c r="AC283" i="6"/>
  <c r="AD283" i="6"/>
  <c r="AE283" i="6"/>
  <c r="AF283" i="6"/>
  <c r="AG283" i="6"/>
  <c r="AH283" i="6"/>
  <c r="AI283" i="6"/>
  <c r="R284" i="6"/>
  <c r="AC284" i="6"/>
  <c r="AD284" i="6"/>
  <c r="AE284" i="6"/>
  <c r="AF284" i="6"/>
  <c r="AG284" i="6"/>
  <c r="AH284" i="6"/>
  <c r="AI284" i="6"/>
  <c r="R285" i="6"/>
  <c r="AI285" i="6" s="1"/>
  <c r="AC285" i="6"/>
  <c r="AD285" i="6"/>
  <c r="AE285" i="6"/>
  <c r="AF285" i="6"/>
  <c r="AG285" i="6"/>
  <c r="AH285" i="6"/>
  <c r="R286" i="6"/>
  <c r="AI286" i="6" s="1"/>
  <c r="AC286" i="6"/>
  <c r="AD286" i="6"/>
  <c r="AE286" i="6"/>
  <c r="AF286" i="6"/>
  <c r="AG286" i="6"/>
  <c r="AH286" i="6"/>
  <c r="R287" i="6"/>
  <c r="AI287" i="6" s="1"/>
  <c r="AC287" i="6"/>
  <c r="AD287" i="6"/>
  <c r="AE287" i="6"/>
  <c r="AF287" i="6"/>
  <c r="AG287" i="6"/>
  <c r="AH287" i="6"/>
  <c r="R288" i="6"/>
  <c r="AI288" i="6" s="1"/>
  <c r="AC288" i="6"/>
  <c r="AD288" i="6"/>
  <c r="AE288" i="6"/>
  <c r="AF288" i="6"/>
  <c r="AG288" i="6"/>
  <c r="AH288" i="6"/>
  <c r="R289" i="6"/>
  <c r="AC289" i="6"/>
  <c r="AD289" i="6"/>
  <c r="AE289" i="6"/>
  <c r="AF289" i="6"/>
  <c r="AG289" i="6"/>
  <c r="AH289" i="6"/>
  <c r="AI289" i="6"/>
  <c r="R290" i="6"/>
  <c r="AC290" i="6"/>
  <c r="AD290" i="6"/>
  <c r="AE290" i="6"/>
  <c r="AF290" i="6"/>
  <c r="AG290" i="6"/>
  <c r="AH290" i="6"/>
  <c r="AI290" i="6"/>
  <c r="R291" i="6"/>
  <c r="AC291" i="6"/>
  <c r="AD291" i="6"/>
  <c r="AE291" i="6"/>
  <c r="AF291" i="6"/>
  <c r="AG291" i="6"/>
  <c r="AH291" i="6"/>
  <c r="AI291" i="6"/>
  <c r="R292" i="6"/>
  <c r="AC292" i="6"/>
  <c r="AD292" i="6"/>
  <c r="AE292" i="6"/>
  <c r="AF292" i="6"/>
  <c r="AG292" i="6"/>
  <c r="AH292" i="6"/>
  <c r="AI292" i="6"/>
  <c r="R293" i="6"/>
  <c r="AI293" i="6" s="1"/>
  <c r="AC293" i="6"/>
  <c r="AD293" i="6"/>
  <c r="AE293" i="6"/>
  <c r="AF293" i="6"/>
  <c r="AG293" i="6"/>
  <c r="AH293" i="6"/>
  <c r="R294" i="6"/>
  <c r="AI294" i="6" s="1"/>
  <c r="AC294" i="6"/>
  <c r="AD294" i="6"/>
  <c r="AE294" i="6"/>
  <c r="AF294" i="6"/>
  <c r="AG294" i="6"/>
  <c r="AH294" i="6"/>
  <c r="R295" i="6"/>
  <c r="AI295" i="6" s="1"/>
  <c r="AC295" i="6"/>
  <c r="AD295" i="6"/>
  <c r="AE295" i="6"/>
  <c r="AF295" i="6"/>
  <c r="AG295" i="6"/>
  <c r="AH295" i="6"/>
  <c r="R296" i="6"/>
  <c r="AC296" i="6"/>
  <c r="AD296" i="6"/>
  <c r="AE296" i="6"/>
  <c r="AF296" i="6"/>
  <c r="AG296" i="6"/>
  <c r="AH296" i="6"/>
  <c r="AI296" i="6"/>
  <c r="R297" i="6"/>
  <c r="AC297" i="6"/>
  <c r="AD297" i="6"/>
  <c r="AE297" i="6"/>
  <c r="AF297" i="6"/>
  <c r="AG297" i="6"/>
  <c r="AH297" i="6"/>
  <c r="AI297" i="6"/>
  <c r="R298" i="6"/>
  <c r="AC298" i="6"/>
  <c r="AD298" i="6"/>
  <c r="AE298" i="6"/>
  <c r="AF298" i="6"/>
  <c r="AG298" i="6"/>
  <c r="AH298" i="6"/>
  <c r="AI298" i="6"/>
  <c r="R299" i="6"/>
  <c r="AC299" i="6"/>
  <c r="AD299" i="6"/>
  <c r="AE299" i="6"/>
  <c r="AF299" i="6"/>
  <c r="AG299" i="6"/>
  <c r="AH299" i="6"/>
  <c r="AI299" i="6"/>
  <c r="R300" i="6"/>
  <c r="AC300" i="6"/>
  <c r="AD300" i="6"/>
  <c r="AE300" i="6"/>
  <c r="AF300" i="6"/>
  <c r="AG300" i="6"/>
  <c r="AH300" i="6"/>
  <c r="AI300" i="6"/>
  <c r="R301" i="6"/>
  <c r="AI301" i="6" s="1"/>
  <c r="AC301" i="6"/>
  <c r="AD301" i="6"/>
  <c r="AE301" i="6"/>
  <c r="AF301" i="6"/>
  <c r="AG301" i="6"/>
  <c r="AH301" i="6"/>
  <c r="R302" i="6"/>
  <c r="AI302" i="6" s="1"/>
  <c r="AC302" i="6"/>
  <c r="AD302" i="6"/>
  <c r="AE302" i="6"/>
  <c r="AF302" i="6"/>
  <c r="AG302" i="6"/>
  <c r="AH302" i="6"/>
  <c r="R303" i="6"/>
  <c r="AI303" i="6" s="1"/>
  <c r="AC303" i="6"/>
  <c r="AD303" i="6"/>
  <c r="AE303" i="6"/>
  <c r="AF303" i="6"/>
  <c r="AG303" i="6"/>
  <c r="AH303" i="6"/>
  <c r="R304" i="6"/>
  <c r="AI304" i="6" s="1"/>
  <c r="AC304" i="6"/>
  <c r="AD304" i="6"/>
  <c r="AE304" i="6"/>
  <c r="AF304" i="6"/>
  <c r="AG304" i="6"/>
  <c r="AH304" i="6"/>
  <c r="R305" i="6"/>
  <c r="AC305" i="6"/>
  <c r="AD305" i="6"/>
  <c r="AE305" i="6"/>
  <c r="AF305" i="6"/>
  <c r="AG305" i="6"/>
  <c r="AH305" i="6"/>
  <c r="AI305" i="6"/>
  <c r="R306" i="6"/>
  <c r="AC306" i="6"/>
  <c r="AD306" i="6"/>
  <c r="AE306" i="6"/>
  <c r="AF306" i="6"/>
  <c r="AG306" i="6"/>
  <c r="AH306" i="6"/>
  <c r="AI306" i="6"/>
  <c r="R307" i="6"/>
  <c r="AC307" i="6"/>
  <c r="AD307" i="6"/>
  <c r="AE307" i="6"/>
  <c r="AF307" i="6"/>
  <c r="AG307" i="6"/>
  <c r="AH307" i="6"/>
  <c r="AI307" i="6"/>
  <c r="R308" i="6"/>
  <c r="AC308" i="6"/>
  <c r="AD308" i="6"/>
  <c r="AE308" i="6"/>
  <c r="AF308" i="6"/>
  <c r="AG308" i="6"/>
  <c r="AH308" i="6"/>
  <c r="AI308" i="6"/>
  <c r="R309" i="6"/>
  <c r="AI309" i="6" s="1"/>
  <c r="AC309" i="6"/>
  <c r="AD309" i="6"/>
  <c r="AE309" i="6"/>
  <c r="AF309" i="6"/>
  <c r="AG309" i="6"/>
  <c r="AH309" i="6"/>
  <c r="R310" i="6"/>
  <c r="AI310" i="6" s="1"/>
  <c r="AC310" i="6"/>
  <c r="AD310" i="6"/>
  <c r="AE310" i="6"/>
  <c r="AF310" i="6"/>
  <c r="AG310" i="6"/>
  <c r="AH310" i="6"/>
  <c r="R311" i="6"/>
  <c r="AI311" i="6" s="1"/>
  <c r="AC311" i="6"/>
  <c r="AD311" i="6"/>
  <c r="AE311" i="6"/>
  <c r="AF311" i="6"/>
  <c r="AG311" i="6"/>
  <c r="AH311" i="6"/>
  <c r="R312" i="6"/>
  <c r="AI312" i="6" s="1"/>
  <c r="AC312" i="6"/>
  <c r="AD312" i="6"/>
  <c r="AE312" i="6"/>
  <c r="AF312" i="6"/>
  <c r="AG312" i="6"/>
  <c r="AH312" i="6"/>
  <c r="R313" i="6"/>
  <c r="AC313" i="6"/>
  <c r="AD313" i="6"/>
  <c r="AE313" i="6"/>
  <c r="AF313" i="6"/>
  <c r="AG313" i="6"/>
  <c r="AH313" i="6"/>
  <c r="AI313" i="6"/>
  <c r="R314" i="6"/>
  <c r="AC314" i="6"/>
  <c r="AD314" i="6"/>
  <c r="AE314" i="6"/>
  <c r="AF314" i="6"/>
  <c r="AG314" i="6"/>
  <c r="AH314" i="6"/>
  <c r="AI314" i="6"/>
  <c r="R315" i="6"/>
  <c r="AC315" i="6"/>
  <c r="AD315" i="6"/>
  <c r="AE315" i="6"/>
  <c r="AF315" i="6"/>
  <c r="AG315" i="6"/>
  <c r="AH315" i="6"/>
  <c r="AI315" i="6"/>
  <c r="R316" i="6"/>
  <c r="AC316" i="6"/>
  <c r="AD316" i="6"/>
  <c r="AE316" i="6"/>
  <c r="AF316" i="6"/>
  <c r="AG316" i="6"/>
  <c r="AH316" i="6"/>
  <c r="AI316" i="6"/>
  <c r="R317" i="6"/>
  <c r="AI317" i="6" s="1"/>
  <c r="AC317" i="6"/>
  <c r="AD317" i="6"/>
  <c r="AE317" i="6"/>
  <c r="AF317" i="6"/>
  <c r="AG317" i="6"/>
  <c r="AH317" i="6"/>
  <c r="R318" i="6"/>
  <c r="AI318" i="6" s="1"/>
  <c r="AC318" i="6"/>
  <c r="AD318" i="6"/>
  <c r="AE318" i="6"/>
  <c r="AF318" i="6"/>
  <c r="AG318" i="6"/>
  <c r="AH318" i="6"/>
  <c r="R319" i="6"/>
  <c r="AI319" i="6" s="1"/>
  <c r="AC319" i="6"/>
  <c r="AD319" i="6"/>
  <c r="AE319" i="6"/>
  <c r="AF319" i="6"/>
  <c r="AG319" i="6"/>
  <c r="AH319" i="6"/>
  <c r="R320" i="6"/>
  <c r="AC320" i="6"/>
  <c r="AD320" i="6"/>
  <c r="AE320" i="6"/>
  <c r="AF320" i="6"/>
  <c r="AG320" i="6"/>
  <c r="AH320" i="6"/>
  <c r="AI320" i="6"/>
  <c r="R321" i="6"/>
  <c r="AC321" i="6"/>
  <c r="AD321" i="6"/>
  <c r="AE321" i="6"/>
  <c r="AF321" i="6"/>
  <c r="AG321" i="6"/>
  <c r="AH321" i="6"/>
  <c r="AI321" i="6"/>
  <c r="R322" i="6"/>
  <c r="AC322" i="6"/>
  <c r="AD322" i="6"/>
  <c r="AE322" i="6"/>
  <c r="AF322" i="6"/>
  <c r="AG322" i="6"/>
  <c r="AH322" i="6"/>
  <c r="AI322" i="6"/>
  <c r="R323" i="6"/>
  <c r="AC323" i="6"/>
  <c r="AD323" i="6"/>
  <c r="AE323" i="6"/>
  <c r="AF323" i="6"/>
  <c r="AG323" i="6"/>
  <c r="AH323" i="6"/>
  <c r="AI323" i="6"/>
  <c r="R324" i="6"/>
  <c r="AI324" i="6" s="1"/>
  <c r="AC324" i="6"/>
  <c r="AD324" i="6"/>
  <c r="AE324" i="6"/>
  <c r="AF324" i="6"/>
  <c r="AG324" i="6"/>
  <c r="AH324" i="6"/>
  <c r="R325" i="6"/>
  <c r="AI325" i="6" s="1"/>
  <c r="AC325" i="6"/>
  <c r="AD325" i="6"/>
  <c r="AE325" i="6"/>
  <c r="AF325" i="6"/>
  <c r="AG325" i="6"/>
  <c r="AH325" i="6"/>
  <c r="R326" i="6"/>
  <c r="AI326" i="6" s="1"/>
  <c r="AC326" i="6"/>
  <c r="AD326" i="6"/>
  <c r="AE326" i="6"/>
  <c r="AF326" i="6"/>
  <c r="AG326" i="6"/>
  <c r="AH326" i="6"/>
  <c r="R327" i="6"/>
  <c r="AI327" i="6" s="1"/>
  <c r="AC327" i="6"/>
  <c r="AD327" i="6"/>
  <c r="AE327" i="6"/>
  <c r="AF327" i="6"/>
  <c r="AG327" i="6"/>
  <c r="AH327" i="6"/>
  <c r="R328" i="6"/>
  <c r="AC328" i="6"/>
  <c r="AD328" i="6"/>
  <c r="AE328" i="6"/>
  <c r="AF328" i="6"/>
  <c r="AG328" i="6"/>
  <c r="AH328" i="6"/>
  <c r="AI328" i="6"/>
  <c r="R329" i="6"/>
  <c r="AC329" i="6"/>
  <c r="AD329" i="6"/>
  <c r="AE329" i="6"/>
  <c r="AF329" i="6"/>
  <c r="AG329" i="6"/>
  <c r="AH329" i="6"/>
  <c r="AI329" i="6"/>
  <c r="R330" i="6"/>
  <c r="AC330" i="6"/>
  <c r="AD330" i="6"/>
  <c r="AE330" i="6"/>
  <c r="AF330" i="6"/>
  <c r="AG330" i="6"/>
  <c r="AH330" i="6"/>
  <c r="AI330" i="6"/>
  <c r="R331" i="6"/>
  <c r="AC331" i="6"/>
  <c r="AD331" i="6"/>
  <c r="AE331" i="6"/>
  <c r="AF331" i="6"/>
  <c r="AG331" i="6"/>
  <c r="AH331" i="6"/>
  <c r="AI331" i="6"/>
  <c r="R332" i="6"/>
  <c r="AI332" i="6" s="1"/>
  <c r="AC332" i="6"/>
  <c r="AD332" i="6"/>
  <c r="AE332" i="6"/>
  <c r="AF332" i="6"/>
  <c r="AG332" i="6"/>
  <c r="AH332" i="6"/>
  <c r="R333" i="6"/>
  <c r="AI333" i="6" s="1"/>
  <c r="AC333" i="6"/>
  <c r="AD333" i="6"/>
  <c r="AE333" i="6"/>
  <c r="AF333" i="6"/>
  <c r="AG333" i="6"/>
  <c r="AH333" i="6"/>
  <c r="R334" i="6"/>
  <c r="AI334" i="6" s="1"/>
  <c r="AC334" i="6"/>
  <c r="AD334" i="6"/>
  <c r="AE334" i="6"/>
  <c r="AF334" i="6"/>
  <c r="AG334" i="6"/>
  <c r="AH334" i="6"/>
  <c r="R335" i="6"/>
  <c r="AI335" i="6" s="1"/>
  <c r="AC335" i="6"/>
  <c r="AD335" i="6"/>
  <c r="AE335" i="6"/>
  <c r="AF335" i="6"/>
  <c r="AG335" i="6"/>
  <c r="AH335" i="6"/>
  <c r="R336" i="6"/>
  <c r="AC336" i="6"/>
  <c r="AD336" i="6"/>
  <c r="AE336" i="6"/>
  <c r="AF336" i="6"/>
  <c r="AG336" i="6"/>
  <c r="AH336" i="6"/>
  <c r="AI336" i="6"/>
  <c r="R337" i="6"/>
  <c r="AC337" i="6"/>
  <c r="AD337" i="6"/>
  <c r="AE337" i="6"/>
  <c r="AF337" i="6"/>
  <c r="AG337" i="6"/>
  <c r="AH337" i="6"/>
  <c r="AI337" i="6"/>
  <c r="R338" i="6"/>
  <c r="AC338" i="6"/>
  <c r="AD338" i="6"/>
  <c r="AE338" i="6"/>
  <c r="AF338" i="6"/>
  <c r="AG338" i="6"/>
  <c r="AH338" i="6"/>
  <c r="AI338" i="6"/>
  <c r="R339" i="6"/>
  <c r="AC339" i="6"/>
  <c r="AD339" i="6"/>
  <c r="AE339" i="6"/>
  <c r="AF339" i="6"/>
  <c r="AG339" i="6"/>
  <c r="AH339" i="6"/>
  <c r="AI339" i="6"/>
  <c r="R340" i="6"/>
  <c r="AI340" i="6" s="1"/>
  <c r="AC340" i="6"/>
  <c r="AD340" i="6"/>
  <c r="AE340" i="6"/>
  <c r="AF340" i="6"/>
  <c r="AG340" i="6"/>
  <c r="AH340" i="6"/>
  <c r="R341" i="6"/>
  <c r="AI341" i="6" s="1"/>
  <c r="AC341" i="6"/>
  <c r="AD341" i="6"/>
  <c r="AE341" i="6"/>
  <c r="AF341" i="6"/>
  <c r="AG341" i="6"/>
  <c r="AH341" i="6"/>
  <c r="R342" i="6"/>
  <c r="AI342" i="6" s="1"/>
  <c r="AC342" i="6"/>
  <c r="AD342" i="6"/>
  <c r="AE342" i="6"/>
  <c r="AF342" i="6"/>
  <c r="AG342" i="6"/>
  <c r="AH342" i="6"/>
  <c r="R343" i="6"/>
  <c r="AI343" i="6" s="1"/>
  <c r="AC343" i="6"/>
  <c r="AD343" i="6"/>
  <c r="AE343" i="6"/>
  <c r="AF343" i="6"/>
  <c r="AG343" i="6"/>
  <c r="AH343" i="6"/>
  <c r="R344" i="6"/>
  <c r="AC344" i="6"/>
  <c r="AD344" i="6"/>
  <c r="AE344" i="6"/>
  <c r="AF344" i="6"/>
  <c r="AG344" i="6"/>
  <c r="AH344" i="6"/>
  <c r="AI344" i="6"/>
  <c r="R345" i="6"/>
  <c r="AC345" i="6"/>
  <c r="AD345" i="6"/>
  <c r="AE345" i="6"/>
  <c r="AF345" i="6"/>
  <c r="AG345" i="6"/>
  <c r="AH345" i="6"/>
  <c r="AI345" i="6"/>
  <c r="R346" i="6"/>
  <c r="AC346" i="6"/>
  <c r="AD346" i="6"/>
  <c r="AE346" i="6"/>
  <c r="AF346" i="6"/>
  <c r="AG346" i="6"/>
  <c r="AH346" i="6"/>
  <c r="AI346" i="6"/>
  <c r="R347" i="6"/>
  <c r="AC347" i="6"/>
  <c r="AD347" i="6"/>
  <c r="AE347" i="6"/>
  <c r="AF347" i="6"/>
  <c r="AG347" i="6"/>
  <c r="AH347" i="6"/>
  <c r="AI347" i="6"/>
  <c r="R348" i="6"/>
  <c r="AI348" i="6" s="1"/>
  <c r="AC348" i="6"/>
  <c r="AD348" i="6"/>
  <c r="AE348" i="6"/>
  <c r="AF348" i="6"/>
  <c r="AG348" i="6"/>
  <c r="AH348" i="6"/>
  <c r="R349" i="6"/>
  <c r="AI349" i="6" s="1"/>
  <c r="AC349" i="6"/>
  <c r="AD349" i="6"/>
  <c r="AE349" i="6"/>
  <c r="AF349" i="6"/>
  <c r="AG349" i="6"/>
  <c r="AH349" i="6"/>
  <c r="R350" i="6"/>
  <c r="AI350" i="6" s="1"/>
  <c r="AC350" i="6"/>
  <c r="AD350" i="6"/>
  <c r="AE350" i="6"/>
  <c r="AF350" i="6"/>
  <c r="AG350" i="6"/>
  <c r="AH350" i="6"/>
  <c r="R351" i="6"/>
  <c r="AI351" i="6" s="1"/>
  <c r="AC351" i="6"/>
  <c r="AD351" i="6"/>
  <c r="AE351" i="6"/>
  <c r="AF351" i="6"/>
  <c r="AG351" i="6"/>
  <c r="AH351" i="6"/>
  <c r="R352" i="6"/>
  <c r="AC352" i="6"/>
  <c r="AD352" i="6"/>
  <c r="AE352" i="6"/>
  <c r="AF352" i="6"/>
  <c r="AG352" i="6"/>
  <c r="AH352" i="6"/>
  <c r="AI352" i="6"/>
  <c r="R353" i="6"/>
  <c r="AC353" i="6"/>
  <c r="AD353" i="6"/>
  <c r="AE353" i="6"/>
  <c r="AF353" i="6"/>
  <c r="AG353" i="6"/>
  <c r="AH353" i="6"/>
  <c r="AI353" i="6"/>
  <c r="R354" i="6"/>
  <c r="AC354" i="6"/>
  <c r="AD354" i="6"/>
  <c r="AE354" i="6"/>
  <c r="AF354" i="6"/>
  <c r="AG354" i="6"/>
  <c r="AH354" i="6"/>
  <c r="AI354" i="6"/>
  <c r="R355" i="6"/>
  <c r="AC355" i="6"/>
  <c r="AD355" i="6"/>
  <c r="AE355" i="6"/>
  <c r="AF355" i="6"/>
  <c r="AG355" i="6"/>
  <c r="AH355" i="6"/>
  <c r="AI355" i="6"/>
  <c r="R356" i="6"/>
  <c r="AI356" i="6" s="1"/>
  <c r="AC356" i="6"/>
  <c r="AD356" i="6"/>
  <c r="AE356" i="6"/>
  <c r="AF356" i="6"/>
  <c r="AG356" i="6"/>
  <c r="AH356" i="6"/>
  <c r="R357" i="6"/>
  <c r="AI357" i="6" s="1"/>
  <c r="AC357" i="6"/>
  <c r="AD357" i="6"/>
  <c r="AE357" i="6"/>
  <c r="AF357" i="6"/>
  <c r="AG357" i="6"/>
  <c r="AH357" i="6"/>
  <c r="R358" i="6"/>
  <c r="AI358" i="6" s="1"/>
  <c r="AC358" i="6"/>
  <c r="AD358" i="6"/>
  <c r="AE358" i="6"/>
  <c r="AF358" i="6"/>
  <c r="AG358" i="6"/>
  <c r="AH358" i="6"/>
  <c r="R359" i="6"/>
  <c r="AI359" i="6" s="1"/>
  <c r="AC359" i="6"/>
  <c r="AD359" i="6"/>
  <c r="AE359" i="6"/>
  <c r="AF359" i="6"/>
  <c r="AG359" i="6"/>
  <c r="AH359" i="6"/>
  <c r="R360" i="6"/>
  <c r="AC360" i="6"/>
  <c r="AD360" i="6"/>
  <c r="AE360" i="6"/>
  <c r="AF360" i="6"/>
  <c r="AG360" i="6"/>
  <c r="AH360" i="6"/>
  <c r="AI360" i="6"/>
  <c r="R361" i="6"/>
  <c r="AC361" i="6"/>
  <c r="AD361" i="6"/>
  <c r="AE361" i="6"/>
  <c r="AF361" i="6"/>
  <c r="AG361" i="6"/>
  <c r="AH361" i="6"/>
  <c r="AI361" i="6"/>
  <c r="R362" i="6"/>
  <c r="AC362" i="6"/>
  <c r="AD362" i="6"/>
  <c r="AE362" i="6"/>
  <c r="AF362" i="6"/>
  <c r="AG362" i="6"/>
  <c r="AH362" i="6"/>
  <c r="AI362" i="6"/>
  <c r="R363" i="6"/>
  <c r="AC363" i="6"/>
  <c r="AD363" i="6"/>
  <c r="AE363" i="6"/>
  <c r="AF363" i="6"/>
  <c r="AG363" i="6"/>
  <c r="AH363" i="6"/>
  <c r="AI363" i="6"/>
  <c r="R364" i="6"/>
  <c r="AI364" i="6" s="1"/>
  <c r="AC364" i="6"/>
  <c r="AD364" i="6"/>
  <c r="AE364" i="6"/>
  <c r="AF364" i="6"/>
  <c r="AG364" i="6"/>
  <c r="AH364" i="6"/>
  <c r="R365" i="6"/>
  <c r="AI365" i="6" s="1"/>
  <c r="AC365" i="6"/>
  <c r="AD365" i="6"/>
  <c r="AE365" i="6"/>
  <c r="AF365" i="6"/>
  <c r="AG365" i="6"/>
  <c r="AH365" i="6"/>
  <c r="R366" i="6"/>
  <c r="AI366" i="6" s="1"/>
  <c r="AC366" i="6"/>
  <c r="AD366" i="6"/>
  <c r="AE366" i="6"/>
  <c r="AF366" i="6"/>
  <c r="AG366" i="6"/>
  <c r="AH366" i="6"/>
  <c r="R367" i="6"/>
  <c r="AI367" i="6" s="1"/>
  <c r="AC367" i="6"/>
  <c r="AD367" i="6"/>
  <c r="AE367" i="6"/>
  <c r="AF367" i="6"/>
  <c r="AG367" i="6"/>
  <c r="AH367" i="6"/>
  <c r="R368" i="6"/>
  <c r="AC368" i="6"/>
  <c r="AD368" i="6"/>
  <c r="AE368" i="6"/>
  <c r="AF368" i="6"/>
  <c r="AG368" i="6"/>
  <c r="AH368" i="6"/>
  <c r="AI368" i="6"/>
  <c r="R369" i="6"/>
  <c r="AC369" i="6"/>
  <c r="AD369" i="6"/>
  <c r="AE369" i="6"/>
  <c r="AF369" i="6"/>
  <c r="AG369" i="6"/>
  <c r="AH369" i="6"/>
  <c r="AI369" i="6"/>
  <c r="R370" i="6"/>
  <c r="AC370" i="6"/>
  <c r="AD370" i="6"/>
  <c r="AE370" i="6"/>
  <c r="AF370" i="6"/>
  <c r="AG370" i="6"/>
  <c r="AH370" i="6"/>
  <c r="AI370" i="6"/>
  <c r="R371" i="6"/>
  <c r="AC371" i="6"/>
  <c r="AD371" i="6"/>
  <c r="AE371" i="6"/>
  <c r="AF371" i="6"/>
  <c r="AG371" i="6"/>
  <c r="AH371" i="6"/>
  <c r="AI371" i="6"/>
  <c r="R372" i="6"/>
  <c r="AI372" i="6" s="1"/>
  <c r="AC372" i="6"/>
  <c r="AD372" i="6"/>
  <c r="AE372" i="6"/>
  <c r="AF372" i="6"/>
  <c r="AG372" i="6"/>
  <c r="AH372" i="6"/>
  <c r="R373" i="6"/>
  <c r="AI373" i="6" s="1"/>
  <c r="AC373" i="6"/>
  <c r="AD373" i="6"/>
  <c r="AE373" i="6"/>
  <c r="AF373" i="6"/>
  <c r="AG373" i="6"/>
  <c r="AH373" i="6"/>
  <c r="R374" i="6"/>
  <c r="AI374" i="6" s="1"/>
  <c r="AC374" i="6"/>
  <c r="AD374" i="6"/>
  <c r="AE374" i="6"/>
  <c r="AF374" i="6"/>
  <c r="AG374" i="6"/>
  <c r="AH374" i="6"/>
  <c r="R375" i="6"/>
  <c r="AI375" i="6" s="1"/>
  <c r="AC375" i="6"/>
  <c r="AD375" i="6"/>
  <c r="AE375" i="6"/>
  <c r="AF375" i="6"/>
  <c r="AG375" i="6"/>
  <c r="AH375" i="6"/>
  <c r="R376" i="6"/>
  <c r="AC376" i="6"/>
  <c r="AD376" i="6"/>
  <c r="AE376" i="6"/>
  <c r="AF376" i="6"/>
  <c r="AG376" i="6"/>
  <c r="AH376" i="6"/>
  <c r="AI376" i="6"/>
  <c r="R377" i="6"/>
  <c r="AC377" i="6"/>
  <c r="AD377" i="6"/>
  <c r="AE377" i="6"/>
  <c r="AF377" i="6"/>
  <c r="AG377" i="6"/>
  <c r="AH377" i="6"/>
  <c r="AI377" i="6"/>
  <c r="R378" i="6"/>
  <c r="AC378" i="6"/>
  <c r="AD378" i="6"/>
  <c r="AE378" i="6"/>
  <c r="AF378" i="6"/>
  <c r="AG378" i="6"/>
  <c r="AH378" i="6"/>
  <c r="AI378" i="6"/>
  <c r="R379" i="6"/>
  <c r="AC379" i="6"/>
  <c r="AD379" i="6"/>
  <c r="AE379" i="6"/>
  <c r="AF379" i="6"/>
  <c r="AG379" i="6"/>
  <c r="AH379" i="6"/>
  <c r="AI379" i="6"/>
  <c r="R380" i="6"/>
  <c r="AI380" i="6" s="1"/>
  <c r="AC380" i="6"/>
  <c r="AD380" i="6"/>
  <c r="AE380" i="6"/>
  <c r="AF380" i="6"/>
  <c r="AG380" i="6"/>
  <c r="AH380" i="6"/>
  <c r="R381" i="6"/>
  <c r="AI381" i="6" s="1"/>
  <c r="AC381" i="6"/>
  <c r="AD381" i="6"/>
  <c r="AE381" i="6"/>
  <c r="AF381" i="6"/>
  <c r="AG381" i="6"/>
  <c r="AH381" i="6"/>
  <c r="R382" i="6"/>
  <c r="AI382" i="6" s="1"/>
  <c r="AC382" i="6"/>
  <c r="AD382" i="6"/>
  <c r="AE382" i="6"/>
  <c r="AF382" i="6"/>
  <c r="AG382" i="6"/>
  <c r="AH382" i="6"/>
  <c r="R383" i="6"/>
  <c r="AI383" i="6" s="1"/>
  <c r="AC383" i="6"/>
  <c r="AD383" i="6"/>
  <c r="AE383" i="6"/>
  <c r="AF383" i="6"/>
  <c r="AG383" i="6"/>
  <c r="AH383" i="6"/>
  <c r="R384" i="6"/>
  <c r="AC384" i="6"/>
  <c r="AD384" i="6"/>
  <c r="AE384" i="6"/>
  <c r="AF384" i="6"/>
  <c r="AG384" i="6"/>
  <c r="AH384" i="6"/>
  <c r="AI384" i="6"/>
  <c r="R385" i="6"/>
  <c r="AC385" i="6"/>
  <c r="AD385" i="6"/>
  <c r="AE385" i="6"/>
  <c r="AF385" i="6"/>
  <c r="AG385" i="6"/>
  <c r="AH385" i="6"/>
  <c r="AI385" i="6"/>
  <c r="R386" i="6"/>
  <c r="AC386" i="6"/>
  <c r="AD386" i="6"/>
  <c r="AE386" i="6"/>
  <c r="AF386" i="6"/>
  <c r="AG386" i="6"/>
  <c r="AH386" i="6"/>
  <c r="AI386" i="6"/>
  <c r="R387" i="6"/>
  <c r="AC387" i="6"/>
  <c r="AD387" i="6"/>
  <c r="AE387" i="6"/>
  <c r="AF387" i="6"/>
  <c r="AG387" i="6"/>
  <c r="AH387" i="6"/>
  <c r="AI387" i="6"/>
  <c r="R388" i="6"/>
  <c r="AI388" i="6" s="1"/>
  <c r="AC388" i="6"/>
  <c r="AD388" i="6"/>
  <c r="AE388" i="6"/>
  <c r="AF388" i="6"/>
  <c r="AG388" i="6"/>
  <c r="AH388" i="6"/>
  <c r="R389" i="6"/>
  <c r="AC389" i="6"/>
  <c r="AD389" i="6"/>
  <c r="AE389" i="6"/>
  <c r="AF389" i="6"/>
  <c r="AG389" i="6"/>
  <c r="AH389" i="6"/>
  <c r="AI389" i="6"/>
  <c r="R390" i="6"/>
  <c r="AI390" i="6" s="1"/>
  <c r="AC390" i="6"/>
  <c r="AD390" i="6"/>
  <c r="AE390" i="6"/>
  <c r="AF390" i="6"/>
  <c r="AG390" i="6"/>
  <c r="AH390" i="6"/>
  <c r="R391" i="6"/>
  <c r="AI391" i="6" s="1"/>
  <c r="AC391" i="6"/>
  <c r="AD391" i="6"/>
  <c r="AE391" i="6"/>
  <c r="AF391" i="6"/>
  <c r="AG391" i="6"/>
  <c r="AH391" i="6"/>
  <c r="R392" i="6"/>
  <c r="AC392" i="6"/>
  <c r="AD392" i="6"/>
  <c r="AE392" i="6"/>
  <c r="AF392" i="6"/>
  <c r="AG392" i="6"/>
  <c r="AH392" i="6"/>
  <c r="AI392" i="6"/>
  <c r="R393" i="6"/>
  <c r="AC393" i="6"/>
  <c r="AD393" i="6"/>
  <c r="AE393" i="6"/>
  <c r="AF393" i="6"/>
  <c r="AG393" i="6"/>
  <c r="AH393" i="6"/>
  <c r="AI393" i="6"/>
  <c r="R394" i="6"/>
  <c r="AC394" i="6"/>
  <c r="AD394" i="6"/>
  <c r="AE394" i="6"/>
  <c r="AF394" i="6"/>
  <c r="AG394" i="6"/>
  <c r="AH394" i="6"/>
  <c r="AI394" i="6"/>
  <c r="R395" i="6"/>
  <c r="AC395" i="6"/>
  <c r="AD395" i="6"/>
  <c r="AE395" i="6"/>
  <c r="AF395" i="6"/>
  <c r="AG395" i="6"/>
  <c r="AH395" i="6"/>
  <c r="AI395" i="6"/>
  <c r="R396" i="6"/>
  <c r="AI396" i="6" s="1"/>
  <c r="AC396" i="6"/>
  <c r="AD396" i="6"/>
  <c r="AE396" i="6"/>
  <c r="AF396" i="6"/>
  <c r="AG396" i="6"/>
  <c r="AH396" i="6"/>
  <c r="R397" i="6"/>
  <c r="AI397" i="6" s="1"/>
  <c r="AC397" i="6"/>
  <c r="AD397" i="6"/>
  <c r="AE397" i="6"/>
  <c r="AF397" i="6"/>
  <c r="AG397" i="6"/>
  <c r="AH397" i="6"/>
  <c r="R398" i="6"/>
  <c r="AI398" i="6" s="1"/>
  <c r="AC398" i="6"/>
  <c r="AD398" i="6"/>
  <c r="AE398" i="6"/>
  <c r="AF398" i="6"/>
  <c r="AG398" i="6"/>
  <c r="AH398" i="6"/>
  <c r="R399" i="6"/>
  <c r="AI399" i="6" s="1"/>
  <c r="AC399" i="6"/>
  <c r="AD399" i="6"/>
  <c r="AE399" i="6"/>
  <c r="AF399" i="6"/>
  <c r="AG399" i="6"/>
  <c r="AH399" i="6"/>
  <c r="R400" i="6"/>
  <c r="AC400" i="6"/>
  <c r="AD400" i="6"/>
  <c r="AE400" i="6"/>
  <c r="AF400" i="6"/>
  <c r="AG400" i="6"/>
  <c r="AH400" i="6"/>
  <c r="AI400" i="6"/>
  <c r="R401" i="6"/>
  <c r="AC401" i="6"/>
  <c r="AD401" i="6"/>
  <c r="AE401" i="6"/>
  <c r="AF401" i="6"/>
  <c r="AG401" i="6"/>
  <c r="AH401" i="6"/>
  <c r="AI401" i="6"/>
  <c r="R402" i="6"/>
  <c r="AC402" i="6"/>
  <c r="AD402" i="6"/>
  <c r="AE402" i="6"/>
  <c r="AF402" i="6"/>
  <c r="AG402" i="6"/>
  <c r="AH402" i="6"/>
  <c r="AI402" i="6"/>
  <c r="R403" i="6"/>
  <c r="AC403" i="6"/>
  <c r="AD403" i="6"/>
  <c r="AE403" i="6"/>
  <c r="AF403" i="6"/>
  <c r="AG403" i="6"/>
  <c r="AH403" i="6"/>
  <c r="AI403" i="6"/>
  <c r="R404" i="6"/>
  <c r="AI404" i="6" s="1"/>
  <c r="AC404" i="6"/>
  <c r="AD404" i="6"/>
  <c r="AE404" i="6"/>
  <c r="AF404" i="6"/>
  <c r="AG404" i="6"/>
  <c r="AH404" i="6"/>
  <c r="R405" i="6"/>
  <c r="AI405" i="6" s="1"/>
  <c r="AC405" i="6"/>
  <c r="AD405" i="6"/>
  <c r="AE405" i="6"/>
  <c r="AF405" i="6"/>
  <c r="AG405" i="6"/>
  <c r="AH405" i="6"/>
  <c r="R406" i="6"/>
  <c r="AI406" i="6" s="1"/>
  <c r="AC406" i="6"/>
  <c r="AD406" i="6"/>
  <c r="AE406" i="6"/>
  <c r="AF406" i="6"/>
  <c r="AG406" i="6"/>
  <c r="AH406" i="6"/>
  <c r="R407" i="6"/>
  <c r="AI407" i="6" s="1"/>
  <c r="AC407" i="6"/>
  <c r="AD407" i="6"/>
  <c r="AE407" i="6"/>
  <c r="AF407" i="6"/>
  <c r="AG407" i="6"/>
  <c r="AH407" i="6"/>
  <c r="R408" i="6"/>
  <c r="AC408" i="6"/>
  <c r="AD408" i="6"/>
  <c r="AE408" i="6"/>
  <c r="AF408" i="6"/>
  <c r="AG408" i="6"/>
  <c r="AH408" i="6"/>
  <c r="AI408" i="6"/>
  <c r="R409" i="6"/>
  <c r="AC409" i="6"/>
  <c r="AD409" i="6"/>
  <c r="AE409" i="6"/>
  <c r="AF409" i="6"/>
  <c r="AG409" i="6"/>
  <c r="AH409" i="6"/>
  <c r="AI409" i="6"/>
  <c r="R410" i="6"/>
  <c r="AC410" i="6"/>
  <c r="AD410" i="6"/>
  <c r="AE410" i="6"/>
  <c r="AF410" i="6"/>
  <c r="AG410" i="6"/>
  <c r="AH410" i="6"/>
  <c r="AI410" i="6"/>
  <c r="R411" i="6"/>
  <c r="AC411" i="6"/>
  <c r="AD411" i="6"/>
  <c r="AE411" i="6"/>
  <c r="AF411" i="6"/>
  <c r="AG411" i="6"/>
  <c r="AH411" i="6"/>
  <c r="AI411" i="6"/>
  <c r="R412" i="6"/>
  <c r="AI412" i="6" s="1"/>
  <c r="AC412" i="6"/>
  <c r="AD412" i="6"/>
  <c r="AE412" i="6"/>
  <c r="AF412" i="6"/>
  <c r="AG412" i="6"/>
  <c r="AH412" i="6"/>
  <c r="R413" i="6"/>
  <c r="AI413" i="6" s="1"/>
  <c r="AC413" i="6"/>
  <c r="AD413" i="6"/>
  <c r="AE413" i="6"/>
  <c r="AF413" i="6"/>
  <c r="AG413" i="6"/>
  <c r="AH413" i="6"/>
  <c r="R414" i="6"/>
  <c r="AI414" i="6" s="1"/>
  <c r="AC414" i="6"/>
  <c r="AD414" i="6"/>
  <c r="AE414" i="6"/>
  <c r="AF414" i="6"/>
  <c r="AG414" i="6"/>
  <c r="AH414" i="6"/>
  <c r="R415" i="6"/>
  <c r="AI415" i="6" s="1"/>
  <c r="AC415" i="6"/>
  <c r="AD415" i="6"/>
  <c r="AE415" i="6"/>
  <c r="AF415" i="6"/>
  <c r="AG415" i="6"/>
  <c r="AH415" i="6"/>
  <c r="R416" i="6"/>
  <c r="AC416" i="6"/>
  <c r="AD416" i="6"/>
  <c r="AE416" i="6"/>
  <c r="AF416" i="6"/>
  <c r="AG416" i="6"/>
  <c r="AH416" i="6"/>
  <c r="AI416" i="6"/>
  <c r="R417" i="6"/>
  <c r="AC417" i="6"/>
  <c r="AD417" i="6"/>
  <c r="AE417" i="6"/>
  <c r="AF417" i="6"/>
  <c r="AG417" i="6"/>
  <c r="AH417" i="6"/>
  <c r="AI417" i="6"/>
  <c r="R418" i="6"/>
  <c r="AC418" i="6"/>
  <c r="AD418" i="6"/>
  <c r="AE418" i="6"/>
  <c r="AF418" i="6"/>
  <c r="AG418" i="6"/>
  <c r="AH418" i="6"/>
  <c r="AI418" i="6"/>
  <c r="R419" i="6"/>
  <c r="AC419" i="6"/>
  <c r="AD419" i="6"/>
  <c r="AE419" i="6"/>
  <c r="AF419" i="6"/>
  <c r="AG419" i="6"/>
  <c r="AH419" i="6"/>
  <c r="AI419" i="6"/>
  <c r="R420" i="6"/>
  <c r="AI420" i="6" s="1"/>
  <c r="AC420" i="6"/>
  <c r="AD420" i="6"/>
  <c r="AE420" i="6"/>
  <c r="AF420" i="6"/>
  <c r="AG420" i="6"/>
  <c r="AH420" i="6"/>
  <c r="R421" i="6"/>
  <c r="AI421" i="6" s="1"/>
  <c r="AC421" i="6"/>
  <c r="AD421" i="6"/>
  <c r="AE421" i="6"/>
  <c r="AF421" i="6"/>
  <c r="AG421" i="6"/>
  <c r="AH421" i="6"/>
  <c r="R422" i="6"/>
  <c r="AI422" i="6" s="1"/>
  <c r="AC422" i="6"/>
  <c r="AD422" i="6"/>
  <c r="AE422" i="6"/>
  <c r="AF422" i="6"/>
  <c r="AG422" i="6"/>
  <c r="AH422" i="6"/>
  <c r="R423" i="6"/>
  <c r="AI423" i="6" s="1"/>
  <c r="AC423" i="6"/>
  <c r="AD423" i="6"/>
  <c r="AE423" i="6"/>
  <c r="AF423" i="6"/>
  <c r="AG423" i="6"/>
  <c r="AH423" i="6"/>
  <c r="R424" i="6"/>
  <c r="AC424" i="6"/>
  <c r="AD424" i="6"/>
  <c r="AE424" i="6"/>
  <c r="AF424" i="6"/>
  <c r="AG424" i="6"/>
  <c r="AH424" i="6"/>
  <c r="AI424" i="6"/>
  <c r="R425" i="6"/>
  <c r="AC425" i="6"/>
  <c r="AD425" i="6"/>
  <c r="AE425" i="6"/>
  <c r="AF425" i="6"/>
  <c r="AG425" i="6"/>
  <c r="AH425" i="6"/>
  <c r="AI425" i="6"/>
  <c r="R426" i="6"/>
  <c r="AC426" i="6"/>
  <c r="AD426" i="6"/>
  <c r="AE426" i="6"/>
  <c r="AF426" i="6"/>
  <c r="AG426" i="6"/>
  <c r="AH426" i="6"/>
  <c r="AI426" i="6"/>
  <c r="R427" i="6"/>
  <c r="AC427" i="6"/>
  <c r="AD427" i="6"/>
  <c r="AE427" i="6"/>
  <c r="AF427" i="6"/>
  <c r="AG427" i="6"/>
  <c r="AH427" i="6"/>
  <c r="AI427" i="6"/>
  <c r="R428" i="6"/>
  <c r="AI428" i="6" s="1"/>
  <c r="AC428" i="6"/>
  <c r="AD428" i="6"/>
  <c r="AE428" i="6"/>
  <c r="AF428" i="6"/>
  <c r="AG428" i="6"/>
  <c r="AH428" i="6"/>
  <c r="R429" i="6"/>
  <c r="AI429" i="6" s="1"/>
  <c r="AC429" i="6"/>
  <c r="AD429" i="6"/>
  <c r="AE429" i="6"/>
  <c r="AF429" i="6"/>
  <c r="AG429" i="6"/>
  <c r="AH429" i="6"/>
  <c r="R430" i="6"/>
  <c r="AI430" i="6" s="1"/>
  <c r="AC430" i="6"/>
  <c r="AD430" i="6"/>
  <c r="AE430" i="6"/>
  <c r="AF430" i="6"/>
  <c r="AG430" i="6"/>
  <c r="AH430" i="6"/>
  <c r="R431" i="6"/>
  <c r="AI431" i="6" s="1"/>
  <c r="AC431" i="6"/>
  <c r="AD431" i="6"/>
  <c r="AE431" i="6"/>
  <c r="AF431" i="6"/>
  <c r="AG431" i="6"/>
  <c r="AH431" i="6"/>
  <c r="R432" i="6"/>
  <c r="AC432" i="6"/>
  <c r="AD432" i="6"/>
  <c r="AE432" i="6"/>
  <c r="AF432" i="6"/>
  <c r="AG432" i="6"/>
  <c r="AH432" i="6"/>
  <c r="AI432" i="6"/>
  <c r="R433" i="6"/>
  <c r="AC433" i="6"/>
  <c r="AD433" i="6"/>
  <c r="AE433" i="6"/>
  <c r="AF433" i="6"/>
  <c r="AG433" i="6"/>
  <c r="AH433" i="6"/>
  <c r="AI433" i="6"/>
  <c r="R434" i="6"/>
  <c r="AC434" i="6"/>
  <c r="AD434" i="6"/>
  <c r="AE434" i="6"/>
  <c r="AF434" i="6"/>
  <c r="AG434" i="6"/>
  <c r="AH434" i="6"/>
  <c r="AI434" i="6"/>
  <c r="R435" i="6"/>
  <c r="AC435" i="6"/>
  <c r="AD435" i="6"/>
  <c r="AE435" i="6"/>
  <c r="AF435" i="6"/>
  <c r="AG435" i="6"/>
  <c r="AH435" i="6"/>
  <c r="AI435" i="6"/>
  <c r="R436" i="6"/>
  <c r="AI436" i="6" s="1"/>
  <c r="AC436" i="6"/>
  <c r="AD436" i="6"/>
  <c r="AE436" i="6"/>
  <c r="AF436" i="6"/>
  <c r="AG436" i="6"/>
  <c r="AH436" i="6"/>
  <c r="R437" i="6"/>
  <c r="AI437" i="6" s="1"/>
  <c r="AC437" i="6"/>
  <c r="AD437" i="6"/>
  <c r="AE437" i="6"/>
  <c r="AF437" i="6"/>
  <c r="AG437" i="6"/>
  <c r="AH437" i="6"/>
  <c r="R438" i="6"/>
  <c r="AI438" i="6" s="1"/>
  <c r="AC438" i="6"/>
  <c r="AD438" i="6"/>
  <c r="AE438" i="6"/>
  <c r="AF438" i="6"/>
  <c r="AG438" i="6"/>
  <c r="AH438" i="6"/>
  <c r="R439" i="6"/>
  <c r="AI439" i="6" s="1"/>
  <c r="AC439" i="6"/>
  <c r="AD439" i="6"/>
  <c r="AE439" i="6"/>
  <c r="AF439" i="6"/>
  <c r="AG439" i="6"/>
  <c r="AH439" i="6"/>
  <c r="R440" i="6"/>
  <c r="AC440" i="6"/>
  <c r="AD440" i="6"/>
  <c r="AE440" i="6"/>
  <c r="AF440" i="6"/>
  <c r="AG440" i="6"/>
  <c r="AH440" i="6"/>
  <c r="AI440" i="6"/>
  <c r="R441" i="6"/>
  <c r="AC441" i="6"/>
  <c r="AD441" i="6"/>
  <c r="AE441" i="6"/>
  <c r="AF441" i="6"/>
  <c r="AG441" i="6"/>
  <c r="AH441" i="6"/>
  <c r="AI441" i="6"/>
  <c r="R442" i="6"/>
  <c r="AC442" i="6"/>
  <c r="AD442" i="6"/>
  <c r="AE442" i="6"/>
  <c r="AF442" i="6"/>
  <c r="AG442" i="6"/>
  <c r="AH442" i="6"/>
  <c r="AI442" i="6"/>
  <c r="R443" i="6"/>
  <c r="AC443" i="6"/>
  <c r="AD443" i="6"/>
  <c r="AE443" i="6"/>
  <c r="AF443" i="6"/>
  <c r="AG443" i="6"/>
  <c r="AH443" i="6"/>
  <c r="AI443" i="6"/>
  <c r="R444" i="6"/>
  <c r="AI444" i="6" s="1"/>
  <c r="AC444" i="6"/>
  <c r="AD444" i="6"/>
  <c r="AE444" i="6"/>
  <c r="AF444" i="6"/>
  <c r="AG444" i="6"/>
  <c r="AH444" i="6"/>
  <c r="R445" i="6"/>
  <c r="AI445" i="6" s="1"/>
  <c r="AC445" i="6"/>
  <c r="AD445" i="6"/>
  <c r="AE445" i="6"/>
  <c r="AF445" i="6"/>
  <c r="AG445" i="6"/>
  <c r="AH445" i="6"/>
  <c r="R446" i="6"/>
  <c r="AI446" i="6" s="1"/>
  <c r="AC446" i="6"/>
  <c r="AD446" i="6"/>
  <c r="AE446" i="6"/>
  <c r="AF446" i="6"/>
  <c r="AG446" i="6"/>
  <c r="AH446" i="6"/>
  <c r="R447" i="6"/>
  <c r="AI447" i="6" s="1"/>
  <c r="AC447" i="6"/>
  <c r="AD447" i="6"/>
  <c r="AE447" i="6"/>
  <c r="AF447" i="6"/>
  <c r="AG447" i="6"/>
  <c r="AH447" i="6"/>
  <c r="R448" i="6"/>
  <c r="AC448" i="6"/>
  <c r="AD448" i="6"/>
  <c r="AE448" i="6"/>
  <c r="AF448" i="6"/>
  <c r="AG448" i="6"/>
  <c r="AH448" i="6"/>
  <c r="AI448" i="6"/>
  <c r="R449" i="6"/>
  <c r="AC449" i="6"/>
  <c r="AD449" i="6"/>
  <c r="AE449" i="6"/>
  <c r="AF449" i="6"/>
  <c r="AG449" i="6"/>
  <c r="AH449" i="6"/>
  <c r="AI449" i="6"/>
  <c r="R450" i="6"/>
  <c r="AC450" i="6"/>
  <c r="AD450" i="6"/>
  <c r="AE450" i="6"/>
  <c r="AF450" i="6"/>
  <c r="AG450" i="6"/>
  <c r="AH450" i="6"/>
  <c r="AI450" i="6"/>
  <c r="R451" i="6"/>
  <c r="AC451" i="6"/>
  <c r="AD451" i="6"/>
  <c r="AE451" i="6"/>
  <c r="AF451" i="6"/>
  <c r="AG451" i="6"/>
  <c r="AH451" i="6"/>
  <c r="AI451" i="6"/>
  <c r="R452" i="6"/>
  <c r="AI452" i="6" s="1"/>
  <c r="AC452" i="6"/>
  <c r="AD452" i="6"/>
  <c r="AE452" i="6"/>
  <c r="AF452" i="6"/>
  <c r="AG452" i="6"/>
  <c r="AH452" i="6"/>
  <c r="R453" i="6"/>
  <c r="AI453" i="6" s="1"/>
  <c r="AC453" i="6"/>
  <c r="AD453" i="6"/>
  <c r="AE453" i="6"/>
  <c r="AF453" i="6"/>
  <c r="AG453" i="6"/>
  <c r="AH453" i="6"/>
  <c r="R454" i="6"/>
  <c r="AI454" i="6" s="1"/>
  <c r="AC454" i="6"/>
  <c r="AD454" i="6"/>
  <c r="AE454" i="6"/>
  <c r="AF454" i="6"/>
  <c r="AG454" i="6"/>
  <c r="AH454" i="6"/>
  <c r="R455" i="6"/>
  <c r="AI455" i="6" s="1"/>
  <c r="AC455" i="6"/>
  <c r="AD455" i="6"/>
  <c r="AE455" i="6"/>
  <c r="AF455" i="6"/>
  <c r="AG455" i="6"/>
  <c r="AH455" i="6"/>
  <c r="R456" i="6"/>
  <c r="AC456" i="6"/>
  <c r="AD456" i="6"/>
  <c r="AE456" i="6"/>
  <c r="AF456" i="6"/>
  <c r="AG456" i="6"/>
  <c r="AH456" i="6"/>
  <c r="AI456" i="6"/>
  <c r="R457" i="6"/>
  <c r="AC457" i="6"/>
  <c r="AD457" i="6"/>
  <c r="AE457" i="6"/>
  <c r="AF457" i="6"/>
  <c r="AG457" i="6"/>
  <c r="AH457" i="6"/>
  <c r="AI457" i="6"/>
  <c r="R458" i="6"/>
  <c r="AC458" i="6"/>
  <c r="AD458" i="6"/>
  <c r="AE458" i="6"/>
  <c r="AF458" i="6"/>
  <c r="AG458" i="6"/>
  <c r="AH458" i="6"/>
  <c r="AI458" i="6"/>
  <c r="R459" i="6"/>
  <c r="AC459" i="6"/>
  <c r="AD459" i="6"/>
  <c r="AE459" i="6"/>
  <c r="AF459" i="6"/>
  <c r="AG459" i="6"/>
  <c r="AH459" i="6"/>
  <c r="AI459" i="6"/>
  <c r="R460" i="6"/>
  <c r="AI460" i="6" s="1"/>
  <c r="AC460" i="6"/>
  <c r="AD460" i="6"/>
  <c r="AE460" i="6"/>
  <c r="AF460" i="6"/>
  <c r="AG460" i="6"/>
  <c r="AH460" i="6"/>
  <c r="R461" i="6"/>
  <c r="AI461" i="6" s="1"/>
  <c r="AC461" i="6"/>
  <c r="AD461" i="6"/>
  <c r="AE461" i="6"/>
  <c r="AF461" i="6"/>
  <c r="AG461" i="6"/>
  <c r="AH461" i="6"/>
  <c r="R462" i="6"/>
  <c r="AI462" i="6" s="1"/>
  <c r="AC462" i="6"/>
  <c r="AD462" i="6"/>
  <c r="AE462" i="6"/>
  <c r="AF462" i="6"/>
  <c r="AG462" i="6"/>
  <c r="AH462" i="6"/>
  <c r="R463" i="6"/>
  <c r="AI463" i="6" s="1"/>
  <c r="AC463" i="6"/>
  <c r="AD463" i="6"/>
  <c r="AE463" i="6"/>
  <c r="AF463" i="6"/>
  <c r="AG463" i="6"/>
  <c r="AH463" i="6"/>
  <c r="R464" i="6"/>
  <c r="AC464" i="6"/>
  <c r="AD464" i="6"/>
  <c r="AE464" i="6"/>
  <c r="AF464" i="6"/>
  <c r="AG464" i="6"/>
  <c r="AH464" i="6"/>
  <c r="AI464" i="6"/>
  <c r="R465" i="6"/>
  <c r="AC465" i="6"/>
  <c r="AD465" i="6"/>
  <c r="AE465" i="6"/>
  <c r="AF465" i="6"/>
  <c r="AG465" i="6"/>
  <c r="AH465" i="6"/>
  <c r="AI465" i="6"/>
  <c r="R466" i="6"/>
  <c r="AC466" i="6"/>
  <c r="AD466" i="6"/>
  <c r="AE466" i="6"/>
  <c r="AF466" i="6"/>
  <c r="AG466" i="6"/>
  <c r="AH466" i="6"/>
  <c r="AI466" i="6"/>
  <c r="R467" i="6"/>
  <c r="AC467" i="6"/>
  <c r="AD467" i="6"/>
  <c r="AE467" i="6"/>
  <c r="AF467" i="6"/>
  <c r="AG467" i="6"/>
  <c r="AH467" i="6"/>
  <c r="AI467" i="6"/>
  <c r="R468" i="6"/>
  <c r="AI468" i="6" s="1"/>
  <c r="AC468" i="6"/>
  <c r="AD468" i="6"/>
  <c r="AE468" i="6"/>
  <c r="AF468" i="6"/>
  <c r="AG468" i="6"/>
  <c r="AH468" i="6"/>
  <c r="R469" i="6"/>
  <c r="AI469" i="6" s="1"/>
  <c r="AC469" i="6"/>
  <c r="AD469" i="6"/>
  <c r="AE469" i="6"/>
  <c r="AF469" i="6"/>
  <c r="AG469" i="6"/>
  <c r="AH469" i="6"/>
  <c r="R470" i="6"/>
  <c r="AI470" i="6" s="1"/>
  <c r="AC470" i="6"/>
  <c r="AD470" i="6"/>
  <c r="AE470" i="6"/>
  <c r="AF470" i="6"/>
  <c r="AG470" i="6"/>
  <c r="AH470" i="6"/>
  <c r="R471" i="6"/>
  <c r="AI471" i="6" s="1"/>
  <c r="AC471" i="6"/>
  <c r="AD471" i="6"/>
  <c r="AE471" i="6"/>
  <c r="AF471" i="6"/>
  <c r="AG471" i="6"/>
  <c r="AH471" i="6"/>
  <c r="R472" i="6"/>
  <c r="AC472" i="6"/>
  <c r="AD472" i="6"/>
  <c r="AE472" i="6"/>
  <c r="AF472" i="6"/>
  <c r="AG472" i="6"/>
  <c r="AH472" i="6"/>
  <c r="AI472" i="6"/>
  <c r="R473" i="6"/>
  <c r="AC473" i="6"/>
  <c r="AD473" i="6"/>
  <c r="AE473" i="6"/>
  <c r="AF473" i="6"/>
  <c r="AG473" i="6"/>
  <c r="AH473" i="6"/>
  <c r="AI473" i="6"/>
  <c r="R474" i="6"/>
  <c r="AC474" i="6"/>
  <c r="AD474" i="6"/>
  <c r="AE474" i="6"/>
  <c r="AF474" i="6"/>
  <c r="AG474" i="6"/>
  <c r="AH474" i="6"/>
  <c r="AI474" i="6"/>
  <c r="R475" i="6"/>
  <c r="AC475" i="6"/>
  <c r="AD475" i="6"/>
  <c r="AE475" i="6"/>
  <c r="AF475" i="6"/>
  <c r="AG475" i="6"/>
  <c r="AH475" i="6"/>
  <c r="AI475" i="6"/>
  <c r="R476" i="6"/>
  <c r="AI476" i="6" s="1"/>
  <c r="AC476" i="6"/>
  <c r="AD476" i="6"/>
  <c r="AE476" i="6"/>
  <c r="AF476" i="6"/>
  <c r="AG476" i="6"/>
  <c r="AH476" i="6"/>
  <c r="R477" i="6"/>
  <c r="AI477" i="6" s="1"/>
  <c r="AC477" i="6"/>
  <c r="AD477" i="6"/>
  <c r="AE477" i="6"/>
  <c r="AF477" i="6"/>
  <c r="AG477" i="6"/>
  <c r="AH477" i="6"/>
  <c r="R478" i="6"/>
  <c r="AI478" i="6" s="1"/>
  <c r="AC478" i="6"/>
  <c r="AD478" i="6"/>
  <c r="AE478" i="6"/>
  <c r="AF478" i="6"/>
  <c r="AG478" i="6"/>
  <c r="AH478" i="6"/>
  <c r="R479" i="6"/>
  <c r="AI479" i="6" s="1"/>
  <c r="AC479" i="6"/>
  <c r="AD479" i="6"/>
  <c r="AE479" i="6"/>
  <c r="AF479" i="6"/>
  <c r="AG479" i="6"/>
  <c r="AH479" i="6"/>
  <c r="R480" i="6"/>
  <c r="AC480" i="6"/>
  <c r="AD480" i="6"/>
  <c r="AE480" i="6"/>
  <c r="AF480" i="6"/>
  <c r="AG480" i="6"/>
  <c r="AH480" i="6"/>
  <c r="AI480" i="6"/>
  <c r="R481" i="6"/>
  <c r="AC481" i="6"/>
  <c r="AD481" i="6"/>
  <c r="AE481" i="6"/>
  <c r="AF481" i="6"/>
  <c r="AG481" i="6"/>
  <c r="AH481" i="6"/>
  <c r="AI481" i="6"/>
  <c r="R482" i="6"/>
  <c r="AC482" i="6"/>
  <c r="AD482" i="6"/>
  <c r="AE482" i="6"/>
  <c r="AF482" i="6"/>
  <c r="AG482" i="6"/>
  <c r="AH482" i="6"/>
  <c r="AI482" i="6"/>
  <c r="R483" i="6"/>
  <c r="AC483" i="6"/>
  <c r="AD483" i="6"/>
  <c r="AE483" i="6"/>
  <c r="AF483" i="6"/>
  <c r="AG483" i="6"/>
  <c r="AH483" i="6"/>
  <c r="AI483" i="6"/>
  <c r="R484" i="6"/>
  <c r="AI484" i="6" s="1"/>
  <c r="AC484" i="6"/>
  <c r="AD484" i="6"/>
  <c r="AE484" i="6"/>
  <c r="AF484" i="6"/>
  <c r="AG484" i="6"/>
  <c r="AH484" i="6"/>
  <c r="R485" i="6"/>
  <c r="AI485" i="6" s="1"/>
  <c r="AC485" i="6"/>
  <c r="AD485" i="6"/>
  <c r="AE485" i="6"/>
  <c r="AF485" i="6"/>
  <c r="AG485" i="6"/>
  <c r="AH485" i="6"/>
  <c r="R486" i="6"/>
  <c r="AI486" i="6" s="1"/>
  <c r="AC486" i="6"/>
  <c r="AD486" i="6"/>
  <c r="AE486" i="6"/>
  <c r="AF486" i="6"/>
  <c r="AG486" i="6"/>
  <c r="AH486" i="6"/>
  <c r="R487" i="6"/>
  <c r="AI487" i="6" s="1"/>
  <c r="AC487" i="6"/>
  <c r="AD487" i="6"/>
  <c r="AE487" i="6"/>
  <c r="AF487" i="6"/>
  <c r="AG487" i="6"/>
  <c r="AH487" i="6"/>
  <c r="R488" i="6"/>
  <c r="AC488" i="6"/>
  <c r="AD488" i="6"/>
  <c r="AE488" i="6"/>
  <c r="AF488" i="6"/>
  <c r="AG488" i="6"/>
  <c r="AH488" i="6"/>
  <c r="AI488" i="6"/>
  <c r="R489" i="6"/>
  <c r="AC489" i="6"/>
  <c r="AD489" i="6"/>
  <c r="AE489" i="6"/>
  <c r="AF489" i="6"/>
  <c r="AG489" i="6"/>
  <c r="AH489" i="6"/>
  <c r="AI489" i="6"/>
  <c r="R490" i="6"/>
  <c r="AC490" i="6"/>
  <c r="AD490" i="6"/>
  <c r="AE490" i="6"/>
  <c r="AF490" i="6"/>
  <c r="AG490" i="6"/>
  <c r="AH490" i="6"/>
  <c r="AI490" i="6"/>
  <c r="R491" i="6"/>
  <c r="AC491" i="6"/>
  <c r="AD491" i="6"/>
  <c r="AE491" i="6"/>
  <c r="AF491" i="6"/>
  <c r="AG491" i="6"/>
  <c r="AH491" i="6"/>
  <c r="AI491" i="6"/>
  <c r="R492" i="6"/>
  <c r="AI492" i="6" s="1"/>
  <c r="AC492" i="6"/>
  <c r="AD492" i="6"/>
  <c r="AE492" i="6"/>
  <c r="AF492" i="6"/>
  <c r="AG492" i="6"/>
  <c r="AH492" i="6"/>
  <c r="R493" i="6"/>
  <c r="AI493" i="6" s="1"/>
  <c r="AC493" i="6"/>
  <c r="AD493" i="6"/>
  <c r="AE493" i="6"/>
  <c r="AF493" i="6"/>
  <c r="AG493" i="6"/>
  <c r="AH493" i="6"/>
  <c r="R494" i="6"/>
  <c r="AI494" i="6" s="1"/>
  <c r="AC494" i="6"/>
  <c r="AD494" i="6"/>
  <c r="AE494" i="6"/>
  <c r="AF494" i="6"/>
  <c r="AG494" i="6"/>
  <c r="AH494" i="6"/>
  <c r="R495" i="6"/>
  <c r="AI495" i="6" s="1"/>
  <c r="AC495" i="6"/>
  <c r="AD495" i="6"/>
  <c r="AE495" i="6"/>
  <c r="AF495" i="6"/>
  <c r="AG495" i="6"/>
  <c r="AH495" i="6"/>
  <c r="R496" i="6"/>
  <c r="AC496" i="6"/>
  <c r="AD496" i="6"/>
  <c r="AE496" i="6"/>
  <c r="AF496" i="6"/>
  <c r="AG496" i="6"/>
  <c r="AH496" i="6"/>
  <c r="AI496" i="6"/>
  <c r="R497" i="6"/>
  <c r="AC497" i="6"/>
  <c r="AD497" i="6"/>
  <c r="AE497" i="6"/>
  <c r="AF497" i="6"/>
  <c r="AG497" i="6"/>
  <c r="AH497" i="6"/>
  <c r="AI497" i="6"/>
  <c r="R498" i="6"/>
  <c r="AC498" i="6"/>
  <c r="AD498" i="6"/>
  <c r="AE498" i="6"/>
  <c r="AF498" i="6"/>
  <c r="AG498" i="6"/>
  <c r="AH498" i="6"/>
  <c r="AI498" i="6"/>
  <c r="R499" i="6"/>
  <c r="AC499" i="6"/>
  <c r="AD499" i="6"/>
  <c r="AE499" i="6"/>
  <c r="AF499" i="6"/>
  <c r="AG499" i="6"/>
  <c r="AH499" i="6"/>
  <c r="AI499" i="6"/>
  <c r="R500" i="6"/>
  <c r="AI500" i="6" s="1"/>
  <c r="AC500" i="6"/>
  <c r="AD500" i="6"/>
  <c r="AE500" i="6"/>
  <c r="AF500" i="6"/>
  <c r="AG500" i="6"/>
  <c r="AH500" i="6"/>
  <c r="R501" i="6"/>
  <c r="AC501" i="6"/>
  <c r="AD501" i="6"/>
  <c r="AE501" i="6"/>
  <c r="AF501" i="6"/>
  <c r="AG501" i="6"/>
  <c r="AH501" i="6"/>
  <c r="AI501" i="6"/>
  <c r="R502" i="6"/>
  <c r="AI502" i="6" s="1"/>
  <c r="AC502" i="6"/>
  <c r="AD502" i="6"/>
  <c r="AE502" i="6"/>
  <c r="AF502" i="6"/>
  <c r="AG502" i="6"/>
  <c r="AH502" i="6"/>
  <c r="R503" i="6"/>
  <c r="AC503" i="6"/>
  <c r="AD503" i="6"/>
  <c r="AE503" i="6"/>
  <c r="AF503" i="6"/>
  <c r="AG503" i="6"/>
  <c r="AH503" i="6"/>
  <c r="AI503" i="6"/>
  <c r="R504" i="6"/>
  <c r="AC504" i="6"/>
  <c r="AD504" i="6"/>
  <c r="AE504" i="6"/>
  <c r="AF504" i="6"/>
  <c r="AG504" i="6"/>
  <c r="AH504" i="6"/>
  <c r="AI504" i="6"/>
  <c r="R505" i="6"/>
  <c r="AC505" i="6"/>
  <c r="AD505" i="6"/>
  <c r="AE505" i="6"/>
  <c r="AF505" i="6"/>
  <c r="AG505" i="6"/>
  <c r="AH505" i="6"/>
  <c r="AI505" i="6"/>
  <c r="R506" i="6"/>
  <c r="AI506" i="6" s="1"/>
  <c r="AC506" i="6"/>
  <c r="AD506" i="6"/>
  <c r="AE506" i="6"/>
  <c r="AF506" i="6"/>
  <c r="AG506" i="6"/>
  <c r="AH506" i="6"/>
  <c r="R507" i="6"/>
  <c r="AC507" i="6"/>
  <c r="AD507" i="6"/>
  <c r="AE507" i="6"/>
  <c r="AF507" i="6"/>
  <c r="AG507" i="6"/>
  <c r="AH507" i="6"/>
  <c r="AI507" i="6"/>
  <c r="R508" i="6"/>
  <c r="AI508" i="6" s="1"/>
  <c r="AC508" i="6"/>
  <c r="AD508" i="6"/>
  <c r="AE508" i="6"/>
  <c r="AF508" i="6"/>
  <c r="AG508" i="6"/>
  <c r="AH508" i="6"/>
  <c r="R509" i="6"/>
  <c r="AI509" i="6" s="1"/>
  <c r="AC509" i="6"/>
  <c r="AD509" i="6"/>
  <c r="AE509" i="6"/>
  <c r="AF509" i="6"/>
  <c r="AG509" i="6"/>
  <c r="AH509" i="6"/>
  <c r="R510" i="6"/>
  <c r="AC510" i="6"/>
  <c r="AD510" i="6"/>
  <c r="AE510" i="6"/>
  <c r="AF510" i="6"/>
  <c r="AG510" i="6"/>
  <c r="AH510" i="6"/>
  <c r="AI510" i="6"/>
  <c r="R511" i="6"/>
  <c r="AI511" i="6" s="1"/>
  <c r="AC511" i="6"/>
  <c r="AD511" i="6"/>
  <c r="AE511" i="6"/>
  <c r="AF511" i="6"/>
  <c r="AG511" i="6"/>
  <c r="AH511" i="6"/>
  <c r="R512" i="6"/>
  <c r="AC512" i="6"/>
  <c r="AD512" i="6"/>
  <c r="AE512" i="6"/>
  <c r="AF512" i="6"/>
  <c r="AG512" i="6"/>
  <c r="AH512" i="6"/>
  <c r="AI512" i="6"/>
  <c r="R513" i="6"/>
  <c r="AC513" i="6"/>
  <c r="AD513" i="6"/>
  <c r="AE513" i="6"/>
  <c r="AF513" i="6"/>
  <c r="AG513" i="6"/>
  <c r="AH513" i="6"/>
  <c r="AI513" i="6"/>
  <c r="R514" i="6"/>
  <c r="AI514" i="6" s="1"/>
  <c r="AC514" i="6"/>
  <c r="AD514" i="6"/>
  <c r="AE514" i="6"/>
  <c r="AF514" i="6"/>
  <c r="AG514" i="6"/>
  <c r="AH514" i="6"/>
  <c r="R515" i="6"/>
  <c r="AI515" i="6" s="1"/>
  <c r="AC515" i="6"/>
  <c r="AD515" i="6"/>
  <c r="AE515" i="6"/>
  <c r="AF515" i="6"/>
  <c r="AG515" i="6"/>
  <c r="AH515" i="6"/>
  <c r="R516" i="6"/>
  <c r="AI516" i="6" s="1"/>
  <c r="AC516" i="6"/>
  <c r="AD516" i="6"/>
  <c r="AE516" i="6"/>
  <c r="AF516" i="6"/>
  <c r="AG516" i="6"/>
  <c r="AH516" i="6"/>
  <c r="R517" i="6"/>
  <c r="AI517" i="6" s="1"/>
  <c r="AC517" i="6"/>
  <c r="AD517" i="6"/>
  <c r="AE517" i="6"/>
  <c r="AF517" i="6"/>
  <c r="AG517" i="6"/>
  <c r="AH517" i="6"/>
  <c r="R518" i="6"/>
  <c r="AC518" i="6"/>
  <c r="AD518" i="6"/>
  <c r="AE518" i="6"/>
  <c r="AF518" i="6"/>
  <c r="AG518" i="6"/>
  <c r="AH518" i="6"/>
  <c r="AI518" i="6"/>
  <c r="R519" i="6"/>
  <c r="AI519" i="6" s="1"/>
  <c r="AC519" i="6"/>
  <c r="AD519" i="6"/>
  <c r="AE519" i="6"/>
  <c r="AF519" i="6"/>
  <c r="AG519" i="6"/>
  <c r="AH519" i="6"/>
  <c r="R520" i="6"/>
  <c r="AI520" i="6" s="1"/>
  <c r="AC520" i="6"/>
  <c r="AD520" i="6"/>
  <c r="AE520" i="6"/>
  <c r="AF520" i="6"/>
  <c r="AG520" i="6"/>
  <c r="AH520" i="6"/>
  <c r="R521" i="6"/>
  <c r="AC521" i="6"/>
  <c r="AD521" i="6"/>
  <c r="AE521" i="6"/>
  <c r="AF521" i="6"/>
  <c r="AG521" i="6"/>
  <c r="AH521" i="6"/>
  <c r="AI521" i="6"/>
  <c r="R522" i="6"/>
  <c r="AI522" i="6" s="1"/>
  <c r="AC522" i="6"/>
  <c r="AD522" i="6"/>
  <c r="AE522" i="6"/>
  <c r="AF522" i="6"/>
  <c r="AG522" i="6"/>
  <c r="AH522" i="6"/>
  <c r="R523" i="6"/>
  <c r="AC523" i="6"/>
  <c r="AD523" i="6"/>
  <c r="AE523" i="6"/>
  <c r="AF523" i="6"/>
  <c r="AG523" i="6"/>
  <c r="AH523" i="6"/>
  <c r="AI523" i="6"/>
  <c r="R524" i="6"/>
  <c r="AC524" i="6"/>
  <c r="AD524" i="6"/>
  <c r="AE524" i="6"/>
  <c r="AF524" i="6"/>
  <c r="AG524" i="6"/>
  <c r="AH524" i="6"/>
  <c r="AI524" i="6"/>
  <c r="R525" i="6"/>
  <c r="AI525" i="6" s="1"/>
  <c r="AC525" i="6"/>
  <c r="AD525" i="6"/>
  <c r="AE525" i="6"/>
  <c r="AF525" i="6"/>
  <c r="AG525" i="6"/>
  <c r="AH525" i="6"/>
  <c r="R526" i="6"/>
  <c r="AC526" i="6"/>
  <c r="AD526" i="6"/>
  <c r="AE526" i="6"/>
  <c r="AF526" i="6"/>
  <c r="AG526" i="6"/>
  <c r="AH526" i="6"/>
  <c r="AI526" i="6"/>
  <c r="R527" i="6"/>
  <c r="AI527" i="6" s="1"/>
  <c r="AC527" i="6"/>
  <c r="AD527" i="6"/>
  <c r="AE527" i="6"/>
  <c r="AF527" i="6"/>
  <c r="AG527" i="6"/>
  <c r="AH527" i="6"/>
  <c r="R528" i="6"/>
  <c r="AI528" i="6" s="1"/>
  <c r="AC528" i="6"/>
  <c r="AD528" i="6"/>
  <c r="AE528" i="6"/>
  <c r="AF528" i="6"/>
  <c r="AG528" i="6"/>
  <c r="AH528" i="6"/>
  <c r="R529" i="6"/>
  <c r="AC529" i="6"/>
  <c r="AD529" i="6"/>
  <c r="AE529" i="6"/>
  <c r="AF529" i="6"/>
  <c r="AG529" i="6"/>
  <c r="AH529" i="6"/>
  <c r="AI529" i="6"/>
  <c r="R530" i="6"/>
  <c r="AI530" i="6" s="1"/>
  <c r="AC530" i="6"/>
  <c r="AD530" i="6"/>
  <c r="AE530" i="6"/>
  <c r="AF530" i="6"/>
  <c r="AG530" i="6"/>
  <c r="AH530" i="6"/>
  <c r="R531" i="6"/>
  <c r="AC531" i="6"/>
  <c r="AD531" i="6"/>
  <c r="AE531" i="6"/>
  <c r="AF531" i="6"/>
  <c r="AG531" i="6"/>
  <c r="AH531" i="6"/>
  <c r="AI531" i="6"/>
  <c r="R532" i="6"/>
  <c r="AC532" i="6"/>
  <c r="AD532" i="6"/>
  <c r="AE532" i="6"/>
  <c r="AF532" i="6"/>
  <c r="AG532" i="6"/>
  <c r="AH532" i="6"/>
  <c r="AI532" i="6"/>
  <c r="R533" i="6"/>
  <c r="AI533" i="6" s="1"/>
  <c r="AC533" i="6"/>
  <c r="AD533" i="6"/>
  <c r="AE533" i="6"/>
  <c r="AF533" i="6"/>
  <c r="AG533" i="6"/>
  <c r="AH533" i="6"/>
  <c r="R534" i="6"/>
  <c r="AC534" i="6"/>
  <c r="AD534" i="6"/>
  <c r="AE534" i="6"/>
  <c r="AF534" i="6"/>
  <c r="AG534" i="6"/>
  <c r="AH534" i="6"/>
  <c r="AI534" i="6"/>
  <c r="R535" i="6"/>
  <c r="AI535" i="6" s="1"/>
  <c r="AC535" i="6"/>
  <c r="AD535" i="6"/>
  <c r="AE535" i="6"/>
  <c r="AF535" i="6"/>
  <c r="AG535" i="6"/>
  <c r="AH535" i="6"/>
  <c r="R536" i="6"/>
  <c r="AI536" i="6" s="1"/>
  <c r="AC536" i="6"/>
  <c r="AD536" i="6"/>
  <c r="AE536" i="6"/>
  <c r="AF536" i="6"/>
  <c r="AG536" i="6"/>
  <c r="AH536" i="6"/>
  <c r="R537" i="6"/>
  <c r="AC537" i="6"/>
  <c r="AD537" i="6"/>
  <c r="AE537" i="6"/>
  <c r="AF537" i="6"/>
  <c r="AG537" i="6"/>
  <c r="AH537" i="6"/>
  <c r="AI537" i="6"/>
  <c r="R538" i="6"/>
  <c r="AI538" i="6" s="1"/>
  <c r="AC538" i="6"/>
  <c r="AD538" i="6"/>
  <c r="AE538" i="6"/>
  <c r="AF538" i="6"/>
  <c r="AG538" i="6"/>
  <c r="AH538" i="6"/>
  <c r="R539" i="6"/>
  <c r="AC539" i="6"/>
  <c r="AD539" i="6"/>
  <c r="AE539" i="6"/>
  <c r="AF539" i="6"/>
  <c r="AG539" i="6"/>
  <c r="AH539" i="6"/>
  <c r="AI539" i="6"/>
  <c r="R540" i="6"/>
  <c r="AC540" i="6"/>
  <c r="AD540" i="6"/>
  <c r="AE540" i="6"/>
  <c r="AF540" i="6"/>
  <c r="AG540" i="6"/>
  <c r="AH540" i="6"/>
  <c r="AI540" i="6"/>
  <c r="R541" i="6"/>
  <c r="AI541" i="6" s="1"/>
  <c r="AC541" i="6"/>
  <c r="AD541" i="6"/>
  <c r="AE541" i="6"/>
  <c r="AF541" i="6"/>
  <c r="AG541" i="6"/>
  <c r="AH541" i="6"/>
  <c r="R542" i="6"/>
  <c r="AC542" i="6"/>
  <c r="AD542" i="6"/>
  <c r="AE542" i="6"/>
  <c r="AF542" i="6"/>
  <c r="AG542" i="6"/>
  <c r="AH542" i="6"/>
  <c r="AI542" i="6"/>
  <c r="R543" i="6"/>
  <c r="AI543" i="6" s="1"/>
  <c r="AC543" i="6"/>
  <c r="AD543" i="6"/>
  <c r="AE543" i="6"/>
  <c r="AF543" i="6"/>
  <c r="AG543" i="6"/>
  <c r="AH543" i="6"/>
  <c r="R544" i="6"/>
  <c r="AI544" i="6" s="1"/>
  <c r="AC544" i="6"/>
  <c r="AD544" i="6"/>
  <c r="AE544" i="6"/>
  <c r="AF544" i="6"/>
  <c r="AG544" i="6"/>
  <c r="AH544" i="6"/>
  <c r="R545" i="6"/>
  <c r="AC545" i="6"/>
  <c r="AD545" i="6"/>
  <c r="AE545" i="6"/>
  <c r="AF545" i="6"/>
  <c r="AG545" i="6"/>
  <c r="AH545" i="6"/>
  <c r="AI545" i="6"/>
  <c r="R546" i="6"/>
  <c r="AI546" i="6" s="1"/>
  <c r="AC546" i="6"/>
  <c r="AD546" i="6"/>
  <c r="AE546" i="6"/>
  <c r="AF546" i="6"/>
  <c r="AG546" i="6"/>
  <c r="AH546" i="6"/>
  <c r="R547" i="6"/>
  <c r="AC547" i="6"/>
  <c r="AD547" i="6"/>
  <c r="AE547" i="6"/>
  <c r="AF547" i="6"/>
  <c r="AG547" i="6"/>
  <c r="AH547" i="6"/>
  <c r="AI547" i="6"/>
  <c r="R548" i="6"/>
  <c r="AC548" i="6"/>
  <c r="AD548" i="6"/>
  <c r="AE548" i="6"/>
  <c r="AF548" i="6"/>
  <c r="AG548" i="6"/>
  <c r="AH548" i="6"/>
  <c r="AI548" i="6"/>
  <c r="R549" i="6"/>
  <c r="AI549" i="6" s="1"/>
  <c r="AC549" i="6"/>
  <c r="AD549" i="6"/>
  <c r="AE549" i="6"/>
  <c r="AF549" i="6"/>
  <c r="AG549" i="6"/>
  <c r="AH549" i="6"/>
  <c r="R550" i="6"/>
  <c r="AC550" i="6"/>
  <c r="AD550" i="6"/>
  <c r="AE550" i="6"/>
  <c r="AF550" i="6"/>
  <c r="AG550" i="6"/>
  <c r="AH550" i="6"/>
  <c r="AI550" i="6"/>
  <c r="R551" i="6"/>
  <c r="AI551" i="6" s="1"/>
  <c r="AC551" i="6"/>
  <c r="AD551" i="6"/>
  <c r="AE551" i="6"/>
  <c r="AF551" i="6"/>
  <c r="AG551" i="6"/>
  <c r="AH551" i="6"/>
  <c r="R552" i="6"/>
  <c r="AI552" i="6" s="1"/>
  <c r="AC552" i="6"/>
  <c r="AD552" i="6"/>
  <c r="AE552" i="6"/>
  <c r="AF552" i="6"/>
  <c r="AG552" i="6"/>
  <c r="AH552" i="6"/>
  <c r="R553" i="6"/>
  <c r="AC553" i="6"/>
  <c r="AD553" i="6"/>
  <c r="AE553" i="6"/>
  <c r="AF553" i="6"/>
  <c r="AG553" i="6"/>
  <c r="AH553" i="6"/>
  <c r="AI553" i="6"/>
  <c r="R554" i="6"/>
  <c r="AC554" i="6"/>
  <c r="AD554" i="6"/>
  <c r="AE554" i="6"/>
  <c r="AF554" i="6"/>
  <c r="AG554" i="6"/>
  <c r="AH554" i="6"/>
  <c r="AI554" i="6"/>
  <c r="R555" i="6"/>
  <c r="AC555" i="6"/>
  <c r="AD555" i="6"/>
  <c r="AE555" i="6"/>
  <c r="AF555" i="6"/>
  <c r="AG555" i="6"/>
  <c r="AH555" i="6"/>
  <c r="AI555" i="6"/>
  <c r="R556" i="6"/>
  <c r="AC556" i="6"/>
  <c r="AD556" i="6"/>
  <c r="AE556" i="6"/>
  <c r="AF556" i="6"/>
  <c r="AG556" i="6"/>
  <c r="AH556" i="6"/>
  <c r="AI556" i="6"/>
  <c r="R557" i="6"/>
  <c r="AI557" i="6" s="1"/>
  <c r="AC557" i="6"/>
  <c r="AD557" i="6"/>
  <c r="AE557" i="6"/>
  <c r="AF557" i="6"/>
  <c r="AG557" i="6"/>
  <c r="AH557" i="6"/>
  <c r="R558" i="6"/>
  <c r="AC558" i="6"/>
  <c r="AD558" i="6"/>
  <c r="AE558" i="6"/>
  <c r="AF558" i="6"/>
  <c r="AG558" i="6"/>
  <c r="AH558" i="6"/>
  <c r="AI558" i="6"/>
  <c r="R559" i="6"/>
  <c r="AI559" i="6" s="1"/>
  <c r="AC559" i="6"/>
  <c r="AD559" i="6"/>
  <c r="AE559" i="6"/>
  <c r="AF559" i="6"/>
  <c r="AG559" i="6"/>
  <c r="AH559" i="6"/>
  <c r="R560" i="6"/>
  <c r="AI560" i="6" s="1"/>
  <c r="AC560" i="6"/>
  <c r="AD560" i="6"/>
  <c r="AE560" i="6"/>
  <c r="AF560" i="6"/>
  <c r="AG560" i="6"/>
  <c r="AH560" i="6"/>
  <c r="R561" i="6"/>
  <c r="AC561" i="6"/>
  <c r="AD561" i="6"/>
  <c r="AE561" i="6"/>
  <c r="AF561" i="6"/>
  <c r="AG561" i="6"/>
  <c r="AH561" i="6"/>
  <c r="AI561" i="6"/>
  <c r="R562" i="6"/>
  <c r="AI562" i="6" s="1"/>
  <c r="AC562" i="6"/>
  <c r="AD562" i="6"/>
  <c r="AE562" i="6"/>
  <c r="AF562" i="6"/>
  <c r="AG562" i="6"/>
  <c r="AH562" i="6"/>
  <c r="R563" i="6"/>
  <c r="AC563" i="6"/>
  <c r="AD563" i="6"/>
  <c r="AE563" i="6"/>
  <c r="AF563" i="6"/>
  <c r="AG563" i="6"/>
  <c r="AH563" i="6"/>
  <c r="AI563" i="6"/>
  <c r="R564" i="6"/>
  <c r="AC564" i="6"/>
  <c r="AD564" i="6"/>
  <c r="AE564" i="6"/>
  <c r="AF564" i="6"/>
  <c r="AG564" i="6"/>
  <c r="AH564" i="6"/>
  <c r="AI564" i="6"/>
  <c r="R565" i="6"/>
  <c r="AI565" i="6" s="1"/>
  <c r="AC565" i="6"/>
  <c r="AD565" i="6"/>
  <c r="AE565" i="6"/>
  <c r="AF565" i="6"/>
  <c r="AG565" i="6"/>
  <c r="AH565" i="6"/>
  <c r="R566" i="6"/>
  <c r="AC566" i="6"/>
  <c r="AD566" i="6"/>
  <c r="AE566" i="6"/>
  <c r="AF566" i="6"/>
  <c r="AG566" i="6"/>
  <c r="AH566" i="6"/>
  <c r="AI566" i="6"/>
  <c r="R567" i="6"/>
  <c r="AI567" i="6" s="1"/>
  <c r="AC567" i="6"/>
  <c r="AD567" i="6"/>
  <c r="AE567" i="6"/>
  <c r="AF567" i="6"/>
  <c r="AG567" i="6"/>
  <c r="AH567" i="6"/>
  <c r="R568" i="6"/>
  <c r="AI568" i="6" s="1"/>
  <c r="AC568" i="6"/>
  <c r="AD568" i="6"/>
  <c r="AE568" i="6"/>
  <c r="AF568" i="6"/>
  <c r="AG568" i="6"/>
  <c r="AH568" i="6"/>
  <c r="R569" i="6"/>
  <c r="AC569" i="6"/>
  <c r="AD569" i="6"/>
  <c r="AE569" i="6"/>
  <c r="AF569" i="6"/>
  <c r="AG569" i="6"/>
  <c r="AH569" i="6"/>
  <c r="AI569" i="6"/>
  <c r="R570" i="6"/>
  <c r="AI570" i="6" s="1"/>
  <c r="AC570" i="6"/>
  <c r="AD570" i="6"/>
  <c r="AE570" i="6"/>
  <c r="AF570" i="6"/>
  <c r="AG570" i="6"/>
  <c r="AH570" i="6"/>
  <c r="R571" i="6"/>
  <c r="AI571" i="6" s="1"/>
  <c r="AC571" i="6"/>
  <c r="AD571" i="6"/>
  <c r="AE571" i="6"/>
  <c r="AF571" i="6"/>
  <c r="AG571" i="6"/>
  <c r="AH571" i="6"/>
  <c r="R572" i="6"/>
  <c r="AI572" i="6" s="1"/>
  <c r="AC572" i="6"/>
  <c r="AD572" i="6"/>
  <c r="AE572" i="6"/>
  <c r="AF572" i="6"/>
  <c r="AG572" i="6"/>
  <c r="AH572" i="6"/>
  <c r="R573" i="6"/>
  <c r="AI573" i="6" s="1"/>
  <c r="AC573" i="6"/>
  <c r="AD573" i="6"/>
  <c r="AE573" i="6"/>
  <c r="AF573" i="6"/>
  <c r="AG573" i="6"/>
  <c r="AH573" i="6"/>
  <c r="R574" i="6"/>
  <c r="AC574" i="6"/>
  <c r="AD574" i="6"/>
  <c r="AE574" i="6"/>
  <c r="AF574" i="6"/>
  <c r="AG574" i="6"/>
  <c r="AH574" i="6"/>
  <c r="AI574" i="6"/>
  <c r="R575" i="6"/>
  <c r="AI575" i="6" s="1"/>
  <c r="AC575" i="6"/>
  <c r="AD575" i="6"/>
  <c r="AE575" i="6"/>
  <c r="AF575" i="6"/>
  <c r="AG575" i="6"/>
  <c r="AH575" i="6"/>
  <c r="R576" i="6"/>
  <c r="AI576" i="6" s="1"/>
  <c r="AC576" i="6"/>
  <c r="AD576" i="6"/>
  <c r="AE576" i="6"/>
  <c r="AF576" i="6"/>
  <c r="AG576" i="6"/>
  <c r="AH576" i="6"/>
  <c r="R577" i="6"/>
  <c r="AC577" i="6"/>
  <c r="AD577" i="6"/>
  <c r="AE577" i="6"/>
  <c r="AF577" i="6"/>
  <c r="AG577" i="6"/>
  <c r="AH577" i="6"/>
  <c r="AI577" i="6"/>
  <c r="R578" i="6"/>
  <c r="AC578" i="6"/>
  <c r="AD578" i="6"/>
  <c r="AE578" i="6"/>
  <c r="AF578" i="6"/>
  <c r="AG578" i="6"/>
  <c r="AH578" i="6"/>
  <c r="AI578" i="6"/>
  <c r="R579" i="6"/>
  <c r="AC579" i="6"/>
  <c r="AD579" i="6"/>
  <c r="AE579" i="6"/>
  <c r="AF579" i="6"/>
  <c r="AG579" i="6"/>
  <c r="AH579" i="6"/>
  <c r="AI579" i="6"/>
  <c r="R580" i="6"/>
  <c r="AC580" i="6"/>
  <c r="AD580" i="6"/>
  <c r="AE580" i="6"/>
  <c r="AF580" i="6"/>
  <c r="AG580" i="6"/>
  <c r="AH580" i="6"/>
  <c r="AI580" i="6"/>
  <c r="R581" i="6"/>
  <c r="AI581" i="6" s="1"/>
  <c r="AC581" i="6"/>
  <c r="AD581" i="6"/>
  <c r="AE581" i="6"/>
  <c r="AF581" i="6"/>
  <c r="AG581" i="6"/>
  <c r="AH581" i="6"/>
  <c r="R582" i="6"/>
  <c r="AC582" i="6"/>
  <c r="AD582" i="6"/>
  <c r="AE582" i="6"/>
  <c r="AF582" i="6"/>
  <c r="AG582" i="6"/>
  <c r="AH582" i="6"/>
  <c r="AI582" i="6"/>
  <c r="R583" i="6"/>
  <c r="AI583" i="6" s="1"/>
  <c r="AC583" i="6"/>
  <c r="AD583" i="6"/>
  <c r="AE583" i="6"/>
  <c r="AF583" i="6"/>
  <c r="AG583" i="6"/>
  <c r="AH583" i="6"/>
  <c r="R584" i="6"/>
  <c r="AC584" i="6"/>
  <c r="AD584" i="6"/>
  <c r="AE584" i="6"/>
  <c r="AF584" i="6"/>
  <c r="AG584" i="6"/>
  <c r="AH584" i="6"/>
  <c r="AI584" i="6"/>
  <c r="R585" i="6"/>
  <c r="AC585" i="6"/>
  <c r="AD585" i="6"/>
  <c r="AE585" i="6"/>
  <c r="AF585" i="6"/>
  <c r="AG585" i="6"/>
  <c r="AH585" i="6"/>
  <c r="AI585" i="6"/>
  <c r="R586" i="6"/>
  <c r="AC586" i="6"/>
  <c r="AD586" i="6"/>
  <c r="AE586" i="6"/>
  <c r="AF586" i="6"/>
  <c r="AG586" i="6"/>
  <c r="AH586" i="6"/>
  <c r="AI586" i="6"/>
  <c r="R587" i="6"/>
  <c r="AC587" i="6"/>
  <c r="AD587" i="6"/>
  <c r="AE587" i="6"/>
  <c r="AF587" i="6"/>
  <c r="AG587" i="6"/>
  <c r="AH587" i="6"/>
  <c r="AI587" i="6"/>
  <c r="R588" i="6"/>
  <c r="AC588" i="6"/>
  <c r="AD588" i="6"/>
  <c r="AE588" i="6"/>
  <c r="AF588" i="6"/>
  <c r="AG588" i="6"/>
  <c r="AH588" i="6"/>
  <c r="AI588" i="6"/>
  <c r="R589" i="6"/>
  <c r="AI589" i="6" s="1"/>
  <c r="AC589" i="6"/>
  <c r="AD589" i="6"/>
  <c r="AE589" i="6"/>
  <c r="AF589" i="6"/>
  <c r="AG589" i="6"/>
  <c r="AH589" i="6"/>
  <c r="R590" i="6"/>
  <c r="AC590" i="6"/>
  <c r="AD590" i="6"/>
  <c r="AE590" i="6"/>
  <c r="AF590" i="6"/>
  <c r="AG590" i="6"/>
  <c r="AH590" i="6"/>
  <c r="AI590" i="6"/>
  <c r="R591" i="6"/>
  <c r="AI591" i="6" s="1"/>
  <c r="AC591" i="6"/>
  <c r="AD591" i="6"/>
  <c r="AE591" i="6"/>
  <c r="AF591" i="6"/>
  <c r="AG591" i="6"/>
  <c r="AH591" i="6"/>
  <c r="R592" i="6"/>
  <c r="AC592" i="6"/>
  <c r="AD592" i="6"/>
  <c r="AE592" i="6"/>
  <c r="AF592" i="6"/>
  <c r="AG592" i="6"/>
  <c r="AH592" i="6"/>
  <c r="AI592" i="6"/>
  <c r="R593" i="6"/>
  <c r="AC593" i="6"/>
  <c r="AD593" i="6"/>
  <c r="AE593" i="6"/>
  <c r="AF593" i="6"/>
  <c r="AG593" i="6"/>
  <c r="AH593" i="6"/>
  <c r="AI593" i="6"/>
  <c r="R594" i="6"/>
  <c r="AC594" i="6"/>
  <c r="AD594" i="6"/>
  <c r="AE594" i="6"/>
  <c r="AF594" i="6"/>
  <c r="AG594" i="6"/>
  <c r="AH594" i="6"/>
  <c r="AI594" i="6"/>
  <c r="R595" i="6"/>
  <c r="AC595" i="6"/>
  <c r="AD595" i="6"/>
  <c r="AE595" i="6"/>
  <c r="AF595" i="6"/>
  <c r="AG595" i="6"/>
  <c r="AH595" i="6"/>
  <c r="AI595" i="6"/>
  <c r="R596" i="6"/>
  <c r="AC596" i="6"/>
  <c r="AD596" i="6"/>
  <c r="AE596" i="6"/>
  <c r="AF596" i="6"/>
  <c r="AG596" i="6"/>
  <c r="AH596" i="6"/>
  <c r="AI596" i="6"/>
  <c r="R597" i="6"/>
  <c r="AI597" i="6" s="1"/>
  <c r="AC597" i="6"/>
  <c r="AD597" i="6"/>
  <c r="AE597" i="6"/>
  <c r="AF597" i="6"/>
  <c r="AG597" i="6"/>
  <c r="AH597" i="6"/>
  <c r="R598" i="6"/>
  <c r="AC598" i="6"/>
  <c r="AD598" i="6"/>
  <c r="AE598" i="6"/>
  <c r="AF598" i="6"/>
  <c r="AG598" i="6"/>
  <c r="AH598" i="6"/>
  <c r="AI598" i="6"/>
  <c r="R599" i="6"/>
  <c r="AI599" i="6" s="1"/>
  <c r="AC599" i="6"/>
  <c r="AD599" i="6"/>
  <c r="AE599" i="6"/>
  <c r="AF599" i="6"/>
  <c r="AG599" i="6"/>
  <c r="AH599" i="6"/>
  <c r="R600" i="6"/>
  <c r="AC600" i="6"/>
  <c r="AD600" i="6"/>
  <c r="AE600" i="6"/>
  <c r="AF600" i="6"/>
  <c r="AG600" i="6"/>
  <c r="AH600" i="6"/>
  <c r="AI600" i="6"/>
  <c r="R601" i="6"/>
  <c r="AC601" i="6"/>
  <c r="AD601" i="6"/>
  <c r="AE601" i="6"/>
  <c r="AF601" i="6"/>
  <c r="AG601" i="6"/>
  <c r="AH601" i="6"/>
  <c r="AI601" i="6"/>
  <c r="R602" i="6"/>
  <c r="AI602" i="6" s="1"/>
  <c r="AC602" i="6"/>
  <c r="AD602" i="6"/>
  <c r="AE602" i="6"/>
  <c r="AF602" i="6"/>
  <c r="AG602" i="6"/>
  <c r="AH602" i="6"/>
  <c r="R603" i="6"/>
  <c r="AC603" i="6"/>
  <c r="AD603" i="6"/>
  <c r="AE603" i="6"/>
  <c r="AF603" i="6"/>
  <c r="AG603" i="6"/>
  <c r="AH603" i="6"/>
  <c r="AI603" i="6"/>
  <c r="R604" i="6"/>
  <c r="AC604" i="6"/>
  <c r="AD604" i="6"/>
  <c r="AE604" i="6"/>
  <c r="AF604" i="6"/>
  <c r="AG604" i="6"/>
  <c r="AH604" i="6"/>
  <c r="AI604" i="6"/>
  <c r="R605" i="6"/>
  <c r="AI605" i="6" s="1"/>
  <c r="AC605" i="6"/>
  <c r="AD605" i="6"/>
  <c r="AE605" i="6"/>
  <c r="AF605" i="6"/>
  <c r="AG605" i="6"/>
  <c r="AH605" i="6"/>
  <c r="R606" i="6"/>
  <c r="AC606" i="6"/>
  <c r="AD606" i="6"/>
  <c r="AE606" i="6"/>
  <c r="AF606" i="6"/>
  <c r="AG606" i="6"/>
  <c r="AH606" i="6"/>
  <c r="AI606" i="6"/>
  <c r="R607" i="6"/>
  <c r="AI607" i="6" s="1"/>
  <c r="AC607" i="6"/>
  <c r="AD607" i="6"/>
  <c r="AE607" i="6"/>
  <c r="AF607" i="6"/>
  <c r="AG607" i="6"/>
  <c r="AH607" i="6"/>
  <c r="R608" i="6"/>
  <c r="AC608" i="6"/>
  <c r="AD608" i="6"/>
  <c r="AE608" i="6"/>
  <c r="AF608" i="6"/>
  <c r="AG608" i="6"/>
  <c r="AH608" i="6"/>
  <c r="AI608" i="6"/>
  <c r="R609" i="6"/>
  <c r="AC609" i="6"/>
  <c r="AD609" i="6"/>
  <c r="AE609" i="6"/>
  <c r="AF609" i="6"/>
  <c r="AG609" i="6"/>
  <c r="AH609" i="6"/>
  <c r="AI609" i="6"/>
  <c r="R610" i="6"/>
  <c r="AI610" i="6" s="1"/>
  <c r="AC610" i="6"/>
  <c r="AD610" i="6"/>
  <c r="AE610" i="6"/>
  <c r="AF610" i="6"/>
  <c r="AG610" i="6"/>
  <c r="AH610" i="6"/>
  <c r="R611" i="6"/>
  <c r="AC611" i="6"/>
  <c r="AD611" i="6"/>
  <c r="AE611" i="6"/>
  <c r="AF611" i="6"/>
  <c r="AG611" i="6"/>
  <c r="AH611" i="6"/>
  <c r="AI611" i="6"/>
  <c r="R612" i="6"/>
  <c r="AC612" i="6"/>
  <c r="AD612" i="6"/>
  <c r="AE612" i="6"/>
  <c r="AF612" i="6"/>
  <c r="AG612" i="6"/>
  <c r="AH612" i="6"/>
  <c r="AI612" i="6"/>
  <c r="R613" i="6"/>
  <c r="AI613" i="6" s="1"/>
  <c r="AC613" i="6"/>
  <c r="AD613" i="6"/>
  <c r="AE613" i="6"/>
  <c r="AF613" i="6"/>
  <c r="AG613" i="6"/>
  <c r="AH613" i="6"/>
  <c r="R614" i="6"/>
  <c r="AC614" i="6"/>
  <c r="AD614" i="6"/>
  <c r="AE614" i="6"/>
  <c r="AF614" i="6"/>
  <c r="AG614" i="6"/>
  <c r="AH614" i="6"/>
  <c r="AI614" i="6"/>
  <c r="R615" i="6"/>
  <c r="AI615" i="6" s="1"/>
  <c r="AC615" i="6"/>
  <c r="AD615" i="6"/>
  <c r="AE615" i="6"/>
  <c r="AF615" i="6"/>
  <c r="AG615" i="6"/>
  <c r="AH615" i="6"/>
  <c r="R616" i="6"/>
  <c r="AC616" i="6"/>
  <c r="AD616" i="6"/>
  <c r="AE616" i="6"/>
  <c r="AF616" i="6"/>
  <c r="AG616" i="6"/>
  <c r="AH616" i="6"/>
  <c r="AI616" i="6"/>
  <c r="R617" i="6"/>
  <c r="AC617" i="6"/>
  <c r="AD617" i="6"/>
  <c r="AE617" i="6"/>
  <c r="AF617" i="6"/>
  <c r="AG617" i="6"/>
  <c r="AH617" i="6"/>
  <c r="AI617" i="6"/>
  <c r="R618" i="6"/>
  <c r="AI618" i="6" s="1"/>
  <c r="AC618" i="6"/>
  <c r="AD618" i="6"/>
  <c r="AE618" i="6"/>
  <c r="AF618" i="6"/>
  <c r="AG618" i="6"/>
  <c r="AH618" i="6"/>
  <c r="R619" i="6"/>
  <c r="AC619" i="6"/>
  <c r="AD619" i="6"/>
  <c r="AE619" i="6"/>
  <c r="AF619" i="6"/>
  <c r="AG619" i="6"/>
  <c r="AH619" i="6"/>
  <c r="AI619" i="6"/>
  <c r="R620" i="6"/>
  <c r="AC620" i="6"/>
  <c r="AD620" i="6"/>
  <c r="AE620" i="6"/>
  <c r="AF620" i="6"/>
  <c r="AG620" i="6"/>
  <c r="AH620" i="6"/>
  <c r="AI620" i="6"/>
  <c r="R621" i="6"/>
  <c r="AI621" i="6" s="1"/>
  <c r="AC621" i="6"/>
  <c r="AD621" i="6"/>
  <c r="AE621" i="6"/>
  <c r="AF621" i="6"/>
  <c r="AG621" i="6"/>
  <c r="AH621" i="6"/>
  <c r="R622" i="6"/>
  <c r="AC622" i="6"/>
  <c r="AD622" i="6"/>
  <c r="AE622" i="6"/>
  <c r="AF622" i="6"/>
  <c r="AG622" i="6"/>
  <c r="AH622" i="6"/>
  <c r="AI622" i="6"/>
  <c r="R623" i="6"/>
  <c r="AI623" i="6" s="1"/>
  <c r="AC623" i="6"/>
  <c r="AD623" i="6"/>
  <c r="AE623" i="6"/>
  <c r="AF623" i="6"/>
  <c r="AG623" i="6"/>
  <c r="AH623" i="6"/>
  <c r="R624" i="6"/>
  <c r="AI624" i="6" s="1"/>
  <c r="AC624" i="6"/>
  <c r="AD624" i="6"/>
  <c r="AE624" i="6"/>
  <c r="AF624" i="6"/>
  <c r="AG624" i="6"/>
  <c r="AH624" i="6"/>
  <c r="R625" i="6"/>
  <c r="AC625" i="6"/>
  <c r="AD625" i="6"/>
  <c r="AE625" i="6"/>
  <c r="AF625" i="6"/>
  <c r="AG625" i="6"/>
  <c r="AH625" i="6"/>
  <c r="AI625" i="6"/>
  <c r="R626" i="6"/>
  <c r="AI626" i="6" s="1"/>
  <c r="AC626" i="6"/>
  <c r="AD626" i="6"/>
  <c r="AE626" i="6"/>
  <c r="AF626" i="6"/>
  <c r="AG626" i="6"/>
  <c r="AH626" i="6"/>
  <c r="R627" i="6"/>
  <c r="AI627" i="6" s="1"/>
  <c r="AC627" i="6"/>
  <c r="AD627" i="6"/>
  <c r="AE627" i="6"/>
  <c r="AF627" i="6"/>
  <c r="AG627" i="6"/>
  <c r="AH627" i="6"/>
  <c r="R628" i="6"/>
  <c r="AI628" i="6" s="1"/>
  <c r="AC628" i="6"/>
  <c r="AD628" i="6"/>
  <c r="AE628" i="6"/>
  <c r="AF628" i="6"/>
  <c r="AG628" i="6"/>
  <c r="AH628" i="6"/>
  <c r="R629" i="6"/>
  <c r="AI629" i="6" s="1"/>
  <c r="AC629" i="6"/>
  <c r="AD629" i="6"/>
  <c r="AE629" i="6"/>
  <c r="AF629" i="6"/>
  <c r="AG629" i="6"/>
  <c r="AH629" i="6"/>
  <c r="R630" i="6"/>
  <c r="AC630" i="6"/>
  <c r="AD630" i="6"/>
  <c r="AE630" i="6"/>
  <c r="AF630" i="6"/>
  <c r="AG630" i="6"/>
  <c r="AH630" i="6"/>
  <c r="AI630" i="6"/>
  <c r="R631" i="6"/>
  <c r="AC631" i="6"/>
  <c r="AD631" i="6"/>
  <c r="AE631" i="6"/>
  <c r="AF631" i="6"/>
  <c r="AG631" i="6"/>
  <c r="AH631" i="6"/>
  <c r="AI631" i="6"/>
  <c r="R632" i="6"/>
  <c r="AC632" i="6"/>
  <c r="AD632" i="6"/>
  <c r="AE632" i="6"/>
  <c r="AF632" i="6"/>
  <c r="AG632" i="6"/>
  <c r="AH632" i="6"/>
  <c r="AI632" i="6"/>
  <c r="R633" i="6"/>
  <c r="AC633" i="6"/>
  <c r="AD633" i="6"/>
  <c r="AE633" i="6"/>
  <c r="AF633" i="6"/>
  <c r="AG633" i="6"/>
  <c r="AH633" i="6"/>
  <c r="AI633" i="6"/>
  <c r="R634" i="6"/>
  <c r="AC634" i="6"/>
  <c r="AD634" i="6"/>
  <c r="AE634" i="6"/>
  <c r="AF634" i="6"/>
  <c r="AG634" i="6"/>
  <c r="AH634" i="6"/>
  <c r="AI634" i="6"/>
  <c r="R635" i="6"/>
  <c r="AI635" i="6" s="1"/>
  <c r="AC635" i="6"/>
  <c r="AD635" i="6"/>
  <c r="AE635" i="6"/>
  <c r="AF635" i="6"/>
  <c r="AG635" i="6"/>
  <c r="AH635" i="6"/>
  <c r="R636" i="6"/>
  <c r="AC636" i="6"/>
  <c r="AD636" i="6"/>
  <c r="AE636" i="6"/>
  <c r="AF636" i="6"/>
  <c r="AG636" i="6"/>
  <c r="AH636" i="6"/>
  <c r="AI636" i="6"/>
  <c r="R637" i="6"/>
  <c r="AI637" i="6" s="1"/>
  <c r="AC637" i="6"/>
  <c r="AD637" i="6"/>
  <c r="AE637" i="6"/>
  <c r="AF637" i="6"/>
  <c r="AG637" i="6"/>
  <c r="AH637" i="6"/>
  <c r="R638" i="6"/>
  <c r="AC638" i="6"/>
  <c r="AD638" i="6"/>
  <c r="AE638" i="6"/>
  <c r="AF638" i="6"/>
  <c r="AG638" i="6"/>
  <c r="AH638" i="6"/>
  <c r="AI638" i="6"/>
  <c r="R639" i="6"/>
  <c r="AI639" i="6" s="1"/>
  <c r="AC639" i="6"/>
  <c r="AD639" i="6"/>
  <c r="AE639" i="6"/>
  <c r="AF639" i="6"/>
  <c r="AG639" i="6"/>
  <c r="AH639" i="6"/>
  <c r="R640" i="6"/>
  <c r="AI640" i="6" s="1"/>
  <c r="AC640" i="6"/>
  <c r="AD640" i="6"/>
  <c r="AE640" i="6"/>
  <c r="AF640" i="6"/>
  <c r="AG640" i="6"/>
  <c r="AH640" i="6"/>
  <c r="R641" i="6"/>
  <c r="AC641" i="6"/>
  <c r="AD641" i="6"/>
  <c r="AE641" i="6"/>
  <c r="AF641" i="6"/>
  <c r="AG641" i="6"/>
  <c r="AH641" i="6"/>
  <c r="AI641" i="6"/>
  <c r="R642" i="6"/>
  <c r="AC642" i="6"/>
  <c r="AD642" i="6"/>
  <c r="AE642" i="6"/>
  <c r="AF642" i="6"/>
  <c r="AG642" i="6"/>
  <c r="AH642" i="6"/>
  <c r="AI642" i="6"/>
  <c r="R643" i="6"/>
  <c r="AC643" i="6"/>
  <c r="AD643" i="6"/>
  <c r="AE643" i="6"/>
  <c r="AF643" i="6"/>
  <c r="AG643" i="6"/>
  <c r="AH643" i="6"/>
  <c r="AI643" i="6"/>
  <c r="R644" i="6"/>
  <c r="AC644" i="6"/>
  <c r="AD644" i="6"/>
  <c r="AE644" i="6"/>
  <c r="AF644" i="6"/>
  <c r="AG644" i="6"/>
  <c r="AH644" i="6"/>
  <c r="AI644" i="6"/>
  <c r="R645" i="6"/>
  <c r="AI645" i="6" s="1"/>
  <c r="AC645" i="6"/>
  <c r="AD645" i="6"/>
  <c r="AE645" i="6"/>
  <c r="AF645" i="6"/>
  <c r="AG645" i="6"/>
  <c r="AH645" i="6"/>
  <c r="R646" i="6"/>
  <c r="AC646" i="6"/>
  <c r="AD646" i="6"/>
  <c r="AE646" i="6"/>
  <c r="AF646" i="6"/>
  <c r="AG646" i="6"/>
  <c r="AH646" i="6"/>
  <c r="AI646" i="6"/>
  <c r="R647" i="6"/>
  <c r="AI647" i="6" s="1"/>
  <c r="AC647" i="6"/>
  <c r="AD647" i="6"/>
  <c r="AE647" i="6"/>
  <c r="AF647" i="6"/>
  <c r="AG647" i="6"/>
  <c r="AH647" i="6"/>
  <c r="R648" i="6"/>
  <c r="AI648" i="6" s="1"/>
  <c r="AC648" i="6"/>
  <c r="AD648" i="6"/>
  <c r="AE648" i="6"/>
  <c r="AF648" i="6"/>
  <c r="AG648" i="6"/>
  <c r="AH648" i="6"/>
  <c r="R649" i="6"/>
  <c r="AC649" i="6"/>
  <c r="AD649" i="6"/>
  <c r="AE649" i="6"/>
  <c r="AF649" i="6"/>
  <c r="AG649" i="6"/>
  <c r="AH649" i="6"/>
  <c r="AI649" i="6"/>
  <c r="R650" i="6"/>
  <c r="AC650" i="6"/>
  <c r="AD650" i="6"/>
  <c r="AE650" i="6"/>
  <c r="AF650" i="6"/>
  <c r="AG650" i="6"/>
  <c r="AH650" i="6"/>
  <c r="AI650" i="6"/>
  <c r="R651" i="6"/>
  <c r="AC651" i="6"/>
  <c r="AD651" i="6"/>
  <c r="AE651" i="6"/>
  <c r="AF651" i="6"/>
  <c r="AG651" i="6"/>
  <c r="AH651" i="6"/>
  <c r="AI651" i="6"/>
  <c r="R652" i="6"/>
  <c r="AC652" i="6"/>
  <c r="AD652" i="6"/>
  <c r="AE652" i="6"/>
  <c r="AF652" i="6"/>
  <c r="AG652" i="6"/>
  <c r="AH652" i="6"/>
  <c r="AI652" i="6"/>
  <c r="R653" i="6"/>
  <c r="AI653" i="6" s="1"/>
  <c r="AC653" i="6"/>
  <c r="AD653" i="6"/>
  <c r="AE653" i="6"/>
  <c r="AF653" i="6"/>
  <c r="AG653" i="6"/>
  <c r="AH653" i="6"/>
  <c r="G36" i="6"/>
  <c r="E36" i="6"/>
  <c r="S36" i="6" s="1"/>
  <c r="T36" i="6" s="1"/>
  <c r="A36" i="6"/>
  <c r="D36" i="6" s="1"/>
  <c r="J35" i="6"/>
  <c r="G35" i="6"/>
  <c r="F35" i="6"/>
  <c r="E35" i="6"/>
  <c r="D35" i="6"/>
  <c r="C35" i="6"/>
  <c r="B35" i="6"/>
  <c r="B36" i="2"/>
  <c r="C36" i="2"/>
  <c r="D36" i="2"/>
  <c r="E36" i="2"/>
  <c r="F36" i="2"/>
  <c r="G36" i="2"/>
  <c r="J36" i="2"/>
  <c r="K36" i="2"/>
  <c r="L36" i="2"/>
  <c r="M36" i="2"/>
  <c r="R36" i="2"/>
  <c r="V36" i="2" s="1"/>
  <c r="AT36" i="2" s="1"/>
  <c r="W36" i="2"/>
  <c r="AA36" i="2" s="1"/>
  <c r="AN36" i="2"/>
  <c r="AO36" i="2"/>
  <c r="AP36" i="2"/>
  <c r="AQ36" i="2"/>
  <c r="AR36" i="2"/>
  <c r="AS36" i="2"/>
  <c r="B37" i="2"/>
  <c r="C37" i="2"/>
  <c r="D37" i="2"/>
  <c r="E37" i="2"/>
  <c r="W37" i="2" s="1"/>
  <c r="F37" i="2"/>
  <c r="G37" i="2"/>
  <c r="J37" i="2"/>
  <c r="K37" i="2"/>
  <c r="L37" i="2"/>
  <c r="M37" i="2"/>
  <c r="R37" i="2"/>
  <c r="AP37" i="2" s="1"/>
  <c r="V37" i="2"/>
  <c r="AT37" i="2" s="1"/>
  <c r="AN37" i="2"/>
  <c r="AO37" i="2"/>
  <c r="AQ37" i="2"/>
  <c r="AR37" i="2"/>
  <c r="AS37" i="2"/>
  <c r="B38" i="2"/>
  <c r="C38" i="2"/>
  <c r="D38" i="2"/>
  <c r="E38" i="2"/>
  <c r="F38" i="2"/>
  <c r="G38" i="2"/>
  <c r="J38" i="2"/>
  <c r="K38" i="2"/>
  <c r="L38" i="2"/>
  <c r="M38" i="2"/>
  <c r="R38" i="2"/>
  <c r="V38" i="2" s="1"/>
  <c r="AT38" i="2" s="1"/>
  <c r="W38" i="2"/>
  <c r="AC38" i="2" s="1"/>
  <c r="AB38" i="2"/>
  <c r="AN38" i="2"/>
  <c r="AO38" i="2"/>
  <c r="AP38" i="2"/>
  <c r="AQ38" i="2"/>
  <c r="AR38" i="2"/>
  <c r="AS38" i="2"/>
  <c r="B39" i="2"/>
  <c r="C39" i="2"/>
  <c r="D39" i="2"/>
  <c r="E39" i="2"/>
  <c r="W39" i="2" s="1"/>
  <c r="F39" i="2"/>
  <c r="G39" i="2"/>
  <c r="J39" i="2"/>
  <c r="K39" i="2"/>
  <c r="L39" i="2"/>
  <c r="M39" i="2"/>
  <c r="R39" i="2"/>
  <c r="V39" i="2"/>
  <c r="AT39" i="2" s="1"/>
  <c r="AN39" i="2"/>
  <c r="AO39" i="2"/>
  <c r="AP39" i="2"/>
  <c r="AQ39" i="2"/>
  <c r="AR39" i="2"/>
  <c r="AS39" i="2"/>
  <c r="B40" i="2"/>
  <c r="C40" i="2"/>
  <c r="D40" i="2"/>
  <c r="E40" i="2"/>
  <c r="W40" i="2" s="1"/>
  <c r="AC40" i="2" s="1"/>
  <c r="F40" i="2"/>
  <c r="G40" i="2"/>
  <c r="J40" i="2"/>
  <c r="K40" i="2"/>
  <c r="L40" i="2"/>
  <c r="M40" i="2"/>
  <c r="R40" i="2"/>
  <c r="AP40" i="2" s="1"/>
  <c r="V40" i="2"/>
  <c r="AN40" i="2"/>
  <c r="AO40" i="2"/>
  <c r="AQ40" i="2"/>
  <c r="AR40" i="2"/>
  <c r="AS40" i="2"/>
  <c r="AT40" i="2"/>
  <c r="B41" i="2"/>
  <c r="C41" i="2"/>
  <c r="D41" i="2"/>
  <c r="E41" i="2"/>
  <c r="W41" i="2" s="1"/>
  <c r="F41" i="2"/>
  <c r="G41" i="2"/>
  <c r="J41" i="2"/>
  <c r="K41" i="2"/>
  <c r="L41" i="2"/>
  <c r="M41" i="2"/>
  <c r="R41" i="2"/>
  <c r="V41" i="2"/>
  <c r="AT41" i="2" s="1"/>
  <c r="AN41" i="2"/>
  <c r="AO41" i="2"/>
  <c r="AP41" i="2"/>
  <c r="AQ41" i="2"/>
  <c r="AR41" i="2"/>
  <c r="AS41" i="2"/>
  <c r="B42" i="2"/>
  <c r="C42" i="2"/>
  <c r="D42" i="2"/>
  <c r="E42" i="2"/>
  <c r="F42" i="2"/>
  <c r="G42" i="2"/>
  <c r="J42" i="2"/>
  <c r="K42" i="2"/>
  <c r="L42" i="2"/>
  <c r="M42" i="2"/>
  <c r="R42" i="2"/>
  <c r="AP42" i="2" s="1"/>
  <c r="W42" i="2"/>
  <c r="X42" i="2" s="1"/>
  <c r="AN42" i="2"/>
  <c r="AO42" i="2"/>
  <c r="AQ42" i="2"/>
  <c r="AR42" i="2"/>
  <c r="AS42" i="2"/>
  <c r="B43" i="2"/>
  <c r="C43" i="2"/>
  <c r="D43" i="2"/>
  <c r="E43" i="2"/>
  <c r="W43" i="2" s="1"/>
  <c r="AC43" i="2" s="1"/>
  <c r="F43" i="2"/>
  <c r="G43" i="2"/>
  <c r="J43" i="2"/>
  <c r="K43" i="2"/>
  <c r="L43" i="2"/>
  <c r="M43" i="2"/>
  <c r="R43" i="2"/>
  <c r="AN43" i="2"/>
  <c r="AO43" i="2"/>
  <c r="AQ43" i="2"/>
  <c r="AR43" i="2"/>
  <c r="AS43" i="2"/>
  <c r="B44" i="2"/>
  <c r="C44" i="2"/>
  <c r="D44" i="2"/>
  <c r="E44" i="2"/>
  <c r="F44" i="2"/>
  <c r="G44" i="2"/>
  <c r="J44" i="2"/>
  <c r="K44" i="2"/>
  <c r="L44" i="2"/>
  <c r="M44" i="2"/>
  <c r="R44" i="2"/>
  <c r="V44" i="2" s="1"/>
  <c r="AT44" i="2" s="1"/>
  <c r="W44" i="2"/>
  <c r="AN44" i="2"/>
  <c r="AO44" i="2"/>
  <c r="AP44" i="2"/>
  <c r="AQ44" i="2"/>
  <c r="AR44" i="2"/>
  <c r="AS44" i="2"/>
  <c r="B45" i="2"/>
  <c r="C45" i="2"/>
  <c r="D45" i="2"/>
  <c r="E45" i="2"/>
  <c r="F45" i="2"/>
  <c r="G45" i="2"/>
  <c r="J45" i="2"/>
  <c r="K45" i="2"/>
  <c r="L45" i="2"/>
  <c r="M45" i="2"/>
  <c r="R45" i="2"/>
  <c r="AP45" i="2" s="1"/>
  <c r="V45" i="2"/>
  <c r="AT45" i="2" s="1"/>
  <c r="W45" i="2"/>
  <c r="AN45" i="2"/>
  <c r="AO45" i="2"/>
  <c r="AQ45" i="2"/>
  <c r="AR45" i="2"/>
  <c r="AS45" i="2"/>
  <c r="B46" i="2"/>
  <c r="C46" i="2"/>
  <c r="D46" i="2"/>
  <c r="E46" i="2"/>
  <c r="F46" i="2"/>
  <c r="G46" i="2"/>
  <c r="J46" i="2"/>
  <c r="K46" i="2"/>
  <c r="L46" i="2"/>
  <c r="M46" i="2"/>
  <c r="R46" i="2"/>
  <c r="V46" i="2"/>
  <c r="AT46" i="2" s="1"/>
  <c r="W46" i="2"/>
  <c r="AC46" i="2" s="1"/>
  <c r="AN46" i="2"/>
  <c r="AO46" i="2"/>
  <c r="AP46" i="2"/>
  <c r="AQ46" i="2"/>
  <c r="AR46" i="2"/>
  <c r="AS46" i="2"/>
  <c r="B47" i="2"/>
  <c r="C47" i="2"/>
  <c r="D47" i="2"/>
  <c r="E47" i="2"/>
  <c r="W47" i="2" s="1"/>
  <c r="X47" i="2" s="1"/>
  <c r="F47" i="2"/>
  <c r="G47" i="2"/>
  <c r="J47" i="2"/>
  <c r="K47" i="2"/>
  <c r="L47" i="2"/>
  <c r="M47" i="2"/>
  <c r="R47" i="2"/>
  <c r="V47" i="2"/>
  <c r="AT47" i="2" s="1"/>
  <c r="AN47" i="2"/>
  <c r="AO47" i="2"/>
  <c r="AP47" i="2"/>
  <c r="AQ47" i="2"/>
  <c r="AR47" i="2"/>
  <c r="AS47" i="2"/>
  <c r="B48" i="2"/>
  <c r="C48" i="2"/>
  <c r="D48" i="2"/>
  <c r="E48" i="2"/>
  <c r="W48" i="2" s="1"/>
  <c r="AC48" i="2" s="1"/>
  <c r="F48" i="2"/>
  <c r="G48" i="2"/>
  <c r="J48" i="2"/>
  <c r="K48" i="2"/>
  <c r="L48" i="2"/>
  <c r="M48" i="2"/>
  <c r="R48" i="2"/>
  <c r="AP48" i="2" s="1"/>
  <c r="V48" i="2"/>
  <c r="AN48" i="2"/>
  <c r="AO48" i="2"/>
  <c r="AQ48" i="2"/>
  <c r="AR48" i="2"/>
  <c r="AS48" i="2"/>
  <c r="AT48" i="2"/>
  <c r="B49" i="2"/>
  <c r="C49" i="2"/>
  <c r="D49" i="2"/>
  <c r="E49" i="2"/>
  <c r="W49" i="2" s="1"/>
  <c r="AA49" i="2" s="1"/>
  <c r="F49" i="2"/>
  <c r="G49" i="2"/>
  <c r="J49" i="2"/>
  <c r="K49" i="2"/>
  <c r="L49" i="2"/>
  <c r="M49" i="2"/>
  <c r="R49" i="2"/>
  <c r="AP49" i="2" s="1"/>
  <c r="V49" i="2"/>
  <c r="AT49" i="2" s="1"/>
  <c r="AN49" i="2"/>
  <c r="AO49" i="2"/>
  <c r="AQ49" i="2"/>
  <c r="AR49" i="2"/>
  <c r="AS49" i="2"/>
  <c r="B50" i="2"/>
  <c r="C50" i="2"/>
  <c r="D50" i="2"/>
  <c r="E50" i="2"/>
  <c r="F50" i="2"/>
  <c r="G50" i="2"/>
  <c r="J50" i="2"/>
  <c r="K50" i="2"/>
  <c r="L50" i="2"/>
  <c r="M50" i="2"/>
  <c r="R50" i="2"/>
  <c r="AP50" i="2" s="1"/>
  <c r="W50" i="2"/>
  <c r="X50" i="2" s="1"/>
  <c r="AN50" i="2"/>
  <c r="AO50" i="2"/>
  <c r="AQ50" i="2"/>
  <c r="AR50" i="2"/>
  <c r="AS50" i="2"/>
  <c r="B51" i="2"/>
  <c r="C51" i="2"/>
  <c r="D51" i="2"/>
  <c r="E51" i="2"/>
  <c r="F51" i="2"/>
  <c r="G51" i="2"/>
  <c r="J51" i="2"/>
  <c r="K51" i="2"/>
  <c r="L51" i="2"/>
  <c r="M51" i="2"/>
  <c r="R51" i="2"/>
  <c r="W51" i="2"/>
  <c r="Y51" i="2" s="1"/>
  <c r="AN51" i="2"/>
  <c r="AO51" i="2"/>
  <c r="AQ51" i="2"/>
  <c r="AR51" i="2"/>
  <c r="AS51" i="2"/>
  <c r="B52" i="2"/>
  <c r="C52" i="2"/>
  <c r="D52" i="2"/>
  <c r="E52" i="2"/>
  <c r="F52" i="2"/>
  <c r="G52" i="2"/>
  <c r="J52" i="2"/>
  <c r="K52" i="2"/>
  <c r="L52" i="2"/>
  <c r="M52" i="2"/>
  <c r="R52" i="2"/>
  <c r="V52" i="2" s="1"/>
  <c r="AT52" i="2" s="1"/>
  <c r="W52" i="2"/>
  <c r="AA52" i="2" s="1"/>
  <c r="AN52" i="2"/>
  <c r="AO52" i="2"/>
  <c r="AP52" i="2"/>
  <c r="AQ52" i="2"/>
  <c r="AR52" i="2"/>
  <c r="AS52" i="2"/>
  <c r="B53" i="2"/>
  <c r="C53" i="2"/>
  <c r="D53" i="2"/>
  <c r="E53" i="2"/>
  <c r="W53" i="2" s="1"/>
  <c r="F53" i="2"/>
  <c r="G53" i="2"/>
  <c r="J53" i="2"/>
  <c r="K53" i="2"/>
  <c r="L53" i="2"/>
  <c r="M53" i="2"/>
  <c r="R53" i="2"/>
  <c r="V53" i="2"/>
  <c r="AT53" i="2" s="1"/>
  <c r="AN53" i="2"/>
  <c r="AO53" i="2"/>
  <c r="AP53" i="2"/>
  <c r="AQ53" i="2"/>
  <c r="AR53" i="2"/>
  <c r="AS53" i="2"/>
  <c r="B54" i="2"/>
  <c r="C54" i="2"/>
  <c r="D54" i="2"/>
  <c r="E54" i="2"/>
  <c r="W54" i="2" s="1"/>
  <c r="AC54" i="2" s="1"/>
  <c r="F54" i="2"/>
  <c r="G54" i="2"/>
  <c r="J54" i="2"/>
  <c r="K54" i="2"/>
  <c r="L54" i="2"/>
  <c r="M54" i="2"/>
  <c r="R54" i="2"/>
  <c r="V54" i="2"/>
  <c r="AT54" i="2" s="1"/>
  <c r="AN54" i="2"/>
  <c r="AO54" i="2"/>
  <c r="AP54" i="2"/>
  <c r="AQ54" i="2"/>
  <c r="AR54" i="2"/>
  <c r="AS54" i="2"/>
  <c r="B55" i="2"/>
  <c r="C55" i="2"/>
  <c r="D55" i="2"/>
  <c r="E55" i="2"/>
  <c r="W55" i="2" s="1"/>
  <c r="X55" i="2" s="1"/>
  <c r="F55" i="2"/>
  <c r="G55" i="2"/>
  <c r="J55" i="2"/>
  <c r="K55" i="2"/>
  <c r="L55" i="2"/>
  <c r="M55" i="2"/>
  <c r="R55" i="2"/>
  <c r="V55" i="2"/>
  <c r="AT55" i="2" s="1"/>
  <c r="AN55" i="2"/>
  <c r="AO55" i="2"/>
  <c r="AP55" i="2"/>
  <c r="AQ55" i="2"/>
  <c r="AR55" i="2"/>
  <c r="AS55" i="2"/>
  <c r="B56" i="2"/>
  <c r="C56" i="2"/>
  <c r="D56" i="2"/>
  <c r="E56" i="2"/>
  <c r="W56" i="2" s="1"/>
  <c r="AC56" i="2" s="1"/>
  <c r="F56" i="2"/>
  <c r="G56" i="2"/>
  <c r="J56" i="2"/>
  <c r="K56" i="2"/>
  <c r="L56" i="2"/>
  <c r="M56" i="2"/>
  <c r="R56" i="2"/>
  <c r="AP56" i="2" s="1"/>
  <c r="V56" i="2"/>
  <c r="AN56" i="2"/>
  <c r="AO56" i="2"/>
  <c r="AQ56" i="2"/>
  <c r="AR56" i="2"/>
  <c r="AS56" i="2"/>
  <c r="AT56" i="2"/>
  <c r="B57" i="2"/>
  <c r="C57" i="2"/>
  <c r="D57" i="2"/>
  <c r="E57" i="2"/>
  <c r="W57" i="2" s="1"/>
  <c r="AA57" i="2" s="1"/>
  <c r="F57" i="2"/>
  <c r="G57" i="2"/>
  <c r="J57" i="2"/>
  <c r="K57" i="2"/>
  <c r="L57" i="2"/>
  <c r="M57" i="2"/>
  <c r="R57" i="2"/>
  <c r="AP57" i="2" s="1"/>
  <c r="V57" i="2"/>
  <c r="AT57" i="2" s="1"/>
  <c r="AN57" i="2"/>
  <c r="AO57" i="2"/>
  <c r="AQ57" i="2"/>
  <c r="AR57" i="2"/>
  <c r="AS57" i="2"/>
  <c r="B58" i="2"/>
  <c r="C58" i="2"/>
  <c r="D58" i="2"/>
  <c r="E58" i="2"/>
  <c r="F58" i="2"/>
  <c r="G58" i="2"/>
  <c r="J58" i="2"/>
  <c r="K58" i="2"/>
  <c r="L58" i="2"/>
  <c r="M58" i="2"/>
  <c r="R58" i="2"/>
  <c r="AP58" i="2" s="1"/>
  <c r="W58" i="2"/>
  <c r="X58" i="2" s="1"/>
  <c r="AN58" i="2"/>
  <c r="AO58" i="2"/>
  <c r="AQ58" i="2"/>
  <c r="AR58" i="2"/>
  <c r="AS58" i="2"/>
  <c r="B59" i="2"/>
  <c r="C59" i="2"/>
  <c r="D59" i="2"/>
  <c r="E59" i="2"/>
  <c r="F59" i="2"/>
  <c r="G59" i="2"/>
  <c r="J59" i="2"/>
  <c r="K59" i="2"/>
  <c r="L59" i="2"/>
  <c r="M59" i="2"/>
  <c r="R59" i="2"/>
  <c r="W59" i="2"/>
  <c r="Y59" i="2" s="1"/>
  <c r="AC59" i="2"/>
  <c r="AN59" i="2"/>
  <c r="AO59" i="2"/>
  <c r="AQ59" i="2"/>
  <c r="AR59" i="2"/>
  <c r="AS59" i="2"/>
  <c r="B60" i="2"/>
  <c r="C60" i="2"/>
  <c r="D60" i="2"/>
  <c r="E60" i="2"/>
  <c r="F60" i="2"/>
  <c r="G60" i="2"/>
  <c r="J60" i="2"/>
  <c r="K60" i="2"/>
  <c r="L60" i="2"/>
  <c r="M60" i="2"/>
  <c r="R60" i="2"/>
  <c r="V60" i="2" s="1"/>
  <c r="AT60" i="2" s="1"/>
  <c r="W60" i="2"/>
  <c r="AA60" i="2" s="1"/>
  <c r="AN60" i="2"/>
  <c r="AO60" i="2"/>
  <c r="AP60" i="2"/>
  <c r="AQ60" i="2"/>
  <c r="AR60" i="2"/>
  <c r="AS60" i="2"/>
  <c r="B61" i="2"/>
  <c r="C61" i="2"/>
  <c r="D61" i="2"/>
  <c r="E61" i="2"/>
  <c r="W61" i="2" s="1"/>
  <c r="F61" i="2"/>
  <c r="G61" i="2"/>
  <c r="J61" i="2"/>
  <c r="K61" i="2"/>
  <c r="L61" i="2"/>
  <c r="M61" i="2"/>
  <c r="R61" i="2"/>
  <c r="V61" i="2"/>
  <c r="AT61" i="2" s="1"/>
  <c r="AN61" i="2"/>
  <c r="AO61" i="2"/>
  <c r="AP61" i="2"/>
  <c r="AQ61" i="2"/>
  <c r="AR61" i="2"/>
  <c r="AS61" i="2"/>
  <c r="B62" i="2"/>
  <c r="C62" i="2"/>
  <c r="D62" i="2"/>
  <c r="E62" i="2"/>
  <c r="W62" i="2" s="1"/>
  <c r="AB62" i="2" s="1"/>
  <c r="F62" i="2"/>
  <c r="G62" i="2"/>
  <c r="J62" i="2"/>
  <c r="K62" i="2"/>
  <c r="L62" i="2"/>
  <c r="M62" i="2"/>
  <c r="R62" i="2"/>
  <c r="V62" i="2"/>
  <c r="AT62" i="2" s="1"/>
  <c r="AN62" i="2"/>
  <c r="AO62" i="2"/>
  <c r="AP62" i="2"/>
  <c r="AQ62" i="2"/>
  <c r="AR62" i="2"/>
  <c r="AS62" i="2"/>
  <c r="B63" i="2"/>
  <c r="C63" i="2"/>
  <c r="D63" i="2"/>
  <c r="E63" i="2"/>
  <c r="W63" i="2" s="1"/>
  <c r="X63" i="2" s="1"/>
  <c r="F63" i="2"/>
  <c r="G63" i="2"/>
  <c r="J63" i="2"/>
  <c r="K63" i="2"/>
  <c r="L63" i="2"/>
  <c r="M63" i="2"/>
  <c r="R63" i="2"/>
  <c r="V63" i="2"/>
  <c r="AT63" i="2" s="1"/>
  <c r="AN63" i="2"/>
  <c r="AO63" i="2"/>
  <c r="AP63" i="2"/>
  <c r="AQ63" i="2"/>
  <c r="AR63" i="2"/>
  <c r="AS63" i="2"/>
  <c r="B64" i="2"/>
  <c r="C64" i="2"/>
  <c r="D64" i="2"/>
  <c r="E64" i="2"/>
  <c r="W64" i="2" s="1"/>
  <c r="AC64" i="2" s="1"/>
  <c r="F64" i="2"/>
  <c r="G64" i="2"/>
  <c r="J64" i="2"/>
  <c r="K64" i="2"/>
  <c r="L64" i="2"/>
  <c r="M64" i="2"/>
  <c r="R64" i="2"/>
  <c r="AP64" i="2" s="1"/>
  <c r="V64" i="2"/>
  <c r="AN64" i="2"/>
  <c r="AO64" i="2"/>
  <c r="AQ64" i="2"/>
  <c r="AR64" i="2"/>
  <c r="AS64" i="2"/>
  <c r="AT64" i="2"/>
  <c r="B65" i="2"/>
  <c r="C65" i="2"/>
  <c r="D65" i="2"/>
  <c r="E65" i="2"/>
  <c r="W65" i="2" s="1"/>
  <c r="AA65" i="2" s="1"/>
  <c r="F65" i="2"/>
  <c r="G65" i="2"/>
  <c r="J65" i="2"/>
  <c r="K65" i="2"/>
  <c r="L65" i="2"/>
  <c r="M65" i="2"/>
  <c r="R65" i="2"/>
  <c r="AP65" i="2" s="1"/>
  <c r="V65" i="2"/>
  <c r="AT65" i="2" s="1"/>
  <c r="AN65" i="2"/>
  <c r="AO65" i="2"/>
  <c r="AQ65" i="2"/>
  <c r="AR65" i="2"/>
  <c r="AS65" i="2"/>
  <c r="B66" i="2"/>
  <c r="C66" i="2"/>
  <c r="D66" i="2"/>
  <c r="E66" i="2"/>
  <c r="F66" i="2"/>
  <c r="G66" i="2"/>
  <c r="J66" i="2"/>
  <c r="K66" i="2"/>
  <c r="L66" i="2"/>
  <c r="M66" i="2"/>
  <c r="R66" i="2"/>
  <c r="AP66" i="2" s="1"/>
  <c r="W66" i="2"/>
  <c r="X66" i="2" s="1"/>
  <c r="AN66" i="2"/>
  <c r="AO66" i="2"/>
  <c r="AQ66" i="2"/>
  <c r="AR66" i="2"/>
  <c r="AS66" i="2"/>
  <c r="B67" i="2"/>
  <c r="C67" i="2"/>
  <c r="D67" i="2"/>
  <c r="E67" i="2"/>
  <c r="F67" i="2"/>
  <c r="G67" i="2"/>
  <c r="J67" i="2"/>
  <c r="K67" i="2"/>
  <c r="L67" i="2"/>
  <c r="M67" i="2"/>
  <c r="R67" i="2"/>
  <c r="W67" i="2"/>
  <c r="Y67" i="2" s="1"/>
  <c r="AN67" i="2"/>
  <c r="AO67" i="2"/>
  <c r="AQ67" i="2"/>
  <c r="AR67" i="2"/>
  <c r="AS67" i="2"/>
  <c r="B68" i="2"/>
  <c r="C68" i="2"/>
  <c r="D68" i="2"/>
  <c r="E68" i="2"/>
  <c r="F68" i="2"/>
  <c r="G68" i="2"/>
  <c r="J68" i="2"/>
  <c r="K68" i="2"/>
  <c r="L68" i="2"/>
  <c r="M68" i="2"/>
  <c r="R68" i="2"/>
  <c r="V68" i="2" s="1"/>
  <c r="AT68" i="2" s="1"/>
  <c r="W68" i="2"/>
  <c r="AA68" i="2" s="1"/>
  <c r="AN68" i="2"/>
  <c r="AO68" i="2"/>
  <c r="AP68" i="2"/>
  <c r="AQ68" i="2"/>
  <c r="AR68" i="2"/>
  <c r="AS68" i="2"/>
  <c r="B69" i="2"/>
  <c r="C69" i="2"/>
  <c r="D69" i="2"/>
  <c r="E69" i="2"/>
  <c r="W69" i="2" s="1"/>
  <c r="F69" i="2"/>
  <c r="G69" i="2"/>
  <c r="J69" i="2"/>
  <c r="K69" i="2"/>
  <c r="L69" i="2"/>
  <c r="M69" i="2"/>
  <c r="R69" i="2"/>
  <c r="V69" i="2"/>
  <c r="AT69" i="2" s="1"/>
  <c r="AN69" i="2"/>
  <c r="AO69" i="2"/>
  <c r="AP69" i="2"/>
  <c r="AQ69" i="2"/>
  <c r="AR69" i="2"/>
  <c r="AS69" i="2"/>
  <c r="B70" i="2"/>
  <c r="C70" i="2"/>
  <c r="D70" i="2"/>
  <c r="E70" i="2"/>
  <c r="F70" i="2"/>
  <c r="G70" i="2"/>
  <c r="J70" i="2"/>
  <c r="K70" i="2"/>
  <c r="L70" i="2"/>
  <c r="M70" i="2"/>
  <c r="R70" i="2"/>
  <c r="V70" i="2"/>
  <c r="AT70" i="2" s="1"/>
  <c r="W70" i="2"/>
  <c r="AC70" i="2" s="1"/>
  <c r="AA70" i="2"/>
  <c r="AN70" i="2"/>
  <c r="AO70" i="2"/>
  <c r="AP70" i="2"/>
  <c r="AQ70" i="2"/>
  <c r="AR70" i="2"/>
  <c r="AS70" i="2"/>
  <c r="B71" i="2"/>
  <c r="C71" i="2"/>
  <c r="D71" i="2"/>
  <c r="E71" i="2"/>
  <c r="W71" i="2" s="1"/>
  <c r="Y71" i="2" s="1"/>
  <c r="F71" i="2"/>
  <c r="G71" i="2"/>
  <c r="J71" i="2"/>
  <c r="K71" i="2"/>
  <c r="L71" i="2"/>
  <c r="M71" i="2"/>
  <c r="R71" i="2"/>
  <c r="V71" i="2"/>
  <c r="AT71" i="2" s="1"/>
  <c r="X71" i="2"/>
  <c r="AN71" i="2"/>
  <c r="AO71" i="2"/>
  <c r="AP71" i="2"/>
  <c r="AQ71" i="2"/>
  <c r="AR71" i="2"/>
  <c r="AS71" i="2"/>
  <c r="B72" i="2"/>
  <c r="C72" i="2"/>
  <c r="D72" i="2"/>
  <c r="E72" i="2"/>
  <c r="W72" i="2" s="1"/>
  <c r="AA72" i="2" s="1"/>
  <c r="F72" i="2"/>
  <c r="G72" i="2"/>
  <c r="J72" i="2"/>
  <c r="K72" i="2"/>
  <c r="L72" i="2"/>
  <c r="M72" i="2"/>
  <c r="R72" i="2"/>
  <c r="V72" i="2" s="1"/>
  <c r="Y72" i="2"/>
  <c r="AN72" i="2"/>
  <c r="AO72" i="2"/>
  <c r="AP72" i="2"/>
  <c r="AQ72" i="2"/>
  <c r="AR72" i="2"/>
  <c r="AS72" i="2"/>
  <c r="AT72" i="2"/>
  <c r="B73" i="2"/>
  <c r="C73" i="2"/>
  <c r="D73" i="2"/>
  <c r="E73" i="2"/>
  <c r="W73" i="2" s="1"/>
  <c r="X73" i="2" s="1"/>
  <c r="F73" i="2"/>
  <c r="G73" i="2"/>
  <c r="J73" i="2"/>
  <c r="K73" i="2"/>
  <c r="L73" i="2"/>
  <c r="M73" i="2"/>
  <c r="R73" i="2"/>
  <c r="AP73" i="2" s="1"/>
  <c r="V73" i="2"/>
  <c r="AT73" i="2" s="1"/>
  <c r="AN73" i="2"/>
  <c r="AO73" i="2"/>
  <c r="AQ73" i="2"/>
  <c r="AR73" i="2"/>
  <c r="AS73" i="2"/>
  <c r="B74" i="2"/>
  <c r="C74" i="2"/>
  <c r="D74" i="2"/>
  <c r="E74" i="2"/>
  <c r="F74" i="2"/>
  <c r="G74" i="2"/>
  <c r="J74" i="2"/>
  <c r="K74" i="2"/>
  <c r="L74" i="2"/>
  <c r="M74" i="2"/>
  <c r="R74" i="2"/>
  <c r="W74" i="2"/>
  <c r="X74" i="2" s="1"/>
  <c r="AN74" i="2"/>
  <c r="AO74" i="2"/>
  <c r="AQ74" i="2"/>
  <c r="AR74" i="2"/>
  <c r="AS74" i="2"/>
  <c r="B75" i="2"/>
  <c r="C75" i="2"/>
  <c r="D75" i="2"/>
  <c r="E75" i="2"/>
  <c r="F75" i="2"/>
  <c r="G75" i="2"/>
  <c r="J75" i="2"/>
  <c r="K75" i="2"/>
  <c r="L75" i="2"/>
  <c r="M75" i="2"/>
  <c r="R75" i="2"/>
  <c r="W75" i="2"/>
  <c r="Y75" i="2" s="1"/>
  <c r="X75" i="2"/>
  <c r="Z75" i="2" s="1"/>
  <c r="AN75" i="2"/>
  <c r="AO75" i="2"/>
  <c r="AQ75" i="2"/>
  <c r="AR75" i="2"/>
  <c r="AS75" i="2"/>
  <c r="B76" i="2"/>
  <c r="C76" i="2"/>
  <c r="D76" i="2"/>
  <c r="E76" i="2"/>
  <c r="F76" i="2"/>
  <c r="G76" i="2"/>
  <c r="J76" i="2"/>
  <c r="K76" i="2"/>
  <c r="L76" i="2"/>
  <c r="M76" i="2"/>
  <c r="R76" i="2"/>
  <c r="V76" i="2" s="1"/>
  <c r="W76" i="2"/>
  <c r="Y76" i="2" s="1"/>
  <c r="AN76" i="2"/>
  <c r="AO76" i="2"/>
  <c r="AP76" i="2"/>
  <c r="AQ76" i="2"/>
  <c r="AR76" i="2"/>
  <c r="AS76" i="2"/>
  <c r="AT76" i="2"/>
  <c r="B77" i="2"/>
  <c r="C77" i="2"/>
  <c r="D77" i="2"/>
  <c r="E77" i="2"/>
  <c r="W77" i="2" s="1"/>
  <c r="F77" i="2"/>
  <c r="G77" i="2"/>
  <c r="J77" i="2"/>
  <c r="K77" i="2"/>
  <c r="L77" i="2"/>
  <c r="M77" i="2"/>
  <c r="R77" i="2"/>
  <c r="V77" i="2"/>
  <c r="AT77" i="2" s="1"/>
  <c r="AN77" i="2"/>
  <c r="AO77" i="2"/>
  <c r="AP77" i="2"/>
  <c r="AQ77" i="2"/>
  <c r="AR77" i="2"/>
  <c r="AS77" i="2"/>
  <c r="B78" i="2"/>
  <c r="C78" i="2"/>
  <c r="D78" i="2"/>
  <c r="E78" i="2"/>
  <c r="F78" i="2"/>
  <c r="G78" i="2"/>
  <c r="J78" i="2"/>
  <c r="K78" i="2"/>
  <c r="L78" i="2"/>
  <c r="M78" i="2"/>
  <c r="R78" i="2"/>
  <c r="V78" i="2"/>
  <c r="AT78" i="2" s="1"/>
  <c r="W78" i="2"/>
  <c r="Y78" i="2" s="1"/>
  <c r="AN78" i="2"/>
  <c r="AO78" i="2"/>
  <c r="AP78" i="2"/>
  <c r="AQ78" i="2"/>
  <c r="AR78" i="2"/>
  <c r="AS78" i="2"/>
  <c r="B79" i="2"/>
  <c r="C79" i="2"/>
  <c r="D79" i="2"/>
  <c r="E79" i="2"/>
  <c r="W79" i="2" s="1"/>
  <c r="X79" i="2" s="1"/>
  <c r="F79" i="2"/>
  <c r="G79" i="2"/>
  <c r="J79" i="2"/>
  <c r="K79" i="2"/>
  <c r="L79" i="2"/>
  <c r="M79" i="2"/>
  <c r="R79" i="2"/>
  <c r="V79" i="2"/>
  <c r="AT79" i="2" s="1"/>
  <c r="AN79" i="2"/>
  <c r="AO79" i="2"/>
  <c r="AP79" i="2"/>
  <c r="AQ79" i="2"/>
  <c r="AR79" i="2"/>
  <c r="AS79" i="2"/>
  <c r="B80" i="2"/>
  <c r="C80" i="2"/>
  <c r="D80" i="2"/>
  <c r="E80" i="2"/>
  <c r="W80" i="2" s="1"/>
  <c r="Y80" i="2" s="1"/>
  <c r="F80" i="2"/>
  <c r="G80" i="2"/>
  <c r="J80" i="2"/>
  <c r="K80" i="2"/>
  <c r="L80" i="2"/>
  <c r="M80" i="2"/>
  <c r="R80" i="2"/>
  <c r="V80" i="2"/>
  <c r="AT80" i="2" s="1"/>
  <c r="AN80" i="2"/>
  <c r="AO80" i="2"/>
  <c r="AP80" i="2"/>
  <c r="AQ80" i="2"/>
  <c r="AR80" i="2"/>
  <c r="AS80" i="2"/>
  <c r="B81" i="2"/>
  <c r="C81" i="2"/>
  <c r="D81" i="2"/>
  <c r="E81" i="2"/>
  <c r="W81" i="2" s="1"/>
  <c r="AA81" i="2" s="1"/>
  <c r="F81" i="2"/>
  <c r="G81" i="2"/>
  <c r="J81" i="2"/>
  <c r="K81" i="2"/>
  <c r="L81" i="2"/>
  <c r="M81" i="2"/>
  <c r="R81" i="2"/>
  <c r="AP81" i="2" s="1"/>
  <c r="V81" i="2"/>
  <c r="AT81" i="2" s="1"/>
  <c r="AN81" i="2"/>
  <c r="AO81" i="2"/>
  <c r="AQ81" i="2"/>
  <c r="AR81" i="2"/>
  <c r="AS81" i="2"/>
  <c r="B82" i="2"/>
  <c r="C82" i="2"/>
  <c r="D82" i="2"/>
  <c r="E82" i="2"/>
  <c r="F82" i="2"/>
  <c r="G82" i="2"/>
  <c r="J82" i="2"/>
  <c r="K82" i="2"/>
  <c r="L82" i="2"/>
  <c r="M82" i="2"/>
  <c r="R82" i="2"/>
  <c r="W82" i="2"/>
  <c r="AN82" i="2"/>
  <c r="AO82" i="2"/>
  <c r="AQ82" i="2"/>
  <c r="AR82" i="2"/>
  <c r="AS82" i="2"/>
  <c r="B83" i="2"/>
  <c r="C83" i="2"/>
  <c r="D83" i="2"/>
  <c r="E83" i="2"/>
  <c r="F83" i="2"/>
  <c r="G83" i="2"/>
  <c r="J83" i="2"/>
  <c r="K83" i="2"/>
  <c r="L83" i="2"/>
  <c r="M83" i="2"/>
  <c r="R83" i="2"/>
  <c r="W83" i="2"/>
  <c r="AB83" i="2" s="1"/>
  <c r="AN83" i="2"/>
  <c r="AO83" i="2"/>
  <c r="AQ83" i="2"/>
  <c r="AR83" i="2"/>
  <c r="AS83" i="2"/>
  <c r="B84" i="2"/>
  <c r="C84" i="2"/>
  <c r="D84" i="2"/>
  <c r="E84" i="2"/>
  <c r="W84" i="2" s="1"/>
  <c r="AC84" i="2" s="1"/>
  <c r="F84" i="2"/>
  <c r="G84" i="2"/>
  <c r="J84" i="2"/>
  <c r="K84" i="2"/>
  <c r="L84" i="2"/>
  <c r="M84" i="2"/>
  <c r="R84" i="2"/>
  <c r="V84" i="2" s="1"/>
  <c r="AT84" i="2" s="1"/>
  <c r="Y84" i="2"/>
  <c r="AN84" i="2"/>
  <c r="AO84" i="2"/>
  <c r="AP84" i="2"/>
  <c r="AQ84" i="2"/>
  <c r="AR84" i="2"/>
  <c r="AS84" i="2"/>
  <c r="B85" i="2"/>
  <c r="C85" i="2"/>
  <c r="D85" i="2"/>
  <c r="E85" i="2"/>
  <c r="W85" i="2" s="1"/>
  <c r="F85" i="2"/>
  <c r="G85" i="2"/>
  <c r="J85" i="2"/>
  <c r="K85" i="2"/>
  <c r="L85" i="2"/>
  <c r="M85" i="2"/>
  <c r="R85" i="2"/>
  <c r="V85" i="2"/>
  <c r="AT85" i="2" s="1"/>
  <c r="AN85" i="2"/>
  <c r="AO85" i="2"/>
  <c r="AP85" i="2"/>
  <c r="AQ85" i="2"/>
  <c r="AR85" i="2"/>
  <c r="AS85" i="2"/>
  <c r="B86" i="2"/>
  <c r="C86" i="2"/>
  <c r="D86" i="2"/>
  <c r="E86" i="2"/>
  <c r="W86" i="2" s="1"/>
  <c r="F86" i="2"/>
  <c r="G86" i="2"/>
  <c r="J86" i="2"/>
  <c r="K86" i="2"/>
  <c r="L86" i="2"/>
  <c r="M86" i="2"/>
  <c r="R86" i="2"/>
  <c r="AN86" i="2"/>
  <c r="AO86" i="2"/>
  <c r="AQ86" i="2"/>
  <c r="AR86" i="2"/>
  <c r="AS86" i="2"/>
  <c r="B87" i="2"/>
  <c r="C87" i="2"/>
  <c r="D87" i="2"/>
  <c r="E87" i="2"/>
  <c r="W87" i="2" s="1"/>
  <c r="AC87" i="2" s="1"/>
  <c r="F87" i="2"/>
  <c r="G87" i="2"/>
  <c r="J87" i="2"/>
  <c r="K87" i="2"/>
  <c r="L87" i="2"/>
  <c r="M87" i="2"/>
  <c r="R87" i="2"/>
  <c r="V87" i="2"/>
  <c r="AT87" i="2" s="1"/>
  <c r="AN87" i="2"/>
  <c r="AO87" i="2"/>
  <c r="AP87" i="2"/>
  <c r="AQ87" i="2"/>
  <c r="AR87" i="2"/>
  <c r="AS87" i="2"/>
  <c r="B88" i="2"/>
  <c r="C88" i="2"/>
  <c r="D88" i="2"/>
  <c r="E88" i="2"/>
  <c r="W88" i="2" s="1"/>
  <c r="F88" i="2"/>
  <c r="G88" i="2"/>
  <c r="J88" i="2"/>
  <c r="K88" i="2"/>
  <c r="L88" i="2"/>
  <c r="M88" i="2"/>
  <c r="R88" i="2"/>
  <c r="V88" i="2" s="1"/>
  <c r="AT88" i="2" s="1"/>
  <c r="AN88" i="2"/>
  <c r="AO88" i="2"/>
  <c r="AQ88" i="2"/>
  <c r="AR88" i="2"/>
  <c r="AS88" i="2"/>
  <c r="B89" i="2"/>
  <c r="C89" i="2"/>
  <c r="D89" i="2"/>
  <c r="E89" i="2"/>
  <c r="W89" i="2" s="1"/>
  <c r="Y89" i="2" s="1"/>
  <c r="F89" i="2"/>
  <c r="G89" i="2"/>
  <c r="J89" i="2"/>
  <c r="K89" i="2"/>
  <c r="L89" i="2"/>
  <c r="M89" i="2"/>
  <c r="R89" i="2"/>
  <c r="AP89" i="2" s="1"/>
  <c r="X89" i="2"/>
  <c r="Z89" i="2" s="1"/>
  <c r="AN89" i="2"/>
  <c r="AO89" i="2"/>
  <c r="AQ89" i="2"/>
  <c r="AR89" i="2"/>
  <c r="AS89" i="2"/>
  <c r="B90" i="2"/>
  <c r="C90" i="2"/>
  <c r="D90" i="2"/>
  <c r="E90" i="2"/>
  <c r="W90" i="2" s="1"/>
  <c r="AB90" i="2" s="1"/>
  <c r="F90" i="2"/>
  <c r="G90" i="2"/>
  <c r="J90" i="2"/>
  <c r="K90" i="2"/>
  <c r="L90" i="2"/>
  <c r="M90" i="2"/>
  <c r="R90" i="2"/>
  <c r="V90" i="2" s="1"/>
  <c r="AT90" i="2" s="1"/>
  <c r="AC90" i="2"/>
  <c r="AN90" i="2"/>
  <c r="AO90" i="2"/>
  <c r="AQ90" i="2"/>
  <c r="AR90" i="2"/>
  <c r="AS90" i="2"/>
  <c r="B91" i="2"/>
  <c r="C91" i="2"/>
  <c r="D91" i="2"/>
  <c r="E91" i="2"/>
  <c r="F91" i="2"/>
  <c r="G91" i="2"/>
  <c r="J91" i="2"/>
  <c r="K91" i="2"/>
  <c r="L91" i="2"/>
  <c r="M91" i="2"/>
  <c r="R91" i="2"/>
  <c r="AP91" i="2" s="1"/>
  <c r="W91" i="2"/>
  <c r="X91" i="2" s="1"/>
  <c r="AN91" i="2"/>
  <c r="AO91" i="2"/>
  <c r="AQ91" i="2"/>
  <c r="AR91" i="2"/>
  <c r="AS91" i="2"/>
  <c r="B92" i="2"/>
  <c r="C92" i="2"/>
  <c r="D92" i="2"/>
  <c r="E92" i="2"/>
  <c r="F92" i="2"/>
  <c r="G92" i="2"/>
  <c r="J92" i="2"/>
  <c r="K92" i="2"/>
  <c r="L92" i="2"/>
  <c r="M92" i="2"/>
  <c r="R92" i="2"/>
  <c r="V92" i="2" s="1"/>
  <c r="AT92" i="2" s="1"/>
  <c r="W92" i="2"/>
  <c r="X92" i="2" s="1"/>
  <c r="AN92" i="2"/>
  <c r="AO92" i="2"/>
  <c r="AQ92" i="2"/>
  <c r="AR92" i="2"/>
  <c r="AS92" i="2"/>
  <c r="B93" i="2"/>
  <c r="C93" i="2"/>
  <c r="D93" i="2"/>
  <c r="E93" i="2"/>
  <c r="F93" i="2"/>
  <c r="G93" i="2"/>
  <c r="J93" i="2"/>
  <c r="K93" i="2"/>
  <c r="L93" i="2"/>
  <c r="M93" i="2"/>
  <c r="R93" i="2"/>
  <c r="V93" i="2"/>
  <c r="AT93" i="2" s="1"/>
  <c r="W93" i="2"/>
  <c r="X93" i="2" s="1"/>
  <c r="AN93" i="2"/>
  <c r="AO93" i="2"/>
  <c r="AP93" i="2"/>
  <c r="AQ93" i="2"/>
  <c r="AR93" i="2"/>
  <c r="AS93" i="2"/>
  <c r="B94" i="2"/>
  <c r="C94" i="2"/>
  <c r="D94" i="2"/>
  <c r="E94" i="2"/>
  <c r="F94" i="2"/>
  <c r="G94" i="2"/>
  <c r="J94" i="2"/>
  <c r="K94" i="2"/>
  <c r="L94" i="2"/>
  <c r="M94" i="2"/>
  <c r="R94" i="2"/>
  <c r="V94" i="2" s="1"/>
  <c r="W94" i="2"/>
  <c r="X94" i="2" s="1"/>
  <c r="AN94" i="2"/>
  <c r="AO94" i="2"/>
  <c r="AP94" i="2"/>
  <c r="AQ94" i="2"/>
  <c r="AR94" i="2"/>
  <c r="AS94" i="2"/>
  <c r="AT94" i="2"/>
  <c r="B95" i="2"/>
  <c r="C95" i="2"/>
  <c r="D95" i="2"/>
  <c r="E95" i="2"/>
  <c r="W95" i="2" s="1"/>
  <c r="AC95" i="2" s="1"/>
  <c r="F95" i="2"/>
  <c r="G95" i="2"/>
  <c r="J95" i="2"/>
  <c r="K95" i="2"/>
  <c r="L95" i="2"/>
  <c r="M95" i="2"/>
  <c r="R95" i="2"/>
  <c r="V95" i="2"/>
  <c r="AT95" i="2" s="1"/>
  <c r="AA95" i="2"/>
  <c r="AN95" i="2"/>
  <c r="AO95" i="2"/>
  <c r="AP95" i="2"/>
  <c r="AQ95" i="2"/>
  <c r="AR95" i="2"/>
  <c r="AS95" i="2"/>
  <c r="B96" i="2"/>
  <c r="C96" i="2"/>
  <c r="D96" i="2"/>
  <c r="E96" i="2"/>
  <c r="W96" i="2" s="1"/>
  <c r="AA96" i="2" s="1"/>
  <c r="F96" i="2"/>
  <c r="G96" i="2"/>
  <c r="J96" i="2"/>
  <c r="K96" i="2"/>
  <c r="L96" i="2"/>
  <c r="M96" i="2"/>
  <c r="R96" i="2"/>
  <c r="AP96" i="2" s="1"/>
  <c r="V96" i="2"/>
  <c r="AN96" i="2"/>
  <c r="AO96" i="2"/>
  <c r="AQ96" i="2"/>
  <c r="AR96" i="2"/>
  <c r="AS96" i="2"/>
  <c r="AT96" i="2"/>
  <c r="B97" i="2"/>
  <c r="C97" i="2"/>
  <c r="D97" i="2"/>
  <c r="E97" i="2"/>
  <c r="W97" i="2" s="1"/>
  <c r="Y97" i="2" s="1"/>
  <c r="F97" i="2"/>
  <c r="G97" i="2"/>
  <c r="J97" i="2"/>
  <c r="K97" i="2"/>
  <c r="L97" i="2"/>
  <c r="M97" i="2"/>
  <c r="R97" i="2"/>
  <c r="V97" i="2" s="1"/>
  <c r="AT97" i="2" s="1"/>
  <c r="X97" i="2"/>
  <c r="Z97" i="2" s="1"/>
  <c r="AB97" i="2"/>
  <c r="AN97" i="2"/>
  <c r="AO97" i="2"/>
  <c r="AQ97" i="2"/>
  <c r="AR97" i="2"/>
  <c r="AS97" i="2"/>
  <c r="B98" i="2"/>
  <c r="C98" i="2"/>
  <c r="D98" i="2"/>
  <c r="E98" i="2"/>
  <c r="W98" i="2" s="1"/>
  <c r="X98" i="2" s="1"/>
  <c r="F98" i="2"/>
  <c r="G98" i="2"/>
  <c r="J98" i="2"/>
  <c r="K98" i="2"/>
  <c r="L98" i="2"/>
  <c r="M98" i="2"/>
  <c r="R98" i="2"/>
  <c r="V98" i="2"/>
  <c r="AT98" i="2" s="1"/>
  <c r="AN98" i="2"/>
  <c r="AO98" i="2"/>
  <c r="AP98" i="2"/>
  <c r="AQ98" i="2"/>
  <c r="AR98" i="2"/>
  <c r="AS98" i="2"/>
  <c r="B99" i="2"/>
  <c r="C99" i="2"/>
  <c r="D99" i="2"/>
  <c r="E99" i="2"/>
  <c r="W99" i="2" s="1"/>
  <c r="AC99" i="2" s="1"/>
  <c r="F99" i="2"/>
  <c r="G99" i="2"/>
  <c r="J99" i="2"/>
  <c r="K99" i="2"/>
  <c r="L99" i="2"/>
  <c r="M99" i="2"/>
  <c r="R99" i="2"/>
  <c r="AN99" i="2"/>
  <c r="AO99" i="2"/>
  <c r="AQ99" i="2"/>
  <c r="AR99" i="2"/>
  <c r="AS99" i="2"/>
  <c r="B100" i="2"/>
  <c r="C100" i="2"/>
  <c r="D100" i="2"/>
  <c r="E100" i="2"/>
  <c r="W100" i="2" s="1"/>
  <c r="F100" i="2"/>
  <c r="G100" i="2"/>
  <c r="J100" i="2"/>
  <c r="K100" i="2"/>
  <c r="L100" i="2"/>
  <c r="M100" i="2"/>
  <c r="R100" i="2"/>
  <c r="AP100" i="2" s="1"/>
  <c r="V100" i="2"/>
  <c r="AT100" i="2" s="1"/>
  <c r="AN100" i="2"/>
  <c r="AO100" i="2"/>
  <c r="AQ100" i="2"/>
  <c r="AR100" i="2"/>
  <c r="AS100" i="2"/>
  <c r="B101" i="2"/>
  <c r="C101" i="2"/>
  <c r="D101" i="2"/>
  <c r="E101" i="2"/>
  <c r="F101" i="2"/>
  <c r="G101" i="2"/>
  <c r="J101" i="2"/>
  <c r="K101" i="2"/>
  <c r="L101" i="2"/>
  <c r="M101" i="2"/>
  <c r="R101" i="2"/>
  <c r="V101" i="2" s="1"/>
  <c r="AT101" i="2" s="1"/>
  <c r="W101" i="2"/>
  <c r="AN101" i="2"/>
  <c r="AO101" i="2"/>
  <c r="AP101" i="2"/>
  <c r="AQ101" i="2"/>
  <c r="AR101" i="2"/>
  <c r="AS101" i="2"/>
  <c r="B102" i="2"/>
  <c r="C102" i="2"/>
  <c r="D102" i="2"/>
  <c r="E102" i="2"/>
  <c r="W102" i="2" s="1"/>
  <c r="AB102" i="2" s="1"/>
  <c r="F102" i="2"/>
  <c r="G102" i="2"/>
  <c r="J102" i="2"/>
  <c r="K102" i="2"/>
  <c r="L102" i="2"/>
  <c r="M102" i="2"/>
  <c r="R102" i="2"/>
  <c r="V102" i="2" s="1"/>
  <c r="AT102" i="2" s="1"/>
  <c r="AN102" i="2"/>
  <c r="AO102" i="2"/>
  <c r="AQ102" i="2"/>
  <c r="AR102" i="2"/>
  <c r="AS102" i="2"/>
  <c r="B103" i="2"/>
  <c r="C103" i="2"/>
  <c r="D103" i="2"/>
  <c r="E103" i="2"/>
  <c r="F103" i="2"/>
  <c r="G103" i="2"/>
  <c r="J103" i="2"/>
  <c r="K103" i="2"/>
  <c r="L103" i="2"/>
  <c r="M103" i="2"/>
  <c r="R103" i="2"/>
  <c r="V103" i="2" s="1"/>
  <c r="AT103" i="2" s="1"/>
  <c r="W103" i="2"/>
  <c r="AN103" i="2"/>
  <c r="AO103" i="2"/>
  <c r="AP103" i="2"/>
  <c r="AQ103" i="2"/>
  <c r="AR103" i="2"/>
  <c r="AS103" i="2"/>
  <c r="B104" i="2"/>
  <c r="C104" i="2"/>
  <c r="D104" i="2"/>
  <c r="E104" i="2"/>
  <c r="W104" i="2" s="1"/>
  <c r="F104" i="2"/>
  <c r="G104" i="2"/>
  <c r="J104" i="2"/>
  <c r="K104" i="2"/>
  <c r="L104" i="2"/>
  <c r="M104" i="2"/>
  <c r="R104" i="2"/>
  <c r="V104" i="2"/>
  <c r="AT104" i="2" s="1"/>
  <c r="AN104" i="2"/>
  <c r="AO104" i="2"/>
  <c r="AP104" i="2"/>
  <c r="AQ104" i="2"/>
  <c r="AR104" i="2"/>
  <c r="AS104" i="2"/>
  <c r="B105" i="2"/>
  <c r="C105" i="2"/>
  <c r="D105" i="2"/>
  <c r="E105" i="2"/>
  <c r="F105" i="2"/>
  <c r="G105" i="2"/>
  <c r="J105" i="2"/>
  <c r="K105" i="2"/>
  <c r="L105" i="2"/>
  <c r="M105" i="2"/>
  <c r="R105" i="2"/>
  <c r="V105" i="2" s="1"/>
  <c r="AT105" i="2" s="1"/>
  <c r="W105" i="2"/>
  <c r="AC105" i="2" s="1"/>
  <c r="AN105" i="2"/>
  <c r="AO105" i="2"/>
  <c r="AQ105" i="2"/>
  <c r="AR105" i="2"/>
  <c r="AS105" i="2"/>
  <c r="R106" i="2"/>
  <c r="V106" i="2"/>
  <c r="AT106" i="2" s="1"/>
  <c r="AN106" i="2"/>
  <c r="AO106" i="2"/>
  <c r="AP106" i="2"/>
  <c r="AQ106" i="2"/>
  <c r="AR106" i="2"/>
  <c r="AS106" i="2"/>
  <c r="R107" i="2"/>
  <c r="AP107" i="2" s="1"/>
  <c r="AN107" i="2"/>
  <c r="AO107" i="2"/>
  <c r="AQ107" i="2"/>
  <c r="AR107" i="2"/>
  <c r="AS107" i="2"/>
  <c r="R108" i="2"/>
  <c r="AP108" i="2" s="1"/>
  <c r="V108" i="2"/>
  <c r="AT108" i="2" s="1"/>
  <c r="AN108" i="2"/>
  <c r="AO108" i="2"/>
  <c r="AQ108" i="2"/>
  <c r="AR108" i="2"/>
  <c r="AS108" i="2"/>
  <c r="R109" i="2"/>
  <c r="V109" i="2" s="1"/>
  <c r="AT109" i="2" s="1"/>
  <c r="AN109" i="2"/>
  <c r="AO109" i="2"/>
  <c r="AP109" i="2"/>
  <c r="AQ109" i="2"/>
  <c r="AR109" i="2"/>
  <c r="AS109" i="2"/>
  <c r="R110" i="2"/>
  <c r="AP110" i="2" s="1"/>
  <c r="V110" i="2"/>
  <c r="AN110" i="2"/>
  <c r="AO110" i="2"/>
  <c r="AQ110" i="2"/>
  <c r="AR110" i="2"/>
  <c r="AS110" i="2"/>
  <c r="AT110" i="2"/>
  <c r="R111" i="2"/>
  <c r="V111" i="2" s="1"/>
  <c r="AT111" i="2" s="1"/>
  <c r="AN111" i="2"/>
  <c r="AO111" i="2"/>
  <c r="AP111" i="2"/>
  <c r="AQ111" i="2"/>
  <c r="AR111" i="2"/>
  <c r="AS111" i="2"/>
  <c r="R112" i="2"/>
  <c r="V112" i="2"/>
  <c r="AT112" i="2" s="1"/>
  <c r="AN112" i="2"/>
  <c r="AO112" i="2"/>
  <c r="AP112" i="2"/>
  <c r="AQ112" i="2"/>
  <c r="AR112" i="2"/>
  <c r="AS112" i="2"/>
  <c r="R113" i="2"/>
  <c r="AN113" i="2"/>
  <c r="AO113" i="2"/>
  <c r="AQ113" i="2"/>
  <c r="AR113" i="2"/>
  <c r="AS113" i="2"/>
  <c r="R114" i="2"/>
  <c r="V114" i="2"/>
  <c r="AT114" i="2" s="1"/>
  <c r="AN114" i="2"/>
  <c r="AO114" i="2"/>
  <c r="AP114" i="2"/>
  <c r="AQ114" i="2"/>
  <c r="AR114" i="2"/>
  <c r="AS114" i="2"/>
  <c r="R115" i="2"/>
  <c r="V115" i="2"/>
  <c r="AN115" i="2"/>
  <c r="AO115" i="2"/>
  <c r="AP115" i="2"/>
  <c r="AQ115" i="2"/>
  <c r="AR115" i="2"/>
  <c r="AS115" i="2"/>
  <c r="AT115" i="2"/>
  <c r="R116" i="2"/>
  <c r="AP116" i="2" s="1"/>
  <c r="V116" i="2"/>
  <c r="AT116" i="2" s="1"/>
  <c r="AN116" i="2"/>
  <c r="AO116" i="2"/>
  <c r="AQ116" i="2"/>
  <c r="AR116" i="2"/>
  <c r="AS116" i="2"/>
  <c r="R117" i="2"/>
  <c r="V117" i="2" s="1"/>
  <c r="AN117" i="2"/>
  <c r="AO117" i="2"/>
  <c r="AP117" i="2"/>
  <c r="AQ117" i="2"/>
  <c r="AR117" i="2"/>
  <c r="AS117" i="2"/>
  <c r="AT117" i="2"/>
  <c r="R118" i="2"/>
  <c r="AP118" i="2" s="1"/>
  <c r="AN118" i="2"/>
  <c r="AO118" i="2"/>
  <c r="AQ118" i="2"/>
  <c r="AR118" i="2"/>
  <c r="AS118" i="2"/>
  <c r="R119" i="2"/>
  <c r="V119" i="2" s="1"/>
  <c r="AT119" i="2" s="1"/>
  <c r="AN119" i="2"/>
  <c r="AO119" i="2"/>
  <c r="AP119" i="2"/>
  <c r="AQ119" i="2"/>
  <c r="AR119" i="2"/>
  <c r="AS119" i="2"/>
  <c r="R120" i="2"/>
  <c r="V120" i="2"/>
  <c r="AT120" i="2" s="1"/>
  <c r="AN120" i="2"/>
  <c r="AO120" i="2"/>
  <c r="AP120" i="2"/>
  <c r="AQ120" i="2"/>
  <c r="AR120" i="2"/>
  <c r="AS120" i="2"/>
  <c r="R121" i="2"/>
  <c r="V121" i="2" s="1"/>
  <c r="AT121" i="2" s="1"/>
  <c r="AN121" i="2"/>
  <c r="AO121" i="2"/>
  <c r="AP121" i="2"/>
  <c r="AQ121" i="2"/>
  <c r="AR121" i="2"/>
  <c r="AS121" i="2"/>
  <c r="R122" i="2"/>
  <c r="V122" i="2"/>
  <c r="AT122" i="2" s="1"/>
  <c r="AN122" i="2"/>
  <c r="AO122" i="2"/>
  <c r="AP122" i="2"/>
  <c r="AQ122" i="2"/>
  <c r="AR122" i="2"/>
  <c r="AS122" i="2"/>
  <c r="R123" i="2"/>
  <c r="V123" i="2"/>
  <c r="AN123" i="2"/>
  <c r="AO123" i="2"/>
  <c r="AP123" i="2"/>
  <c r="AQ123" i="2"/>
  <c r="AR123" i="2"/>
  <c r="AS123" i="2"/>
  <c r="AT123" i="2"/>
  <c r="R124" i="2"/>
  <c r="AP124" i="2" s="1"/>
  <c r="V124" i="2"/>
  <c r="AT124" i="2" s="1"/>
  <c r="AN124" i="2"/>
  <c r="AO124" i="2"/>
  <c r="AQ124" i="2"/>
  <c r="AR124" i="2"/>
  <c r="AS124" i="2"/>
  <c r="R125" i="2"/>
  <c r="V125" i="2" s="1"/>
  <c r="AT125" i="2" s="1"/>
  <c r="AN125" i="2"/>
  <c r="AO125" i="2"/>
  <c r="AP125" i="2"/>
  <c r="AQ125" i="2"/>
  <c r="AR125" i="2"/>
  <c r="AS125" i="2"/>
  <c r="R126" i="2"/>
  <c r="AP126" i="2" s="1"/>
  <c r="V126" i="2"/>
  <c r="AT126" i="2" s="1"/>
  <c r="AN126" i="2"/>
  <c r="AO126" i="2"/>
  <c r="AQ126" i="2"/>
  <c r="AR126" i="2"/>
  <c r="AS126" i="2"/>
  <c r="R127" i="2"/>
  <c r="V127" i="2" s="1"/>
  <c r="AT127" i="2" s="1"/>
  <c r="AN127" i="2"/>
  <c r="AO127" i="2"/>
  <c r="AP127" i="2"/>
  <c r="AQ127" i="2"/>
  <c r="AR127" i="2"/>
  <c r="AS127" i="2"/>
  <c r="R128" i="2"/>
  <c r="V128" i="2"/>
  <c r="AT128" i="2" s="1"/>
  <c r="AN128" i="2"/>
  <c r="AO128" i="2"/>
  <c r="AP128" i="2"/>
  <c r="AQ128" i="2"/>
  <c r="AR128" i="2"/>
  <c r="AS128" i="2"/>
  <c r="R129" i="2"/>
  <c r="V129" i="2"/>
  <c r="AT129" i="2" s="1"/>
  <c r="AN129" i="2"/>
  <c r="AO129" i="2"/>
  <c r="AP129" i="2"/>
  <c r="AQ129" i="2"/>
  <c r="AR129" i="2"/>
  <c r="AS129" i="2"/>
  <c r="R130" i="2"/>
  <c r="V130" i="2"/>
  <c r="AT130" i="2" s="1"/>
  <c r="AN130" i="2"/>
  <c r="AO130" i="2"/>
  <c r="AP130" i="2"/>
  <c r="AQ130" i="2"/>
  <c r="AR130" i="2"/>
  <c r="AS130" i="2"/>
  <c r="R131" i="2"/>
  <c r="AP131" i="2" s="1"/>
  <c r="AN131" i="2"/>
  <c r="AO131" i="2"/>
  <c r="AQ131" i="2"/>
  <c r="AR131" i="2"/>
  <c r="AS131" i="2"/>
  <c r="R132" i="2"/>
  <c r="AP132" i="2" s="1"/>
  <c r="AN132" i="2"/>
  <c r="AO132" i="2"/>
  <c r="AQ132" i="2"/>
  <c r="AR132" i="2"/>
  <c r="AS132" i="2"/>
  <c r="R133" i="2"/>
  <c r="V133" i="2" s="1"/>
  <c r="AN133" i="2"/>
  <c r="AO133" i="2"/>
  <c r="AQ133" i="2"/>
  <c r="AR133" i="2"/>
  <c r="AS133" i="2"/>
  <c r="AT133" i="2"/>
  <c r="R134" i="2"/>
  <c r="V134" i="2" s="1"/>
  <c r="AT134" i="2" s="1"/>
  <c r="AN134" i="2"/>
  <c r="AO134" i="2"/>
  <c r="AQ134" i="2"/>
  <c r="AR134" i="2"/>
  <c r="AS134" i="2"/>
  <c r="R135" i="2"/>
  <c r="V135" i="2" s="1"/>
  <c r="AT135" i="2" s="1"/>
  <c r="AN135" i="2"/>
  <c r="AO135" i="2"/>
  <c r="AP135" i="2"/>
  <c r="AQ135" i="2"/>
  <c r="AR135" i="2"/>
  <c r="AS135" i="2"/>
  <c r="R136" i="2"/>
  <c r="V136" i="2"/>
  <c r="AT136" i="2" s="1"/>
  <c r="AN136" i="2"/>
  <c r="AO136" i="2"/>
  <c r="AP136" i="2"/>
  <c r="AQ136" i="2"/>
  <c r="AR136" i="2"/>
  <c r="AS136" i="2"/>
  <c r="R137" i="2"/>
  <c r="V137" i="2"/>
  <c r="AT137" i="2" s="1"/>
  <c r="AN137" i="2"/>
  <c r="AO137" i="2"/>
  <c r="AP137" i="2"/>
  <c r="AQ137" i="2"/>
  <c r="AR137" i="2"/>
  <c r="AS137" i="2"/>
  <c r="R138" i="2"/>
  <c r="V138" i="2"/>
  <c r="AT138" i="2" s="1"/>
  <c r="AN138" i="2"/>
  <c r="AO138" i="2"/>
  <c r="AP138" i="2"/>
  <c r="AQ138" i="2"/>
  <c r="AR138" i="2"/>
  <c r="AS138" i="2"/>
  <c r="R139" i="2"/>
  <c r="V139" i="2" s="1"/>
  <c r="AT139" i="2" s="1"/>
  <c r="AN139" i="2"/>
  <c r="AO139" i="2"/>
  <c r="AQ139" i="2"/>
  <c r="AR139" i="2"/>
  <c r="AS139" i="2"/>
  <c r="R140" i="2"/>
  <c r="AN140" i="2"/>
  <c r="AO140" i="2"/>
  <c r="AQ140" i="2"/>
  <c r="AR140" i="2"/>
  <c r="AS140" i="2"/>
  <c r="R141" i="2"/>
  <c r="V141" i="2" s="1"/>
  <c r="AT141" i="2" s="1"/>
  <c r="AN141" i="2"/>
  <c r="AO141" i="2"/>
  <c r="AQ141" i="2"/>
  <c r="AR141" i="2"/>
  <c r="AS141" i="2"/>
  <c r="R142" i="2"/>
  <c r="V142" i="2" s="1"/>
  <c r="AT142" i="2" s="1"/>
  <c r="AN142" i="2"/>
  <c r="AO142" i="2"/>
  <c r="AQ142" i="2"/>
  <c r="AR142" i="2"/>
  <c r="AS142" i="2"/>
  <c r="R143" i="2"/>
  <c r="V143" i="2"/>
  <c r="AT143" i="2" s="1"/>
  <c r="AN143" i="2"/>
  <c r="AO143" i="2"/>
  <c r="AP143" i="2"/>
  <c r="AQ143" i="2"/>
  <c r="AR143" i="2"/>
  <c r="AS143" i="2"/>
  <c r="R144" i="2"/>
  <c r="V144" i="2"/>
  <c r="AT144" i="2" s="1"/>
  <c r="AN144" i="2"/>
  <c r="AO144" i="2"/>
  <c r="AP144" i="2"/>
  <c r="AQ144" i="2"/>
  <c r="AR144" i="2"/>
  <c r="AS144" i="2"/>
  <c r="R145" i="2"/>
  <c r="V145" i="2"/>
  <c r="AT145" i="2" s="1"/>
  <c r="AN145" i="2"/>
  <c r="AO145" i="2"/>
  <c r="AP145" i="2"/>
  <c r="AQ145" i="2"/>
  <c r="AR145" i="2"/>
  <c r="AS145" i="2"/>
  <c r="R146" i="2"/>
  <c r="V146" i="2"/>
  <c r="AT146" i="2" s="1"/>
  <c r="AN146" i="2"/>
  <c r="AO146" i="2"/>
  <c r="AP146" i="2"/>
  <c r="AQ146" i="2"/>
  <c r="AR146" i="2"/>
  <c r="AS146" i="2"/>
  <c r="R147" i="2"/>
  <c r="V147" i="2" s="1"/>
  <c r="AT147" i="2" s="1"/>
  <c r="AN147" i="2"/>
  <c r="AO147" i="2"/>
  <c r="AQ147" i="2"/>
  <c r="AR147" i="2"/>
  <c r="AS147" i="2"/>
  <c r="R148" i="2"/>
  <c r="AN148" i="2"/>
  <c r="AO148" i="2"/>
  <c r="AQ148" i="2"/>
  <c r="AR148" i="2"/>
  <c r="AS148" i="2"/>
  <c r="R149" i="2"/>
  <c r="V149" i="2" s="1"/>
  <c r="AT149" i="2" s="1"/>
  <c r="AN149" i="2"/>
  <c r="AO149" i="2"/>
  <c r="AQ149" i="2"/>
  <c r="AR149" i="2"/>
  <c r="AS149" i="2"/>
  <c r="R150" i="2"/>
  <c r="V150" i="2" s="1"/>
  <c r="AT150" i="2" s="1"/>
  <c r="AN150" i="2"/>
  <c r="AO150" i="2"/>
  <c r="AQ150" i="2"/>
  <c r="AR150" i="2"/>
  <c r="AS150" i="2"/>
  <c r="R151" i="2"/>
  <c r="V151" i="2"/>
  <c r="AT151" i="2" s="1"/>
  <c r="AN151" i="2"/>
  <c r="AO151" i="2"/>
  <c r="AP151" i="2"/>
  <c r="AQ151" i="2"/>
  <c r="AR151" i="2"/>
  <c r="AS151" i="2"/>
  <c r="R152" i="2"/>
  <c r="V152" i="2"/>
  <c r="AT152" i="2" s="1"/>
  <c r="AN152" i="2"/>
  <c r="AO152" i="2"/>
  <c r="AP152" i="2"/>
  <c r="AQ152" i="2"/>
  <c r="AR152" i="2"/>
  <c r="AS152" i="2"/>
  <c r="R153" i="2"/>
  <c r="V153" i="2"/>
  <c r="AT153" i="2" s="1"/>
  <c r="AN153" i="2"/>
  <c r="AO153" i="2"/>
  <c r="AP153" i="2"/>
  <c r="AQ153" i="2"/>
  <c r="AR153" i="2"/>
  <c r="AS153" i="2"/>
  <c r="R154" i="2"/>
  <c r="AP154" i="2" s="1"/>
  <c r="V154" i="2"/>
  <c r="AT154" i="2" s="1"/>
  <c r="AN154" i="2"/>
  <c r="AO154" i="2"/>
  <c r="AQ154" i="2"/>
  <c r="AR154" i="2"/>
  <c r="AS154" i="2"/>
  <c r="R155" i="2"/>
  <c r="V155" i="2" s="1"/>
  <c r="AT155" i="2" s="1"/>
  <c r="AN155" i="2"/>
  <c r="AO155" i="2"/>
  <c r="AQ155" i="2"/>
  <c r="AR155" i="2"/>
  <c r="AS155" i="2"/>
  <c r="R156" i="2"/>
  <c r="AN156" i="2"/>
  <c r="AO156" i="2"/>
  <c r="AQ156" i="2"/>
  <c r="AR156" i="2"/>
  <c r="AS156" i="2"/>
  <c r="R157" i="2"/>
  <c r="V157" i="2" s="1"/>
  <c r="AT157" i="2" s="1"/>
  <c r="AN157" i="2"/>
  <c r="AO157" i="2"/>
  <c r="AQ157" i="2"/>
  <c r="AR157" i="2"/>
  <c r="AS157" i="2"/>
  <c r="R158" i="2"/>
  <c r="V158" i="2" s="1"/>
  <c r="AT158" i="2" s="1"/>
  <c r="AN158" i="2"/>
  <c r="AO158" i="2"/>
  <c r="AP158" i="2"/>
  <c r="AQ158" i="2"/>
  <c r="AR158" i="2"/>
  <c r="AS158" i="2"/>
  <c r="R159" i="2"/>
  <c r="V159" i="2"/>
  <c r="AT159" i="2" s="1"/>
  <c r="AN159" i="2"/>
  <c r="AO159" i="2"/>
  <c r="AP159" i="2"/>
  <c r="AQ159" i="2"/>
  <c r="AR159" i="2"/>
  <c r="AS159" i="2"/>
  <c r="R160" i="2"/>
  <c r="V160" i="2"/>
  <c r="AT160" i="2" s="1"/>
  <c r="AN160" i="2"/>
  <c r="AO160" i="2"/>
  <c r="AP160" i="2"/>
  <c r="AQ160" i="2"/>
  <c r="AR160" i="2"/>
  <c r="AS160" i="2"/>
  <c r="R161" i="2"/>
  <c r="V161" i="2"/>
  <c r="AT161" i="2" s="1"/>
  <c r="AN161" i="2"/>
  <c r="AO161" i="2"/>
  <c r="AP161" i="2"/>
  <c r="AQ161" i="2"/>
  <c r="AR161" i="2"/>
  <c r="AS161" i="2"/>
  <c r="R162" i="2"/>
  <c r="AP162" i="2" s="1"/>
  <c r="V162" i="2"/>
  <c r="AT162" i="2" s="1"/>
  <c r="AN162" i="2"/>
  <c r="AO162" i="2"/>
  <c r="AQ162" i="2"/>
  <c r="AR162" i="2"/>
  <c r="AS162" i="2"/>
  <c r="R163" i="2"/>
  <c r="AN163" i="2"/>
  <c r="AO163" i="2"/>
  <c r="AQ163" i="2"/>
  <c r="AR163" i="2"/>
  <c r="AS163" i="2"/>
  <c r="R164" i="2"/>
  <c r="AN164" i="2"/>
  <c r="AO164" i="2"/>
  <c r="AQ164" i="2"/>
  <c r="AR164" i="2"/>
  <c r="AS164" i="2"/>
  <c r="R165" i="2"/>
  <c r="AN165" i="2"/>
  <c r="AO165" i="2"/>
  <c r="AQ165" i="2"/>
  <c r="AR165" i="2"/>
  <c r="AS165" i="2"/>
  <c r="R166" i="2"/>
  <c r="V166" i="2" s="1"/>
  <c r="AT166" i="2" s="1"/>
  <c r="AN166" i="2"/>
  <c r="AO166" i="2"/>
  <c r="AP166" i="2"/>
  <c r="AQ166" i="2"/>
  <c r="AR166" i="2"/>
  <c r="AS166" i="2"/>
  <c r="R167" i="2"/>
  <c r="V167" i="2"/>
  <c r="AT167" i="2" s="1"/>
  <c r="AN167" i="2"/>
  <c r="AO167" i="2"/>
  <c r="AP167" i="2"/>
  <c r="AQ167" i="2"/>
  <c r="AR167" i="2"/>
  <c r="AS167" i="2"/>
  <c r="R168" i="2"/>
  <c r="V168" i="2"/>
  <c r="AT168" i="2" s="1"/>
  <c r="AN168" i="2"/>
  <c r="AO168" i="2"/>
  <c r="AP168" i="2"/>
  <c r="AQ168" i="2"/>
  <c r="AR168" i="2"/>
  <c r="AS168" i="2"/>
  <c r="R169" i="2"/>
  <c r="V169" i="2"/>
  <c r="AT169" i="2" s="1"/>
  <c r="AN169" i="2"/>
  <c r="AO169" i="2"/>
  <c r="AP169" i="2"/>
  <c r="AQ169" i="2"/>
  <c r="AR169" i="2"/>
  <c r="AS169" i="2"/>
  <c r="R170" i="2"/>
  <c r="V170" i="2"/>
  <c r="AT170" i="2" s="1"/>
  <c r="AN170" i="2"/>
  <c r="AO170" i="2"/>
  <c r="AP170" i="2"/>
  <c r="AQ170" i="2"/>
  <c r="AR170" i="2"/>
  <c r="AS170" i="2"/>
  <c r="R171" i="2"/>
  <c r="AP171" i="2" s="1"/>
  <c r="V171" i="2"/>
  <c r="AT171" i="2" s="1"/>
  <c r="AN171" i="2"/>
  <c r="AO171" i="2"/>
  <c r="AQ171" i="2"/>
  <c r="AR171" i="2"/>
  <c r="AS171" i="2"/>
  <c r="R172" i="2"/>
  <c r="AN172" i="2"/>
  <c r="AO172" i="2"/>
  <c r="AQ172" i="2"/>
  <c r="AR172" i="2"/>
  <c r="AS172" i="2"/>
  <c r="R173" i="2"/>
  <c r="AN173" i="2"/>
  <c r="AO173" i="2"/>
  <c r="AQ173" i="2"/>
  <c r="AR173" i="2"/>
  <c r="AS173" i="2"/>
  <c r="R174" i="2"/>
  <c r="V174" i="2" s="1"/>
  <c r="AN174" i="2"/>
  <c r="AO174" i="2"/>
  <c r="AP174" i="2"/>
  <c r="AQ174" i="2"/>
  <c r="AR174" i="2"/>
  <c r="AS174" i="2"/>
  <c r="AT174" i="2"/>
  <c r="R175" i="2"/>
  <c r="V175" i="2" s="1"/>
  <c r="AT175" i="2" s="1"/>
  <c r="AN175" i="2"/>
  <c r="AO175" i="2"/>
  <c r="AQ175" i="2"/>
  <c r="AR175" i="2"/>
  <c r="AS175" i="2"/>
  <c r="R176" i="2"/>
  <c r="AP176" i="2" s="1"/>
  <c r="AN176" i="2"/>
  <c r="AO176" i="2"/>
  <c r="AQ176" i="2"/>
  <c r="AR176" i="2"/>
  <c r="AS176" i="2"/>
  <c r="R177" i="2"/>
  <c r="AN177" i="2"/>
  <c r="AO177" i="2"/>
  <c r="AQ177" i="2"/>
  <c r="AR177" i="2"/>
  <c r="AS177" i="2"/>
  <c r="R178" i="2"/>
  <c r="V178" i="2" s="1"/>
  <c r="AT178" i="2" s="1"/>
  <c r="AN178" i="2"/>
  <c r="AO178" i="2"/>
  <c r="AP178" i="2"/>
  <c r="AQ178" i="2"/>
  <c r="AR178" i="2"/>
  <c r="AS178" i="2"/>
  <c r="R179" i="2"/>
  <c r="V179" i="2"/>
  <c r="AT179" i="2" s="1"/>
  <c r="AN179" i="2"/>
  <c r="AO179" i="2"/>
  <c r="AP179" i="2"/>
  <c r="AQ179" i="2"/>
  <c r="AR179" i="2"/>
  <c r="AS179" i="2"/>
  <c r="R180" i="2"/>
  <c r="V180" i="2"/>
  <c r="AT180" i="2" s="1"/>
  <c r="AN180" i="2"/>
  <c r="AO180" i="2"/>
  <c r="AP180" i="2"/>
  <c r="AQ180" i="2"/>
  <c r="AR180" i="2"/>
  <c r="AS180" i="2"/>
  <c r="R181" i="2"/>
  <c r="V181" i="2" s="1"/>
  <c r="AT181" i="2" s="1"/>
  <c r="AN181" i="2"/>
  <c r="AO181" i="2"/>
  <c r="AP181" i="2"/>
  <c r="AQ181" i="2"/>
  <c r="AR181" i="2"/>
  <c r="AS181" i="2"/>
  <c r="R182" i="2"/>
  <c r="AP182" i="2" s="1"/>
  <c r="V182" i="2"/>
  <c r="AT182" i="2" s="1"/>
  <c r="AN182" i="2"/>
  <c r="AO182" i="2"/>
  <c r="AQ182" i="2"/>
  <c r="AR182" i="2"/>
  <c r="AS182" i="2"/>
  <c r="R183" i="2"/>
  <c r="AP183" i="2" s="1"/>
  <c r="V183" i="2"/>
  <c r="AT183" i="2" s="1"/>
  <c r="AN183" i="2"/>
  <c r="AO183" i="2"/>
  <c r="AQ183" i="2"/>
  <c r="AR183" i="2"/>
  <c r="AS183" i="2"/>
  <c r="R184" i="2"/>
  <c r="AP184" i="2" s="1"/>
  <c r="AN184" i="2"/>
  <c r="AO184" i="2"/>
  <c r="AQ184" i="2"/>
  <c r="AR184" i="2"/>
  <c r="AS184" i="2"/>
  <c r="R185" i="2"/>
  <c r="AN185" i="2"/>
  <c r="AO185" i="2"/>
  <c r="AQ185" i="2"/>
  <c r="AR185" i="2"/>
  <c r="AS185" i="2"/>
  <c r="R186" i="2"/>
  <c r="V186" i="2" s="1"/>
  <c r="AT186" i="2" s="1"/>
  <c r="AN186" i="2"/>
  <c r="AO186" i="2"/>
  <c r="AP186" i="2"/>
  <c r="AQ186" i="2"/>
  <c r="AR186" i="2"/>
  <c r="AS186" i="2"/>
  <c r="R187" i="2"/>
  <c r="V187" i="2"/>
  <c r="AT187" i="2" s="1"/>
  <c r="AN187" i="2"/>
  <c r="AO187" i="2"/>
  <c r="AP187" i="2"/>
  <c r="AQ187" i="2"/>
  <c r="AR187" i="2"/>
  <c r="AS187" i="2"/>
  <c r="R188" i="2"/>
  <c r="V188" i="2"/>
  <c r="AT188" i="2" s="1"/>
  <c r="AN188" i="2"/>
  <c r="AO188" i="2"/>
  <c r="AP188" i="2"/>
  <c r="AQ188" i="2"/>
  <c r="AR188" i="2"/>
  <c r="AS188" i="2"/>
  <c r="R189" i="2"/>
  <c r="V189" i="2" s="1"/>
  <c r="AT189" i="2" s="1"/>
  <c r="AN189" i="2"/>
  <c r="AO189" i="2"/>
  <c r="AP189" i="2"/>
  <c r="AQ189" i="2"/>
  <c r="AR189" i="2"/>
  <c r="AS189" i="2"/>
  <c r="R190" i="2"/>
  <c r="AP190" i="2" s="1"/>
  <c r="V190" i="2"/>
  <c r="AT190" i="2" s="1"/>
  <c r="AN190" i="2"/>
  <c r="AO190" i="2"/>
  <c r="AQ190" i="2"/>
  <c r="AR190" i="2"/>
  <c r="AS190" i="2"/>
  <c r="R191" i="2"/>
  <c r="AP191" i="2" s="1"/>
  <c r="V191" i="2"/>
  <c r="AT191" i="2" s="1"/>
  <c r="AN191" i="2"/>
  <c r="AO191" i="2"/>
  <c r="AQ191" i="2"/>
  <c r="AR191" i="2"/>
  <c r="AS191" i="2"/>
  <c r="R192" i="2"/>
  <c r="AP192" i="2" s="1"/>
  <c r="AN192" i="2"/>
  <c r="AO192" i="2"/>
  <c r="AQ192" i="2"/>
  <c r="AR192" i="2"/>
  <c r="AS192" i="2"/>
  <c r="R193" i="2"/>
  <c r="AN193" i="2"/>
  <c r="AO193" i="2"/>
  <c r="AQ193" i="2"/>
  <c r="AR193" i="2"/>
  <c r="AS193" i="2"/>
  <c r="R194" i="2"/>
  <c r="V194" i="2" s="1"/>
  <c r="AT194" i="2" s="1"/>
  <c r="AN194" i="2"/>
  <c r="AO194" i="2"/>
  <c r="AP194" i="2"/>
  <c r="AQ194" i="2"/>
  <c r="AR194" i="2"/>
  <c r="AS194" i="2"/>
  <c r="R195" i="2"/>
  <c r="V195" i="2"/>
  <c r="AT195" i="2" s="1"/>
  <c r="AN195" i="2"/>
  <c r="AO195" i="2"/>
  <c r="AP195" i="2"/>
  <c r="AQ195" i="2"/>
  <c r="AR195" i="2"/>
  <c r="AS195" i="2"/>
  <c r="R196" i="2"/>
  <c r="V196" i="2"/>
  <c r="AT196" i="2" s="1"/>
  <c r="AN196" i="2"/>
  <c r="AO196" i="2"/>
  <c r="AP196" i="2"/>
  <c r="AQ196" i="2"/>
  <c r="AR196" i="2"/>
  <c r="AS196" i="2"/>
  <c r="R197" i="2"/>
  <c r="V197" i="2" s="1"/>
  <c r="AT197" i="2" s="1"/>
  <c r="AN197" i="2"/>
  <c r="AO197" i="2"/>
  <c r="AP197" i="2"/>
  <c r="AQ197" i="2"/>
  <c r="AR197" i="2"/>
  <c r="AS197" i="2"/>
  <c r="R198" i="2"/>
  <c r="AP198" i="2" s="1"/>
  <c r="V198" i="2"/>
  <c r="AN198" i="2"/>
  <c r="AO198" i="2"/>
  <c r="AQ198" i="2"/>
  <c r="AR198" i="2"/>
  <c r="AS198" i="2"/>
  <c r="AT198" i="2"/>
  <c r="R199" i="2"/>
  <c r="AP199" i="2" s="1"/>
  <c r="V199" i="2"/>
  <c r="AT199" i="2" s="1"/>
  <c r="AN199" i="2"/>
  <c r="AO199" i="2"/>
  <c r="AQ199" i="2"/>
  <c r="AR199" i="2"/>
  <c r="AS199" i="2"/>
  <c r="R200" i="2"/>
  <c r="AP200" i="2" s="1"/>
  <c r="AN200" i="2"/>
  <c r="AO200" i="2"/>
  <c r="AQ200" i="2"/>
  <c r="AR200" i="2"/>
  <c r="AS200" i="2"/>
  <c r="R201" i="2"/>
  <c r="AN201" i="2"/>
  <c r="AO201" i="2"/>
  <c r="AQ201" i="2"/>
  <c r="AR201" i="2"/>
  <c r="AS201" i="2"/>
  <c r="R202" i="2"/>
  <c r="V202" i="2" s="1"/>
  <c r="AT202" i="2" s="1"/>
  <c r="AN202" i="2"/>
  <c r="AO202" i="2"/>
  <c r="AP202" i="2"/>
  <c r="AQ202" i="2"/>
  <c r="AR202" i="2"/>
  <c r="AS202" i="2"/>
  <c r="R203" i="2"/>
  <c r="V203" i="2"/>
  <c r="AT203" i="2" s="1"/>
  <c r="AN203" i="2"/>
  <c r="AO203" i="2"/>
  <c r="AP203" i="2"/>
  <c r="AQ203" i="2"/>
  <c r="AR203" i="2"/>
  <c r="AS203" i="2"/>
  <c r="R204" i="2"/>
  <c r="V204" i="2"/>
  <c r="AT204" i="2" s="1"/>
  <c r="AN204" i="2"/>
  <c r="AO204" i="2"/>
  <c r="AP204" i="2"/>
  <c r="AQ204" i="2"/>
  <c r="AR204" i="2"/>
  <c r="AS204" i="2"/>
  <c r="R205" i="2"/>
  <c r="V205" i="2"/>
  <c r="AT205" i="2" s="1"/>
  <c r="AN205" i="2"/>
  <c r="AO205" i="2"/>
  <c r="AP205" i="2"/>
  <c r="AQ205" i="2"/>
  <c r="AR205" i="2"/>
  <c r="AS205" i="2"/>
  <c r="R206" i="2"/>
  <c r="AN206" i="2"/>
  <c r="AO206" i="2"/>
  <c r="AQ206" i="2"/>
  <c r="AR206" i="2"/>
  <c r="AS206" i="2"/>
  <c r="R207" i="2"/>
  <c r="AP207" i="2" s="1"/>
  <c r="V207" i="2"/>
  <c r="AT207" i="2" s="1"/>
  <c r="AN207" i="2"/>
  <c r="AO207" i="2"/>
  <c r="AQ207" i="2"/>
  <c r="AR207" i="2"/>
  <c r="AS207" i="2"/>
  <c r="R208" i="2"/>
  <c r="AP208" i="2" s="1"/>
  <c r="AN208" i="2"/>
  <c r="AO208" i="2"/>
  <c r="AQ208" i="2"/>
  <c r="AR208" i="2"/>
  <c r="AS208" i="2"/>
  <c r="R209" i="2"/>
  <c r="AN209" i="2"/>
  <c r="AO209" i="2"/>
  <c r="AQ209" i="2"/>
  <c r="AR209" i="2"/>
  <c r="AS209" i="2"/>
  <c r="R210" i="2"/>
  <c r="V210" i="2" s="1"/>
  <c r="AT210" i="2" s="1"/>
  <c r="AN210" i="2"/>
  <c r="AO210" i="2"/>
  <c r="AP210" i="2"/>
  <c r="AQ210" i="2"/>
  <c r="AR210" i="2"/>
  <c r="AS210" i="2"/>
  <c r="R211" i="2"/>
  <c r="V211" i="2"/>
  <c r="AT211" i="2" s="1"/>
  <c r="AN211" i="2"/>
  <c r="AO211" i="2"/>
  <c r="AP211" i="2"/>
  <c r="AQ211" i="2"/>
  <c r="AR211" i="2"/>
  <c r="AS211" i="2"/>
  <c r="R212" i="2"/>
  <c r="V212" i="2"/>
  <c r="AT212" i="2" s="1"/>
  <c r="AN212" i="2"/>
  <c r="AO212" i="2"/>
  <c r="AP212" i="2"/>
  <c r="AQ212" i="2"/>
  <c r="AR212" i="2"/>
  <c r="AS212" i="2"/>
  <c r="R213" i="2"/>
  <c r="V213" i="2"/>
  <c r="AT213" i="2" s="1"/>
  <c r="AN213" i="2"/>
  <c r="AO213" i="2"/>
  <c r="AP213" i="2"/>
  <c r="AQ213" i="2"/>
  <c r="AR213" i="2"/>
  <c r="AS213" i="2"/>
  <c r="R214" i="2"/>
  <c r="V214" i="2"/>
  <c r="AN214" i="2"/>
  <c r="AO214" i="2"/>
  <c r="AP214" i="2"/>
  <c r="AQ214" i="2"/>
  <c r="AR214" i="2"/>
  <c r="AS214" i="2"/>
  <c r="AT214" i="2"/>
  <c r="R215" i="2"/>
  <c r="AP215" i="2" s="1"/>
  <c r="V215" i="2"/>
  <c r="AT215" i="2" s="1"/>
  <c r="AN215" i="2"/>
  <c r="AO215" i="2"/>
  <c r="AQ215" i="2"/>
  <c r="AR215" i="2"/>
  <c r="AS215" i="2"/>
  <c r="R216" i="2"/>
  <c r="AN216" i="2"/>
  <c r="AO216" i="2"/>
  <c r="AQ216" i="2"/>
  <c r="AR216" i="2"/>
  <c r="AS216" i="2"/>
  <c r="R217" i="2"/>
  <c r="AN217" i="2"/>
  <c r="AO217" i="2"/>
  <c r="AQ217" i="2"/>
  <c r="AR217" i="2"/>
  <c r="AS217" i="2"/>
  <c r="R218" i="2"/>
  <c r="V218" i="2" s="1"/>
  <c r="AN218" i="2"/>
  <c r="AO218" i="2"/>
  <c r="AP218" i="2"/>
  <c r="AQ218" i="2"/>
  <c r="AR218" i="2"/>
  <c r="AS218" i="2"/>
  <c r="AT218" i="2"/>
  <c r="R219" i="2"/>
  <c r="V219" i="2"/>
  <c r="AT219" i="2" s="1"/>
  <c r="AN219" i="2"/>
  <c r="AO219" i="2"/>
  <c r="AP219" i="2"/>
  <c r="AQ219" i="2"/>
  <c r="AR219" i="2"/>
  <c r="AS219" i="2"/>
  <c r="R220" i="2"/>
  <c r="V220" i="2"/>
  <c r="AT220" i="2" s="1"/>
  <c r="AN220" i="2"/>
  <c r="AO220" i="2"/>
  <c r="AP220" i="2"/>
  <c r="AQ220" i="2"/>
  <c r="AR220" i="2"/>
  <c r="AS220" i="2"/>
  <c r="R221" i="2"/>
  <c r="V221" i="2"/>
  <c r="AN221" i="2"/>
  <c r="AO221" i="2"/>
  <c r="AP221" i="2"/>
  <c r="AQ221" i="2"/>
  <c r="AR221" i="2"/>
  <c r="AS221" i="2"/>
  <c r="AT221" i="2"/>
  <c r="R222" i="2"/>
  <c r="V222" i="2"/>
  <c r="AT222" i="2" s="1"/>
  <c r="AN222" i="2"/>
  <c r="AO222" i="2"/>
  <c r="AP222" i="2"/>
  <c r="AQ222" i="2"/>
  <c r="AR222" i="2"/>
  <c r="AS222" i="2"/>
  <c r="R223" i="2"/>
  <c r="V223" i="2"/>
  <c r="AN223" i="2"/>
  <c r="AO223" i="2"/>
  <c r="AP223" i="2"/>
  <c r="AQ223" i="2"/>
  <c r="AR223" i="2"/>
  <c r="AS223" i="2"/>
  <c r="AT223" i="2"/>
  <c r="R224" i="2"/>
  <c r="AP224" i="2" s="1"/>
  <c r="V224" i="2"/>
  <c r="AT224" i="2" s="1"/>
  <c r="AN224" i="2"/>
  <c r="AO224" i="2"/>
  <c r="AQ224" i="2"/>
  <c r="AR224" i="2"/>
  <c r="AS224" i="2"/>
  <c r="R225" i="2"/>
  <c r="V225" i="2" s="1"/>
  <c r="AT225" i="2" s="1"/>
  <c r="AN225" i="2"/>
  <c r="AO225" i="2"/>
  <c r="AP225" i="2"/>
  <c r="AQ225" i="2"/>
  <c r="AR225" i="2"/>
  <c r="AS225" i="2"/>
  <c r="R226" i="2"/>
  <c r="AP226" i="2" s="1"/>
  <c r="V226" i="2"/>
  <c r="AT226" i="2" s="1"/>
  <c r="AN226" i="2"/>
  <c r="AO226" i="2"/>
  <c r="AQ226" i="2"/>
  <c r="AR226" i="2"/>
  <c r="AS226" i="2"/>
  <c r="R227" i="2"/>
  <c r="V227" i="2" s="1"/>
  <c r="AT227" i="2" s="1"/>
  <c r="AN227" i="2"/>
  <c r="AO227" i="2"/>
  <c r="AQ227" i="2"/>
  <c r="AR227" i="2"/>
  <c r="AS227" i="2"/>
  <c r="R228" i="2"/>
  <c r="V228" i="2" s="1"/>
  <c r="AT228" i="2" s="1"/>
  <c r="AN228" i="2"/>
  <c r="AO228" i="2"/>
  <c r="AP228" i="2"/>
  <c r="AQ228" i="2"/>
  <c r="AR228" i="2"/>
  <c r="AS228" i="2"/>
  <c r="R229" i="2"/>
  <c r="AN229" i="2"/>
  <c r="AO229" i="2"/>
  <c r="AQ229" i="2"/>
  <c r="AR229" i="2"/>
  <c r="AS229" i="2"/>
  <c r="R230" i="2"/>
  <c r="V230" i="2"/>
  <c r="AT230" i="2" s="1"/>
  <c r="AN230" i="2"/>
  <c r="AO230" i="2"/>
  <c r="AP230" i="2"/>
  <c r="AQ230" i="2"/>
  <c r="AR230" i="2"/>
  <c r="AS230" i="2"/>
  <c r="R231" i="2"/>
  <c r="V231" i="2"/>
  <c r="AT231" i="2" s="1"/>
  <c r="AN231" i="2"/>
  <c r="AO231" i="2"/>
  <c r="AP231" i="2"/>
  <c r="AQ231" i="2"/>
  <c r="AR231" i="2"/>
  <c r="AS231" i="2"/>
  <c r="R232" i="2"/>
  <c r="AP232" i="2" s="1"/>
  <c r="V232" i="2"/>
  <c r="AT232" i="2" s="1"/>
  <c r="AN232" i="2"/>
  <c r="AO232" i="2"/>
  <c r="AQ232" i="2"/>
  <c r="AR232" i="2"/>
  <c r="AS232" i="2"/>
  <c r="R233" i="2"/>
  <c r="V233" i="2" s="1"/>
  <c r="AT233" i="2" s="1"/>
  <c r="AN233" i="2"/>
  <c r="AO233" i="2"/>
  <c r="AP233" i="2"/>
  <c r="AQ233" i="2"/>
  <c r="AR233" i="2"/>
  <c r="AS233" i="2"/>
  <c r="R234" i="2"/>
  <c r="AP234" i="2" s="1"/>
  <c r="V234" i="2"/>
  <c r="AT234" i="2" s="1"/>
  <c r="AN234" i="2"/>
  <c r="AO234" i="2"/>
  <c r="AQ234" i="2"/>
  <c r="AR234" i="2"/>
  <c r="AS234" i="2"/>
  <c r="R235" i="2"/>
  <c r="V235" i="2" s="1"/>
  <c r="AT235" i="2" s="1"/>
  <c r="AN235" i="2"/>
  <c r="AO235" i="2"/>
  <c r="AQ235" i="2"/>
  <c r="AR235" i="2"/>
  <c r="AS235" i="2"/>
  <c r="R236" i="2"/>
  <c r="V236" i="2" s="1"/>
  <c r="AT236" i="2" s="1"/>
  <c r="AN236" i="2"/>
  <c r="AO236" i="2"/>
  <c r="AP236" i="2"/>
  <c r="AQ236" i="2"/>
  <c r="AR236" i="2"/>
  <c r="AS236" i="2"/>
  <c r="R237" i="2"/>
  <c r="AN237" i="2"/>
  <c r="AO237" i="2"/>
  <c r="AQ237" i="2"/>
  <c r="AR237" i="2"/>
  <c r="AS237" i="2"/>
  <c r="R238" i="2"/>
  <c r="V238" i="2"/>
  <c r="AT238" i="2" s="1"/>
  <c r="AN238" i="2"/>
  <c r="AO238" i="2"/>
  <c r="AP238" i="2"/>
  <c r="AQ238" i="2"/>
  <c r="AR238" i="2"/>
  <c r="AS238" i="2"/>
  <c r="R239" i="2"/>
  <c r="V239" i="2"/>
  <c r="AT239" i="2" s="1"/>
  <c r="AN239" i="2"/>
  <c r="AO239" i="2"/>
  <c r="AP239" i="2"/>
  <c r="AQ239" i="2"/>
  <c r="AR239" i="2"/>
  <c r="AS239" i="2"/>
  <c r="R240" i="2"/>
  <c r="AP240" i="2" s="1"/>
  <c r="V240" i="2"/>
  <c r="AT240" i="2" s="1"/>
  <c r="AN240" i="2"/>
  <c r="AO240" i="2"/>
  <c r="AQ240" i="2"/>
  <c r="AR240" i="2"/>
  <c r="AS240" i="2"/>
  <c r="R241" i="2"/>
  <c r="V241" i="2" s="1"/>
  <c r="AT241" i="2" s="1"/>
  <c r="AN241" i="2"/>
  <c r="AO241" i="2"/>
  <c r="AP241" i="2"/>
  <c r="AQ241" i="2"/>
  <c r="AR241" i="2"/>
  <c r="AS241" i="2"/>
  <c r="R242" i="2"/>
  <c r="AP242" i="2" s="1"/>
  <c r="V242" i="2"/>
  <c r="AT242" i="2" s="1"/>
  <c r="AN242" i="2"/>
  <c r="AO242" i="2"/>
  <c r="AQ242" i="2"/>
  <c r="AR242" i="2"/>
  <c r="AS242" i="2"/>
  <c r="R243" i="2"/>
  <c r="V243" i="2" s="1"/>
  <c r="AT243" i="2" s="1"/>
  <c r="AN243" i="2"/>
  <c r="AO243" i="2"/>
  <c r="AQ243" i="2"/>
  <c r="AR243" i="2"/>
  <c r="AS243" i="2"/>
  <c r="R244" i="2"/>
  <c r="V244" i="2" s="1"/>
  <c r="AT244" i="2" s="1"/>
  <c r="AN244" i="2"/>
  <c r="AO244" i="2"/>
  <c r="AP244" i="2"/>
  <c r="AQ244" i="2"/>
  <c r="AR244" i="2"/>
  <c r="AS244" i="2"/>
  <c r="R245" i="2"/>
  <c r="AN245" i="2"/>
  <c r="AO245" i="2"/>
  <c r="AQ245" i="2"/>
  <c r="AR245" i="2"/>
  <c r="AS245" i="2"/>
  <c r="R246" i="2"/>
  <c r="V246" i="2"/>
  <c r="AT246" i="2" s="1"/>
  <c r="AN246" i="2"/>
  <c r="AO246" i="2"/>
  <c r="AP246" i="2"/>
  <c r="AQ246" i="2"/>
  <c r="AR246" i="2"/>
  <c r="AS246" i="2"/>
  <c r="R247" i="2"/>
  <c r="V247" i="2"/>
  <c r="AT247" i="2" s="1"/>
  <c r="AN247" i="2"/>
  <c r="AO247" i="2"/>
  <c r="AP247" i="2"/>
  <c r="AQ247" i="2"/>
  <c r="AR247" i="2"/>
  <c r="AS247" i="2"/>
  <c r="R248" i="2"/>
  <c r="V248" i="2"/>
  <c r="AT248" i="2" s="1"/>
  <c r="AN248" i="2"/>
  <c r="AO248" i="2"/>
  <c r="AP248" i="2"/>
  <c r="AQ248" i="2"/>
  <c r="AR248" i="2"/>
  <c r="AS248" i="2"/>
  <c r="R249" i="2"/>
  <c r="V249" i="2" s="1"/>
  <c r="AT249" i="2" s="1"/>
  <c r="AN249" i="2"/>
  <c r="AO249" i="2"/>
  <c r="AP249" i="2"/>
  <c r="AQ249" i="2"/>
  <c r="AR249" i="2"/>
  <c r="AS249" i="2"/>
  <c r="R250" i="2"/>
  <c r="AP250" i="2" s="1"/>
  <c r="V250" i="2"/>
  <c r="AT250" i="2" s="1"/>
  <c r="AN250" i="2"/>
  <c r="AO250" i="2"/>
  <c r="AQ250" i="2"/>
  <c r="AR250" i="2"/>
  <c r="AS250" i="2"/>
  <c r="R251" i="2"/>
  <c r="V251" i="2" s="1"/>
  <c r="AT251" i="2" s="1"/>
  <c r="AN251" i="2"/>
  <c r="AO251" i="2"/>
  <c r="AQ251" i="2"/>
  <c r="AR251" i="2"/>
  <c r="AS251" i="2"/>
  <c r="R252" i="2"/>
  <c r="AP252" i="2" s="1"/>
  <c r="AN252" i="2"/>
  <c r="AO252" i="2"/>
  <c r="AQ252" i="2"/>
  <c r="AR252" i="2"/>
  <c r="AS252" i="2"/>
  <c r="R253" i="2"/>
  <c r="AN253" i="2"/>
  <c r="AO253" i="2"/>
  <c r="AQ253" i="2"/>
  <c r="AR253" i="2"/>
  <c r="AS253" i="2"/>
  <c r="R254" i="2"/>
  <c r="V254" i="2"/>
  <c r="AT254" i="2" s="1"/>
  <c r="AN254" i="2"/>
  <c r="AO254" i="2"/>
  <c r="AP254" i="2"/>
  <c r="AQ254" i="2"/>
  <c r="AR254" i="2"/>
  <c r="AS254" i="2"/>
  <c r="R255" i="2"/>
  <c r="V255" i="2"/>
  <c r="AT255" i="2" s="1"/>
  <c r="AN255" i="2"/>
  <c r="AO255" i="2"/>
  <c r="AP255" i="2"/>
  <c r="AQ255" i="2"/>
  <c r="AR255" i="2"/>
  <c r="AS255" i="2"/>
  <c r="R256" i="2"/>
  <c r="V256" i="2"/>
  <c r="AT256" i="2" s="1"/>
  <c r="AN256" i="2"/>
  <c r="AO256" i="2"/>
  <c r="AP256" i="2"/>
  <c r="AQ256" i="2"/>
  <c r="AR256" i="2"/>
  <c r="AS256" i="2"/>
  <c r="R257" i="2"/>
  <c r="V257" i="2" s="1"/>
  <c r="AT257" i="2" s="1"/>
  <c r="AN257" i="2"/>
  <c r="AO257" i="2"/>
  <c r="AP257" i="2"/>
  <c r="AQ257" i="2"/>
  <c r="AR257" i="2"/>
  <c r="AS257" i="2"/>
  <c r="R258" i="2"/>
  <c r="AP258" i="2" s="1"/>
  <c r="V258" i="2"/>
  <c r="AT258" i="2" s="1"/>
  <c r="AN258" i="2"/>
  <c r="AO258" i="2"/>
  <c r="AQ258" i="2"/>
  <c r="AR258" i="2"/>
  <c r="AS258" i="2"/>
  <c r="R259" i="2"/>
  <c r="AN259" i="2"/>
  <c r="AO259" i="2"/>
  <c r="AQ259" i="2"/>
  <c r="AR259" i="2"/>
  <c r="AS259" i="2"/>
  <c r="R260" i="2"/>
  <c r="AP260" i="2" s="1"/>
  <c r="AN260" i="2"/>
  <c r="AO260" i="2"/>
  <c r="AQ260" i="2"/>
  <c r="AR260" i="2"/>
  <c r="AS260" i="2"/>
  <c r="R261" i="2"/>
  <c r="AN261" i="2"/>
  <c r="AO261" i="2"/>
  <c r="AQ261" i="2"/>
  <c r="AR261" i="2"/>
  <c r="AS261" i="2"/>
  <c r="R262" i="2"/>
  <c r="V262" i="2"/>
  <c r="AT262" i="2" s="1"/>
  <c r="AN262" i="2"/>
  <c r="AO262" i="2"/>
  <c r="AP262" i="2"/>
  <c r="AQ262" i="2"/>
  <c r="AR262" i="2"/>
  <c r="AS262" i="2"/>
  <c r="R263" i="2"/>
  <c r="V263" i="2"/>
  <c r="AT263" i="2" s="1"/>
  <c r="AN263" i="2"/>
  <c r="AO263" i="2"/>
  <c r="AP263" i="2"/>
  <c r="AQ263" i="2"/>
  <c r="AR263" i="2"/>
  <c r="AS263" i="2"/>
  <c r="R264" i="2"/>
  <c r="V264" i="2"/>
  <c r="AT264" i="2" s="1"/>
  <c r="AN264" i="2"/>
  <c r="AO264" i="2"/>
  <c r="AP264" i="2"/>
  <c r="AQ264" i="2"/>
  <c r="AR264" i="2"/>
  <c r="AS264" i="2"/>
  <c r="R265" i="2"/>
  <c r="V265" i="2" s="1"/>
  <c r="AN265" i="2"/>
  <c r="AO265" i="2"/>
  <c r="AQ265" i="2"/>
  <c r="AR265" i="2"/>
  <c r="AS265" i="2"/>
  <c r="AT265" i="2"/>
  <c r="R266" i="2"/>
  <c r="AP266" i="2" s="1"/>
  <c r="AN266" i="2"/>
  <c r="AO266" i="2"/>
  <c r="AQ266" i="2"/>
  <c r="AR266" i="2"/>
  <c r="AS266" i="2"/>
  <c r="R267" i="2"/>
  <c r="AN267" i="2"/>
  <c r="AO267" i="2"/>
  <c r="AQ267" i="2"/>
  <c r="AR267" i="2"/>
  <c r="AS267" i="2"/>
  <c r="R268" i="2"/>
  <c r="AP268" i="2" s="1"/>
  <c r="AN268" i="2"/>
  <c r="AO268" i="2"/>
  <c r="AQ268" i="2"/>
  <c r="AR268" i="2"/>
  <c r="AS268" i="2"/>
  <c r="R269" i="2"/>
  <c r="V269" i="2" s="1"/>
  <c r="AT269" i="2" s="1"/>
  <c r="AN269" i="2"/>
  <c r="AO269" i="2"/>
  <c r="AQ269" i="2"/>
  <c r="AR269" i="2"/>
  <c r="AS269" i="2"/>
  <c r="R270" i="2"/>
  <c r="V270" i="2"/>
  <c r="AT270" i="2" s="1"/>
  <c r="AN270" i="2"/>
  <c r="AO270" i="2"/>
  <c r="AP270" i="2"/>
  <c r="AQ270" i="2"/>
  <c r="AR270" i="2"/>
  <c r="AS270" i="2"/>
  <c r="R271" i="2"/>
  <c r="V271" i="2"/>
  <c r="AT271" i="2" s="1"/>
  <c r="AN271" i="2"/>
  <c r="AO271" i="2"/>
  <c r="AP271" i="2"/>
  <c r="AQ271" i="2"/>
  <c r="AR271" i="2"/>
  <c r="AS271" i="2"/>
  <c r="R272" i="2"/>
  <c r="V272" i="2"/>
  <c r="AT272" i="2" s="1"/>
  <c r="AN272" i="2"/>
  <c r="AO272" i="2"/>
  <c r="AP272" i="2"/>
  <c r="AQ272" i="2"/>
  <c r="AR272" i="2"/>
  <c r="AS272" i="2"/>
  <c r="R273" i="2"/>
  <c r="AP273" i="2" s="1"/>
  <c r="V273" i="2"/>
  <c r="AT273" i="2" s="1"/>
  <c r="AN273" i="2"/>
  <c r="AO273" i="2"/>
  <c r="AQ273" i="2"/>
  <c r="AR273" i="2"/>
  <c r="AS273" i="2"/>
  <c r="R274" i="2"/>
  <c r="AN274" i="2"/>
  <c r="AO274" i="2"/>
  <c r="AQ274" i="2"/>
  <c r="AR274" i="2"/>
  <c r="AS274" i="2"/>
  <c r="R275" i="2"/>
  <c r="AP275" i="2" s="1"/>
  <c r="AN275" i="2"/>
  <c r="AO275" i="2"/>
  <c r="AQ275" i="2"/>
  <c r="AR275" i="2"/>
  <c r="AS275" i="2"/>
  <c r="R276" i="2"/>
  <c r="V276" i="2"/>
  <c r="AT276" i="2" s="1"/>
  <c r="AN276" i="2"/>
  <c r="AO276" i="2"/>
  <c r="AP276" i="2"/>
  <c r="AQ276" i="2"/>
  <c r="AR276" i="2"/>
  <c r="AS276" i="2"/>
  <c r="R277" i="2"/>
  <c r="V277" i="2"/>
  <c r="AT277" i="2" s="1"/>
  <c r="AN277" i="2"/>
  <c r="AO277" i="2"/>
  <c r="AP277" i="2"/>
  <c r="AQ277" i="2"/>
  <c r="AR277" i="2"/>
  <c r="AS277" i="2"/>
  <c r="R278" i="2"/>
  <c r="AN278" i="2"/>
  <c r="AO278" i="2"/>
  <c r="AQ278" i="2"/>
  <c r="AR278" i="2"/>
  <c r="AS278" i="2"/>
  <c r="R279" i="2"/>
  <c r="V279" i="2" s="1"/>
  <c r="AT279" i="2" s="1"/>
  <c r="AN279" i="2"/>
  <c r="AO279" i="2"/>
  <c r="AQ279" i="2"/>
  <c r="AR279" i="2"/>
  <c r="AS279" i="2"/>
  <c r="R280" i="2"/>
  <c r="AP280" i="2" s="1"/>
  <c r="V280" i="2"/>
  <c r="AT280" i="2" s="1"/>
  <c r="AN280" i="2"/>
  <c r="AO280" i="2"/>
  <c r="AQ280" i="2"/>
  <c r="AR280" i="2"/>
  <c r="AS280" i="2"/>
  <c r="R281" i="2"/>
  <c r="V281" i="2" s="1"/>
  <c r="AT281" i="2" s="1"/>
  <c r="AN281" i="2"/>
  <c r="AO281" i="2"/>
  <c r="AQ281" i="2"/>
  <c r="AR281" i="2"/>
  <c r="AS281" i="2"/>
  <c r="R282" i="2"/>
  <c r="V282" i="2" s="1"/>
  <c r="AT282" i="2" s="1"/>
  <c r="AN282" i="2"/>
  <c r="AO282" i="2"/>
  <c r="AP282" i="2"/>
  <c r="AQ282" i="2"/>
  <c r="AR282" i="2"/>
  <c r="AS282" i="2"/>
  <c r="R283" i="2"/>
  <c r="V283" i="2"/>
  <c r="AT283" i="2" s="1"/>
  <c r="AN283" i="2"/>
  <c r="AO283" i="2"/>
  <c r="AP283" i="2"/>
  <c r="AQ283" i="2"/>
  <c r="AR283" i="2"/>
  <c r="AS283" i="2"/>
  <c r="R284" i="2"/>
  <c r="V284" i="2"/>
  <c r="AT284" i="2" s="1"/>
  <c r="AN284" i="2"/>
  <c r="AO284" i="2"/>
  <c r="AP284" i="2"/>
  <c r="AQ284" i="2"/>
  <c r="AR284" i="2"/>
  <c r="AS284" i="2"/>
  <c r="R285" i="2"/>
  <c r="V285" i="2"/>
  <c r="AT285" i="2" s="1"/>
  <c r="AN285" i="2"/>
  <c r="AO285" i="2"/>
  <c r="AP285" i="2"/>
  <c r="AQ285" i="2"/>
  <c r="AR285" i="2"/>
  <c r="AS285" i="2"/>
  <c r="R286" i="2"/>
  <c r="AN286" i="2"/>
  <c r="AO286" i="2"/>
  <c r="AQ286" i="2"/>
  <c r="AR286" i="2"/>
  <c r="AS286" i="2"/>
  <c r="R287" i="2"/>
  <c r="V287" i="2" s="1"/>
  <c r="AT287" i="2" s="1"/>
  <c r="AN287" i="2"/>
  <c r="AO287" i="2"/>
  <c r="AQ287" i="2"/>
  <c r="AR287" i="2"/>
  <c r="AS287" i="2"/>
  <c r="R288" i="2"/>
  <c r="AP288" i="2" s="1"/>
  <c r="V288" i="2"/>
  <c r="AT288" i="2" s="1"/>
  <c r="AN288" i="2"/>
  <c r="AO288" i="2"/>
  <c r="AQ288" i="2"/>
  <c r="AR288" i="2"/>
  <c r="AS288" i="2"/>
  <c r="R289" i="2"/>
  <c r="V289" i="2" s="1"/>
  <c r="AT289" i="2" s="1"/>
  <c r="AN289" i="2"/>
  <c r="AO289" i="2"/>
  <c r="AQ289" i="2"/>
  <c r="AR289" i="2"/>
  <c r="AS289" i="2"/>
  <c r="R290" i="2"/>
  <c r="V290" i="2" s="1"/>
  <c r="AT290" i="2" s="1"/>
  <c r="AN290" i="2"/>
  <c r="AO290" i="2"/>
  <c r="AP290" i="2"/>
  <c r="AQ290" i="2"/>
  <c r="AR290" i="2"/>
  <c r="AS290" i="2"/>
  <c r="R291" i="2"/>
  <c r="V291" i="2"/>
  <c r="AT291" i="2" s="1"/>
  <c r="AN291" i="2"/>
  <c r="AO291" i="2"/>
  <c r="AP291" i="2"/>
  <c r="AQ291" i="2"/>
  <c r="AR291" i="2"/>
  <c r="AS291" i="2"/>
  <c r="R292" i="2"/>
  <c r="V292" i="2"/>
  <c r="AT292" i="2" s="1"/>
  <c r="AN292" i="2"/>
  <c r="AO292" i="2"/>
  <c r="AP292" i="2"/>
  <c r="AQ292" i="2"/>
  <c r="AR292" i="2"/>
  <c r="AS292" i="2"/>
  <c r="R293" i="2"/>
  <c r="V293" i="2"/>
  <c r="AT293" i="2" s="1"/>
  <c r="AN293" i="2"/>
  <c r="AO293" i="2"/>
  <c r="AP293" i="2"/>
  <c r="AQ293" i="2"/>
  <c r="AR293" i="2"/>
  <c r="AS293" i="2"/>
  <c r="R294" i="2"/>
  <c r="AN294" i="2"/>
  <c r="AO294" i="2"/>
  <c r="AQ294" i="2"/>
  <c r="AR294" i="2"/>
  <c r="AS294" i="2"/>
  <c r="R295" i="2"/>
  <c r="V295" i="2" s="1"/>
  <c r="AT295" i="2" s="1"/>
  <c r="AN295" i="2"/>
  <c r="AO295" i="2"/>
  <c r="AQ295" i="2"/>
  <c r="AR295" i="2"/>
  <c r="AS295" i="2"/>
  <c r="R296" i="2"/>
  <c r="AP296" i="2" s="1"/>
  <c r="V296" i="2"/>
  <c r="AT296" i="2" s="1"/>
  <c r="AN296" i="2"/>
  <c r="AO296" i="2"/>
  <c r="AQ296" i="2"/>
  <c r="AR296" i="2"/>
  <c r="AS296" i="2"/>
  <c r="R297" i="2"/>
  <c r="V297" i="2" s="1"/>
  <c r="AT297" i="2" s="1"/>
  <c r="AN297" i="2"/>
  <c r="AO297" i="2"/>
  <c r="AQ297" i="2"/>
  <c r="AR297" i="2"/>
  <c r="AS297" i="2"/>
  <c r="R298" i="2"/>
  <c r="V298" i="2" s="1"/>
  <c r="AT298" i="2" s="1"/>
  <c r="AN298" i="2"/>
  <c r="AO298" i="2"/>
  <c r="AP298" i="2"/>
  <c r="AQ298" i="2"/>
  <c r="AR298" i="2"/>
  <c r="AS298" i="2"/>
  <c r="R299" i="2"/>
  <c r="V299" i="2"/>
  <c r="AT299" i="2" s="1"/>
  <c r="AN299" i="2"/>
  <c r="AO299" i="2"/>
  <c r="AP299" i="2"/>
  <c r="AQ299" i="2"/>
  <c r="AR299" i="2"/>
  <c r="AS299" i="2"/>
  <c r="R300" i="2"/>
  <c r="V300" i="2"/>
  <c r="AT300" i="2" s="1"/>
  <c r="AN300" i="2"/>
  <c r="AO300" i="2"/>
  <c r="AP300" i="2"/>
  <c r="AQ300" i="2"/>
  <c r="AR300" i="2"/>
  <c r="AS300" i="2"/>
  <c r="R301" i="2"/>
  <c r="V301" i="2"/>
  <c r="AT301" i="2" s="1"/>
  <c r="AN301" i="2"/>
  <c r="AO301" i="2"/>
  <c r="AP301" i="2"/>
  <c r="AQ301" i="2"/>
  <c r="AR301" i="2"/>
  <c r="AS301" i="2"/>
  <c r="R302" i="2"/>
  <c r="AN302" i="2"/>
  <c r="AO302" i="2"/>
  <c r="AQ302" i="2"/>
  <c r="AR302" i="2"/>
  <c r="AS302" i="2"/>
  <c r="R303" i="2"/>
  <c r="AN303" i="2"/>
  <c r="AO303" i="2"/>
  <c r="AQ303" i="2"/>
  <c r="AR303" i="2"/>
  <c r="AS303" i="2"/>
  <c r="R304" i="2"/>
  <c r="AP304" i="2" s="1"/>
  <c r="V304" i="2"/>
  <c r="AT304" i="2" s="1"/>
  <c r="AN304" i="2"/>
  <c r="AO304" i="2"/>
  <c r="AQ304" i="2"/>
  <c r="AR304" i="2"/>
  <c r="AS304" i="2"/>
  <c r="R305" i="2"/>
  <c r="V305" i="2" s="1"/>
  <c r="AT305" i="2" s="1"/>
  <c r="AN305" i="2"/>
  <c r="AO305" i="2"/>
  <c r="AQ305" i="2"/>
  <c r="AR305" i="2"/>
  <c r="AS305" i="2"/>
  <c r="R306" i="2"/>
  <c r="V306" i="2" s="1"/>
  <c r="AT306" i="2" s="1"/>
  <c r="AN306" i="2"/>
  <c r="AO306" i="2"/>
  <c r="AP306" i="2"/>
  <c r="AQ306" i="2"/>
  <c r="AR306" i="2"/>
  <c r="AS306" i="2"/>
  <c r="R307" i="2"/>
  <c r="AN307" i="2"/>
  <c r="AO307" i="2"/>
  <c r="AQ307" i="2"/>
  <c r="AR307" i="2"/>
  <c r="AS307" i="2"/>
  <c r="R308" i="2"/>
  <c r="V308" i="2"/>
  <c r="AT308" i="2" s="1"/>
  <c r="AN308" i="2"/>
  <c r="AO308" i="2"/>
  <c r="AP308" i="2"/>
  <c r="AQ308" i="2"/>
  <c r="AR308" i="2"/>
  <c r="AS308" i="2"/>
  <c r="R309" i="2"/>
  <c r="V309" i="2"/>
  <c r="AT309" i="2" s="1"/>
  <c r="AN309" i="2"/>
  <c r="AO309" i="2"/>
  <c r="AP309" i="2"/>
  <c r="AQ309" i="2"/>
  <c r="AR309" i="2"/>
  <c r="AS309" i="2"/>
  <c r="R310" i="2"/>
  <c r="AN310" i="2"/>
  <c r="AO310" i="2"/>
  <c r="AQ310" i="2"/>
  <c r="AR310" i="2"/>
  <c r="AS310" i="2"/>
  <c r="R311" i="2"/>
  <c r="V311" i="2" s="1"/>
  <c r="AN311" i="2"/>
  <c r="AO311" i="2"/>
  <c r="AP311" i="2"/>
  <c r="AQ311" i="2"/>
  <c r="AR311" i="2"/>
  <c r="AS311" i="2"/>
  <c r="AT311" i="2"/>
  <c r="R312" i="2"/>
  <c r="AP312" i="2" s="1"/>
  <c r="V312" i="2"/>
  <c r="AT312" i="2" s="1"/>
  <c r="AN312" i="2"/>
  <c r="AO312" i="2"/>
  <c r="AQ312" i="2"/>
  <c r="AR312" i="2"/>
  <c r="AS312" i="2"/>
  <c r="R313" i="2"/>
  <c r="AN313" i="2"/>
  <c r="AO313" i="2"/>
  <c r="AQ313" i="2"/>
  <c r="AR313" i="2"/>
  <c r="AS313" i="2"/>
  <c r="R314" i="2"/>
  <c r="V314" i="2" s="1"/>
  <c r="AT314" i="2" s="1"/>
  <c r="AN314" i="2"/>
  <c r="AO314" i="2"/>
  <c r="AP314" i="2"/>
  <c r="AQ314" i="2"/>
  <c r="AR314" i="2"/>
  <c r="AS314" i="2"/>
  <c r="R315" i="2"/>
  <c r="V315" i="2"/>
  <c r="AT315" i="2" s="1"/>
  <c r="AN315" i="2"/>
  <c r="AO315" i="2"/>
  <c r="AP315" i="2"/>
  <c r="AQ315" i="2"/>
  <c r="AR315" i="2"/>
  <c r="AS315" i="2"/>
  <c r="R316" i="2"/>
  <c r="V316" i="2"/>
  <c r="AT316" i="2" s="1"/>
  <c r="AN316" i="2"/>
  <c r="AO316" i="2"/>
  <c r="AP316" i="2"/>
  <c r="AQ316" i="2"/>
  <c r="AR316" i="2"/>
  <c r="AS316" i="2"/>
  <c r="R317" i="2"/>
  <c r="V317" i="2"/>
  <c r="AT317" i="2" s="1"/>
  <c r="AN317" i="2"/>
  <c r="AO317" i="2"/>
  <c r="AP317" i="2"/>
  <c r="AQ317" i="2"/>
  <c r="AR317" i="2"/>
  <c r="AS317" i="2"/>
  <c r="R318" i="2"/>
  <c r="AP318" i="2" s="1"/>
  <c r="V318" i="2"/>
  <c r="AT318" i="2" s="1"/>
  <c r="AN318" i="2"/>
  <c r="AO318" i="2"/>
  <c r="AQ318" i="2"/>
  <c r="AR318" i="2"/>
  <c r="AS318" i="2"/>
  <c r="R319" i="2"/>
  <c r="V319" i="2" s="1"/>
  <c r="AN319" i="2"/>
  <c r="AO319" i="2"/>
  <c r="AP319" i="2"/>
  <c r="AQ319" i="2"/>
  <c r="AR319" i="2"/>
  <c r="AS319" i="2"/>
  <c r="AT319" i="2"/>
  <c r="R320" i="2"/>
  <c r="AP320" i="2" s="1"/>
  <c r="V320" i="2"/>
  <c r="AN320" i="2"/>
  <c r="AO320" i="2"/>
  <c r="AQ320" i="2"/>
  <c r="AR320" i="2"/>
  <c r="AS320" i="2"/>
  <c r="AT320" i="2"/>
  <c r="R321" i="2"/>
  <c r="AN321" i="2"/>
  <c r="AO321" i="2"/>
  <c r="AQ321" i="2"/>
  <c r="AR321" i="2"/>
  <c r="AS321" i="2"/>
  <c r="R322" i="2"/>
  <c r="V322" i="2" s="1"/>
  <c r="AT322" i="2" s="1"/>
  <c r="AN322" i="2"/>
  <c r="AO322" i="2"/>
  <c r="AQ322" i="2"/>
  <c r="AR322" i="2"/>
  <c r="AS322" i="2"/>
  <c r="R323" i="2"/>
  <c r="V323" i="2" s="1"/>
  <c r="AT323" i="2" s="1"/>
  <c r="AN323" i="2"/>
  <c r="AO323" i="2"/>
  <c r="AP323" i="2"/>
  <c r="AQ323" i="2"/>
  <c r="AR323" i="2"/>
  <c r="AS323" i="2"/>
  <c r="R324" i="2"/>
  <c r="AP324" i="2" s="1"/>
  <c r="V324" i="2"/>
  <c r="AN324" i="2"/>
  <c r="AO324" i="2"/>
  <c r="AQ324" i="2"/>
  <c r="AR324" i="2"/>
  <c r="AS324" i="2"/>
  <c r="AT324" i="2"/>
  <c r="R325" i="2"/>
  <c r="AP325" i="2" s="1"/>
  <c r="V325" i="2"/>
  <c r="AT325" i="2" s="1"/>
  <c r="AN325" i="2"/>
  <c r="AO325" i="2"/>
  <c r="AQ325" i="2"/>
  <c r="AR325" i="2"/>
  <c r="AS325" i="2"/>
  <c r="R326" i="2"/>
  <c r="AP326" i="2" s="1"/>
  <c r="AN326" i="2"/>
  <c r="AO326" i="2"/>
  <c r="AQ326" i="2"/>
  <c r="AR326" i="2"/>
  <c r="AS326" i="2"/>
  <c r="R327" i="2"/>
  <c r="AN327" i="2"/>
  <c r="AO327" i="2"/>
  <c r="AQ327" i="2"/>
  <c r="AR327" i="2"/>
  <c r="AS327" i="2"/>
  <c r="R328" i="2"/>
  <c r="V328" i="2" s="1"/>
  <c r="AT328" i="2" s="1"/>
  <c r="AN328" i="2"/>
  <c r="AO328" i="2"/>
  <c r="AP328" i="2"/>
  <c r="AQ328" i="2"/>
  <c r="AR328" i="2"/>
  <c r="AS328" i="2"/>
  <c r="R329" i="2"/>
  <c r="V329" i="2"/>
  <c r="AT329" i="2" s="1"/>
  <c r="AN329" i="2"/>
  <c r="AO329" i="2"/>
  <c r="AP329" i="2"/>
  <c r="AQ329" i="2"/>
  <c r="AR329" i="2"/>
  <c r="AS329" i="2"/>
  <c r="R330" i="2"/>
  <c r="V330" i="2"/>
  <c r="AT330" i="2" s="1"/>
  <c r="AN330" i="2"/>
  <c r="AO330" i="2"/>
  <c r="AP330" i="2"/>
  <c r="AQ330" i="2"/>
  <c r="AR330" i="2"/>
  <c r="AS330" i="2"/>
  <c r="R331" i="2"/>
  <c r="V331" i="2"/>
  <c r="AT331" i="2" s="1"/>
  <c r="AN331" i="2"/>
  <c r="AO331" i="2"/>
  <c r="AP331" i="2"/>
  <c r="AQ331" i="2"/>
  <c r="AR331" i="2"/>
  <c r="AS331" i="2"/>
  <c r="R332" i="2"/>
  <c r="AP332" i="2" s="1"/>
  <c r="V332" i="2"/>
  <c r="AN332" i="2"/>
  <c r="AO332" i="2"/>
  <c r="AQ332" i="2"/>
  <c r="AR332" i="2"/>
  <c r="AS332" i="2"/>
  <c r="AT332" i="2"/>
  <c r="R333" i="2"/>
  <c r="AP333" i="2" s="1"/>
  <c r="V333" i="2"/>
  <c r="AT333" i="2" s="1"/>
  <c r="AN333" i="2"/>
  <c r="AO333" i="2"/>
  <c r="AQ333" i="2"/>
  <c r="AR333" i="2"/>
  <c r="AS333" i="2"/>
  <c r="R334" i="2"/>
  <c r="AP334" i="2" s="1"/>
  <c r="AN334" i="2"/>
  <c r="AO334" i="2"/>
  <c r="AQ334" i="2"/>
  <c r="AR334" i="2"/>
  <c r="AS334" i="2"/>
  <c r="R335" i="2"/>
  <c r="AN335" i="2"/>
  <c r="AO335" i="2"/>
  <c r="AQ335" i="2"/>
  <c r="AR335" i="2"/>
  <c r="AS335" i="2"/>
  <c r="R336" i="2"/>
  <c r="V336" i="2" s="1"/>
  <c r="AT336" i="2" s="1"/>
  <c r="AN336" i="2"/>
  <c r="AO336" i="2"/>
  <c r="AP336" i="2"/>
  <c r="AQ336" i="2"/>
  <c r="AR336" i="2"/>
  <c r="AS336" i="2"/>
  <c r="R337" i="2"/>
  <c r="V337" i="2"/>
  <c r="AT337" i="2" s="1"/>
  <c r="AN337" i="2"/>
  <c r="AO337" i="2"/>
  <c r="AP337" i="2"/>
  <c r="AQ337" i="2"/>
  <c r="AR337" i="2"/>
  <c r="AS337" i="2"/>
  <c r="R338" i="2"/>
  <c r="V338" i="2"/>
  <c r="AT338" i="2" s="1"/>
  <c r="AN338" i="2"/>
  <c r="AO338" i="2"/>
  <c r="AP338" i="2"/>
  <c r="AQ338" i="2"/>
  <c r="AR338" i="2"/>
  <c r="AS338" i="2"/>
  <c r="R339" i="2"/>
  <c r="V339" i="2"/>
  <c r="AT339" i="2" s="1"/>
  <c r="AN339" i="2"/>
  <c r="AO339" i="2"/>
  <c r="AP339" i="2"/>
  <c r="AQ339" i="2"/>
  <c r="AR339" i="2"/>
  <c r="AS339" i="2"/>
  <c r="R340" i="2"/>
  <c r="AP340" i="2" s="1"/>
  <c r="V340" i="2"/>
  <c r="AN340" i="2"/>
  <c r="AO340" i="2"/>
  <c r="AQ340" i="2"/>
  <c r="AR340" i="2"/>
  <c r="AS340" i="2"/>
  <c r="AT340" i="2"/>
  <c r="R341" i="2"/>
  <c r="AP341" i="2" s="1"/>
  <c r="V341" i="2"/>
  <c r="AT341" i="2" s="1"/>
  <c r="AN341" i="2"/>
  <c r="AO341" i="2"/>
  <c r="AQ341" i="2"/>
  <c r="AR341" i="2"/>
  <c r="AS341" i="2"/>
  <c r="R342" i="2"/>
  <c r="AP342" i="2" s="1"/>
  <c r="AN342" i="2"/>
  <c r="AO342" i="2"/>
  <c r="AQ342" i="2"/>
  <c r="AR342" i="2"/>
  <c r="AS342" i="2"/>
  <c r="R343" i="2"/>
  <c r="AN343" i="2"/>
  <c r="AO343" i="2"/>
  <c r="AQ343" i="2"/>
  <c r="AR343" i="2"/>
  <c r="AS343" i="2"/>
  <c r="R344" i="2"/>
  <c r="V344" i="2" s="1"/>
  <c r="AT344" i="2" s="1"/>
  <c r="AN344" i="2"/>
  <c r="AO344" i="2"/>
  <c r="AP344" i="2"/>
  <c r="AQ344" i="2"/>
  <c r="AR344" i="2"/>
  <c r="AS344" i="2"/>
  <c r="R345" i="2"/>
  <c r="V345" i="2"/>
  <c r="AT345" i="2" s="1"/>
  <c r="AN345" i="2"/>
  <c r="AO345" i="2"/>
  <c r="AP345" i="2"/>
  <c r="AQ345" i="2"/>
  <c r="AR345" i="2"/>
  <c r="AS345" i="2"/>
  <c r="R346" i="2"/>
  <c r="V346" i="2"/>
  <c r="AT346" i="2" s="1"/>
  <c r="AN346" i="2"/>
  <c r="AO346" i="2"/>
  <c r="AP346" i="2"/>
  <c r="AQ346" i="2"/>
  <c r="AR346" i="2"/>
  <c r="AS346" i="2"/>
  <c r="R347" i="2"/>
  <c r="V347" i="2"/>
  <c r="AT347" i="2" s="1"/>
  <c r="AN347" i="2"/>
  <c r="AO347" i="2"/>
  <c r="AP347" i="2"/>
  <c r="AQ347" i="2"/>
  <c r="AR347" i="2"/>
  <c r="AS347" i="2"/>
  <c r="R348" i="2"/>
  <c r="AP348" i="2" s="1"/>
  <c r="AN348" i="2"/>
  <c r="AO348" i="2"/>
  <c r="AQ348" i="2"/>
  <c r="AR348" i="2"/>
  <c r="AS348" i="2"/>
  <c r="R349" i="2"/>
  <c r="AP349" i="2" s="1"/>
  <c r="V349" i="2"/>
  <c r="AT349" i="2" s="1"/>
  <c r="AN349" i="2"/>
  <c r="AO349" i="2"/>
  <c r="AQ349" i="2"/>
  <c r="AR349" i="2"/>
  <c r="AS349" i="2"/>
  <c r="R350" i="2"/>
  <c r="AN350" i="2"/>
  <c r="AO350" i="2"/>
  <c r="AQ350" i="2"/>
  <c r="AR350" i="2"/>
  <c r="AS350" i="2"/>
  <c r="R351" i="2"/>
  <c r="AN351" i="2"/>
  <c r="AO351" i="2"/>
  <c r="AQ351" i="2"/>
  <c r="AR351" i="2"/>
  <c r="AS351" i="2"/>
  <c r="R352" i="2"/>
  <c r="V352" i="2" s="1"/>
  <c r="AT352" i="2" s="1"/>
  <c r="AN352" i="2"/>
  <c r="AO352" i="2"/>
  <c r="AP352" i="2"/>
  <c r="AQ352" i="2"/>
  <c r="AR352" i="2"/>
  <c r="AS352" i="2"/>
  <c r="R353" i="2"/>
  <c r="V353" i="2"/>
  <c r="AT353" i="2" s="1"/>
  <c r="AN353" i="2"/>
  <c r="AO353" i="2"/>
  <c r="AP353" i="2"/>
  <c r="AQ353" i="2"/>
  <c r="AR353" i="2"/>
  <c r="AS353" i="2"/>
  <c r="R354" i="2"/>
  <c r="V354" i="2"/>
  <c r="AT354" i="2" s="1"/>
  <c r="AN354" i="2"/>
  <c r="AO354" i="2"/>
  <c r="AP354" i="2"/>
  <c r="AQ354" i="2"/>
  <c r="AR354" i="2"/>
  <c r="AS354" i="2"/>
  <c r="R355" i="2"/>
  <c r="V355" i="2"/>
  <c r="AT355" i="2" s="1"/>
  <c r="AN355" i="2"/>
  <c r="AO355" i="2"/>
  <c r="AP355" i="2"/>
  <c r="AQ355" i="2"/>
  <c r="AR355" i="2"/>
  <c r="AS355" i="2"/>
  <c r="R356" i="2"/>
  <c r="AP356" i="2" s="1"/>
  <c r="V356" i="2"/>
  <c r="AT356" i="2" s="1"/>
  <c r="AN356" i="2"/>
  <c r="AO356" i="2"/>
  <c r="AQ356" i="2"/>
  <c r="AR356" i="2"/>
  <c r="AS356" i="2"/>
  <c r="R357" i="2"/>
  <c r="AP357" i="2" s="1"/>
  <c r="V357" i="2"/>
  <c r="AT357" i="2" s="1"/>
  <c r="AN357" i="2"/>
  <c r="AO357" i="2"/>
  <c r="AQ357" i="2"/>
  <c r="AR357" i="2"/>
  <c r="AS357" i="2"/>
  <c r="R358" i="2"/>
  <c r="AN358" i="2"/>
  <c r="AO358" i="2"/>
  <c r="AQ358" i="2"/>
  <c r="AR358" i="2"/>
  <c r="AS358" i="2"/>
  <c r="R359" i="2"/>
  <c r="AN359" i="2"/>
  <c r="AO359" i="2"/>
  <c r="AQ359" i="2"/>
  <c r="AR359" i="2"/>
  <c r="AS359" i="2"/>
  <c r="R360" i="2"/>
  <c r="V360" i="2" s="1"/>
  <c r="AT360" i="2" s="1"/>
  <c r="AN360" i="2"/>
  <c r="AO360" i="2"/>
  <c r="AP360" i="2"/>
  <c r="AQ360" i="2"/>
  <c r="AR360" i="2"/>
  <c r="AS360" i="2"/>
  <c r="R361" i="2"/>
  <c r="V361" i="2"/>
  <c r="AT361" i="2" s="1"/>
  <c r="AN361" i="2"/>
  <c r="AO361" i="2"/>
  <c r="AP361" i="2"/>
  <c r="AQ361" i="2"/>
  <c r="AR361" i="2"/>
  <c r="AS361" i="2"/>
  <c r="R362" i="2"/>
  <c r="V362" i="2"/>
  <c r="AT362" i="2" s="1"/>
  <c r="AN362" i="2"/>
  <c r="AO362" i="2"/>
  <c r="AP362" i="2"/>
  <c r="AQ362" i="2"/>
  <c r="AR362" i="2"/>
  <c r="AS362" i="2"/>
  <c r="R363" i="2"/>
  <c r="V363" i="2"/>
  <c r="AT363" i="2" s="1"/>
  <c r="AN363" i="2"/>
  <c r="AO363" i="2"/>
  <c r="AP363" i="2"/>
  <c r="AQ363" i="2"/>
  <c r="AR363" i="2"/>
  <c r="AS363" i="2"/>
  <c r="R364" i="2"/>
  <c r="AP364" i="2" s="1"/>
  <c r="V364" i="2"/>
  <c r="AN364" i="2"/>
  <c r="AO364" i="2"/>
  <c r="AQ364" i="2"/>
  <c r="AR364" i="2"/>
  <c r="AS364" i="2"/>
  <c r="AT364" i="2"/>
  <c r="R365" i="2"/>
  <c r="AP365" i="2" s="1"/>
  <c r="V365" i="2"/>
  <c r="AT365" i="2" s="1"/>
  <c r="AN365" i="2"/>
  <c r="AO365" i="2"/>
  <c r="AQ365" i="2"/>
  <c r="AR365" i="2"/>
  <c r="AS365" i="2"/>
  <c r="R366" i="2"/>
  <c r="AN366" i="2"/>
  <c r="AO366" i="2"/>
  <c r="AQ366" i="2"/>
  <c r="AR366" i="2"/>
  <c r="AS366" i="2"/>
  <c r="R367" i="2"/>
  <c r="AN367" i="2"/>
  <c r="AO367" i="2"/>
  <c r="AQ367" i="2"/>
  <c r="AR367" i="2"/>
  <c r="AS367" i="2"/>
  <c r="R368" i="2"/>
  <c r="V368" i="2" s="1"/>
  <c r="AT368" i="2" s="1"/>
  <c r="AN368" i="2"/>
  <c r="AO368" i="2"/>
  <c r="AP368" i="2"/>
  <c r="AQ368" i="2"/>
  <c r="AR368" i="2"/>
  <c r="AS368" i="2"/>
  <c r="R369" i="2"/>
  <c r="V369" i="2"/>
  <c r="AT369" i="2" s="1"/>
  <c r="AN369" i="2"/>
  <c r="AO369" i="2"/>
  <c r="AP369" i="2"/>
  <c r="AQ369" i="2"/>
  <c r="AR369" i="2"/>
  <c r="AS369" i="2"/>
  <c r="R370" i="2"/>
  <c r="V370" i="2"/>
  <c r="AT370" i="2" s="1"/>
  <c r="AN370" i="2"/>
  <c r="AO370" i="2"/>
  <c r="AP370" i="2"/>
  <c r="AQ370" i="2"/>
  <c r="AR370" i="2"/>
  <c r="AS370" i="2"/>
  <c r="R371" i="2"/>
  <c r="V371" i="2"/>
  <c r="AT371" i="2" s="1"/>
  <c r="AN371" i="2"/>
  <c r="AO371" i="2"/>
  <c r="AP371" i="2"/>
  <c r="AQ371" i="2"/>
  <c r="AR371" i="2"/>
  <c r="AS371" i="2"/>
  <c r="R372" i="2"/>
  <c r="AN372" i="2"/>
  <c r="AO372" i="2"/>
  <c r="AQ372" i="2"/>
  <c r="AR372" i="2"/>
  <c r="AS372" i="2"/>
  <c r="R373" i="2"/>
  <c r="AP373" i="2" s="1"/>
  <c r="V373" i="2"/>
  <c r="AT373" i="2" s="1"/>
  <c r="AN373" i="2"/>
  <c r="AO373" i="2"/>
  <c r="AQ373" i="2"/>
  <c r="AR373" i="2"/>
  <c r="AS373" i="2"/>
  <c r="R374" i="2"/>
  <c r="AN374" i="2"/>
  <c r="AO374" i="2"/>
  <c r="AQ374" i="2"/>
  <c r="AR374" i="2"/>
  <c r="AS374" i="2"/>
  <c r="R375" i="2"/>
  <c r="AN375" i="2"/>
  <c r="AO375" i="2"/>
  <c r="AQ375" i="2"/>
  <c r="AR375" i="2"/>
  <c r="AS375" i="2"/>
  <c r="R376" i="2"/>
  <c r="V376" i="2" s="1"/>
  <c r="AT376" i="2" s="1"/>
  <c r="AN376" i="2"/>
  <c r="AO376" i="2"/>
  <c r="AP376" i="2"/>
  <c r="AQ376" i="2"/>
  <c r="AR376" i="2"/>
  <c r="AS376" i="2"/>
  <c r="R377" i="2"/>
  <c r="V377" i="2"/>
  <c r="AT377" i="2" s="1"/>
  <c r="AN377" i="2"/>
  <c r="AO377" i="2"/>
  <c r="AP377" i="2"/>
  <c r="AQ377" i="2"/>
  <c r="AR377" i="2"/>
  <c r="AS377" i="2"/>
  <c r="R378" i="2"/>
  <c r="V378" i="2"/>
  <c r="AT378" i="2" s="1"/>
  <c r="AN378" i="2"/>
  <c r="AO378" i="2"/>
  <c r="AP378" i="2"/>
  <c r="AQ378" i="2"/>
  <c r="AR378" i="2"/>
  <c r="AS378" i="2"/>
  <c r="R379" i="2"/>
  <c r="V379" i="2"/>
  <c r="AT379" i="2" s="1"/>
  <c r="AN379" i="2"/>
  <c r="AO379" i="2"/>
  <c r="AP379" i="2"/>
  <c r="AQ379" i="2"/>
  <c r="AR379" i="2"/>
  <c r="AS379" i="2"/>
  <c r="R380" i="2"/>
  <c r="AP380" i="2" s="1"/>
  <c r="V380" i="2"/>
  <c r="AT380" i="2" s="1"/>
  <c r="AN380" i="2"/>
  <c r="AO380" i="2"/>
  <c r="AQ380" i="2"/>
  <c r="AR380" i="2"/>
  <c r="AS380" i="2"/>
  <c r="R381" i="2"/>
  <c r="AP381" i="2" s="1"/>
  <c r="V381" i="2"/>
  <c r="AT381" i="2" s="1"/>
  <c r="AN381" i="2"/>
  <c r="AO381" i="2"/>
  <c r="AQ381" i="2"/>
  <c r="AR381" i="2"/>
  <c r="AS381" i="2"/>
  <c r="R382" i="2"/>
  <c r="AN382" i="2"/>
  <c r="AO382" i="2"/>
  <c r="AQ382" i="2"/>
  <c r="AR382" i="2"/>
  <c r="AS382" i="2"/>
  <c r="R383" i="2"/>
  <c r="AN383" i="2"/>
  <c r="AO383" i="2"/>
  <c r="AQ383" i="2"/>
  <c r="AR383" i="2"/>
  <c r="AS383" i="2"/>
  <c r="R384" i="2"/>
  <c r="V384" i="2" s="1"/>
  <c r="AT384" i="2" s="1"/>
  <c r="AN384" i="2"/>
  <c r="AO384" i="2"/>
  <c r="AP384" i="2"/>
  <c r="AQ384" i="2"/>
  <c r="AR384" i="2"/>
  <c r="AS384" i="2"/>
  <c r="R385" i="2"/>
  <c r="V385" i="2"/>
  <c r="AT385" i="2" s="1"/>
  <c r="AN385" i="2"/>
  <c r="AO385" i="2"/>
  <c r="AP385" i="2"/>
  <c r="AQ385" i="2"/>
  <c r="AR385" i="2"/>
  <c r="AS385" i="2"/>
  <c r="R386" i="2"/>
  <c r="V386" i="2"/>
  <c r="AT386" i="2" s="1"/>
  <c r="AN386" i="2"/>
  <c r="AO386" i="2"/>
  <c r="AP386" i="2"/>
  <c r="AQ386" i="2"/>
  <c r="AR386" i="2"/>
  <c r="AS386" i="2"/>
  <c r="R387" i="2"/>
  <c r="V387" i="2"/>
  <c r="AT387" i="2" s="1"/>
  <c r="AN387" i="2"/>
  <c r="AO387" i="2"/>
  <c r="AP387" i="2"/>
  <c r="AQ387" i="2"/>
  <c r="AR387" i="2"/>
  <c r="AS387" i="2"/>
  <c r="R388" i="2"/>
  <c r="V388" i="2"/>
  <c r="AT388" i="2" s="1"/>
  <c r="AN388" i="2"/>
  <c r="AO388" i="2"/>
  <c r="AP388" i="2"/>
  <c r="AQ388" i="2"/>
  <c r="AR388" i="2"/>
  <c r="AS388" i="2"/>
  <c r="R389" i="2"/>
  <c r="AP389" i="2" s="1"/>
  <c r="V389" i="2"/>
  <c r="AT389" i="2" s="1"/>
  <c r="AN389" i="2"/>
  <c r="AO389" i="2"/>
  <c r="AQ389" i="2"/>
  <c r="AR389" i="2"/>
  <c r="AS389" i="2"/>
  <c r="R390" i="2"/>
  <c r="AN390" i="2"/>
  <c r="AO390" i="2"/>
  <c r="AQ390" i="2"/>
  <c r="AR390" i="2"/>
  <c r="AS390" i="2"/>
  <c r="R391" i="2"/>
  <c r="AN391" i="2"/>
  <c r="AO391" i="2"/>
  <c r="AQ391" i="2"/>
  <c r="AR391" i="2"/>
  <c r="AS391" i="2"/>
  <c r="R392" i="2"/>
  <c r="V392" i="2" s="1"/>
  <c r="AN392" i="2"/>
  <c r="AO392" i="2"/>
  <c r="AP392" i="2"/>
  <c r="AQ392" i="2"/>
  <c r="AR392" i="2"/>
  <c r="AS392" i="2"/>
  <c r="AT392" i="2"/>
  <c r="R393" i="2"/>
  <c r="V393" i="2"/>
  <c r="AT393" i="2" s="1"/>
  <c r="AN393" i="2"/>
  <c r="AO393" i="2"/>
  <c r="AP393" i="2"/>
  <c r="AQ393" i="2"/>
  <c r="AR393" i="2"/>
  <c r="AS393" i="2"/>
  <c r="R394" i="2"/>
  <c r="V394" i="2"/>
  <c r="AT394" i="2" s="1"/>
  <c r="AN394" i="2"/>
  <c r="AO394" i="2"/>
  <c r="AP394" i="2"/>
  <c r="AQ394" i="2"/>
  <c r="AR394" i="2"/>
  <c r="AS394" i="2"/>
  <c r="R395" i="2"/>
  <c r="V395" i="2"/>
  <c r="AT395" i="2" s="1"/>
  <c r="AN395" i="2"/>
  <c r="AO395" i="2"/>
  <c r="AP395" i="2"/>
  <c r="AQ395" i="2"/>
  <c r="AR395" i="2"/>
  <c r="AS395" i="2"/>
  <c r="R396" i="2"/>
  <c r="V396" i="2"/>
  <c r="AT396" i="2" s="1"/>
  <c r="AN396" i="2"/>
  <c r="AO396" i="2"/>
  <c r="AP396" i="2"/>
  <c r="AQ396" i="2"/>
  <c r="AR396" i="2"/>
  <c r="AS396" i="2"/>
  <c r="R397" i="2"/>
  <c r="AP397" i="2" s="1"/>
  <c r="V397" i="2"/>
  <c r="AT397" i="2" s="1"/>
  <c r="AN397" i="2"/>
  <c r="AO397" i="2"/>
  <c r="AQ397" i="2"/>
  <c r="AR397" i="2"/>
  <c r="AS397" i="2"/>
  <c r="R398" i="2"/>
  <c r="AN398" i="2"/>
  <c r="AO398" i="2"/>
  <c r="AQ398" i="2"/>
  <c r="AR398" i="2"/>
  <c r="AS398" i="2"/>
  <c r="R399" i="2"/>
  <c r="AN399" i="2"/>
  <c r="AO399" i="2"/>
  <c r="AQ399" i="2"/>
  <c r="AR399" i="2"/>
  <c r="AS399" i="2"/>
  <c r="R400" i="2"/>
  <c r="V400" i="2" s="1"/>
  <c r="AT400" i="2" s="1"/>
  <c r="AN400" i="2"/>
  <c r="AO400" i="2"/>
  <c r="AP400" i="2"/>
  <c r="AQ400" i="2"/>
  <c r="AR400" i="2"/>
  <c r="AS400" i="2"/>
  <c r="R401" i="2"/>
  <c r="V401" i="2"/>
  <c r="AT401" i="2" s="1"/>
  <c r="AN401" i="2"/>
  <c r="AO401" i="2"/>
  <c r="AP401" i="2"/>
  <c r="AQ401" i="2"/>
  <c r="AR401" i="2"/>
  <c r="AS401" i="2"/>
  <c r="R402" i="2"/>
  <c r="V402" i="2"/>
  <c r="AT402" i="2" s="1"/>
  <c r="AN402" i="2"/>
  <c r="AO402" i="2"/>
  <c r="AP402" i="2"/>
  <c r="AQ402" i="2"/>
  <c r="AR402" i="2"/>
  <c r="AS402" i="2"/>
  <c r="R403" i="2"/>
  <c r="V403" i="2"/>
  <c r="AT403" i="2" s="1"/>
  <c r="AN403" i="2"/>
  <c r="AO403" i="2"/>
  <c r="AP403" i="2"/>
  <c r="AQ403" i="2"/>
  <c r="AR403" i="2"/>
  <c r="AS403" i="2"/>
  <c r="R404" i="2"/>
  <c r="V404" i="2" s="1"/>
  <c r="AT404" i="2" s="1"/>
  <c r="AN404" i="2"/>
  <c r="AO404" i="2"/>
  <c r="AQ404" i="2"/>
  <c r="AR404" i="2"/>
  <c r="AS404" i="2"/>
  <c r="R405" i="2"/>
  <c r="AP405" i="2" s="1"/>
  <c r="AN405" i="2"/>
  <c r="AO405" i="2"/>
  <c r="AQ405" i="2"/>
  <c r="AR405" i="2"/>
  <c r="AS405" i="2"/>
  <c r="R406" i="2"/>
  <c r="AN406" i="2"/>
  <c r="AO406" i="2"/>
  <c r="AQ406" i="2"/>
  <c r="AR406" i="2"/>
  <c r="AS406" i="2"/>
  <c r="R407" i="2"/>
  <c r="AN407" i="2"/>
  <c r="AO407" i="2"/>
  <c r="AQ407" i="2"/>
  <c r="AR407" i="2"/>
  <c r="AS407" i="2"/>
  <c r="R408" i="2"/>
  <c r="V408" i="2" s="1"/>
  <c r="AN408" i="2"/>
  <c r="AO408" i="2"/>
  <c r="AP408" i="2"/>
  <c r="AQ408" i="2"/>
  <c r="AR408" i="2"/>
  <c r="AS408" i="2"/>
  <c r="AT408" i="2"/>
  <c r="R409" i="2"/>
  <c r="V409" i="2"/>
  <c r="AT409" i="2" s="1"/>
  <c r="AN409" i="2"/>
  <c r="AO409" i="2"/>
  <c r="AP409" i="2"/>
  <c r="AQ409" i="2"/>
  <c r="AR409" i="2"/>
  <c r="AS409" i="2"/>
  <c r="R410" i="2"/>
  <c r="V410" i="2"/>
  <c r="AT410" i="2" s="1"/>
  <c r="AN410" i="2"/>
  <c r="AO410" i="2"/>
  <c r="AP410" i="2"/>
  <c r="AQ410" i="2"/>
  <c r="AR410" i="2"/>
  <c r="AS410" i="2"/>
  <c r="R411" i="2"/>
  <c r="V411" i="2"/>
  <c r="AT411" i="2" s="1"/>
  <c r="AN411" i="2"/>
  <c r="AO411" i="2"/>
  <c r="AP411" i="2"/>
  <c r="AQ411" i="2"/>
  <c r="AR411" i="2"/>
  <c r="AS411" i="2"/>
  <c r="R412" i="2"/>
  <c r="AN412" i="2"/>
  <c r="AO412" i="2"/>
  <c r="AQ412" i="2"/>
  <c r="AR412" i="2"/>
  <c r="AS412" i="2"/>
  <c r="R413" i="2"/>
  <c r="AN413" i="2"/>
  <c r="AO413" i="2"/>
  <c r="AQ413" i="2"/>
  <c r="AR413" i="2"/>
  <c r="AS413" i="2"/>
  <c r="R414" i="2"/>
  <c r="AN414" i="2"/>
  <c r="AO414" i="2"/>
  <c r="AQ414" i="2"/>
  <c r="AR414" i="2"/>
  <c r="AS414" i="2"/>
  <c r="R415" i="2"/>
  <c r="AN415" i="2"/>
  <c r="AO415" i="2"/>
  <c r="AQ415" i="2"/>
  <c r="AR415" i="2"/>
  <c r="AS415" i="2"/>
  <c r="R416" i="2"/>
  <c r="V416" i="2" s="1"/>
  <c r="AT416" i="2" s="1"/>
  <c r="AN416" i="2"/>
  <c r="AO416" i="2"/>
  <c r="AP416" i="2"/>
  <c r="AQ416" i="2"/>
  <c r="AR416" i="2"/>
  <c r="AS416" i="2"/>
  <c r="R417" i="2"/>
  <c r="V417" i="2"/>
  <c r="AT417" i="2" s="1"/>
  <c r="AN417" i="2"/>
  <c r="AO417" i="2"/>
  <c r="AP417" i="2"/>
  <c r="AQ417" i="2"/>
  <c r="AR417" i="2"/>
  <c r="AS417" i="2"/>
  <c r="R418" i="2"/>
  <c r="V418" i="2"/>
  <c r="AT418" i="2" s="1"/>
  <c r="AN418" i="2"/>
  <c r="AO418" i="2"/>
  <c r="AP418" i="2"/>
  <c r="AQ418" i="2"/>
  <c r="AR418" i="2"/>
  <c r="AS418" i="2"/>
  <c r="R419" i="2"/>
  <c r="V419" i="2"/>
  <c r="AT419" i="2" s="1"/>
  <c r="AN419" i="2"/>
  <c r="AO419" i="2"/>
  <c r="AP419" i="2"/>
  <c r="AQ419" i="2"/>
  <c r="AR419" i="2"/>
  <c r="AS419" i="2"/>
  <c r="R420" i="2"/>
  <c r="V420" i="2"/>
  <c r="AT420" i="2" s="1"/>
  <c r="AN420" i="2"/>
  <c r="AO420" i="2"/>
  <c r="AP420" i="2"/>
  <c r="AQ420" i="2"/>
  <c r="AR420" i="2"/>
  <c r="AS420" i="2"/>
  <c r="R421" i="2"/>
  <c r="AP421" i="2" s="1"/>
  <c r="V421" i="2"/>
  <c r="AT421" i="2" s="1"/>
  <c r="AN421" i="2"/>
  <c r="AO421" i="2"/>
  <c r="AQ421" i="2"/>
  <c r="AR421" i="2"/>
  <c r="AS421" i="2"/>
  <c r="R422" i="2"/>
  <c r="AN422" i="2"/>
  <c r="AO422" i="2"/>
  <c r="AQ422" i="2"/>
  <c r="AR422" i="2"/>
  <c r="AS422" i="2"/>
  <c r="R423" i="2"/>
  <c r="AN423" i="2"/>
  <c r="AO423" i="2"/>
  <c r="AQ423" i="2"/>
  <c r="AR423" i="2"/>
  <c r="AS423" i="2"/>
  <c r="R424" i="2"/>
  <c r="V424" i="2" s="1"/>
  <c r="AT424" i="2" s="1"/>
  <c r="AN424" i="2"/>
  <c r="AO424" i="2"/>
  <c r="AP424" i="2"/>
  <c r="AQ424" i="2"/>
  <c r="AR424" i="2"/>
  <c r="AS424" i="2"/>
  <c r="R425" i="2"/>
  <c r="V425" i="2"/>
  <c r="AT425" i="2" s="1"/>
  <c r="AN425" i="2"/>
  <c r="AO425" i="2"/>
  <c r="AP425" i="2"/>
  <c r="AQ425" i="2"/>
  <c r="AR425" i="2"/>
  <c r="AS425" i="2"/>
  <c r="R426" i="2"/>
  <c r="V426" i="2"/>
  <c r="AT426" i="2" s="1"/>
  <c r="AN426" i="2"/>
  <c r="AO426" i="2"/>
  <c r="AP426" i="2"/>
  <c r="AQ426" i="2"/>
  <c r="AR426" i="2"/>
  <c r="AS426" i="2"/>
  <c r="R427" i="2"/>
  <c r="V427" i="2"/>
  <c r="AT427" i="2" s="1"/>
  <c r="AN427" i="2"/>
  <c r="AO427" i="2"/>
  <c r="AP427" i="2"/>
  <c r="AQ427" i="2"/>
  <c r="AR427" i="2"/>
  <c r="AS427" i="2"/>
  <c r="R428" i="2"/>
  <c r="V428" i="2"/>
  <c r="AN428" i="2"/>
  <c r="AO428" i="2"/>
  <c r="AP428" i="2"/>
  <c r="AQ428" i="2"/>
  <c r="AR428" i="2"/>
  <c r="AS428" i="2"/>
  <c r="AT428" i="2"/>
  <c r="R429" i="2"/>
  <c r="AP429" i="2" s="1"/>
  <c r="V429" i="2"/>
  <c r="AT429" i="2" s="1"/>
  <c r="AN429" i="2"/>
  <c r="AO429" i="2"/>
  <c r="AQ429" i="2"/>
  <c r="AR429" i="2"/>
  <c r="AS429" i="2"/>
  <c r="R430" i="2"/>
  <c r="AN430" i="2"/>
  <c r="AO430" i="2"/>
  <c r="AQ430" i="2"/>
  <c r="AR430" i="2"/>
  <c r="AS430" i="2"/>
  <c r="R431" i="2"/>
  <c r="AN431" i="2"/>
  <c r="AO431" i="2"/>
  <c r="AQ431" i="2"/>
  <c r="AR431" i="2"/>
  <c r="AS431" i="2"/>
  <c r="R432" i="2"/>
  <c r="V432" i="2" s="1"/>
  <c r="AN432" i="2"/>
  <c r="AO432" i="2"/>
  <c r="AP432" i="2"/>
  <c r="AQ432" i="2"/>
  <c r="AR432" i="2"/>
  <c r="AS432" i="2"/>
  <c r="AT432" i="2"/>
  <c r="R433" i="2"/>
  <c r="V433" i="2"/>
  <c r="AT433" i="2" s="1"/>
  <c r="AN433" i="2"/>
  <c r="AO433" i="2"/>
  <c r="AP433" i="2"/>
  <c r="AQ433" i="2"/>
  <c r="AR433" i="2"/>
  <c r="AS433" i="2"/>
  <c r="R434" i="2"/>
  <c r="AN434" i="2"/>
  <c r="AO434" i="2"/>
  <c r="AQ434" i="2"/>
  <c r="AR434" i="2"/>
  <c r="AS434" i="2"/>
  <c r="R435" i="2"/>
  <c r="V435" i="2" s="1"/>
  <c r="AT435" i="2" s="1"/>
  <c r="AN435" i="2"/>
  <c r="AO435" i="2"/>
  <c r="AQ435" i="2"/>
  <c r="AR435" i="2"/>
  <c r="AS435" i="2"/>
  <c r="R436" i="2"/>
  <c r="V436" i="2"/>
  <c r="AT436" i="2" s="1"/>
  <c r="AN436" i="2"/>
  <c r="AO436" i="2"/>
  <c r="AP436" i="2"/>
  <c r="AQ436" i="2"/>
  <c r="AR436" i="2"/>
  <c r="AS436" i="2"/>
  <c r="R437" i="2"/>
  <c r="V437" i="2" s="1"/>
  <c r="AT437" i="2" s="1"/>
  <c r="AN437" i="2"/>
  <c r="AO437" i="2"/>
  <c r="AP437" i="2"/>
  <c r="AQ437" i="2"/>
  <c r="AR437" i="2"/>
  <c r="AS437" i="2"/>
  <c r="R438" i="2"/>
  <c r="V438" i="2"/>
  <c r="AT438" i="2" s="1"/>
  <c r="AN438" i="2"/>
  <c r="AO438" i="2"/>
  <c r="AP438" i="2"/>
  <c r="AQ438" i="2"/>
  <c r="AR438" i="2"/>
  <c r="AS438" i="2"/>
  <c r="R439" i="2"/>
  <c r="V439" i="2"/>
  <c r="AT439" i="2" s="1"/>
  <c r="AN439" i="2"/>
  <c r="AO439" i="2"/>
  <c r="AP439" i="2"/>
  <c r="AQ439" i="2"/>
  <c r="AR439" i="2"/>
  <c r="AS439" i="2"/>
  <c r="R440" i="2"/>
  <c r="AP440" i="2" s="1"/>
  <c r="V440" i="2"/>
  <c r="AT440" i="2" s="1"/>
  <c r="AN440" i="2"/>
  <c r="AO440" i="2"/>
  <c r="AQ440" i="2"/>
  <c r="AR440" i="2"/>
  <c r="AS440" i="2"/>
  <c r="R441" i="2"/>
  <c r="V441" i="2" s="1"/>
  <c r="AT441" i="2" s="1"/>
  <c r="AN441" i="2"/>
  <c r="AO441" i="2"/>
  <c r="AQ441" i="2"/>
  <c r="AR441" i="2"/>
  <c r="AS441" i="2"/>
  <c r="R442" i="2"/>
  <c r="AN442" i="2"/>
  <c r="AO442" i="2"/>
  <c r="AQ442" i="2"/>
  <c r="AR442" i="2"/>
  <c r="AS442" i="2"/>
  <c r="R443" i="2"/>
  <c r="AN443" i="2"/>
  <c r="AO443" i="2"/>
  <c r="AQ443" i="2"/>
  <c r="AR443" i="2"/>
  <c r="AS443" i="2"/>
  <c r="R444" i="2"/>
  <c r="V444" i="2"/>
  <c r="AT444" i="2" s="1"/>
  <c r="AN444" i="2"/>
  <c r="AO444" i="2"/>
  <c r="AP444" i="2"/>
  <c r="AQ444" i="2"/>
  <c r="AR444" i="2"/>
  <c r="AS444" i="2"/>
  <c r="R445" i="2"/>
  <c r="V445" i="2" s="1"/>
  <c r="AT445" i="2" s="1"/>
  <c r="AN445" i="2"/>
  <c r="AO445" i="2"/>
  <c r="AP445" i="2"/>
  <c r="AQ445" i="2"/>
  <c r="AR445" i="2"/>
  <c r="AS445" i="2"/>
  <c r="R446" i="2"/>
  <c r="V446" i="2"/>
  <c r="AT446" i="2" s="1"/>
  <c r="AN446" i="2"/>
  <c r="AO446" i="2"/>
  <c r="AP446" i="2"/>
  <c r="AQ446" i="2"/>
  <c r="AR446" i="2"/>
  <c r="AS446" i="2"/>
  <c r="R447" i="2"/>
  <c r="V447" i="2"/>
  <c r="AT447" i="2" s="1"/>
  <c r="AN447" i="2"/>
  <c r="AO447" i="2"/>
  <c r="AP447" i="2"/>
  <c r="AQ447" i="2"/>
  <c r="AR447" i="2"/>
  <c r="AS447" i="2"/>
  <c r="R448" i="2"/>
  <c r="AP448" i="2" s="1"/>
  <c r="V448" i="2"/>
  <c r="AT448" i="2" s="1"/>
  <c r="AN448" i="2"/>
  <c r="AO448" i="2"/>
  <c r="AQ448" i="2"/>
  <c r="AR448" i="2"/>
  <c r="AS448" i="2"/>
  <c r="R449" i="2"/>
  <c r="AN449" i="2"/>
  <c r="AO449" i="2"/>
  <c r="AQ449" i="2"/>
  <c r="AR449" i="2"/>
  <c r="AS449" i="2"/>
  <c r="R450" i="2"/>
  <c r="AN450" i="2"/>
  <c r="AO450" i="2"/>
  <c r="AQ450" i="2"/>
  <c r="AR450" i="2"/>
  <c r="AS450" i="2"/>
  <c r="R451" i="2"/>
  <c r="AN451" i="2"/>
  <c r="AO451" i="2"/>
  <c r="AQ451" i="2"/>
  <c r="AR451" i="2"/>
  <c r="AS451" i="2"/>
  <c r="R452" i="2"/>
  <c r="V452" i="2"/>
  <c r="AT452" i="2" s="1"/>
  <c r="AN452" i="2"/>
  <c r="AO452" i="2"/>
  <c r="AP452" i="2"/>
  <c r="AQ452" i="2"/>
  <c r="AR452" i="2"/>
  <c r="AS452" i="2"/>
  <c r="R453" i="2"/>
  <c r="V453" i="2" s="1"/>
  <c r="AN453" i="2"/>
  <c r="AO453" i="2"/>
  <c r="AP453" i="2"/>
  <c r="AQ453" i="2"/>
  <c r="AR453" i="2"/>
  <c r="AS453" i="2"/>
  <c r="AT453" i="2"/>
  <c r="R454" i="2"/>
  <c r="V454" i="2"/>
  <c r="AT454" i="2" s="1"/>
  <c r="AN454" i="2"/>
  <c r="AO454" i="2"/>
  <c r="AP454" i="2"/>
  <c r="AQ454" i="2"/>
  <c r="AR454" i="2"/>
  <c r="AS454" i="2"/>
  <c r="R455" i="2"/>
  <c r="V455" i="2"/>
  <c r="AT455" i="2" s="1"/>
  <c r="AN455" i="2"/>
  <c r="AO455" i="2"/>
  <c r="AP455" i="2"/>
  <c r="AQ455" i="2"/>
  <c r="AR455" i="2"/>
  <c r="AS455" i="2"/>
  <c r="R456" i="2"/>
  <c r="AP456" i="2" s="1"/>
  <c r="V456" i="2"/>
  <c r="AT456" i="2" s="1"/>
  <c r="AN456" i="2"/>
  <c r="AO456" i="2"/>
  <c r="AQ456" i="2"/>
  <c r="AR456" i="2"/>
  <c r="AS456" i="2"/>
  <c r="R457" i="2"/>
  <c r="V457" i="2" s="1"/>
  <c r="AT457" i="2" s="1"/>
  <c r="AN457" i="2"/>
  <c r="AO457" i="2"/>
  <c r="AP457" i="2"/>
  <c r="AQ457" i="2"/>
  <c r="AR457" i="2"/>
  <c r="AS457" i="2"/>
  <c r="R458" i="2"/>
  <c r="AP458" i="2" s="1"/>
  <c r="V458" i="2"/>
  <c r="AT458" i="2" s="1"/>
  <c r="AN458" i="2"/>
  <c r="AO458" i="2"/>
  <c r="AQ458" i="2"/>
  <c r="AR458" i="2"/>
  <c r="AS458" i="2"/>
  <c r="R459" i="2"/>
  <c r="V459" i="2" s="1"/>
  <c r="AT459" i="2" s="1"/>
  <c r="AN459" i="2"/>
  <c r="AO459" i="2"/>
  <c r="AP459" i="2"/>
  <c r="AQ459" i="2"/>
  <c r="AR459" i="2"/>
  <c r="AS459" i="2"/>
  <c r="R460" i="2"/>
  <c r="V460" i="2"/>
  <c r="AT460" i="2" s="1"/>
  <c r="AN460" i="2"/>
  <c r="AO460" i="2"/>
  <c r="AP460" i="2"/>
  <c r="AQ460" i="2"/>
  <c r="AR460" i="2"/>
  <c r="AS460" i="2"/>
  <c r="R461" i="2"/>
  <c r="V461" i="2" s="1"/>
  <c r="AT461" i="2" s="1"/>
  <c r="AN461" i="2"/>
  <c r="AO461" i="2"/>
  <c r="AP461" i="2"/>
  <c r="AQ461" i="2"/>
  <c r="AR461" i="2"/>
  <c r="AS461" i="2"/>
  <c r="R462" i="2"/>
  <c r="V462" i="2"/>
  <c r="AT462" i="2" s="1"/>
  <c r="AN462" i="2"/>
  <c r="AO462" i="2"/>
  <c r="AP462" i="2"/>
  <c r="AQ462" i="2"/>
  <c r="AR462" i="2"/>
  <c r="AS462" i="2"/>
  <c r="R463" i="2"/>
  <c r="AN463" i="2"/>
  <c r="AO463" i="2"/>
  <c r="AQ463" i="2"/>
  <c r="AR463" i="2"/>
  <c r="AS463" i="2"/>
  <c r="R464" i="2"/>
  <c r="V464" i="2"/>
  <c r="AN464" i="2"/>
  <c r="AO464" i="2"/>
  <c r="AP464" i="2"/>
  <c r="AQ464" i="2"/>
  <c r="AR464" i="2"/>
  <c r="AS464" i="2"/>
  <c r="AT464" i="2"/>
  <c r="R465" i="2"/>
  <c r="V465" i="2"/>
  <c r="AT465" i="2" s="1"/>
  <c r="AN465" i="2"/>
  <c r="AO465" i="2"/>
  <c r="AP465" i="2"/>
  <c r="AQ465" i="2"/>
  <c r="AR465" i="2"/>
  <c r="AS465" i="2"/>
  <c r="R466" i="2"/>
  <c r="V466" i="2"/>
  <c r="AT466" i="2" s="1"/>
  <c r="AN466" i="2"/>
  <c r="AO466" i="2"/>
  <c r="AP466" i="2"/>
  <c r="AQ466" i="2"/>
  <c r="AR466" i="2"/>
  <c r="AS466" i="2"/>
  <c r="R467" i="2"/>
  <c r="AN467" i="2"/>
  <c r="AO467" i="2"/>
  <c r="AQ467" i="2"/>
  <c r="AR467" i="2"/>
  <c r="AS467" i="2"/>
  <c r="R468" i="2"/>
  <c r="V468" i="2" s="1"/>
  <c r="AT468" i="2" s="1"/>
  <c r="AN468" i="2"/>
  <c r="AO468" i="2"/>
  <c r="AQ468" i="2"/>
  <c r="AR468" i="2"/>
  <c r="AS468" i="2"/>
  <c r="R469" i="2"/>
  <c r="AP469" i="2" s="1"/>
  <c r="AN469" i="2"/>
  <c r="AO469" i="2"/>
  <c r="AQ469" i="2"/>
  <c r="AR469" i="2"/>
  <c r="AS469" i="2"/>
  <c r="R470" i="2"/>
  <c r="V470" i="2" s="1"/>
  <c r="AT470" i="2" s="1"/>
  <c r="AN470" i="2"/>
  <c r="AO470" i="2"/>
  <c r="AQ470" i="2"/>
  <c r="AR470" i="2"/>
  <c r="AS470" i="2"/>
  <c r="R471" i="2"/>
  <c r="V471" i="2" s="1"/>
  <c r="AT471" i="2" s="1"/>
  <c r="AN471" i="2"/>
  <c r="AO471" i="2"/>
  <c r="AP471" i="2"/>
  <c r="AQ471" i="2"/>
  <c r="AR471" i="2"/>
  <c r="AS471" i="2"/>
  <c r="R472" i="2"/>
  <c r="V472" i="2"/>
  <c r="AT472" i="2" s="1"/>
  <c r="AN472" i="2"/>
  <c r="AO472" i="2"/>
  <c r="AP472" i="2"/>
  <c r="AQ472" i="2"/>
  <c r="AR472" i="2"/>
  <c r="AS472" i="2"/>
  <c r="R473" i="2"/>
  <c r="V473" i="2"/>
  <c r="AT473" i="2" s="1"/>
  <c r="AN473" i="2"/>
  <c r="AO473" i="2"/>
  <c r="AP473" i="2"/>
  <c r="AQ473" i="2"/>
  <c r="AR473" i="2"/>
  <c r="AS473" i="2"/>
  <c r="R474" i="2"/>
  <c r="V474" i="2"/>
  <c r="AT474" i="2" s="1"/>
  <c r="AN474" i="2"/>
  <c r="AO474" i="2"/>
  <c r="AP474" i="2"/>
  <c r="AQ474" i="2"/>
  <c r="AR474" i="2"/>
  <c r="AS474" i="2"/>
  <c r="R475" i="2"/>
  <c r="AN475" i="2"/>
  <c r="AO475" i="2"/>
  <c r="AQ475" i="2"/>
  <c r="AR475" i="2"/>
  <c r="AS475" i="2"/>
  <c r="R476" i="2"/>
  <c r="V476" i="2" s="1"/>
  <c r="AT476" i="2" s="1"/>
  <c r="AN476" i="2"/>
  <c r="AO476" i="2"/>
  <c r="AQ476" i="2"/>
  <c r="AR476" i="2"/>
  <c r="AS476" i="2"/>
  <c r="R477" i="2"/>
  <c r="AP477" i="2" s="1"/>
  <c r="AN477" i="2"/>
  <c r="AO477" i="2"/>
  <c r="AQ477" i="2"/>
  <c r="AR477" i="2"/>
  <c r="AS477" i="2"/>
  <c r="R478" i="2"/>
  <c r="V478" i="2" s="1"/>
  <c r="AT478" i="2" s="1"/>
  <c r="AN478" i="2"/>
  <c r="AO478" i="2"/>
  <c r="AQ478" i="2"/>
  <c r="AR478" i="2"/>
  <c r="AS478" i="2"/>
  <c r="R479" i="2"/>
  <c r="V479" i="2" s="1"/>
  <c r="AT479" i="2" s="1"/>
  <c r="AN479" i="2"/>
  <c r="AO479" i="2"/>
  <c r="AP479" i="2"/>
  <c r="AQ479" i="2"/>
  <c r="AR479" i="2"/>
  <c r="AS479" i="2"/>
  <c r="R480" i="2"/>
  <c r="V480" i="2"/>
  <c r="AT480" i="2" s="1"/>
  <c r="AN480" i="2"/>
  <c r="AO480" i="2"/>
  <c r="AP480" i="2"/>
  <c r="AQ480" i="2"/>
  <c r="AR480" i="2"/>
  <c r="AS480" i="2"/>
  <c r="R481" i="2"/>
  <c r="V481" i="2"/>
  <c r="AT481" i="2" s="1"/>
  <c r="AN481" i="2"/>
  <c r="AO481" i="2"/>
  <c r="AP481" i="2"/>
  <c r="AQ481" i="2"/>
  <c r="AR481" i="2"/>
  <c r="AS481" i="2"/>
  <c r="R482" i="2"/>
  <c r="V482" i="2"/>
  <c r="AT482" i="2" s="1"/>
  <c r="AN482" i="2"/>
  <c r="AO482" i="2"/>
  <c r="AP482" i="2"/>
  <c r="AQ482" i="2"/>
  <c r="AR482" i="2"/>
  <c r="AS482" i="2"/>
  <c r="R483" i="2"/>
  <c r="AN483" i="2"/>
  <c r="AO483" i="2"/>
  <c r="AQ483" i="2"/>
  <c r="AR483" i="2"/>
  <c r="AS483" i="2"/>
  <c r="R484" i="2"/>
  <c r="V484" i="2" s="1"/>
  <c r="AT484" i="2" s="1"/>
  <c r="AN484" i="2"/>
  <c r="AO484" i="2"/>
  <c r="AQ484" i="2"/>
  <c r="AR484" i="2"/>
  <c r="AS484" i="2"/>
  <c r="R485" i="2"/>
  <c r="AP485" i="2" s="1"/>
  <c r="AN485" i="2"/>
  <c r="AO485" i="2"/>
  <c r="AQ485" i="2"/>
  <c r="AR485" i="2"/>
  <c r="AS485" i="2"/>
  <c r="R486" i="2"/>
  <c r="V486" i="2" s="1"/>
  <c r="AT486" i="2" s="1"/>
  <c r="AN486" i="2"/>
  <c r="AO486" i="2"/>
  <c r="AQ486" i="2"/>
  <c r="AR486" i="2"/>
  <c r="AS486" i="2"/>
  <c r="R487" i="2"/>
  <c r="V487" i="2" s="1"/>
  <c r="AT487" i="2" s="1"/>
  <c r="AN487" i="2"/>
  <c r="AO487" i="2"/>
  <c r="AP487" i="2"/>
  <c r="AQ487" i="2"/>
  <c r="AR487" i="2"/>
  <c r="AS487" i="2"/>
  <c r="R488" i="2"/>
  <c r="V488" i="2"/>
  <c r="AT488" i="2" s="1"/>
  <c r="AN488" i="2"/>
  <c r="AO488" i="2"/>
  <c r="AP488" i="2"/>
  <c r="AQ488" i="2"/>
  <c r="AR488" i="2"/>
  <c r="AS488" i="2"/>
  <c r="R489" i="2"/>
  <c r="V489" i="2"/>
  <c r="AT489" i="2" s="1"/>
  <c r="AN489" i="2"/>
  <c r="AO489" i="2"/>
  <c r="AP489" i="2"/>
  <c r="AQ489" i="2"/>
  <c r="AR489" i="2"/>
  <c r="AS489" i="2"/>
  <c r="R490" i="2"/>
  <c r="V490" i="2"/>
  <c r="AT490" i="2" s="1"/>
  <c r="AN490" i="2"/>
  <c r="AO490" i="2"/>
  <c r="AP490" i="2"/>
  <c r="AQ490" i="2"/>
  <c r="AR490" i="2"/>
  <c r="AS490" i="2"/>
  <c r="R491" i="2"/>
  <c r="AN491" i="2"/>
  <c r="AO491" i="2"/>
  <c r="AQ491" i="2"/>
  <c r="AR491" i="2"/>
  <c r="AS491" i="2"/>
  <c r="R492" i="2"/>
  <c r="V492" i="2" s="1"/>
  <c r="AT492" i="2" s="1"/>
  <c r="AN492" i="2"/>
  <c r="AO492" i="2"/>
  <c r="AQ492" i="2"/>
  <c r="AR492" i="2"/>
  <c r="AS492" i="2"/>
  <c r="R493" i="2"/>
  <c r="AP493" i="2" s="1"/>
  <c r="AN493" i="2"/>
  <c r="AO493" i="2"/>
  <c r="AQ493" i="2"/>
  <c r="AR493" i="2"/>
  <c r="AS493" i="2"/>
  <c r="R494" i="2"/>
  <c r="V494" i="2" s="1"/>
  <c r="AT494" i="2" s="1"/>
  <c r="AN494" i="2"/>
  <c r="AO494" i="2"/>
  <c r="AQ494" i="2"/>
  <c r="AR494" i="2"/>
  <c r="AS494" i="2"/>
  <c r="R495" i="2"/>
  <c r="V495" i="2" s="1"/>
  <c r="AT495" i="2" s="1"/>
  <c r="AN495" i="2"/>
  <c r="AO495" i="2"/>
  <c r="AP495" i="2"/>
  <c r="AQ495" i="2"/>
  <c r="AR495" i="2"/>
  <c r="AS495" i="2"/>
  <c r="R496" i="2"/>
  <c r="V496" i="2"/>
  <c r="AT496" i="2" s="1"/>
  <c r="AN496" i="2"/>
  <c r="AO496" i="2"/>
  <c r="AP496" i="2"/>
  <c r="AQ496" i="2"/>
  <c r="AR496" i="2"/>
  <c r="AS496" i="2"/>
  <c r="R497" i="2"/>
  <c r="V497" i="2"/>
  <c r="AT497" i="2" s="1"/>
  <c r="AN497" i="2"/>
  <c r="AO497" i="2"/>
  <c r="AP497" i="2"/>
  <c r="AQ497" i="2"/>
  <c r="AR497" i="2"/>
  <c r="AS497" i="2"/>
  <c r="R498" i="2"/>
  <c r="V498" i="2"/>
  <c r="AT498" i="2" s="1"/>
  <c r="AN498" i="2"/>
  <c r="AO498" i="2"/>
  <c r="AP498" i="2"/>
  <c r="AQ498" i="2"/>
  <c r="AR498" i="2"/>
  <c r="AS498" i="2"/>
  <c r="R499" i="2"/>
  <c r="AP499" i="2" s="1"/>
  <c r="V499" i="2"/>
  <c r="AT499" i="2" s="1"/>
  <c r="AN499" i="2"/>
  <c r="AO499" i="2"/>
  <c r="AQ499" i="2"/>
  <c r="AR499" i="2"/>
  <c r="AS499" i="2"/>
  <c r="R500" i="2"/>
  <c r="AN500" i="2"/>
  <c r="AO500" i="2"/>
  <c r="AQ500" i="2"/>
  <c r="AR500" i="2"/>
  <c r="AS500" i="2"/>
  <c r="R501" i="2"/>
  <c r="AP501" i="2" s="1"/>
  <c r="AN501" i="2"/>
  <c r="AO501" i="2"/>
  <c r="AQ501" i="2"/>
  <c r="AR501" i="2"/>
  <c r="AS501" i="2"/>
  <c r="R502" i="2"/>
  <c r="AN502" i="2"/>
  <c r="AO502" i="2"/>
  <c r="AQ502" i="2"/>
  <c r="AR502" i="2"/>
  <c r="AS502" i="2"/>
  <c r="R503" i="2"/>
  <c r="V503" i="2" s="1"/>
  <c r="AT503" i="2" s="1"/>
  <c r="AN503" i="2"/>
  <c r="AO503" i="2"/>
  <c r="AP503" i="2"/>
  <c r="AQ503" i="2"/>
  <c r="AR503" i="2"/>
  <c r="AS503" i="2"/>
  <c r="R504" i="2"/>
  <c r="V504" i="2"/>
  <c r="AT504" i="2" s="1"/>
  <c r="AN504" i="2"/>
  <c r="AO504" i="2"/>
  <c r="AP504" i="2"/>
  <c r="AQ504" i="2"/>
  <c r="AR504" i="2"/>
  <c r="AS504" i="2"/>
  <c r="R505" i="2"/>
  <c r="V505" i="2"/>
  <c r="AT505" i="2" s="1"/>
  <c r="AN505" i="2"/>
  <c r="AO505" i="2"/>
  <c r="AP505" i="2"/>
  <c r="AQ505" i="2"/>
  <c r="AR505" i="2"/>
  <c r="AS505" i="2"/>
  <c r="R506" i="2"/>
  <c r="V506" i="2"/>
  <c r="AT506" i="2" s="1"/>
  <c r="AN506" i="2"/>
  <c r="AO506" i="2"/>
  <c r="AP506" i="2"/>
  <c r="AQ506" i="2"/>
  <c r="AR506" i="2"/>
  <c r="AS506" i="2"/>
  <c r="R507" i="2"/>
  <c r="AP507" i="2" s="1"/>
  <c r="V507" i="2"/>
  <c r="AT507" i="2" s="1"/>
  <c r="AN507" i="2"/>
  <c r="AO507" i="2"/>
  <c r="AQ507" i="2"/>
  <c r="AR507" i="2"/>
  <c r="AS507" i="2"/>
  <c r="R508" i="2"/>
  <c r="AN508" i="2"/>
  <c r="AO508" i="2"/>
  <c r="AQ508" i="2"/>
  <c r="AR508" i="2"/>
  <c r="AS508" i="2"/>
  <c r="R509" i="2"/>
  <c r="AP509" i="2" s="1"/>
  <c r="AN509" i="2"/>
  <c r="AO509" i="2"/>
  <c r="AQ509" i="2"/>
  <c r="AR509" i="2"/>
  <c r="AS509" i="2"/>
  <c r="R510" i="2"/>
  <c r="AN510" i="2"/>
  <c r="AO510" i="2"/>
  <c r="AQ510" i="2"/>
  <c r="AR510" i="2"/>
  <c r="AS510" i="2"/>
  <c r="R511" i="2"/>
  <c r="V511" i="2" s="1"/>
  <c r="AT511" i="2" s="1"/>
  <c r="AN511" i="2"/>
  <c r="AO511" i="2"/>
  <c r="AP511" i="2"/>
  <c r="AQ511" i="2"/>
  <c r="AR511" i="2"/>
  <c r="AS511" i="2"/>
  <c r="R512" i="2"/>
  <c r="V512" i="2"/>
  <c r="AT512" i="2" s="1"/>
  <c r="AN512" i="2"/>
  <c r="AO512" i="2"/>
  <c r="AP512" i="2"/>
  <c r="AQ512" i="2"/>
  <c r="AR512" i="2"/>
  <c r="AS512" i="2"/>
  <c r="R513" i="2"/>
  <c r="V513" i="2"/>
  <c r="AT513" i="2" s="1"/>
  <c r="AN513" i="2"/>
  <c r="AO513" i="2"/>
  <c r="AP513" i="2"/>
  <c r="AQ513" i="2"/>
  <c r="AR513" i="2"/>
  <c r="AS513" i="2"/>
  <c r="R514" i="2"/>
  <c r="V514" i="2"/>
  <c r="AT514" i="2" s="1"/>
  <c r="AN514" i="2"/>
  <c r="AO514" i="2"/>
  <c r="AP514" i="2"/>
  <c r="AQ514" i="2"/>
  <c r="AR514" i="2"/>
  <c r="AS514" i="2"/>
  <c r="R515" i="2"/>
  <c r="V515" i="2"/>
  <c r="AN515" i="2"/>
  <c r="AO515" i="2"/>
  <c r="AP515" i="2"/>
  <c r="AQ515" i="2"/>
  <c r="AR515" i="2"/>
  <c r="AS515" i="2"/>
  <c r="AT515" i="2"/>
  <c r="R516" i="2"/>
  <c r="AP516" i="2" s="1"/>
  <c r="AN516" i="2"/>
  <c r="AO516" i="2"/>
  <c r="AQ516" i="2"/>
  <c r="AR516" i="2"/>
  <c r="AS516" i="2"/>
  <c r="R517" i="2"/>
  <c r="AP517" i="2" s="1"/>
  <c r="AN517" i="2"/>
  <c r="AO517" i="2"/>
  <c r="AQ517" i="2"/>
  <c r="AR517" i="2"/>
  <c r="AS517" i="2"/>
  <c r="R518" i="2"/>
  <c r="AN518" i="2"/>
  <c r="AO518" i="2"/>
  <c r="AQ518" i="2"/>
  <c r="AR518" i="2"/>
  <c r="AS518" i="2"/>
  <c r="R519" i="2"/>
  <c r="V519" i="2" s="1"/>
  <c r="AT519" i="2" s="1"/>
  <c r="AN519" i="2"/>
  <c r="AO519" i="2"/>
  <c r="AP519" i="2"/>
  <c r="AQ519" i="2"/>
  <c r="AR519" i="2"/>
  <c r="AS519" i="2"/>
  <c r="R520" i="2"/>
  <c r="V520" i="2"/>
  <c r="AT520" i="2" s="1"/>
  <c r="AN520" i="2"/>
  <c r="AO520" i="2"/>
  <c r="AP520" i="2"/>
  <c r="AQ520" i="2"/>
  <c r="AR520" i="2"/>
  <c r="AS520" i="2"/>
  <c r="R521" i="2"/>
  <c r="V521" i="2"/>
  <c r="AT521" i="2" s="1"/>
  <c r="AN521" i="2"/>
  <c r="AO521" i="2"/>
  <c r="AP521" i="2"/>
  <c r="AQ521" i="2"/>
  <c r="AR521" i="2"/>
  <c r="AS521" i="2"/>
  <c r="R522" i="2"/>
  <c r="V522" i="2"/>
  <c r="AT522" i="2" s="1"/>
  <c r="AN522" i="2"/>
  <c r="AO522" i="2"/>
  <c r="AP522" i="2"/>
  <c r="AQ522" i="2"/>
  <c r="AR522" i="2"/>
  <c r="AS522" i="2"/>
  <c r="R523" i="2"/>
  <c r="V523" i="2" s="1"/>
  <c r="AT523" i="2" s="1"/>
  <c r="AN523" i="2"/>
  <c r="AO523" i="2"/>
  <c r="AP523" i="2"/>
  <c r="AQ523" i="2"/>
  <c r="AR523" i="2"/>
  <c r="AS523" i="2"/>
  <c r="R524" i="2"/>
  <c r="AP524" i="2" s="1"/>
  <c r="V524" i="2"/>
  <c r="AT524" i="2" s="1"/>
  <c r="AN524" i="2"/>
  <c r="AO524" i="2"/>
  <c r="AQ524" i="2"/>
  <c r="AR524" i="2"/>
  <c r="AS524" i="2"/>
  <c r="R525" i="2"/>
  <c r="AP525" i="2" s="1"/>
  <c r="AN525" i="2"/>
  <c r="AO525" i="2"/>
  <c r="AQ525" i="2"/>
  <c r="AR525" i="2"/>
  <c r="AS525" i="2"/>
  <c r="R526" i="2"/>
  <c r="AN526" i="2"/>
  <c r="AO526" i="2"/>
  <c r="AQ526" i="2"/>
  <c r="AR526" i="2"/>
  <c r="AS526" i="2"/>
  <c r="R527" i="2"/>
  <c r="V527" i="2" s="1"/>
  <c r="AT527" i="2" s="1"/>
  <c r="AN527" i="2"/>
  <c r="AO527" i="2"/>
  <c r="AP527" i="2"/>
  <c r="AQ527" i="2"/>
  <c r="AR527" i="2"/>
  <c r="AS527" i="2"/>
  <c r="R528" i="2"/>
  <c r="V528" i="2"/>
  <c r="AT528" i="2" s="1"/>
  <c r="AN528" i="2"/>
  <c r="AO528" i="2"/>
  <c r="AP528" i="2"/>
  <c r="AQ528" i="2"/>
  <c r="AR528" i="2"/>
  <c r="AS528" i="2"/>
  <c r="R529" i="2"/>
  <c r="V529" i="2"/>
  <c r="AT529" i="2" s="1"/>
  <c r="AN529" i="2"/>
  <c r="AO529" i="2"/>
  <c r="AP529" i="2"/>
  <c r="AQ529" i="2"/>
  <c r="AR529" i="2"/>
  <c r="AS529" i="2"/>
  <c r="R530" i="2"/>
  <c r="V530" i="2"/>
  <c r="AT530" i="2" s="1"/>
  <c r="AN530" i="2"/>
  <c r="AO530" i="2"/>
  <c r="AP530" i="2"/>
  <c r="AQ530" i="2"/>
  <c r="AR530" i="2"/>
  <c r="AS530" i="2"/>
  <c r="R531" i="2"/>
  <c r="V531" i="2"/>
  <c r="AT531" i="2" s="1"/>
  <c r="AN531" i="2"/>
  <c r="AO531" i="2"/>
  <c r="AP531" i="2"/>
  <c r="AQ531" i="2"/>
  <c r="AR531" i="2"/>
  <c r="AS531" i="2"/>
  <c r="R532" i="2"/>
  <c r="AP532" i="2" s="1"/>
  <c r="AN532" i="2"/>
  <c r="AO532" i="2"/>
  <c r="AQ532" i="2"/>
  <c r="AR532" i="2"/>
  <c r="AS532" i="2"/>
  <c r="R533" i="2"/>
  <c r="AP533" i="2" s="1"/>
  <c r="AN533" i="2"/>
  <c r="AO533" i="2"/>
  <c r="AQ533" i="2"/>
  <c r="AR533" i="2"/>
  <c r="AS533" i="2"/>
  <c r="R534" i="2"/>
  <c r="AN534" i="2"/>
  <c r="AO534" i="2"/>
  <c r="AQ534" i="2"/>
  <c r="AR534" i="2"/>
  <c r="AS534" i="2"/>
  <c r="R535" i="2"/>
  <c r="V535" i="2" s="1"/>
  <c r="AT535" i="2" s="1"/>
  <c r="AN535" i="2"/>
  <c r="AO535" i="2"/>
  <c r="AP535" i="2"/>
  <c r="AQ535" i="2"/>
  <c r="AR535" i="2"/>
  <c r="AS535" i="2"/>
  <c r="R536" i="2"/>
  <c r="V536" i="2"/>
  <c r="AT536" i="2" s="1"/>
  <c r="AN536" i="2"/>
  <c r="AO536" i="2"/>
  <c r="AP536" i="2"/>
  <c r="AQ536" i="2"/>
  <c r="AR536" i="2"/>
  <c r="AS536" i="2"/>
  <c r="R537" i="2"/>
  <c r="V537" i="2"/>
  <c r="AT537" i="2" s="1"/>
  <c r="AN537" i="2"/>
  <c r="AO537" i="2"/>
  <c r="AP537" i="2"/>
  <c r="AQ537" i="2"/>
  <c r="AR537" i="2"/>
  <c r="AS537" i="2"/>
  <c r="R538" i="2"/>
  <c r="V538" i="2"/>
  <c r="AT538" i="2" s="1"/>
  <c r="AN538" i="2"/>
  <c r="AO538" i="2"/>
  <c r="AP538" i="2"/>
  <c r="AQ538" i="2"/>
  <c r="AR538" i="2"/>
  <c r="AS538" i="2"/>
  <c r="R539" i="2"/>
  <c r="V539" i="2" s="1"/>
  <c r="AT539" i="2" s="1"/>
  <c r="AN539" i="2"/>
  <c r="AO539" i="2"/>
  <c r="AP539" i="2"/>
  <c r="AQ539" i="2"/>
  <c r="AR539" i="2"/>
  <c r="AS539" i="2"/>
  <c r="R540" i="2"/>
  <c r="AN540" i="2"/>
  <c r="AO540" i="2"/>
  <c r="AQ540" i="2"/>
  <c r="AR540" i="2"/>
  <c r="AS540" i="2"/>
  <c r="R541" i="2"/>
  <c r="AN541" i="2"/>
  <c r="AO541" i="2"/>
  <c r="AQ541" i="2"/>
  <c r="AR541" i="2"/>
  <c r="AS541" i="2"/>
  <c r="R542" i="2"/>
  <c r="AN542" i="2"/>
  <c r="AO542" i="2"/>
  <c r="AQ542" i="2"/>
  <c r="AR542" i="2"/>
  <c r="AS542" i="2"/>
  <c r="R543" i="2"/>
  <c r="V543" i="2" s="1"/>
  <c r="AT543" i="2" s="1"/>
  <c r="AN543" i="2"/>
  <c r="AO543" i="2"/>
  <c r="AQ543" i="2"/>
  <c r="AR543" i="2"/>
  <c r="AS543" i="2"/>
  <c r="R544" i="2"/>
  <c r="V544" i="2"/>
  <c r="AT544" i="2" s="1"/>
  <c r="AN544" i="2"/>
  <c r="AO544" i="2"/>
  <c r="AP544" i="2"/>
  <c r="AQ544" i="2"/>
  <c r="AR544" i="2"/>
  <c r="AS544" i="2"/>
  <c r="R545" i="2"/>
  <c r="V545" i="2"/>
  <c r="AT545" i="2" s="1"/>
  <c r="AN545" i="2"/>
  <c r="AO545" i="2"/>
  <c r="AP545" i="2"/>
  <c r="AQ545" i="2"/>
  <c r="AR545" i="2"/>
  <c r="AS545" i="2"/>
  <c r="R546" i="2"/>
  <c r="V546" i="2"/>
  <c r="AT546" i="2" s="1"/>
  <c r="AN546" i="2"/>
  <c r="AO546" i="2"/>
  <c r="AP546" i="2"/>
  <c r="AQ546" i="2"/>
  <c r="AR546" i="2"/>
  <c r="AS546" i="2"/>
  <c r="R547" i="2"/>
  <c r="V547" i="2"/>
  <c r="AT547" i="2" s="1"/>
  <c r="AN547" i="2"/>
  <c r="AO547" i="2"/>
  <c r="AP547" i="2"/>
  <c r="AQ547" i="2"/>
  <c r="AR547" i="2"/>
  <c r="AS547" i="2"/>
  <c r="R548" i="2"/>
  <c r="AP548" i="2" s="1"/>
  <c r="V548" i="2"/>
  <c r="AN548" i="2"/>
  <c r="AO548" i="2"/>
  <c r="AQ548" i="2"/>
  <c r="AR548" i="2"/>
  <c r="AS548" i="2"/>
  <c r="AT548" i="2"/>
  <c r="R549" i="2"/>
  <c r="AN549" i="2"/>
  <c r="AO549" i="2"/>
  <c r="AQ549" i="2"/>
  <c r="AR549" i="2"/>
  <c r="AS549" i="2"/>
  <c r="R550" i="2"/>
  <c r="AN550" i="2"/>
  <c r="AO550" i="2"/>
  <c r="AQ550" i="2"/>
  <c r="AR550" i="2"/>
  <c r="AS550" i="2"/>
  <c r="R551" i="2"/>
  <c r="V551" i="2" s="1"/>
  <c r="AT551" i="2" s="1"/>
  <c r="AN551" i="2"/>
  <c r="AO551" i="2"/>
  <c r="AP551" i="2"/>
  <c r="AQ551" i="2"/>
  <c r="AR551" i="2"/>
  <c r="AS551" i="2"/>
  <c r="R552" i="2"/>
  <c r="V552" i="2"/>
  <c r="AT552" i="2" s="1"/>
  <c r="AN552" i="2"/>
  <c r="AO552" i="2"/>
  <c r="AP552" i="2"/>
  <c r="AQ552" i="2"/>
  <c r="AR552" i="2"/>
  <c r="AS552" i="2"/>
  <c r="R553" i="2"/>
  <c r="V553" i="2"/>
  <c r="AT553" i="2" s="1"/>
  <c r="AN553" i="2"/>
  <c r="AO553" i="2"/>
  <c r="AP553" i="2"/>
  <c r="AQ553" i="2"/>
  <c r="AR553" i="2"/>
  <c r="AS553" i="2"/>
  <c r="R554" i="2"/>
  <c r="V554" i="2"/>
  <c r="AT554" i="2" s="1"/>
  <c r="AN554" i="2"/>
  <c r="AO554" i="2"/>
  <c r="AP554" i="2"/>
  <c r="AQ554" i="2"/>
  <c r="AR554" i="2"/>
  <c r="AS554" i="2"/>
  <c r="R555" i="2"/>
  <c r="V555" i="2"/>
  <c r="AN555" i="2"/>
  <c r="AO555" i="2"/>
  <c r="AP555" i="2"/>
  <c r="AQ555" i="2"/>
  <c r="AR555" i="2"/>
  <c r="AS555" i="2"/>
  <c r="AT555" i="2"/>
  <c r="R556" i="2"/>
  <c r="AP556" i="2" s="1"/>
  <c r="V556" i="2"/>
  <c r="AN556" i="2"/>
  <c r="AO556" i="2"/>
  <c r="AQ556" i="2"/>
  <c r="AR556" i="2"/>
  <c r="AS556" i="2"/>
  <c r="AT556" i="2"/>
  <c r="R557" i="2"/>
  <c r="AN557" i="2"/>
  <c r="AO557" i="2"/>
  <c r="AQ557" i="2"/>
  <c r="AR557" i="2"/>
  <c r="AS557" i="2"/>
  <c r="R558" i="2"/>
  <c r="AN558" i="2"/>
  <c r="AO558" i="2"/>
  <c r="AQ558" i="2"/>
  <c r="AR558" i="2"/>
  <c r="AS558" i="2"/>
  <c r="R559" i="2"/>
  <c r="V559" i="2" s="1"/>
  <c r="AT559" i="2" s="1"/>
  <c r="AN559" i="2"/>
  <c r="AO559" i="2"/>
  <c r="AP559" i="2"/>
  <c r="AQ559" i="2"/>
  <c r="AR559" i="2"/>
  <c r="AS559" i="2"/>
  <c r="R560" i="2"/>
  <c r="V560" i="2"/>
  <c r="AT560" i="2" s="1"/>
  <c r="AN560" i="2"/>
  <c r="AO560" i="2"/>
  <c r="AP560" i="2"/>
  <c r="AQ560" i="2"/>
  <c r="AR560" i="2"/>
  <c r="AS560" i="2"/>
  <c r="R561" i="2"/>
  <c r="V561" i="2"/>
  <c r="AT561" i="2" s="1"/>
  <c r="AN561" i="2"/>
  <c r="AO561" i="2"/>
  <c r="AP561" i="2"/>
  <c r="AQ561" i="2"/>
  <c r="AR561" i="2"/>
  <c r="AS561" i="2"/>
  <c r="R562" i="2"/>
  <c r="V562" i="2"/>
  <c r="AT562" i="2" s="1"/>
  <c r="AN562" i="2"/>
  <c r="AO562" i="2"/>
  <c r="AP562" i="2"/>
  <c r="AQ562" i="2"/>
  <c r="AR562" i="2"/>
  <c r="AS562" i="2"/>
  <c r="R563" i="2"/>
  <c r="V563" i="2"/>
  <c r="AN563" i="2"/>
  <c r="AO563" i="2"/>
  <c r="AP563" i="2"/>
  <c r="AQ563" i="2"/>
  <c r="AR563" i="2"/>
  <c r="AS563" i="2"/>
  <c r="AT563" i="2"/>
  <c r="R564" i="2"/>
  <c r="AP564" i="2" s="1"/>
  <c r="V564" i="2"/>
  <c r="AN564" i="2"/>
  <c r="AO564" i="2"/>
  <c r="AQ564" i="2"/>
  <c r="AR564" i="2"/>
  <c r="AS564" i="2"/>
  <c r="AT564" i="2"/>
  <c r="R565" i="2"/>
  <c r="AN565" i="2"/>
  <c r="AO565" i="2"/>
  <c r="AQ565" i="2"/>
  <c r="AR565" i="2"/>
  <c r="AS565" i="2"/>
  <c r="R566" i="2"/>
  <c r="AN566" i="2"/>
  <c r="AO566" i="2"/>
  <c r="AQ566" i="2"/>
  <c r="AR566" i="2"/>
  <c r="AS566" i="2"/>
  <c r="R567" i="2"/>
  <c r="V567" i="2" s="1"/>
  <c r="AT567" i="2" s="1"/>
  <c r="AN567" i="2"/>
  <c r="AO567" i="2"/>
  <c r="AQ567" i="2"/>
  <c r="AR567" i="2"/>
  <c r="AS567" i="2"/>
  <c r="R568" i="2"/>
  <c r="AP568" i="2" s="1"/>
  <c r="AN568" i="2"/>
  <c r="AO568" i="2"/>
  <c r="AQ568" i="2"/>
  <c r="AR568" i="2"/>
  <c r="AS568" i="2"/>
  <c r="R569" i="2"/>
  <c r="V569" i="2"/>
  <c r="AT569" i="2" s="1"/>
  <c r="AN569" i="2"/>
  <c r="AO569" i="2"/>
  <c r="AP569" i="2"/>
  <c r="AQ569" i="2"/>
  <c r="AR569" i="2"/>
  <c r="AS569" i="2"/>
  <c r="R570" i="2"/>
  <c r="V570" i="2"/>
  <c r="AT570" i="2" s="1"/>
  <c r="AN570" i="2"/>
  <c r="AO570" i="2"/>
  <c r="AP570" i="2"/>
  <c r="AQ570" i="2"/>
  <c r="AR570" i="2"/>
  <c r="AS570" i="2"/>
  <c r="R571" i="2"/>
  <c r="AN571" i="2"/>
  <c r="AO571" i="2"/>
  <c r="AQ571" i="2"/>
  <c r="AR571" i="2"/>
  <c r="AS571" i="2"/>
  <c r="R572" i="2"/>
  <c r="V572" i="2" s="1"/>
  <c r="AT572" i="2" s="1"/>
  <c r="AN572" i="2"/>
  <c r="AO572" i="2"/>
  <c r="AP572" i="2"/>
  <c r="AQ572" i="2"/>
  <c r="AR572" i="2"/>
  <c r="AS572" i="2"/>
  <c r="R573" i="2"/>
  <c r="V573" i="2"/>
  <c r="AT573" i="2" s="1"/>
  <c r="AN573" i="2"/>
  <c r="AO573" i="2"/>
  <c r="AP573" i="2"/>
  <c r="AQ573" i="2"/>
  <c r="AR573" i="2"/>
  <c r="AS573" i="2"/>
  <c r="R574" i="2"/>
  <c r="AP574" i="2" s="1"/>
  <c r="V574" i="2"/>
  <c r="AT574" i="2" s="1"/>
  <c r="AN574" i="2"/>
  <c r="AO574" i="2"/>
  <c r="AQ574" i="2"/>
  <c r="AR574" i="2"/>
  <c r="AS574" i="2"/>
  <c r="R575" i="2"/>
  <c r="V575" i="2"/>
  <c r="AT575" i="2" s="1"/>
  <c r="AN575" i="2"/>
  <c r="AO575" i="2"/>
  <c r="AP575" i="2"/>
  <c r="AQ575" i="2"/>
  <c r="AR575" i="2"/>
  <c r="AS575" i="2"/>
  <c r="R576" i="2"/>
  <c r="AP576" i="2" s="1"/>
  <c r="V576" i="2"/>
  <c r="AT576" i="2" s="1"/>
  <c r="AN576" i="2"/>
  <c r="AO576" i="2"/>
  <c r="AQ576" i="2"/>
  <c r="AR576" i="2"/>
  <c r="AS576" i="2"/>
  <c r="R577" i="2"/>
  <c r="AN577" i="2"/>
  <c r="AO577" i="2"/>
  <c r="AQ577" i="2"/>
  <c r="AR577" i="2"/>
  <c r="AS577" i="2"/>
  <c r="R578" i="2"/>
  <c r="V578" i="2" s="1"/>
  <c r="AT578" i="2" s="1"/>
  <c r="AN578" i="2"/>
  <c r="AO578" i="2"/>
  <c r="AP578" i="2"/>
  <c r="AQ578" i="2"/>
  <c r="AR578" i="2"/>
  <c r="AS578" i="2"/>
  <c r="R579" i="2"/>
  <c r="AN579" i="2"/>
  <c r="AO579" i="2"/>
  <c r="AQ579" i="2"/>
  <c r="AR579" i="2"/>
  <c r="AS579" i="2"/>
  <c r="R580" i="2"/>
  <c r="V580" i="2" s="1"/>
  <c r="AT580" i="2" s="1"/>
  <c r="AN580" i="2"/>
  <c r="AO580" i="2"/>
  <c r="AP580" i="2"/>
  <c r="AQ580" i="2"/>
  <c r="AR580" i="2"/>
  <c r="AS580" i="2"/>
  <c r="R581" i="2"/>
  <c r="V581" i="2"/>
  <c r="AT581" i="2" s="1"/>
  <c r="AN581" i="2"/>
  <c r="AO581" i="2"/>
  <c r="AP581" i="2"/>
  <c r="AQ581" i="2"/>
  <c r="AR581" i="2"/>
  <c r="AS581" i="2"/>
  <c r="R582" i="2"/>
  <c r="AP582" i="2" s="1"/>
  <c r="V582" i="2"/>
  <c r="AT582" i="2" s="1"/>
  <c r="AN582" i="2"/>
  <c r="AO582" i="2"/>
  <c r="AQ582" i="2"/>
  <c r="AR582" i="2"/>
  <c r="AS582" i="2"/>
  <c r="R583" i="2"/>
  <c r="V583" i="2"/>
  <c r="AT583" i="2" s="1"/>
  <c r="AN583" i="2"/>
  <c r="AO583" i="2"/>
  <c r="AP583" i="2"/>
  <c r="AQ583" i="2"/>
  <c r="AR583" i="2"/>
  <c r="AS583" i="2"/>
  <c r="R584" i="2"/>
  <c r="AP584" i="2" s="1"/>
  <c r="V584" i="2"/>
  <c r="AT584" i="2" s="1"/>
  <c r="AN584" i="2"/>
  <c r="AO584" i="2"/>
  <c r="AQ584" i="2"/>
  <c r="AR584" i="2"/>
  <c r="AS584" i="2"/>
  <c r="R585" i="2"/>
  <c r="AN585" i="2"/>
  <c r="AO585" i="2"/>
  <c r="AQ585" i="2"/>
  <c r="AR585" i="2"/>
  <c r="AS585" i="2"/>
  <c r="R586" i="2"/>
  <c r="V586" i="2" s="1"/>
  <c r="AT586" i="2" s="1"/>
  <c r="AN586" i="2"/>
  <c r="AO586" i="2"/>
  <c r="AP586" i="2"/>
  <c r="AQ586" i="2"/>
  <c r="AR586" i="2"/>
  <c r="AS586" i="2"/>
  <c r="R587" i="2"/>
  <c r="AN587" i="2"/>
  <c r="AO587" i="2"/>
  <c r="AQ587" i="2"/>
  <c r="AR587" i="2"/>
  <c r="AS587" i="2"/>
  <c r="R588" i="2"/>
  <c r="V588" i="2" s="1"/>
  <c r="AT588" i="2" s="1"/>
  <c r="AN588" i="2"/>
  <c r="AO588" i="2"/>
  <c r="AP588" i="2"/>
  <c r="AQ588" i="2"/>
  <c r="AR588" i="2"/>
  <c r="AS588" i="2"/>
  <c r="R589" i="2"/>
  <c r="V589" i="2"/>
  <c r="AT589" i="2" s="1"/>
  <c r="AN589" i="2"/>
  <c r="AO589" i="2"/>
  <c r="AP589" i="2"/>
  <c r="AQ589" i="2"/>
  <c r="AR589" i="2"/>
  <c r="AS589" i="2"/>
  <c r="R590" i="2"/>
  <c r="AP590" i="2" s="1"/>
  <c r="V590" i="2"/>
  <c r="AT590" i="2" s="1"/>
  <c r="AN590" i="2"/>
  <c r="AO590" i="2"/>
  <c r="AQ590" i="2"/>
  <c r="AR590" i="2"/>
  <c r="AS590" i="2"/>
  <c r="R591" i="2"/>
  <c r="V591" i="2"/>
  <c r="AT591" i="2" s="1"/>
  <c r="AN591" i="2"/>
  <c r="AO591" i="2"/>
  <c r="AP591" i="2"/>
  <c r="AQ591" i="2"/>
  <c r="AR591" i="2"/>
  <c r="AS591" i="2"/>
  <c r="R592" i="2"/>
  <c r="AP592" i="2" s="1"/>
  <c r="V592" i="2"/>
  <c r="AT592" i="2" s="1"/>
  <c r="AN592" i="2"/>
  <c r="AO592" i="2"/>
  <c r="AQ592" i="2"/>
  <c r="AR592" i="2"/>
  <c r="AS592" i="2"/>
  <c r="R593" i="2"/>
  <c r="AN593" i="2"/>
  <c r="AO593" i="2"/>
  <c r="AQ593" i="2"/>
  <c r="AR593" i="2"/>
  <c r="AS593" i="2"/>
  <c r="R594" i="2"/>
  <c r="V594" i="2" s="1"/>
  <c r="AT594" i="2" s="1"/>
  <c r="AN594" i="2"/>
  <c r="AO594" i="2"/>
  <c r="AP594" i="2"/>
  <c r="AQ594" i="2"/>
  <c r="AR594" i="2"/>
  <c r="AS594" i="2"/>
  <c r="R595" i="2"/>
  <c r="AN595" i="2"/>
  <c r="AO595" i="2"/>
  <c r="AQ595" i="2"/>
  <c r="AR595" i="2"/>
  <c r="AS595" i="2"/>
  <c r="R596" i="2"/>
  <c r="V596" i="2" s="1"/>
  <c r="AT596" i="2" s="1"/>
  <c r="AN596" i="2"/>
  <c r="AO596" i="2"/>
  <c r="AP596" i="2"/>
  <c r="AQ596" i="2"/>
  <c r="AR596" i="2"/>
  <c r="AS596" i="2"/>
  <c r="R597" i="2"/>
  <c r="V597" i="2"/>
  <c r="AT597" i="2" s="1"/>
  <c r="AN597" i="2"/>
  <c r="AO597" i="2"/>
  <c r="AP597" i="2"/>
  <c r="AQ597" i="2"/>
  <c r="AR597" i="2"/>
  <c r="AS597" i="2"/>
  <c r="R598" i="2"/>
  <c r="AP598" i="2" s="1"/>
  <c r="V598" i="2"/>
  <c r="AT598" i="2" s="1"/>
  <c r="AN598" i="2"/>
  <c r="AO598" i="2"/>
  <c r="AQ598" i="2"/>
  <c r="AR598" i="2"/>
  <c r="AS598" i="2"/>
  <c r="R599" i="2"/>
  <c r="V599" i="2"/>
  <c r="AT599" i="2" s="1"/>
  <c r="AN599" i="2"/>
  <c r="AO599" i="2"/>
  <c r="AP599" i="2"/>
  <c r="AQ599" i="2"/>
  <c r="AR599" i="2"/>
  <c r="AS599" i="2"/>
  <c r="R600" i="2"/>
  <c r="AP600" i="2" s="1"/>
  <c r="AN600" i="2"/>
  <c r="AO600" i="2"/>
  <c r="AQ600" i="2"/>
  <c r="AR600" i="2"/>
  <c r="AS600" i="2"/>
  <c r="R601" i="2"/>
  <c r="AN601" i="2"/>
  <c r="AO601" i="2"/>
  <c r="AQ601" i="2"/>
  <c r="AR601" i="2"/>
  <c r="AS601" i="2"/>
  <c r="R602" i="2"/>
  <c r="V602" i="2" s="1"/>
  <c r="AT602" i="2" s="1"/>
  <c r="AN602" i="2"/>
  <c r="AO602" i="2"/>
  <c r="AP602" i="2"/>
  <c r="AQ602" i="2"/>
  <c r="AR602" i="2"/>
  <c r="AS602" i="2"/>
  <c r="R603" i="2"/>
  <c r="AN603" i="2"/>
  <c r="AO603" i="2"/>
  <c r="AQ603" i="2"/>
  <c r="AR603" i="2"/>
  <c r="AS603" i="2"/>
  <c r="R604" i="2"/>
  <c r="V604" i="2" s="1"/>
  <c r="AT604" i="2" s="1"/>
  <c r="AN604" i="2"/>
  <c r="AO604" i="2"/>
  <c r="AP604" i="2"/>
  <c r="AQ604" i="2"/>
  <c r="AR604" i="2"/>
  <c r="AS604" i="2"/>
  <c r="R605" i="2"/>
  <c r="V605" i="2"/>
  <c r="AT605" i="2" s="1"/>
  <c r="AN605" i="2"/>
  <c r="AO605" i="2"/>
  <c r="AP605" i="2"/>
  <c r="AQ605" i="2"/>
  <c r="AR605" i="2"/>
  <c r="AS605" i="2"/>
  <c r="R606" i="2"/>
  <c r="AP606" i="2" s="1"/>
  <c r="V606" i="2"/>
  <c r="AT606" i="2" s="1"/>
  <c r="AN606" i="2"/>
  <c r="AO606" i="2"/>
  <c r="AQ606" i="2"/>
  <c r="AR606" i="2"/>
  <c r="AS606" i="2"/>
  <c r="R607" i="2"/>
  <c r="V607" i="2"/>
  <c r="AT607" i="2" s="1"/>
  <c r="AN607" i="2"/>
  <c r="AO607" i="2"/>
  <c r="AP607" i="2"/>
  <c r="AQ607" i="2"/>
  <c r="AR607" i="2"/>
  <c r="AS607" i="2"/>
  <c r="R608" i="2"/>
  <c r="AP608" i="2" s="1"/>
  <c r="AN608" i="2"/>
  <c r="AO608" i="2"/>
  <c r="AQ608" i="2"/>
  <c r="AR608" i="2"/>
  <c r="AS608" i="2"/>
  <c r="R609" i="2"/>
  <c r="AN609" i="2"/>
  <c r="AO609" i="2"/>
  <c r="AQ609" i="2"/>
  <c r="AR609" i="2"/>
  <c r="AS609" i="2"/>
  <c r="R610" i="2"/>
  <c r="V610" i="2" s="1"/>
  <c r="AT610" i="2" s="1"/>
  <c r="AN610" i="2"/>
  <c r="AO610" i="2"/>
  <c r="AP610" i="2"/>
  <c r="AQ610" i="2"/>
  <c r="AR610" i="2"/>
  <c r="AS610" i="2"/>
  <c r="R611" i="2"/>
  <c r="AN611" i="2"/>
  <c r="AO611" i="2"/>
  <c r="AQ611" i="2"/>
  <c r="AR611" i="2"/>
  <c r="AS611" i="2"/>
  <c r="R612" i="2"/>
  <c r="V612" i="2" s="1"/>
  <c r="AT612" i="2" s="1"/>
  <c r="AN612" i="2"/>
  <c r="AO612" i="2"/>
  <c r="AP612" i="2"/>
  <c r="AQ612" i="2"/>
  <c r="AR612" i="2"/>
  <c r="AS612" i="2"/>
  <c r="R613" i="2"/>
  <c r="V613" i="2"/>
  <c r="AT613" i="2" s="1"/>
  <c r="AN613" i="2"/>
  <c r="AO613" i="2"/>
  <c r="AP613" i="2"/>
  <c r="AQ613" i="2"/>
  <c r="AR613" i="2"/>
  <c r="AS613" i="2"/>
  <c r="R614" i="2"/>
  <c r="AP614" i="2" s="1"/>
  <c r="V614" i="2"/>
  <c r="AT614" i="2" s="1"/>
  <c r="AN614" i="2"/>
  <c r="AO614" i="2"/>
  <c r="AQ614" i="2"/>
  <c r="AR614" i="2"/>
  <c r="AS614" i="2"/>
  <c r="R615" i="2"/>
  <c r="V615" i="2"/>
  <c r="AT615" i="2" s="1"/>
  <c r="AN615" i="2"/>
  <c r="AO615" i="2"/>
  <c r="AP615" i="2"/>
  <c r="AQ615" i="2"/>
  <c r="AR615" i="2"/>
  <c r="AS615" i="2"/>
  <c r="R616" i="2"/>
  <c r="AP616" i="2" s="1"/>
  <c r="AN616" i="2"/>
  <c r="AO616" i="2"/>
  <c r="AQ616" i="2"/>
  <c r="AR616" i="2"/>
  <c r="AS616" i="2"/>
  <c r="R617" i="2"/>
  <c r="AN617" i="2"/>
  <c r="AO617" i="2"/>
  <c r="AQ617" i="2"/>
  <c r="AR617" i="2"/>
  <c r="AS617" i="2"/>
  <c r="R618" i="2"/>
  <c r="V618" i="2" s="1"/>
  <c r="AT618" i="2" s="1"/>
  <c r="AN618" i="2"/>
  <c r="AO618" i="2"/>
  <c r="AP618" i="2"/>
  <c r="AQ618" i="2"/>
  <c r="AR618" i="2"/>
  <c r="AS618" i="2"/>
  <c r="R619" i="2"/>
  <c r="AN619" i="2"/>
  <c r="AO619" i="2"/>
  <c r="AQ619" i="2"/>
  <c r="AR619" i="2"/>
  <c r="AS619" i="2"/>
  <c r="R620" i="2"/>
  <c r="V620" i="2"/>
  <c r="AT620" i="2" s="1"/>
  <c r="AN620" i="2"/>
  <c r="AO620" i="2"/>
  <c r="AP620" i="2"/>
  <c r="AQ620" i="2"/>
  <c r="AR620" i="2"/>
  <c r="AS620" i="2"/>
  <c r="R621" i="2"/>
  <c r="V621" i="2"/>
  <c r="AT621" i="2" s="1"/>
  <c r="AN621" i="2"/>
  <c r="AO621" i="2"/>
  <c r="AP621" i="2"/>
  <c r="AQ621" i="2"/>
  <c r="AR621" i="2"/>
  <c r="AS621" i="2"/>
  <c r="R622" i="2"/>
  <c r="AP622" i="2" s="1"/>
  <c r="V622" i="2"/>
  <c r="AT622" i="2" s="1"/>
  <c r="AN622" i="2"/>
  <c r="AO622" i="2"/>
  <c r="AQ622" i="2"/>
  <c r="AR622" i="2"/>
  <c r="AS622" i="2"/>
  <c r="R623" i="2"/>
  <c r="V623" i="2"/>
  <c r="AT623" i="2" s="1"/>
  <c r="AN623" i="2"/>
  <c r="AO623" i="2"/>
  <c r="AP623" i="2"/>
  <c r="AQ623" i="2"/>
  <c r="AR623" i="2"/>
  <c r="AS623" i="2"/>
  <c r="R624" i="2"/>
  <c r="AP624" i="2" s="1"/>
  <c r="AN624" i="2"/>
  <c r="AO624" i="2"/>
  <c r="AQ624" i="2"/>
  <c r="AR624" i="2"/>
  <c r="AS624" i="2"/>
  <c r="R625" i="2"/>
  <c r="AN625" i="2"/>
  <c r="AO625" i="2"/>
  <c r="AQ625" i="2"/>
  <c r="AR625" i="2"/>
  <c r="AS625" i="2"/>
  <c r="R626" i="2"/>
  <c r="V626" i="2" s="1"/>
  <c r="AT626" i="2" s="1"/>
  <c r="AN626" i="2"/>
  <c r="AO626" i="2"/>
  <c r="AP626" i="2"/>
  <c r="AQ626" i="2"/>
  <c r="AR626" i="2"/>
  <c r="AS626" i="2"/>
  <c r="R627" i="2"/>
  <c r="AP627" i="2" s="1"/>
  <c r="AN627" i="2"/>
  <c r="AO627" i="2"/>
  <c r="AQ627" i="2"/>
  <c r="AR627" i="2"/>
  <c r="AS627" i="2"/>
  <c r="R628" i="2"/>
  <c r="V628" i="2" s="1"/>
  <c r="AT628" i="2" s="1"/>
  <c r="AN628" i="2"/>
  <c r="AO628" i="2"/>
  <c r="AP628" i="2"/>
  <c r="AQ628" i="2"/>
  <c r="AR628" i="2"/>
  <c r="AS628" i="2"/>
  <c r="R629" i="2"/>
  <c r="V629" i="2"/>
  <c r="AT629" i="2" s="1"/>
  <c r="AN629" i="2"/>
  <c r="AO629" i="2"/>
  <c r="AP629" i="2"/>
  <c r="AQ629" i="2"/>
  <c r="AR629" i="2"/>
  <c r="AS629" i="2"/>
  <c r="R630" i="2"/>
  <c r="AP630" i="2" s="1"/>
  <c r="AN630" i="2"/>
  <c r="AO630" i="2"/>
  <c r="AQ630" i="2"/>
  <c r="AR630" i="2"/>
  <c r="AS630" i="2"/>
  <c r="R631" i="2"/>
  <c r="V631" i="2"/>
  <c r="AT631" i="2" s="1"/>
  <c r="AN631" i="2"/>
  <c r="AO631" i="2"/>
  <c r="AP631" i="2"/>
  <c r="AQ631" i="2"/>
  <c r="AR631" i="2"/>
  <c r="AS631" i="2"/>
  <c r="R632" i="2"/>
  <c r="AP632" i="2" s="1"/>
  <c r="V632" i="2"/>
  <c r="AT632" i="2" s="1"/>
  <c r="AN632" i="2"/>
  <c r="AO632" i="2"/>
  <c r="AQ632" i="2"/>
  <c r="AR632" i="2"/>
  <c r="AS632" i="2"/>
  <c r="R633" i="2"/>
  <c r="AN633" i="2"/>
  <c r="AO633" i="2"/>
  <c r="AQ633" i="2"/>
  <c r="AR633" i="2"/>
  <c r="AS633" i="2"/>
  <c r="R634" i="2"/>
  <c r="V634" i="2" s="1"/>
  <c r="AT634" i="2" s="1"/>
  <c r="AN634" i="2"/>
  <c r="AO634" i="2"/>
  <c r="AP634" i="2"/>
  <c r="AQ634" i="2"/>
  <c r="AR634" i="2"/>
  <c r="AS634" i="2"/>
  <c r="R635" i="2"/>
  <c r="AP635" i="2" s="1"/>
  <c r="V635" i="2"/>
  <c r="AT635" i="2" s="1"/>
  <c r="AN635" i="2"/>
  <c r="AO635" i="2"/>
  <c r="AQ635" i="2"/>
  <c r="AR635" i="2"/>
  <c r="AS635" i="2"/>
  <c r="R636" i="2"/>
  <c r="V636" i="2" s="1"/>
  <c r="AT636" i="2" s="1"/>
  <c r="AN636" i="2"/>
  <c r="AO636" i="2"/>
  <c r="AP636" i="2"/>
  <c r="AQ636" i="2"/>
  <c r="AR636" i="2"/>
  <c r="AS636" i="2"/>
  <c r="R637" i="2"/>
  <c r="V637" i="2"/>
  <c r="AT637" i="2" s="1"/>
  <c r="AN637" i="2"/>
  <c r="AO637" i="2"/>
  <c r="AP637" i="2"/>
  <c r="AQ637" i="2"/>
  <c r="AR637" i="2"/>
  <c r="AS637" i="2"/>
  <c r="R638" i="2"/>
  <c r="V638" i="2"/>
  <c r="AT638" i="2" s="1"/>
  <c r="AN638" i="2"/>
  <c r="AO638" i="2"/>
  <c r="AP638" i="2"/>
  <c r="AQ638" i="2"/>
  <c r="AR638" i="2"/>
  <c r="AS638" i="2"/>
  <c r="R639" i="2"/>
  <c r="V639" i="2"/>
  <c r="AT639" i="2" s="1"/>
  <c r="AN639" i="2"/>
  <c r="AO639" i="2"/>
  <c r="AP639" i="2"/>
  <c r="AQ639" i="2"/>
  <c r="AR639" i="2"/>
  <c r="AS639" i="2"/>
  <c r="R640" i="2"/>
  <c r="AP640" i="2" s="1"/>
  <c r="AN640" i="2"/>
  <c r="AO640" i="2"/>
  <c r="AQ640" i="2"/>
  <c r="AR640" i="2"/>
  <c r="AS640" i="2"/>
  <c r="R641" i="2"/>
  <c r="AN641" i="2"/>
  <c r="AO641" i="2"/>
  <c r="AQ641" i="2"/>
  <c r="AR641" i="2"/>
  <c r="AS641" i="2"/>
  <c r="R642" i="2"/>
  <c r="V642" i="2" s="1"/>
  <c r="AT642" i="2" s="1"/>
  <c r="AN642" i="2"/>
  <c r="AO642" i="2"/>
  <c r="AP642" i="2"/>
  <c r="AQ642" i="2"/>
  <c r="AR642" i="2"/>
  <c r="AS642" i="2"/>
  <c r="R643" i="2"/>
  <c r="AP643" i="2" s="1"/>
  <c r="AN643" i="2"/>
  <c r="AO643" i="2"/>
  <c r="AQ643" i="2"/>
  <c r="AR643" i="2"/>
  <c r="AS643" i="2"/>
  <c r="R644" i="2"/>
  <c r="V644" i="2" s="1"/>
  <c r="AT644" i="2" s="1"/>
  <c r="AN644" i="2"/>
  <c r="AO644" i="2"/>
  <c r="AP644" i="2"/>
  <c r="AQ644" i="2"/>
  <c r="AR644" i="2"/>
  <c r="AS644" i="2"/>
  <c r="R645" i="2"/>
  <c r="V645" i="2"/>
  <c r="AT645" i="2" s="1"/>
  <c r="AN645" i="2"/>
  <c r="AO645" i="2"/>
  <c r="AP645" i="2"/>
  <c r="AQ645" i="2"/>
  <c r="AR645" i="2"/>
  <c r="AS645" i="2"/>
  <c r="R646" i="2"/>
  <c r="V646" i="2" s="1"/>
  <c r="AT646" i="2" s="1"/>
  <c r="AN646" i="2"/>
  <c r="AO646" i="2"/>
  <c r="AQ646" i="2"/>
  <c r="AR646" i="2"/>
  <c r="AS646" i="2"/>
  <c r="R647" i="2"/>
  <c r="V647" i="2"/>
  <c r="AT647" i="2" s="1"/>
  <c r="AN647" i="2"/>
  <c r="AO647" i="2"/>
  <c r="AP647" i="2"/>
  <c r="AQ647" i="2"/>
  <c r="AR647" i="2"/>
  <c r="AS647" i="2"/>
  <c r="R648" i="2"/>
  <c r="AP648" i="2" s="1"/>
  <c r="AN648" i="2"/>
  <c r="AO648" i="2"/>
  <c r="AQ648" i="2"/>
  <c r="AR648" i="2"/>
  <c r="AS648" i="2"/>
  <c r="R649" i="2"/>
  <c r="AN649" i="2"/>
  <c r="AO649" i="2"/>
  <c r="AQ649" i="2"/>
  <c r="AR649" i="2"/>
  <c r="AS649" i="2"/>
  <c r="R650" i="2"/>
  <c r="V650" i="2" s="1"/>
  <c r="AT650" i="2" s="1"/>
  <c r="AN650" i="2"/>
  <c r="AO650" i="2"/>
  <c r="AP650" i="2"/>
  <c r="AQ650" i="2"/>
  <c r="AR650" i="2"/>
  <c r="AS650" i="2"/>
  <c r="R651" i="2"/>
  <c r="AP651" i="2" s="1"/>
  <c r="V651" i="2"/>
  <c r="AT651" i="2" s="1"/>
  <c r="AN651" i="2"/>
  <c r="AO651" i="2"/>
  <c r="AQ651" i="2"/>
  <c r="AR651" i="2"/>
  <c r="AS651" i="2"/>
  <c r="R652" i="2"/>
  <c r="V652" i="2" s="1"/>
  <c r="AT652" i="2" s="1"/>
  <c r="AN652" i="2"/>
  <c r="AO652" i="2"/>
  <c r="AP652" i="2"/>
  <c r="AQ652" i="2"/>
  <c r="AR652" i="2"/>
  <c r="AS652" i="2"/>
  <c r="R653" i="2"/>
  <c r="V653" i="2"/>
  <c r="AT653" i="2" s="1"/>
  <c r="AN653" i="2"/>
  <c r="AO653" i="2"/>
  <c r="AP653" i="2"/>
  <c r="AQ653" i="2"/>
  <c r="AR653" i="2"/>
  <c r="AS653" i="2"/>
  <c r="B34" i="2"/>
  <c r="C34" i="2"/>
  <c r="D34" i="2"/>
  <c r="E34" i="2"/>
  <c r="F34" i="2"/>
  <c r="G34" i="2"/>
  <c r="J34" i="2"/>
  <c r="K34" i="2"/>
  <c r="L34" i="2"/>
  <c r="M34" i="2"/>
  <c r="R34" i="2"/>
  <c r="V34" i="2"/>
  <c r="W34" i="2"/>
  <c r="AB34" i="2" s="1"/>
  <c r="AN34" i="2"/>
  <c r="AO34" i="2"/>
  <c r="AP34" i="2"/>
  <c r="AQ34" i="2"/>
  <c r="AR34" i="2"/>
  <c r="AS34" i="2"/>
  <c r="AT34" i="2"/>
  <c r="A36" i="2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6" i="2" s="1"/>
  <c r="H656" i="1"/>
  <c r="K20" i="1"/>
  <c r="L20" i="1"/>
  <c r="M20" i="1"/>
  <c r="K21" i="1"/>
  <c r="L21" i="1"/>
  <c r="M21" i="1"/>
  <c r="K22" i="1"/>
  <c r="L22" i="1"/>
  <c r="M22" i="1"/>
  <c r="K23" i="1"/>
  <c r="L23" i="1"/>
  <c r="M23" i="1"/>
  <c r="K24" i="1"/>
  <c r="L24" i="1"/>
  <c r="M24" i="1"/>
  <c r="K25" i="1"/>
  <c r="L25" i="1"/>
  <c r="M25" i="1"/>
  <c r="K26" i="1"/>
  <c r="L26" i="1"/>
  <c r="M26" i="1"/>
  <c r="K27" i="1"/>
  <c r="L27" i="1"/>
  <c r="M27" i="1"/>
  <c r="K28" i="1"/>
  <c r="L28" i="1"/>
  <c r="M28" i="1"/>
  <c r="K29" i="1"/>
  <c r="L29" i="1"/>
  <c r="M29" i="1"/>
  <c r="K30" i="1"/>
  <c r="L30" i="1"/>
  <c r="M30" i="1"/>
  <c r="K31" i="1"/>
  <c r="L31" i="1"/>
  <c r="M31" i="1"/>
  <c r="K32" i="1"/>
  <c r="L32" i="1"/>
  <c r="M32" i="1"/>
  <c r="K33" i="1"/>
  <c r="L33" i="1"/>
  <c r="M33" i="1"/>
  <c r="K34" i="1"/>
  <c r="L34" i="1"/>
  <c r="M34" i="1"/>
  <c r="K35" i="1"/>
  <c r="L35" i="1"/>
  <c r="M35" i="1"/>
  <c r="K36" i="1"/>
  <c r="L36" i="1"/>
  <c r="M36" i="1"/>
  <c r="K37" i="1"/>
  <c r="L37" i="1"/>
  <c r="M37" i="1"/>
  <c r="K38" i="1"/>
  <c r="L38" i="1"/>
  <c r="M38" i="1"/>
  <c r="K39" i="1"/>
  <c r="L39" i="1"/>
  <c r="M39" i="1"/>
  <c r="K40" i="1"/>
  <c r="L40" i="1"/>
  <c r="M40" i="1"/>
  <c r="K41" i="1"/>
  <c r="L41" i="1"/>
  <c r="M41" i="1"/>
  <c r="K42" i="1"/>
  <c r="L42" i="1"/>
  <c r="M42" i="1"/>
  <c r="K43" i="1"/>
  <c r="L43" i="1"/>
  <c r="M43" i="1"/>
  <c r="K44" i="1"/>
  <c r="L44" i="1"/>
  <c r="M44" i="1"/>
  <c r="K45" i="1"/>
  <c r="L45" i="1"/>
  <c r="M45" i="1"/>
  <c r="K46" i="1"/>
  <c r="L46" i="1"/>
  <c r="M46" i="1"/>
  <c r="K47" i="1"/>
  <c r="L47" i="1"/>
  <c r="M47" i="1"/>
  <c r="K48" i="1"/>
  <c r="L48" i="1"/>
  <c r="M48" i="1"/>
  <c r="K49" i="1"/>
  <c r="L49" i="1"/>
  <c r="M49" i="1"/>
  <c r="K50" i="1"/>
  <c r="L50" i="1"/>
  <c r="M50" i="1"/>
  <c r="K51" i="1"/>
  <c r="L51" i="1"/>
  <c r="M51" i="1"/>
  <c r="K52" i="1"/>
  <c r="L52" i="1"/>
  <c r="M52" i="1"/>
  <c r="K53" i="1"/>
  <c r="L53" i="1"/>
  <c r="M53" i="1"/>
  <c r="K54" i="1"/>
  <c r="L54" i="1"/>
  <c r="M54" i="1"/>
  <c r="K55" i="1"/>
  <c r="L55" i="1"/>
  <c r="M55" i="1"/>
  <c r="K56" i="1"/>
  <c r="L56" i="1"/>
  <c r="M56" i="1"/>
  <c r="K57" i="1"/>
  <c r="L57" i="1"/>
  <c r="M57" i="1"/>
  <c r="K58" i="1"/>
  <c r="L58" i="1"/>
  <c r="M58" i="1"/>
  <c r="K59" i="1"/>
  <c r="L59" i="1"/>
  <c r="M59" i="1"/>
  <c r="K60" i="1"/>
  <c r="L60" i="1"/>
  <c r="M60" i="1"/>
  <c r="K61" i="1"/>
  <c r="L61" i="1"/>
  <c r="M61" i="1"/>
  <c r="K62" i="1"/>
  <c r="L62" i="1"/>
  <c r="M62" i="1"/>
  <c r="K63" i="1"/>
  <c r="L63" i="1"/>
  <c r="M63" i="1"/>
  <c r="K64" i="1"/>
  <c r="L64" i="1"/>
  <c r="M64" i="1"/>
  <c r="K65" i="1"/>
  <c r="L65" i="1"/>
  <c r="M65" i="1"/>
  <c r="K66" i="1"/>
  <c r="L66" i="1"/>
  <c r="M66" i="1"/>
  <c r="K67" i="1"/>
  <c r="L67" i="1"/>
  <c r="M67" i="1"/>
  <c r="K68" i="1"/>
  <c r="L68" i="1"/>
  <c r="M68" i="1"/>
  <c r="K69" i="1"/>
  <c r="L69" i="1"/>
  <c r="M69" i="1"/>
  <c r="K70" i="1"/>
  <c r="L70" i="1"/>
  <c r="M70" i="1"/>
  <c r="K71" i="1"/>
  <c r="L71" i="1"/>
  <c r="M71" i="1"/>
  <c r="K72" i="1"/>
  <c r="L72" i="1"/>
  <c r="M72" i="1"/>
  <c r="K73" i="1"/>
  <c r="L73" i="1"/>
  <c r="M73" i="1"/>
  <c r="K74" i="1"/>
  <c r="L74" i="1"/>
  <c r="M74" i="1"/>
  <c r="K75" i="1"/>
  <c r="L75" i="1"/>
  <c r="M75" i="1"/>
  <c r="K76" i="1"/>
  <c r="L76" i="1"/>
  <c r="M76" i="1"/>
  <c r="K77" i="1"/>
  <c r="L77" i="1"/>
  <c r="M77" i="1"/>
  <c r="K78" i="1"/>
  <c r="L78" i="1"/>
  <c r="M78" i="1"/>
  <c r="K79" i="1"/>
  <c r="L79" i="1"/>
  <c r="M79" i="1"/>
  <c r="K80" i="1"/>
  <c r="L80" i="1"/>
  <c r="M80" i="1"/>
  <c r="K81" i="1"/>
  <c r="L81" i="1"/>
  <c r="M81" i="1"/>
  <c r="K82" i="1"/>
  <c r="L82" i="1"/>
  <c r="M82" i="1"/>
  <c r="K83" i="1"/>
  <c r="L83" i="1"/>
  <c r="M83" i="1"/>
  <c r="K84" i="1"/>
  <c r="L84" i="1"/>
  <c r="M84" i="1"/>
  <c r="K85" i="1"/>
  <c r="L85" i="1"/>
  <c r="M85" i="1"/>
  <c r="K86" i="1"/>
  <c r="L86" i="1"/>
  <c r="M86" i="1"/>
  <c r="K87" i="1"/>
  <c r="L87" i="1"/>
  <c r="M87" i="1"/>
  <c r="K88" i="1"/>
  <c r="L88" i="1"/>
  <c r="M88" i="1"/>
  <c r="K89" i="1"/>
  <c r="L89" i="1"/>
  <c r="M89" i="1"/>
  <c r="K90" i="1"/>
  <c r="L90" i="1"/>
  <c r="M90" i="1"/>
  <c r="K91" i="1"/>
  <c r="L91" i="1"/>
  <c r="M91" i="1"/>
  <c r="K92" i="1"/>
  <c r="L92" i="1"/>
  <c r="M92" i="1"/>
  <c r="K93" i="1"/>
  <c r="L93" i="1"/>
  <c r="M93" i="1"/>
  <c r="K94" i="1"/>
  <c r="L94" i="1"/>
  <c r="M94" i="1"/>
  <c r="K95" i="1"/>
  <c r="L95" i="1"/>
  <c r="M95" i="1"/>
  <c r="K96" i="1"/>
  <c r="L96" i="1"/>
  <c r="M96" i="1"/>
  <c r="K97" i="1"/>
  <c r="L97" i="1"/>
  <c r="M97" i="1"/>
  <c r="K98" i="1"/>
  <c r="L98" i="1"/>
  <c r="M98" i="1"/>
  <c r="K99" i="1"/>
  <c r="L99" i="1"/>
  <c r="M99" i="1"/>
  <c r="K100" i="1"/>
  <c r="L100" i="1"/>
  <c r="M100" i="1"/>
  <c r="K101" i="1"/>
  <c r="L101" i="1"/>
  <c r="M101" i="1"/>
  <c r="K102" i="1"/>
  <c r="L102" i="1"/>
  <c r="M102" i="1"/>
  <c r="K103" i="1"/>
  <c r="L103" i="1"/>
  <c r="M103" i="1"/>
  <c r="K104" i="1"/>
  <c r="L104" i="1"/>
  <c r="M104" i="1"/>
  <c r="K105" i="1"/>
  <c r="L105" i="1"/>
  <c r="M105" i="1"/>
  <c r="K106" i="1"/>
  <c r="L106" i="1"/>
  <c r="M106" i="1"/>
  <c r="K107" i="1"/>
  <c r="L107" i="1"/>
  <c r="M107" i="1"/>
  <c r="K108" i="1"/>
  <c r="L108" i="1"/>
  <c r="M108" i="1"/>
  <c r="K109" i="1"/>
  <c r="L109" i="1"/>
  <c r="M109" i="1"/>
  <c r="K110" i="1"/>
  <c r="L110" i="1"/>
  <c r="M110" i="1"/>
  <c r="K111" i="1"/>
  <c r="L111" i="1"/>
  <c r="M111" i="1"/>
  <c r="K112" i="1"/>
  <c r="L112" i="1"/>
  <c r="M112" i="1"/>
  <c r="K113" i="1"/>
  <c r="L113" i="1"/>
  <c r="M113" i="1"/>
  <c r="K114" i="1"/>
  <c r="L114" i="1"/>
  <c r="M114" i="1"/>
  <c r="K115" i="1"/>
  <c r="L115" i="1"/>
  <c r="M115" i="1"/>
  <c r="K116" i="1"/>
  <c r="L116" i="1"/>
  <c r="M116" i="1"/>
  <c r="K117" i="1"/>
  <c r="L117" i="1"/>
  <c r="M117" i="1"/>
  <c r="K118" i="1"/>
  <c r="L118" i="1"/>
  <c r="M118" i="1"/>
  <c r="K119" i="1"/>
  <c r="L119" i="1"/>
  <c r="M119" i="1"/>
  <c r="K120" i="1"/>
  <c r="L120" i="1"/>
  <c r="M120" i="1"/>
  <c r="K121" i="1"/>
  <c r="L121" i="1"/>
  <c r="M121" i="1"/>
  <c r="K122" i="1"/>
  <c r="L122" i="1"/>
  <c r="M122" i="1"/>
  <c r="K123" i="1"/>
  <c r="L123" i="1"/>
  <c r="M123" i="1"/>
  <c r="K124" i="1"/>
  <c r="L124" i="1"/>
  <c r="M124" i="1"/>
  <c r="K125" i="1"/>
  <c r="L125" i="1"/>
  <c r="M125" i="1"/>
  <c r="K126" i="1"/>
  <c r="L126" i="1"/>
  <c r="M126" i="1"/>
  <c r="K127" i="1"/>
  <c r="L127" i="1"/>
  <c r="M127" i="1"/>
  <c r="K128" i="1"/>
  <c r="L128" i="1"/>
  <c r="M128" i="1"/>
  <c r="K129" i="1"/>
  <c r="L129" i="1"/>
  <c r="M129" i="1"/>
  <c r="K130" i="1"/>
  <c r="L130" i="1"/>
  <c r="M130" i="1"/>
  <c r="K131" i="1"/>
  <c r="L131" i="1"/>
  <c r="M131" i="1"/>
  <c r="K132" i="1"/>
  <c r="L132" i="1"/>
  <c r="M132" i="1"/>
  <c r="K133" i="1"/>
  <c r="L133" i="1"/>
  <c r="M133" i="1"/>
  <c r="K134" i="1"/>
  <c r="L134" i="1"/>
  <c r="M134" i="1"/>
  <c r="K135" i="1"/>
  <c r="L135" i="1"/>
  <c r="M135" i="1"/>
  <c r="K136" i="1"/>
  <c r="L136" i="1"/>
  <c r="M136" i="1"/>
  <c r="K137" i="1"/>
  <c r="L137" i="1"/>
  <c r="M137" i="1"/>
  <c r="K138" i="1"/>
  <c r="L138" i="1"/>
  <c r="M138" i="1"/>
  <c r="K139" i="1"/>
  <c r="L139" i="1"/>
  <c r="M139" i="1"/>
  <c r="K140" i="1"/>
  <c r="L140" i="1"/>
  <c r="M140" i="1"/>
  <c r="K141" i="1"/>
  <c r="L141" i="1"/>
  <c r="M141" i="1"/>
  <c r="K142" i="1"/>
  <c r="L142" i="1"/>
  <c r="M142" i="1"/>
  <c r="K143" i="1"/>
  <c r="L143" i="1"/>
  <c r="M143" i="1"/>
  <c r="K144" i="1"/>
  <c r="L144" i="1"/>
  <c r="M144" i="1"/>
  <c r="K145" i="1"/>
  <c r="L145" i="1"/>
  <c r="M145" i="1"/>
  <c r="K146" i="1"/>
  <c r="L146" i="1"/>
  <c r="M146" i="1"/>
  <c r="K147" i="1"/>
  <c r="L147" i="1"/>
  <c r="M147" i="1"/>
  <c r="K148" i="1"/>
  <c r="L148" i="1"/>
  <c r="M148" i="1"/>
  <c r="K149" i="1"/>
  <c r="L149" i="1"/>
  <c r="M149" i="1"/>
  <c r="K150" i="1"/>
  <c r="L150" i="1"/>
  <c r="M150" i="1"/>
  <c r="K151" i="1"/>
  <c r="L151" i="1"/>
  <c r="M151" i="1"/>
  <c r="K152" i="1"/>
  <c r="L152" i="1"/>
  <c r="M152" i="1"/>
  <c r="K153" i="1"/>
  <c r="L153" i="1"/>
  <c r="M153" i="1"/>
  <c r="K154" i="1"/>
  <c r="L154" i="1"/>
  <c r="M154" i="1"/>
  <c r="K155" i="1"/>
  <c r="L155" i="1"/>
  <c r="M155" i="1"/>
  <c r="K156" i="1"/>
  <c r="L156" i="1"/>
  <c r="M156" i="1"/>
  <c r="K157" i="1"/>
  <c r="L157" i="1"/>
  <c r="M157" i="1"/>
  <c r="K158" i="1"/>
  <c r="L158" i="1"/>
  <c r="M158" i="1"/>
  <c r="K159" i="1"/>
  <c r="L159" i="1"/>
  <c r="M159" i="1"/>
  <c r="K160" i="1"/>
  <c r="L160" i="1"/>
  <c r="M160" i="1"/>
  <c r="K161" i="1"/>
  <c r="L161" i="1"/>
  <c r="M161" i="1"/>
  <c r="K162" i="1"/>
  <c r="L162" i="1"/>
  <c r="M162" i="1"/>
  <c r="K163" i="1"/>
  <c r="L163" i="1"/>
  <c r="M163" i="1"/>
  <c r="K164" i="1"/>
  <c r="L164" i="1"/>
  <c r="M164" i="1"/>
  <c r="K165" i="1"/>
  <c r="L165" i="1"/>
  <c r="M165" i="1"/>
  <c r="K166" i="1"/>
  <c r="L166" i="1"/>
  <c r="M166" i="1"/>
  <c r="K167" i="1"/>
  <c r="L167" i="1"/>
  <c r="M167" i="1"/>
  <c r="K168" i="1"/>
  <c r="L168" i="1"/>
  <c r="M168" i="1"/>
  <c r="K169" i="1"/>
  <c r="L169" i="1"/>
  <c r="M169" i="1"/>
  <c r="K170" i="1"/>
  <c r="L170" i="1"/>
  <c r="M170" i="1"/>
  <c r="K171" i="1"/>
  <c r="L171" i="1"/>
  <c r="M171" i="1"/>
  <c r="K172" i="1"/>
  <c r="L172" i="1"/>
  <c r="M172" i="1"/>
  <c r="K173" i="1"/>
  <c r="L173" i="1"/>
  <c r="M173" i="1"/>
  <c r="K174" i="1"/>
  <c r="L174" i="1"/>
  <c r="M174" i="1"/>
  <c r="K175" i="1"/>
  <c r="L175" i="1"/>
  <c r="M175" i="1"/>
  <c r="K176" i="1"/>
  <c r="L176" i="1"/>
  <c r="M176" i="1"/>
  <c r="K177" i="1"/>
  <c r="L177" i="1"/>
  <c r="M177" i="1"/>
  <c r="K178" i="1"/>
  <c r="L178" i="1"/>
  <c r="M178" i="1"/>
  <c r="K179" i="1"/>
  <c r="L179" i="1"/>
  <c r="M179" i="1"/>
  <c r="K180" i="1"/>
  <c r="L180" i="1"/>
  <c r="M180" i="1"/>
  <c r="K181" i="1"/>
  <c r="L181" i="1"/>
  <c r="M181" i="1"/>
  <c r="K182" i="1"/>
  <c r="L182" i="1"/>
  <c r="M182" i="1"/>
  <c r="K183" i="1"/>
  <c r="L183" i="1"/>
  <c r="M183" i="1"/>
  <c r="K184" i="1"/>
  <c r="L184" i="1"/>
  <c r="M184" i="1"/>
  <c r="K185" i="1"/>
  <c r="L185" i="1"/>
  <c r="M185" i="1"/>
  <c r="K186" i="1"/>
  <c r="L186" i="1"/>
  <c r="M186" i="1"/>
  <c r="K187" i="1"/>
  <c r="L187" i="1"/>
  <c r="M187" i="1"/>
  <c r="K188" i="1"/>
  <c r="L188" i="1"/>
  <c r="M188" i="1"/>
  <c r="K189" i="1"/>
  <c r="L189" i="1"/>
  <c r="M189" i="1"/>
  <c r="K190" i="1"/>
  <c r="L190" i="1"/>
  <c r="M190" i="1"/>
  <c r="K191" i="1"/>
  <c r="L191" i="1"/>
  <c r="M191" i="1"/>
  <c r="K192" i="1"/>
  <c r="L192" i="1"/>
  <c r="M192" i="1"/>
  <c r="K193" i="1"/>
  <c r="L193" i="1"/>
  <c r="M193" i="1"/>
  <c r="K194" i="1"/>
  <c r="L194" i="1"/>
  <c r="M194" i="1"/>
  <c r="K195" i="1"/>
  <c r="L195" i="1"/>
  <c r="M195" i="1"/>
  <c r="K196" i="1"/>
  <c r="L196" i="1"/>
  <c r="M196" i="1"/>
  <c r="K197" i="1"/>
  <c r="L197" i="1"/>
  <c r="M197" i="1"/>
  <c r="K198" i="1"/>
  <c r="L198" i="1"/>
  <c r="M198" i="1"/>
  <c r="K199" i="1"/>
  <c r="L199" i="1"/>
  <c r="M199" i="1"/>
  <c r="K200" i="1"/>
  <c r="L200" i="1"/>
  <c r="M200" i="1"/>
  <c r="K201" i="1"/>
  <c r="L201" i="1"/>
  <c r="M201" i="1"/>
  <c r="K202" i="1"/>
  <c r="L202" i="1"/>
  <c r="M202" i="1"/>
  <c r="K203" i="1"/>
  <c r="L203" i="1"/>
  <c r="M203" i="1"/>
  <c r="K204" i="1"/>
  <c r="L204" i="1"/>
  <c r="M204" i="1"/>
  <c r="K205" i="1"/>
  <c r="L205" i="1"/>
  <c r="M205" i="1"/>
  <c r="K206" i="1"/>
  <c r="L206" i="1"/>
  <c r="M206" i="1"/>
  <c r="K207" i="1"/>
  <c r="L207" i="1"/>
  <c r="M207" i="1"/>
  <c r="K208" i="1"/>
  <c r="L208" i="1"/>
  <c r="M208" i="1"/>
  <c r="K209" i="1"/>
  <c r="L209" i="1"/>
  <c r="M209" i="1"/>
  <c r="K210" i="1"/>
  <c r="L210" i="1"/>
  <c r="M210" i="1"/>
  <c r="K211" i="1"/>
  <c r="L211" i="1"/>
  <c r="M211" i="1"/>
  <c r="K212" i="1"/>
  <c r="L212" i="1"/>
  <c r="M212" i="1"/>
  <c r="K213" i="1"/>
  <c r="L213" i="1"/>
  <c r="M213" i="1"/>
  <c r="K214" i="1"/>
  <c r="L214" i="1"/>
  <c r="M214" i="1"/>
  <c r="K215" i="1"/>
  <c r="L215" i="1"/>
  <c r="M215" i="1"/>
  <c r="K216" i="1"/>
  <c r="L216" i="1"/>
  <c r="M216" i="1"/>
  <c r="K217" i="1"/>
  <c r="L217" i="1"/>
  <c r="M217" i="1"/>
  <c r="K218" i="1"/>
  <c r="L218" i="1"/>
  <c r="M218" i="1"/>
  <c r="K219" i="1"/>
  <c r="L219" i="1"/>
  <c r="M219" i="1"/>
  <c r="K220" i="1"/>
  <c r="L220" i="1"/>
  <c r="M220" i="1"/>
  <c r="K221" i="1"/>
  <c r="L221" i="1"/>
  <c r="M221" i="1"/>
  <c r="K222" i="1"/>
  <c r="L222" i="1"/>
  <c r="M222" i="1"/>
  <c r="K223" i="1"/>
  <c r="L223" i="1"/>
  <c r="M223" i="1"/>
  <c r="K224" i="1"/>
  <c r="L224" i="1"/>
  <c r="M224" i="1"/>
  <c r="K225" i="1"/>
  <c r="L225" i="1"/>
  <c r="M225" i="1"/>
  <c r="K226" i="1"/>
  <c r="L226" i="1"/>
  <c r="M226" i="1"/>
  <c r="K227" i="1"/>
  <c r="L227" i="1"/>
  <c r="M227" i="1"/>
  <c r="K228" i="1"/>
  <c r="L228" i="1"/>
  <c r="M228" i="1"/>
  <c r="K229" i="1"/>
  <c r="L229" i="1"/>
  <c r="M229" i="1"/>
  <c r="K230" i="1"/>
  <c r="L230" i="1"/>
  <c r="M230" i="1"/>
  <c r="K231" i="1"/>
  <c r="L231" i="1"/>
  <c r="M231" i="1"/>
  <c r="K232" i="1"/>
  <c r="L232" i="1"/>
  <c r="M232" i="1"/>
  <c r="K233" i="1"/>
  <c r="L233" i="1"/>
  <c r="M233" i="1"/>
  <c r="K234" i="1"/>
  <c r="L234" i="1"/>
  <c r="M234" i="1"/>
  <c r="K235" i="1"/>
  <c r="L235" i="1"/>
  <c r="M235" i="1"/>
  <c r="K236" i="1"/>
  <c r="L236" i="1"/>
  <c r="M236" i="1"/>
  <c r="K237" i="1"/>
  <c r="L237" i="1"/>
  <c r="M237" i="1"/>
  <c r="K238" i="1"/>
  <c r="L238" i="1"/>
  <c r="M238" i="1"/>
  <c r="K239" i="1"/>
  <c r="L239" i="1"/>
  <c r="M239" i="1"/>
  <c r="K240" i="1"/>
  <c r="L240" i="1"/>
  <c r="M240" i="1"/>
  <c r="K241" i="1"/>
  <c r="L241" i="1"/>
  <c r="M241" i="1"/>
  <c r="K242" i="1"/>
  <c r="L242" i="1"/>
  <c r="M242" i="1"/>
  <c r="K243" i="1"/>
  <c r="L243" i="1"/>
  <c r="M243" i="1"/>
  <c r="K244" i="1"/>
  <c r="L244" i="1"/>
  <c r="M244" i="1"/>
  <c r="K245" i="1"/>
  <c r="L245" i="1"/>
  <c r="M245" i="1"/>
  <c r="K246" i="1"/>
  <c r="L246" i="1"/>
  <c r="M246" i="1"/>
  <c r="K247" i="1"/>
  <c r="L247" i="1"/>
  <c r="M247" i="1"/>
  <c r="K248" i="1"/>
  <c r="L248" i="1"/>
  <c r="M248" i="1"/>
  <c r="K249" i="1"/>
  <c r="L249" i="1"/>
  <c r="M249" i="1"/>
  <c r="K250" i="1"/>
  <c r="L250" i="1"/>
  <c r="M250" i="1"/>
  <c r="K251" i="1"/>
  <c r="L251" i="1"/>
  <c r="M251" i="1"/>
  <c r="K252" i="1"/>
  <c r="L252" i="1"/>
  <c r="M252" i="1"/>
  <c r="K253" i="1"/>
  <c r="L253" i="1"/>
  <c r="M253" i="1"/>
  <c r="K254" i="1"/>
  <c r="L254" i="1"/>
  <c r="M254" i="1"/>
  <c r="K255" i="1"/>
  <c r="L255" i="1"/>
  <c r="M255" i="1"/>
  <c r="K256" i="1"/>
  <c r="L256" i="1"/>
  <c r="M256" i="1"/>
  <c r="K257" i="1"/>
  <c r="L257" i="1"/>
  <c r="M257" i="1"/>
  <c r="K258" i="1"/>
  <c r="L258" i="1"/>
  <c r="M258" i="1"/>
  <c r="K259" i="1"/>
  <c r="L259" i="1"/>
  <c r="M259" i="1"/>
  <c r="K260" i="1"/>
  <c r="L260" i="1"/>
  <c r="M260" i="1"/>
  <c r="K261" i="1"/>
  <c r="L261" i="1"/>
  <c r="M261" i="1"/>
  <c r="K262" i="1"/>
  <c r="L262" i="1"/>
  <c r="M262" i="1"/>
  <c r="K263" i="1"/>
  <c r="L263" i="1"/>
  <c r="M263" i="1"/>
  <c r="K264" i="1"/>
  <c r="L264" i="1"/>
  <c r="M264" i="1"/>
  <c r="K265" i="1"/>
  <c r="L265" i="1"/>
  <c r="M265" i="1"/>
  <c r="K266" i="1"/>
  <c r="L266" i="1"/>
  <c r="M266" i="1"/>
  <c r="K267" i="1"/>
  <c r="L267" i="1"/>
  <c r="M267" i="1"/>
  <c r="K268" i="1"/>
  <c r="L268" i="1"/>
  <c r="M268" i="1"/>
  <c r="K269" i="1"/>
  <c r="L269" i="1"/>
  <c r="M269" i="1"/>
  <c r="K270" i="1"/>
  <c r="L270" i="1"/>
  <c r="M270" i="1"/>
  <c r="K271" i="1"/>
  <c r="L271" i="1"/>
  <c r="M271" i="1"/>
  <c r="K272" i="1"/>
  <c r="L272" i="1"/>
  <c r="M272" i="1"/>
  <c r="K273" i="1"/>
  <c r="L273" i="1"/>
  <c r="M273" i="1"/>
  <c r="K274" i="1"/>
  <c r="L274" i="1"/>
  <c r="M274" i="1"/>
  <c r="K275" i="1"/>
  <c r="L275" i="1"/>
  <c r="M275" i="1"/>
  <c r="K276" i="1"/>
  <c r="L276" i="1"/>
  <c r="M276" i="1"/>
  <c r="K277" i="1"/>
  <c r="L277" i="1"/>
  <c r="M277" i="1"/>
  <c r="K278" i="1"/>
  <c r="L278" i="1"/>
  <c r="M278" i="1"/>
  <c r="K279" i="1"/>
  <c r="L279" i="1"/>
  <c r="M279" i="1"/>
  <c r="K280" i="1"/>
  <c r="L280" i="1"/>
  <c r="M280" i="1"/>
  <c r="K281" i="1"/>
  <c r="L281" i="1"/>
  <c r="M281" i="1"/>
  <c r="K282" i="1"/>
  <c r="L282" i="1"/>
  <c r="M282" i="1"/>
  <c r="K283" i="1"/>
  <c r="L283" i="1"/>
  <c r="M283" i="1"/>
  <c r="K284" i="1"/>
  <c r="L284" i="1"/>
  <c r="M284" i="1"/>
  <c r="K285" i="1"/>
  <c r="L285" i="1"/>
  <c r="M285" i="1"/>
  <c r="K286" i="1"/>
  <c r="L286" i="1"/>
  <c r="M286" i="1"/>
  <c r="K287" i="1"/>
  <c r="L287" i="1"/>
  <c r="M287" i="1"/>
  <c r="K288" i="1"/>
  <c r="L288" i="1"/>
  <c r="M288" i="1"/>
  <c r="K289" i="1"/>
  <c r="L289" i="1"/>
  <c r="M289" i="1"/>
  <c r="K290" i="1"/>
  <c r="L290" i="1"/>
  <c r="M290" i="1"/>
  <c r="K291" i="1"/>
  <c r="L291" i="1"/>
  <c r="M291" i="1"/>
  <c r="K292" i="1"/>
  <c r="L292" i="1"/>
  <c r="M292" i="1"/>
  <c r="K293" i="1"/>
  <c r="L293" i="1"/>
  <c r="M293" i="1"/>
  <c r="K294" i="1"/>
  <c r="L294" i="1"/>
  <c r="M294" i="1"/>
  <c r="K295" i="1"/>
  <c r="L295" i="1"/>
  <c r="M295" i="1"/>
  <c r="K296" i="1"/>
  <c r="L296" i="1"/>
  <c r="M296" i="1"/>
  <c r="K297" i="1"/>
  <c r="L297" i="1"/>
  <c r="M297" i="1"/>
  <c r="K298" i="1"/>
  <c r="L298" i="1"/>
  <c r="M298" i="1"/>
  <c r="K299" i="1"/>
  <c r="L299" i="1"/>
  <c r="M299" i="1"/>
  <c r="K300" i="1"/>
  <c r="L300" i="1"/>
  <c r="M300" i="1"/>
  <c r="K301" i="1"/>
  <c r="L301" i="1"/>
  <c r="M301" i="1"/>
  <c r="K302" i="1"/>
  <c r="L302" i="1"/>
  <c r="M302" i="1"/>
  <c r="K303" i="1"/>
  <c r="L303" i="1"/>
  <c r="M303" i="1"/>
  <c r="K304" i="1"/>
  <c r="L304" i="1"/>
  <c r="M304" i="1"/>
  <c r="K305" i="1"/>
  <c r="L305" i="1"/>
  <c r="M305" i="1"/>
  <c r="K306" i="1"/>
  <c r="L306" i="1"/>
  <c r="M306" i="1"/>
  <c r="K307" i="1"/>
  <c r="L307" i="1"/>
  <c r="M307" i="1"/>
  <c r="K308" i="1"/>
  <c r="L308" i="1"/>
  <c r="M308" i="1"/>
  <c r="K309" i="1"/>
  <c r="L309" i="1"/>
  <c r="M309" i="1"/>
  <c r="K310" i="1"/>
  <c r="L310" i="1"/>
  <c r="M310" i="1"/>
  <c r="K311" i="1"/>
  <c r="L311" i="1"/>
  <c r="M311" i="1"/>
  <c r="K312" i="1"/>
  <c r="L312" i="1"/>
  <c r="M312" i="1"/>
  <c r="K313" i="1"/>
  <c r="L313" i="1"/>
  <c r="M313" i="1"/>
  <c r="K314" i="1"/>
  <c r="L314" i="1"/>
  <c r="M314" i="1"/>
  <c r="K315" i="1"/>
  <c r="L315" i="1"/>
  <c r="M315" i="1"/>
  <c r="K316" i="1"/>
  <c r="L316" i="1"/>
  <c r="M316" i="1"/>
  <c r="K317" i="1"/>
  <c r="L317" i="1"/>
  <c r="M317" i="1"/>
  <c r="K318" i="1"/>
  <c r="L318" i="1"/>
  <c r="M318" i="1"/>
  <c r="K319" i="1"/>
  <c r="L319" i="1"/>
  <c r="M319" i="1"/>
  <c r="K320" i="1"/>
  <c r="L320" i="1"/>
  <c r="M320" i="1"/>
  <c r="K321" i="1"/>
  <c r="L321" i="1"/>
  <c r="M321" i="1"/>
  <c r="K322" i="1"/>
  <c r="L322" i="1"/>
  <c r="M322" i="1"/>
  <c r="K323" i="1"/>
  <c r="L323" i="1"/>
  <c r="M323" i="1"/>
  <c r="K324" i="1"/>
  <c r="L324" i="1"/>
  <c r="M324" i="1"/>
  <c r="K325" i="1"/>
  <c r="L325" i="1"/>
  <c r="M325" i="1"/>
  <c r="K326" i="1"/>
  <c r="L326" i="1"/>
  <c r="M326" i="1"/>
  <c r="K327" i="1"/>
  <c r="L327" i="1"/>
  <c r="M327" i="1"/>
  <c r="K328" i="1"/>
  <c r="L328" i="1"/>
  <c r="M328" i="1"/>
  <c r="K329" i="1"/>
  <c r="L329" i="1"/>
  <c r="M329" i="1"/>
  <c r="K330" i="1"/>
  <c r="L330" i="1"/>
  <c r="M330" i="1"/>
  <c r="K331" i="1"/>
  <c r="L331" i="1"/>
  <c r="M331" i="1"/>
  <c r="K332" i="1"/>
  <c r="L332" i="1"/>
  <c r="M332" i="1"/>
  <c r="K333" i="1"/>
  <c r="L333" i="1"/>
  <c r="M333" i="1"/>
  <c r="K334" i="1"/>
  <c r="L334" i="1"/>
  <c r="M334" i="1"/>
  <c r="K335" i="1"/>
  <c r="L335" i="1"/>
  <c r="M335" i="1"/>
  <c r="K336" i="1"/>
  <c r="L336" i="1"/>
  <c r="M336" i="1"/>
  <c r="K337" i="1"/>
  <c r="L337" i="1"/>
  <c r="M337" i="1"/>
  <c r="K338" i="1"/>
  <c r="L338" i="1"/>
  <c r="M338" i="1"/>
  <c r="K339" i="1"/>
  <c r="L339" i="1"/>
  <c r="M339" i="1"/>
  <c r="K340" i="1"/>
  <c r="L340" i="1"/>
  <c r="M340" i="1"/>
  <c r="K341" i="1"/>
  <c r="L341" i="1"/>
  <c r="M341" i="1"/>
  <c r="K342" i="1"/>
  <c r="L342" i="1"/>
  <c r="M342" i="1"/>
  <c r="K343" i="1"/>
  <c r="L343" i="1"/>
  <c r="M343" i="1"/>
  <c r="K344" i="1"/>
  <c r="L344" i="1"/>
  <c r="M344" i="1"/>
  <c r="K345" i="1"/>
  <c r="L345" i="1"/>
  <c r="M345" i="1"/>
  <c r="K346" i="1"/>
  <c r="L346" i="1"/>
  <c r="M346" i="1"/>
  <c r="K347" i="1"/>
  <c r="L347" i="1"/>
  <c r="M347" i="1"/>
  <c r="K348" i="1"/>
  <c r="L348" i="1"/>
  <c r="M348" i="1"/>
  <c r="K349" i="1"/>
  <c r="L349" i="1"/>
  <c r="M349" i="1"/>
  <c r="K350" i="1"/>
  <c r="L350" i="1"/>
  <c r="M350" i="1"/>
  <c r="K351" i="1"/>
  <c r="L351" i="1"/>
  <c r="M351" i="1"/>
  <c r="K352" i="1"/>
  <c r="L352" i="1"/>
  <c r="M352" i="1"/>
  <c r="K353" i="1"/>
  <c r="L353" i="1"/>
  <c r="M353" i="1"/>
  <c r="K354" i="1"/>
  <c r="L354" i="1"/>
  <c r="M354" i="1"/>
  <c r="K355" i="1"/>
  <c r="L355" i="1"/>
  <c r="M355" i="1"/>
  <c r="K356" i="1"/>
  <c r="L356" i="1"/>
  <c r="M356" i="1"/>
  <c r="K357" i="1"/>
  <c r="L357" i="1"/>
  <c r="M357" i="1"/>
  <c r="K358" i="1"/>
  <c r="L358" i="1"/>
  <c r="M358" i="1"/>
  <c r="K359" i="1"/>
  <c r="L359" i="1"/>
  <c r="M359" i="1"/>
  <c r="K360" i="1"/>
  <c r="L360" i="1"/>
  <c r="M360" i="1"/>
  <c r="K361" i="1"/>
  <c r="L361" i="1"/>
  <c r="M361" i="1"/>
  <c r="K362" i="1"/>
  <c r="L362" i="1"/>
  <c r="M362" i="1"/>
  <c r="K363" i="1"/>
  <c r="L363" i="1"/>
  <c r="M363" i="1"/>
  <c r="K364" i="1"/>
  <c r="L364" i="1"/>
  <c r="M364" i="1"/>
  <c r="K365" i="1"/>
  <c r="L365" i="1"/>
  <c r="M365" i="1"/>
  <c r="K366" i="1"/>
  <c r="L366" i="1"/>
  <c r="M366" i="1"/>
  <c r="K367" i="1"/>
  <c r="L367" i="1"/>
  <c r="M367" i="1"/>
  <c r="K368" i="1"/>
  <c r="L368" i="1"/>
  <c r="M368" i="1"/>
  <c r="K369" i="1"/>
  <c r="L369" i="1"/>
  <c r="M369" i="1"/>
  <c r="K370" i="1"/>
  <c r="L370" i="1"/>
  <c r="M370" i="1"/>
  <c r="K371" i="1"/>
  <c r="L371" i="1"/>
  <c r="M371" i="1"/>
  <c r="K372" i="1"/>
  <c r="L372" i="1"/>
  <c r="M372" i="1"/>
  <c r="K373" i="1"/>
  <c r="L373" i="1"/>
  <c r="M373" i="1"/>
  <c r="K374" i="1"/>
  <c r="L374" i="1"/>
  <c r="M374" i="1"/>
  <c r="K375" i="1"/>
  <c r="L375" i="1"/>
  <c r="M375" i="1"/>
  <c r="K376" i="1"/>
  <c r="L376" i="1"/>
  <c r="M376" i="1"/>
  <c r="K377" i="1"/>
  <c r="L377" i="1"/>
  <c r="M377" i="1"/>
  <c r="K378" i="1"/>
  <c r="L378" i="1"/>
  <c r="M378" i="1"/>
  <c r="K379" i="1"/>
  <c r="L379" i="1"/>
  <c r="M379" i="1"/>
  <c r="K380" i="1"/>
  <c r="L380" i="1"/>
  <c r="M380" i="1"/>
  <c r="K381" i="1"/>
  <c r="L381" i="1"/>
  <c r="M381" i="1"/>
  <c r="K382" i="1"/>
  <c r="L382" i="1"/>
  <c r="M382" i="1"/>
  <c r="K383" i="1"/>
  <c r="L383" i="1"/>
  <c r="M383" i="1"/>
  <c r="K384" i="1"/>
  <c r="L384" i="1"/>
  <c r="M384" i="1"/>
  <c r="K385" i="1"/>
  <c r="L385" i="1"/>
  <c r="M385" i="1"/>
  <c r="K386" i="1"/>
  <c r="L386" i="1"/>
  <c r="M386" i="1"/>
  <c r="K387" i="1"/>
  <c r="L387" i="1"/>
  <c r="M387" i="1"/>
  <c r="K388" i="1"/>
  <c r="L388" i="1"/>
  <c r="M388" i="1"/>
  <c r="K389" i="1"/>
  <c r="L389" i="1"/>
  <c r="M389" i="1"/>
  <c r="K390" i="1"/>
  <c r="L390" i="1"/>
  <c r="M390" i="1"/>
  <c r="K391" i="1"/>
  <c r="L391" i="1"/>
  <c r="M391" i="1"/>
  <c r="K392" i="1"/>
  <c r="L392" i="1"/>
  <c r="M392" i="1"/>
  <c r="K393" i="1"/>
  <c r="L393" i="1"/>
  <c r="M393" i="1"/>
  <c r="K394" i="1"/>
  <c r="L394" i="1"/>
  <c r="M394" i="1"/>
  <c r="K395" i="1"/>
  <c r="L395" i="1"/>
  <c r="M395" i="1"/>
  <c r="K396" i="1"/>
  <c r="L396" i="1"/>
  <c r="M396" i="1"/>
  <c r="K397" i="1"/>
  <c r="L397" i="1"/>
  <c r="M397" i="1"/>
  <c r="K398" i="1"/>
  <c r="L398" i="1"/>
  <c r="M398" i="1"/>
  <c r="K399" i="1"/>
  <c r="L399" i="1"/>
  <c r="M399" i="1"/>
  <c r="K400" i="1"/>
  <c r="L400" i="1"/>
  <c r="M400" i="1"/>
  <c r="K401" i="1"/>
  <c r="L401" i="1"/>
  <c r="M401" i="1"/>
  <c r="K402" i="1"/>
  <c r="L402" i="1"/>
  <c r="M402" i="1"/>
  <c r="K403" i="1"/>
  <c r="L403" i="1"/>
  <c r="M403" i="1"/>
  <c r="K404" i="1"/>
  <c r="L404" i="1"/>
  <c r="M404" i="1"/>
  <c r="K405" i="1"/>
  <c r="L405" i="1"/>
  <c r="M405" i="1"/>
  <c r="K406" i="1"/>
  <c r="L406" i="1"/>
  <c r="M406" i="1"/>
  <c r="K407" i="1"/>
  <c r="L407" i="1"/>
  <c r="M407" i="1"/>
  <c r="K408" i="1"/>
  <c r="L408" i="1"/>
  <c r="M408" i="1"/>
  <c r="K409" i="1"/>
  <c r="L409" i="1"/>
  <c r="M409" i="1"/>
  <c r="K410" i="1"/>
  <c r="L410" i="1"/>
  <c r="M410" i="1"/>
  <c r="K411" i="1"/>
  <c r="L411" i="1"/>
  <c r="M411" i="1"/>
  <c r="K412" i="1"/>
  <c r="L412" i="1"/>
  <c r="M412" i="1"/>
  <c r="K413" i="1"/>
  <c r="L413" i="1"/>
  <c r="M413" i="1"/>
  <c r="K414" i="1"/>
  <c r="L414" i="1"/>
  <c r="M414" i="1"/>
  <c r="K415" i="1"/>
  <c r="L415" i="1"/>
  <c r="M415" i="1"/>
  <c r="K416" i="1"/>
  <c r="L416" i="1"/>
  <c r="M416" i="1"/>
  <c r="K417" i="1"/>
  <c r="L417" i="1"/>
  <c r="M417" i="1"/>
  <c r="K418" i="1"/>
  <c r="L418" i="1"/>
  <c r="M418" i="1"/>
  <c r="K419" i="1"/>
  <c r="L419" i="1"/>
  <c r="M419" i="1"/>
  <c r="K420" i="1"/>
  <c r="L420" i="1"/>
  <c r="M420" i="1"/>
  <c r="K421" i="1"/>
  <c r="L421" i="1"/>
  <c r="M421" i="1"/>
  <c r="K422" i="1"/>
  <c r="L422" i="1"/>
  <c r="M422" i="1"/>
  <c r="K423" i="1"/>
  <c r="L423" i="1"/>
  <c r="M423" i="1"/>
  <c r="K424" i="1"/>
  <c r="L424" i="1"/>
  <c r="M424" i="1"/>
  <c r="K425" i="1"/>
  <c r="L425" i="1"/>
  <c r="M425" i="1"/>
  <c r="K426" i="1"/>
  <c r="L426" i="1"/>
  <c r="M426" i="1"/>
  <c r="K427" i="1"/>
  <c r="L427" i="1"/>
  <c r="M427" i="1"/>
  <c r="K428" i="1"/>
  <c r="L428" i="1"/>
  <c r="M428" i="1"/>
  <c r="K429" i="1"/>
  <c r="L429" i="1"/>
  <c r="M429" i="1"/>
  <c r="K430" i="1"/>
  <c r="L430" i="1"/>
  <c r="M430" i="1"/>
  <c r="K431" i="1"/>
  <c r="L431" i="1"/>
  <c r="M431" i="1"/>
  <c r="K432" i="1"/>
  <c r="L432" i="1"/>
  <c r="M432" i="1"/>
  <c r="K433" i="1"/>
  <c r="L433" i="1"/>
  <c r="M433" i="1"/>
  <c r="K434" i="1"/>
  <c r="L434" i="1"/>
  <c r="M434" i="1"/>
  <c r="K435" i="1"/>
  <c r="L435" i="1"/>
  <c r="M435" i="1"/>
  <c r="K436" i="1"/>
  <c r="L436" i="1"/>
  <c r="M436" i="1"/>
  <c r="K437" i="1"/>
  <c r="L437" i="1"/>
  <c r="M437" i="1"/>
  <c r="K438" i="1"/>
  <c r="L438" i="1"/>
  <c r="M438" i="1"/>
  <c r="K439" i="1"/>
  <c r="L439" i="1"/>
  <c r="M439" i="1"/>
  <c r="K440" i="1"/>
  <c r="L440" i="1"/>
  <c r="M440" i="1"/>
  <c r="K441" i="1"/>
  <c r="L441" i="1"/>
  <c r="M441" i="1"/>
  <c r="K442" i="1"/>
  <c r="L442" i="1"/>
  <c r="M442" i="1"/>
  <c r="K443" i="1"/>
  <c r="L443" i="1"/>
  <c r="M443" i="1"/>
  <c r="K444" i="1"/>
  <c r="L444" i="1"/>
  <c r="M444" i="1"/>
  <c r="K445" i="1"/>
  <c r="L445" i="1"/>
  <c r="M445" i="1"/>
  <c r="K446" i="1"/>
  <c r="L446" i="1"/>
  <c r="M446" i="1"/>
  <c r="K447" i="1"/>
  <c r="L447" i="1"/>
  <c r="M447" i="1"/>
  <c r="K448" i="1"/>
  <c r="L448" i="1"/>
  <c r="M448" i="1"/>
  <c r="K449" i="1"/>
  <c r="L449" i="1"/>
  <c r="M449" i="1"/>
  <c r="K450" i="1"/>
  <c r="L450" i="1"/>
  <c r="M450" i="1"/>
  <c r="K451" i="1"/>
  <c r="L451" i="1"/>
  <c r="M451" i="1"/>
  <c r="K452" i="1"/>
  <c r="L452" i="1"/>
  <c r="M452" i="1"/>
  <c r="K453" i="1"/>
  <c r="L453" i="1"/>
  <c r="M453" i="1"/>
  <c r="K454" i="1"/>
  <c r="L454" i="1"/>
  <c r="M454" i="1"/>
  <c r="K455" i="1"/>
  <c r="L455" i="1"/>
  <c r="M455" i="1"/>
  <c r="K456" i="1"/>
  <c r="L456" i="1"/>
  <c r="M456" i="1"/>
  <c r="K457" i="1"/>
  <c r="L457" i="1"/>
  <c r="M457" i="1"/>
  <c r="K458" i="1"/>
  <c r="L458" i="1"/>
  <c r="M458" i="1"/>
  <c r="K459" i="1"/>
  <c r="L459" i="1"/>
  <c r="M459" i="1"/>
  <c r="K460" i="1"/>
  <c r="L460" i="1"/>
  <c r="M460" i="1"/>
  <c r="K461" i="1"/>
  <c r="L461" i="1"/>
  <c r="M461" i="1"/>
  <c r="K462" i="1"/>
  <c r="L462" i="1"/>
  <c r="M462" i="1"/>
  <c r="K463" i="1"/>
  <c r="L463" i="1"/>
  <c r="M463" i="1"/>
  <c r="K464" i="1"/>
  <c r="L464" i="1"/>
  <c r="M464" i="1"/>
  <c r="K465" i="1"/>
  <c r="L465" i="1"/>
  <c r="M465" i="1"/>
  <c r="K466" i="1"/>
  <c r="L466" i="1"/>
  <c r="M466" i="1"/>
  <c r="K467" i="1"/>
  <c r="L467" i="1"/>
  <c r="M467" i="1"/>
  <c r="K468" i="1"/>
  <c r="L468" i="1"/>
  <c r="M468" i="1"/>
  <c r="K469" i="1"/>
  <c r="L469" i="1"/>
  <c r="M469" i="1"/>
  <c r="K470" i="1"/>
  <c r="L470" i="1"/>
  <c r="M470" i="1"/>
  <c r="K471" i="1"/>
  <c r="L471" i="1"/>
  <c r="M471" i="1"/>
  <c r="K472" i="1"/>
  <c r="L472" i="1"/>
  <c r="M472" i="1"/>
  <c r="K473" i="1"/>
  <c r="L473" i="1"/>
  <c r="M473" i="1"/>
  <c r="K474" i="1"/>
  <c r="L474" i="1"/>
  <c r="M474" i="1"/>
  <c r="K475" i="1"/>
  <c r="L475" i="1"/>
  <c r="M475" i="1"/>
  <c r="K476" i="1"/>
  <c r="L476" i="1"/>
  <c r="M476" i="1"/>
  <c r="K477" i="1"/>
  <c r="L477" i="1"/>
  <c r="M477" i="1"/>
  <c r="K478" i="1"/>
  <c r="L478" i="1"/>
  <c r="M478" i="1"/>
  <c r="K479" i="1"/>
  <c r="L479" i="1"/>
  <c r="M479" i="1"/>
  <c r="K480" i="1"/>
  <c r="L480" i="1"/>
  <c r="M480" i="1"/>
  <c r="K481" i="1"/>
  <c r="L481" i="1"/>
  <c r="M481" i="1"/>
  <c r="K482" i="1"/>
  <c r="L482" i="1"/>
  <c r="M482" i="1"/>
  <c r="K483" i="1"/>
  <c r="L483" i="1"/>
  <c r="M483" i="1"/>
  <c r="K484" i="1"/>
  <c r="L484" i="1"/>
  <c r="M484" i="1"/>
  <c r="K485" i="1"/>
  <c r="L485" i="1"/>
  <c r="M485" i="1"/>
  <c r="K486" i="1"/>
  <c r="L486" i="1"/>
  <c r="M486" i="1"/>
  <c r="K487" i="1"/>
  <c r="L487" i="1"/>
  <c r="M487" i="1"/>
  <c r="K488" i="1"/>
  <c r="L488" i="1"/>
  <c r="M488" i="1"/>
  <c r="K489" i="1"/>
  <c r="L489" i="1"/>
  <c r="M489" i="1"/>
  <c r="K490" i="1"/>
  <c r="L490" i="1"/>
  <c r="M490" i="1"/>
  <c r="K491" i="1"/>
  <c r="L491" i="1"/>
  <c r="M491" i="1"/>
  <c r="K492" i="1"/>
  <c r="L492" i="1"/>
  <c r="M492" i="1"/>
  <c r="K493" i="1"/>
  <c r="L493" i="1"/>
  <c r="M493" i="1"/>
  <c r="K494" i="1"/>
  <c r="L494" i="1"/>
  <c r="M494" i="1"/>
  <c r="K495" i="1"/>
  <c r="L495" i="1"/>
  <c r="M495" i="1"/>
  <c r="K496" i="1"/>
  <c r="L496" i="1"/>
  <c r="M496" i="1"/>
  <c r="K497" i="1"/>
  <c r="L497" i="1"/>
  <c r="M497" i="1"/>
  <c r="K498" i="1"/>
  <c r="L498" i="1"/>
  <c r="M498" i="1"/>
  <c r="K499" i="1"/>
  <c r="L499" i="1"/>
  <c r="M499" i="1"/>
  <c r="K500" i="1"/>
  <c r="L500" i="1"/>
  <c r="M500" i="1"/>
  <c r="K501" i="1"/>
  <c r="L501" i="1"/>
  <c r="M501" i="1"/>
  <c r="K502" i="1"/>
  <c r="L502" i="1"/>
  <c r="M502" i="1"/>
  <c r="K503" i="1"/>
  <c r="L503" i="1"/>
  <c r="M503" i="1"/>
  <c r="K504" i="1"/>
  <c r="L504" i="1"/>
  <c r="M504" i="1"/>
  <c r="K505" i="1"/>
  <c r="L505" i="1"/>
  <c r="M505" i="1"/>
  <c r="K506" i="1"/>
  <c r="L506" i="1"/>
  <c r="M506" i="1"/>
  <c r="K507" i="1"/>
  <c r="L507" i="1"/>
  <c r="M507" i="1"/>
  <c r="K508" i="1"/>
  <c r="L508" i="1"/>
  <c r="M508" i="1"/>
  <c r="K509" i="1"/>
  <c r="L509" i="1"/>
  <c r="M509" i="1"/>
  <c r="K510" i="1"/>
  <c r="L510" i="1"/>
  <c r="M510" i="1"/>
  <c r="K511" i="1"/>
  <c r="L511" i="1"/>
  <c r="M511" i="1"/>
  <c r="K512" i="1"/>
  <c r="L512" i="1"/>
  <c r="M512" i="1"/>
  <c r="K513" i="1"/>
  <c r="L513" i="1"/>
  <c r="M513" i="1"/>
  <c r="K514" i="1"/>
  <c r="L514" i="1"/>
  <c r="M514" i="1"/>
  <c r="K515" i="1"/>
  <c r="L515" i="1"/>
  <c r="M515" i="1"/>
  <c r="K516" i="1"/>
  <c r="L516" i="1"/>
  <c r="M516" i="1"/>
  <c r="K517" i="1"/>
  <c r="L517" i="1"/>
  <c r="M517" i="1"/>
  <c r="K518" i="1"/>
  <c r="L518" i="1"/>
  <c r="M518" i="1"/>
  <c r="K519" i="1"/>
  <c r="L519" i="1"/>
  <c r="M519" i="1"/>
  <c r="K520" i="1"/>
  <c r="L520" i="1"/>
  <c r="M520" i="1"/>
  <c r="K521" i="1"/>
  <c r="L521" i="1"/>
  <c r="M521" i="1"/>
  <c r="K522" i="1"/>
  <c r="L522" i="1"/>
  <c r="M522" i="1"/>
  <c r="K523" i="1"/>
  <c r="L523" i="1"/>
  <c r="M523" i="1"/>
  <c r="K524" i="1"/>
  <c r="L524" i="1"/>
  <c r="M524" i="1"/>
  <c r="K525" i="1"/>
  <c r="L525" i="1"/>
  <c r="M525" i="1"/>
  <c r="K526" i="1"/>
  <c r="L526" i="1"/>
  <c r="M526" i="1"/>
  <c r="K527" i="1"/>
  <c r="L527" i="1"/>
  <c r="M527" i="1"/>
  <c r="K528" i="1"/>
  <c r="L528" i="1"/>
  <c r="M528" i="1"/>
  <c r="K529" i="1"/>
  <c r="L529" i="1"/>
  <c r="M529" i="1"/>
  <c r="K530" i="1"/>
  <c r="L530" i="1"/>
  <c r="M530" i="1"/>
  <c r="K531" i="1"/>
  <c r="L531" i="1"/>
  <c r="M531" i="1"/>
  <c r="K532" i="1"/>
  <c r="L532" i="1"/>
  <c r="M532" i="1"/>
  <c r="K533" i="1"/>
  <c r="L533" i="1"/>
  <c r="M533" i="1"/>
  <c r="K534" i="1"/>
  <c r="L534" i="1"/>
  <c r="M534" i="1"/>
  <c r="K535" i="1"/>
  <c r="L535" i="1"/>
  <c r="M535" i="1"/>
  <c r="K536" i="1"/>
  <c r="L536" i="1"/>
  <c r="M536" i="1"/>
  <c r="K537" i="1"/>
  <c r="L537" i="1"/>
  <c r="M537" i="1"/>
  <c r="K538" i="1"/>
  <c r="L538" i="1"/>
  <c r="M538" i="1"/>
  <c r="K539" i="1"/>
  <c r="L539" i="1"/>
  <c r="M539" i="1"/>
  <c r="K540" i="1"/>
  <c r="L540" i="1"/>
  <c r="M540" i="1"/>
  <c r="K541" i="1"/>
  <c r="L541" i="1"/>
  <c r="M541" i="1"/>
  <c r="K542" i="1"/>
  <c r="L542" i="1"/>
  <c r="M542" i="1"/>
  <c r="K543" i="1"/>
  <c r="L543" i="1"/>
  <c r="M543" i="1"/>
  <c r="K544" i="1"/>
  <c r="L544" i="1"/>
  <c r="M544" i="1"/>
  <c r="K545" i="1"/>
  <c r="L545" i="1"/>
  <c r="M545" i="1"/>
  <c r="K546" i="1"/>
  <c r="L546" i="1"/>
  <c r="M546" i="1"/>
  <c r="K547" i="1"/>
  <c r="L547" i="1"/>
  <c r="M547" i="1"/>
  <c r="K548" i="1"/>
  <c r="L548" i="1"/>
  <c r="M548" i="1"/>
  <c r="K549" i="1"/>
  <c r="L549" i="1"/>
  <c r="M549" i="1"/>
  <c r="K550" i="1"/>
  <c r="L550" i="1"/>
  <c r="M550" i="1"/>
  <c r="K551" i="1"/>
  <c r="L551" i="1"/>
  <c r="M551" i="1"/>
  <c r="K552" i="1"/>
  <c r="L552" i="1"/>
  <c r="M552" i="1"/>
  <c r="K553" i="1"/>
  <c r="L553" i="1"/>
  <c r="M553" i="1"/>
  <c r="K554" i="1"/>
  <c r="L554" i="1"/>
  <c r="M554" i="1"/>
  <c r="K555" i="1"/>
  <c r="L555" i="1"/>
  <c r="M555" i="1"/>
  <c r="K556" i="1"/>
  <c r="L556" i="1"/>
  <c r="M556" i="1"/>
  <c r="K557" i="1"/>
  <c r="L557" i="1"/>
  <c r="M557" i="1"/>
  <c r="K558" i="1"/>
  <c r="L558" i="1"/>
  <c r="M558" i="1"/>
  <c r="K559" i="1"/>
  <c r="L559" i="1"/>
  <c r="M559" i="1"/>
  <c r="K560" i="1"/>
  <c r="L560" i="1"/>
  <c r="M560" i="1"/>
  <c r="K561" i="1"/>
  <c r="L561" i="1"/>
  <c r="M561" i="1"/>
  <c r="K562" i="1"/>
  <c r="L562" i="1"/>
  <c r="M562" i="1"/>
  <c r="K563" i="1"/>
  <c r="L563" i="1"/>
  <c r="M563" i="1"/>
  <c r="K564" i="1"/>
  <c r="L564" i="1"/>
  <c r="M564" i="1"/>
  <c r="K565" i="1"/>
  <c r="L565" i="1"/>
  <c r="M565" i="1"/>
  <c r="K566" i="1"/>
  <c r="L566" i="1"/>
  <c r="M566" i="1"/>
  <c r="K567" i="1"/>
  <c r="L567" i="1"/>
  <c r="M567" i="1"/>
  <c r="K568" i="1"/>
  <c r="L568" i="1"/>
  <c r="M568" i="1"/>
  <c r="K569" i="1"/>
  <c r="L569" i="1"/>
  <c r="M569" i="1"/>
  <c r="K570" i="1"/>
  <c r="L570" i="1"/>
  <c r="M570" i="1"/>
  <c r="K571" i="1"/>
  <c r="L571" i="1"/>
  <c r="M571" i="1"/>
  <c r="K572" i="1"/>
  <c r="L572" i="1"/>
  <c r="M572" i="1"/>
  <c r="K573" i="1"/>
  <c r="L573" i="1"/>
  <c r="M573" i="1"/>
  <c r="K574" i="1"/>
  <c r="L574" i="1"/>
  <c r="M574" i="1"/>
  <c r="K575" i="1"/>
  <c r="L575" i="1"/>
  <c r="M575" i="1"/>
  <c r="K576" i="1"/>
  <c r="L576" i="1"/>
  <c r="M576" i="1"/>
  <c r="K577" i="1"/>
  <c r="L577" i="1"/>
  <c r="M577" i="1"/>
  <c r="K578" i="1"/>
  <c r="L578" i="1"/>
  <c r="M578" i="1"/>
  <c r="K579" i="1"/>
  <c r="L579" i="1"/>
  <c r="M579" i="1"/>
  <c r="K580" i="1"/>
  <c r="L580" i="1"/>
  <c r="M580" i="1"/>
  <c r="K581" i="1"/>
  <c r="L581" i="1"/>
  <c r="M581" i="1"/>
  <c r="K582" i="1"/>
  <c r="L582" i="1"/>
  <c r="M582" i="1"/>
  <c r="K583" i="1"/>
  <c r="L583" i="1"/>
  <c r="M583" i="1"/>
  <c r="K584" i="1"/>
  <c r="L584" i="1"/>
  <c r="M584" i="1"/>
  <c r="K585" i="1"/>
  <c r="L585" i="1"/>
  <c r="M585" i="1"/>
  <c r="K586" i="1"/>
  <c r="L586" i="1"/>
  <c r="M586" i="1"/>
  <c r="K587" i="1"/>
  <c r="L587" i="1"/>
  <c r="M587" i="1"/>
  <c r="K588" i="1"/>
  <c r="L588" i="1"/>
  <c r="M588" i="1"/>
  <c r="K589" i="1"/>
  <c r="L589" i="1"/>
  <c r="M589" i="1"/>
  <c r="K590" i="1"/>
  <c r="L590" i="1"/>
  <c r="M590" i="1"/>
  <c r="K591" i="1"/>
  <c r="L591" i="1"/>
  <c r="M591" i="1"/>
  <c r="K592" i="1"/>
  <c r="L592" i="1"/>
  <c r="M592" i="1"/>
  <c r="K593" i="1"/>
  <c r="L593" i="1"/>
  <c r="M593" i="1"/>
  <c r="K594" i="1"/>
  <c r="L594" i="1"/>
  <c r="M594" i="1"/>
  <c r="K595" i="1"/>
  <c r="L595" i="1"/>
  <c r="M595" i="1"/>
  <c r="K596" i="1"/>
  <c r="L596" i="1"/>
  <c r="M596" i="1"/>
  <c r="K597" i="1"/>
  <c r="L597" i="1"/>
  <c r="M597" i="1"/>
  <c r="K598" i="1"/>
  <c r="L598" i="1"/>
  <c r="M598" i="1"/>
  <c r="K599" i="1"/>
  <c r="L599" i="1"/>
  <c r="M599" i="1"/>
  <c r="K600" i="1"/>
  <c r="L600" i="1"/>
  <c r="M600" i="1"/>
  <c r="K601" i="1"/>
  <c r="L601" i="1"/>
  <c r="M601" i="1"/>
  <c r="K602" i="1"/>
  <c r="L602" i="1"/>
  <c r="M602" i="1"/>
  <c r="K603" i="1"/>
  <c r="L603" i="1"/>
  <c r="M603" i="1"/>
  <c r="K604" i="1"/>
  <c r="L604" i="1"/>
  <c r="M604" i="1"/>
  <c r="K605" i="1"/>
  <c r="L605" i="1"/>
  <c r="M605" i="1"/>
  <c r="K606" i="1"/>
  <c r="L606" i="1"/>
  <c r="M606" i="1"/>
  <c r="K607" i="1"/>
  <c r="L607" i="1"/>
  <c r="M607" i="1"/>
  <c r="K608" i="1"/>
  <c r="L608" i="1"/>
  <c r="M608" i="1"/>
  <c r="K609" i="1"/>
  <c r="L609" i="1"/>
  <c r="M609" i="1"/>
  <c r="K610" i="1"/>
  <c r="L610" i="1"/>
  <c r="M610" i="1"/>
  <c r="K611" i="1"/>
  <c r="L611" i="1"/>
  <c r="M611" i="1"/>
  <c r="K612" i="1"/>
  <c r="L612" i="1"/>
  <c r="M612" i="1"/>
  <c r="K613" i="1"/>
  <c r="L613" i="1"/>
  <c r="M613" i="1"/>
  <c r="K614" i="1"/>
  <c r="L614" i="1"/>
  <c r="M614" i="1"/>
  <c r="K615" i="1"/>
  <c r="L615" i="1"/>
  <c r="M615" i="1"/>
  <c r="K616" i="1"/>
  <c r="L616" i="1"/>
  <c r="M616" i="1"/>
  <c r="K617" i="1"/>
  <c r="L617" i="1"/>
  <c r="M617" i="1"/>
  <c r="K618" i="1"/>
  <c r="L618" i="1"/>
  <c r="M618" i="1"/>
  <c r="K619" i="1"/>
  <c r="L619" i="1"/>
  <c r="M619" i="1"/>
  <c r="K620" i="1"/>
  <c r="L620" i="1"/>
  <c r="M620" i="1"/>
  <c r="K621" i="1"/>
  <c r="L621" i="1"/>
  <c r="M621" i="1"/>
  <c r="K622" i="1"/>
  <c r="L622" i="1"/>
  <c r="M622" i="1"/>
  <c r="K623" i="1"/>
  <c r="L623" i="1"/>
  <c r="M623" i="1"/>
  <c r="K624" i="1"/>
  <c r="L624" i="1"/>
  <c r="M624" i="1"/>
  <c r="K625" i="1"/>
  <c r="L625" i="1"/>
  <c r="M625" i="1"/>
  <c r="K626" i="1"/>
  <c r="L626" i="1"/>
  <c r="M626" i="1"/>
  <c r="K627" i="1"/>
  <c r="L627" i="1"/>
  <c r="M627" i="1"/>
  <c r="K628" i="1"/>
  <c r="L628" i="1"/>
  <c r="M628" i="1"/>
  <c r="K629" i="1"/>
  <c r="L629" i="1"/>
  <c r="M629" i="1"/>
  <c r="K630" i="1"/>
  <c r="L630" i="1"/>
  <c r="M630" i="1"/>
  <c r="K631" i="1"/>
  <c r="L631" i="1"/>
  <c r="M631" i="1"/>
  <c r="K632" i="1"/>
  <c r="L632" i="1"/>
  <c r="M632" i="1"/>
  <c r="K633" i="1"/>
  <c r="L633" i="1"/>
  <c r="M633" i="1"/>
  <c r="K634" i="1"/>
  <c r="L634" i="1"/>
  <c r="M634" i="1"/>
  <c r="K635" i="1"/>
  <c r="L635" i="1"/>
  <c r="M635" i="1"/>
  <c r="K636" i="1"/>
  <c r="L636" i="1"/>
  <c r="M636" i="1"/>
  <c r="K637" i="1"/>
  <c r="L637" i="1"/>
  <c r="M637" i="1"/>
  <c r="K638" i="1"/>
  <c r="L638" i="1"/>
  <c r="M638" i="1"/>
  <c r="K639" i="1"/>
  <c r="L639" i="1"/>
  <c r="M639" i="1"/>
  <c r="K640" i="1"/>
  <c r="L640" i="1"/>
  <c r="M640" i="1"/>
  <c r="K641" i="1"/>
  <c r="L641" i="1"/>
  <c r="M641" i="1"/>
  <c r="K642" i="1"/>
  <c r="L642" i="1"/>
  <c r="M642" i="1"/>
  <c r="K643" i="1"/>
  <c r="L643" i="1"/>
  <c r="M643" i="1"/>
  <c r="K644" i="1"/>
  <c r="L644" i="1"/>
  <c r="M644" i="1"/>
  <c r="K645" i="1"/>
  <c r="L645" i="1"/>
  <c r="M645" i="1"/>
  <c r="K646" i="1"/>
  <c r="L646" i="1"/>
  <c r="M646" i="1"/>
  <c r="K647" i="1"/>
  <c r="L647" i="1"/>
  <c r="M647" i="1"/>
  <c r="K648" i="1"/>
  <c r="L648" i="1"/>
  <c r="M648" i="1"/>
  <c r="K649" i="1"/>
  <c r="L649" i="1"/>
  <c r="M649" i="1"/>
  <c r="K650" i="1"/>
  <c r="L650" i="1"/>
  <c r="M650" i="1"/>
  <c r="K651" i="1"/>
  <c r="L651" i="1"/>
  <c r="M651" i="1"/>
  <c r="K652" i="1"/>
  <c r="L652" i="1"/>
  <c r="M652" i="1"/>
  <c r="K653" i="1"/>
  <c r="L653" i="1"/>
  <c r="M653" i="1"/>
  <c r="A20" i="1"/>
  <c r="A21" i="1" s="1"/>
  <c r="A19" i="1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6" i="6"/>
  <c r="R6" i="6"/>
  <c r="AI6" i="6" s="1"/>
  <c r="AC6" i="6"/>
  <c r="AD6" i="6"/>
  <c r="AE6" i="6"/>
  <c r="AF6" i="6"/>
  <c r="AG6" i="6"/>
  <c r="AH6" i="6"/>
  <c r="G21" i="6"/>
  <c r="F21" i="6"/>
  <c r="E21" i="6"/>
  <c r="S21" i="6" s="1"/>
  <c r="U21" i="6" s="1"/>
  <c r="D21" i="6"/>
  <c r="C21" i="6"/>
  <c r="B21" i="6"/>
  <c r="G20" i="6"/>
  <c r="F20" i="6"/>
  <c r="E20" i="6"/>
  <c r="S20" i="6" s="1"/>
  <c r="V20" i="6" s="1"/>
  <c r="D20" i="6"/>
  <c r="C20" i="6"/>
  <c r="B20" i="6"/>
  <c r="G19" i="6"/>
  <c r="F19" i="6"/>
  <c r="E19" i="6"/>
  <c r="S19" i="6" s="1"/>
  <c r="T19" i="6" s="1"/>
  <c r="D19" i="6"/>
  <c r="C19" i="6"/>
  <c r="B19" i="6"/>
  <c r="G18" i="6"/>
  <c r="F18" i="6"/>
  <c r="E18" i="6"/>
  <c r="S18" i="6" s="1"/>
  <c r="D18" i="6"/>
  <c r="C18" i="6"/>
  <c r="B18" i="6"/>
  <c r="G17" i="6"/>
  <c r="F17" i="6"/>
  <c r="E17" i="6"/>
  <c r="S17" i="6" s="1"/>
  <c r="U17" i="6" s="1"/>
  <c r="D17" i="6"/>
  <c r="C17" i="6"/>
  <c r="B17" i="6"/>
  <c r="G16" i="6"/>
  <c r="F16" i="6"/>
  <c r="E16" i="6"/>
  <c r="S16" i="6" s="1"/>
  <c r="V16" i="6" s="1"/>
  <c r="D16" i="6"/>
  <c r="C16" i="6"/>
  <c r="B16" i="6"/>
  <c r="G15" i="6"/>
  <c r="F15" i="6"/>
  <c r="E15" i="6"/>
  <c r="S15" i="6" s="1"/>
  <c r="T15" i="6" s="1"/>
  <c r="D15" i="6"/>
  <c r="C15" i="6"/>
  <c r="B15" i="6"/>
  <c r="G14" i="6"/>
  <c r="F14" i="6"/>
  <c r="E14" i="6"/>
  <c r="S14" i="6" s="1"/>
  <c r="D14" i="6"/>
  <c r="C14" i="6"/>
  <c r="B14" i="6"/>
  <c r="G13" i="6"/>
  <c r="F13" i="6"/>
  <c r="E13" i="6"/>
  <c r="S13" i="6" s="1"/>
  <c r="U13" i="6" s="1"/>
  <c r="D13" i="6"/>
  <c r="C13" i="6"/>
  <c r="B13" i="6"/>
  <c r="G12" i="6"/>
  <c r="F12" i="6"/>
  <c r="E12" i="6"/>
  <c r="S12" i="6" s="1"/>
  <c r="V12" i="6" s="1"/>
  <c r="D12" i="6"/>
  <c r="C12" i="6"/>
  <c r="B12" i="6"/>
  <c r="G11" i="6"/>
  <c r="F11" i="6"/>
  <c r="E11" i="6"/>
  <c r="S11" i="6" s="1"/>
  <c r="T11" i="6" s="1"/>
  <c r="D11" i="6"/>
  <c r="C11" i="6"/>
  <c r="B11" i="6"/>
  <c r="G10" i="6"/>
  <c r="F10" i="6"/>
  <c r="E10" i="6"/>
  <c r="S10" i="6" s="1"/>
  <c r="V10" i="6" s="1"/>
  <c r="D10" i="6"/>
  <c r="C10" i="6"/>
  <c r="B10" i="6"/>
  <c r="G9" i="6"/>
  <c r="F9" i="6"/>
  <c r="E9" i="6"/>
  <c r="S9" i="6" s="1"/>
  <c r="T9" i="6" s="1"/>
  <c r="D9" i="6"/>
  <c r="C9" i="6"/>
  <c r="B9" i="6"/>
  <c r="G8" i="6"/>
  <c r="F8" i="6"/>
  <c r="E8" i="6"/>
  <c r="S8" i="6" s="1"/>
  <c r="V8" i="6" s="1"/>
  <c r="D8" i="6"/>
  <c r="C8" i="6"/>
  <c r="B8" i="6"/>
  <c r="G7" i="6"/>
  <c r="F7" i="6"/>
  <c r="E7" i="6"/>
  <c r="S7" i="6" s="1"/>
  <c r="T7" i="6" s="1"/>
  <c r="D7" i="6"/>
  <c r="C7" i="6"/>
  <c r="B7" i="6"/>
  <c r="G6" i="6"/>
  <c r="F6" i="6"/>
  <c r="E6" i="6"/>
  <c r="S6" i="6" s="1"/>
  <c r="V6" i="6" s="1"/>
  <c r="D6" i="6"/>
  <c r="C6" i="6"/>
  <c r="B6" i="6"/>
  <c r="W660" i="6"/>
  <c r="L660" i="6"/>
  <c r="K660" i="6"/>
  <c r="J660" i="6"/>
  <c r="G660" i="6"/>
  <c r="F660" i="6"/>
  <c r="A660" i="6"/>
  <c r="Z660" i="6" s="1"/>
  <c r="AH35" i="6"/>
  <c r="AG35" i="6"/>
  <c r="AF35" i="6"/>
  <c r="AE35" i="6"/>
  <c r="AD35" i="6"/>
  <c r="AC35" i="6"/>
  <c r="R35" i="6"/>
  <c r="AI35" i="6" s="1"/>
  <c r="AH34" i="6"/>
  <c r="AG34" i="6"/>
  <c r="AF34" i="6"/>
  <c r="AE34" i="6"/>
  <c r="AD34" i="6"/>
  <c r="AC34" i="6"/>
  <c r="R34" i="6"/>
  <c r="AI34" i="6" s="1"/>
  <c r="AH33" i="6"/>
  <c r="AG33" i="6"/>
  <c r="AF33" i="6"/>
  <c r="AE33" i="6"/>
  <c r="AD33" i="6"/>
  <c r="AC33" i="6"/>
  <c r="R33" i="6"/>
  <c r="AI33" i="6" s="1"/>
  <c r="AH32" i="6"/>
  <c r="AG32" i="6"/>
  <c r="AF32" i="6"/>
  <c r="AE32" i="6"/>
  <c r="AD32" i="6"/>
  <c r="AC32" i="6"/>
  <c r="R32" i="6"/>
  <c r="AI32" i="6" s="1"/>
  <c r="AH31" i="6"/>
  <c r="AG31" i="6"/>
  <c r="AF31" i="6"/>
  <c r="AE31" i="6"/>
  <c r="AD31" i="6"/>
  <c r="AC31" i="6"/>
  <c r="R31" i="6"/>
  <c r="AI31" i="6" s="1"/>
  <c r="AH30" i="6"/>
  <c r="AG30" i="6"/>
  <c r="AF30" i="6"/>
  <c r="AE30" i="6"/>
  <c r="AD30" i="6"/>
  <c r="AC30" i="6"/>
  <c r="R30" i="6"/>
  <c r="AI30" i="6" s="1"/>
  <c r="AH29" i="6"/>
  <c r="AG29" i="6"/>
  <c r="AF29" i="6"/>
  <c r="AE29" i="6"/>
  <c r="AD29" i="6"/>
  <c r="AC29" i="6"/>
  <c r="R29" i="6"/>
  <c r="AI29" i="6" s="1"/>
  <c r="AH28" i="6"/>
  <c r="AG28" i="6"/>
  <c r="AF28" i="6"/>
  <c r="AE28" i="6"/>
  <c r="AD28" i="6"/>
  <c r="AC28" i="6"/>
  <c r="R28" i="6"/>
  <c r="AI28" i="6" s="1"/>
  <c r="AH27" i="6"/>
  <c r="AG27" i="6"/>
  <c r="AF27" i="6"/>
  <c r="AE27" i="6"/>
  <c r="AD27" i="6"/>
  <c r="AC27" i="6"/>
  <c r="R27" i="6"/>
  <c r="AI27" i="6" s="1"/>
  <c r="AH26" i="6"/>
  <c r="AG26" i="6"/>
  <c r="AF26" i="6"/>
  <c r="AE26" i="6"/>
  <c r="AD26" i="6"/>
  <c r="AC26" i="6"/>
  <c r="R26" i="6"/>
  <c r="AI26" i="6" s="1"/>
  <c r="AH25" i="6"/>
  <c r="AG25" i="6"/>
  <c r="AF25" i="6"/>
  <c r="AE25" i="6"/>
  <c r="AD25" i="6"/>
  <c r="AC25" i="6"/>
  <c r="R25" i="6"/>
  <c r="AI25" i="6" s="1"/>
  <c r="AI24" i="6"/>
  <c r="AH24" i="6"/>
  <c r="AG24" i="6"/>
  <c r="AF24" i="6"/>
  <c r="AE24" i="6"/>
  <c r="AD24" i="6"/>
  <c r="AC24" i="6"/>
  <c r="R24" i="6"/>
  <c r="AH23" i="6"/>
  <c r="AG23" i="6"/>
  <c r="AF23" i="6"/>
  <c r="AE23" i="6"/>
  <c r="AD23" i="6"/>
  <c r="AC23" i="6"/>
  <c r="R23" i="6"/>
  <c r="AI23" i="6" s="1"/>
  <c r="AH22" i="6"/>
  <c r="AG22" i="6"/>
  <c r="AF22" i="6"/>
  <c r="AE22" i="6"/>
  <c r="AD22" i="6"/>
  <c r="AC22" i="6"/>
  <c r="R22" i="6"/>
  <c r="AI22" i="6" s="1"/>
  <c r="AH21" i="6"/>
  <c r="AG21" i="6"/>
  <c r="AF21" i="6"/>
  <c r="AE21" i="6"/>
  <c r="AD21" i="6"/>
  <c r="AC21" i="6"/>
  <c r="R21" i="6"/>
  <c r="AI21" i="6" s="1"/>
  <c r="AH20" i="6"/>
  <c r="AG20" i="6"/>
  <c r="AF20" i="6"/>
  <c r="AE20" i="6"/>
  <c r="AD20" i="6"/>
  <c r="AC20" i="6"/>
  <c r="R20" i="6"/>
  <c r="AI20" i="6" s="1"/>
  <c r="AH19" i="6"/>
  <c r="AG19" i="6"/>
  <c r="AF19" i="6"/>
  <c r="AE19" i="6"/>
  <c r="AD19" i="6"/>
  <c r="AC19" i="6"/>
  <c r="R19" i="6"/>
  <c r="AI19" i="6" s="1"/>
  <c r="AH18" i="6"/>
  <c r="AG18" i="6"/>
  <c r="AF18" i="6"/>
  <c r="AE18" i="6"/>
  <c r="AD18" i="6"/>
  <c r="AC18" i="6"/>
  <c r="R18" i="6"/>
  <c r="AI18" i="6" s="1"/>
  <c r="AH17" i="6"/>
  <c r="AG17" i="6"/>
  <c r="AF17" i="6"/>
  <c r="AE17" i="6"/>
  <c r="AD17" i="6"/>
  <c r="AC17" i="6"/>
  <c r="R17" i="6"/>
  <c r="AI17" i="6" s="1"/>
  <c r="AH16" i="6"/>
  <c r="AG16" i="6"/>
  <c r="AF16" i="6"/>
  <c r="AE16" i="6"/>
  <c r="AD16" i="6"/>
  <c r="AC16" i="6"/>
  <c r="R16" i="6"/>
  <c r="AI16" i="6" s="1"/>
  <c r="AH15" i="6"/>
  <c r="AG15" i="6"/>
  <c r="AF15" i="6"/>
  <c r="AE15" i="6"/>
  <c r="AD15" i="6"/>
  <c r="AC15" i="6"/>
  <c r="R15" i="6"/>
  <c r="AI15" i="6" s="1"/>
  <c r="AH14" i="6"/>
  <c r="AG14" i="6"/>
  <c r="AF14" i="6"/>
  <c r="AE14" i="6"/>
  <c r="AD14" i="6"/>
  <c r="AC14" i="6"/>
  <c r="R14" i="6"/>
  <c r="AI14" i="6" s="1"/>
  <c r="AH13" i="6"/>
  <c r="AG13" i="6"/>
  <c r="AF13" i="6"/>
  <c r="AE13" i="6"/>
  <c r="AD13" i="6"/>
  <c r="AC13" i="6"/>
  <c r="R13" i="6"/>
  <c r="AI13" i="6" s="1"/>
  <c r="AH12" i="6"/>
  <c r="AG12" i="6"/>
  <c r="AF12" i="6"/>
  <c r="AE12" i="6"/>
  <c r="AD12" i="6"/>
  <c r="AC12" i="6"/>
  <c r="R12" i="6"/>
  <c r="AI12" i="6" s="1"/>
  <c r="AH11" i="6"/>
  <c r="AG11" i="6"/>
  <c r="AF11" i="6"/>
  <c r="AE11" i="6"/>
  <c r="AD11" i="6"/>
  <c r="AC11" i="6"/>
  <c r="R11" i="6"/>
  <c r="AI11" i="6" s="1"/>
  <c r="AH10" i="6"/>
  <c r="AG10" i="6"/>
  <c r="AF10" i="6"/>
  <c r="AE10" i="6"/>
  <c r="AD10" i="6"/>
  <c r="AC10" i="6"/>
  <c r="R10" i="6"/>
  <c r="AI10" i="6" s="1"/>
  <c r="AH9" i="6"/>
  <c r="AG9" i="6"/>
  <c r="AF9" i="6"/>
  <c r="AE9" i="6"/>
  <c r="AD9" i="6"/>
  <c r="AC9" i="6"/>
  <c r="R9" i="6"/>
  <c r="AI9" i="6" s="1"/>
  <c r="AH8" i="6"/>
  <c r="AG8" i="6"/>
  <c r="AF8" i="6"/>
  <c r="AE8" i="6"/>
  <c r="AD8" i="6"/>
  <c r="AC8" i="6"/>
  <c r="R8" i="6"/>
  <c r="AI8" i="6" s="1"/>
  <c r="AH7" i="6"/>
  <c r="AG7" i="6"/>
  <c r="AF7" i="6"/>
  <c r="AE7" i="6"/>
  <c r="AD7" i="6"/>
  <c r="AC7" i="6"/>
  <c r="R7" i="6"/>
  <c r="AI7" i="6" s="1"/>
  <c r="B4" i="6"/>
  <c r="B660" i="6"/>
  <c r="AA34" i="2" l="1"/>
  <c r="X83" i="2"/>
  <c r="AC75" i="2"/>
  <c r="Y55" i="2"/>
  <c r="AB51" i="2"/>
  <c r="AA44" i="2"/>
  <c r="Y44" i="2"/>
  <c r="AB103" i="2"/>
  <c r="Y103" i="2"/>
  <c r="AA103" i="2"/>
  <c r="AC62" i="2"/>
  <c r="AA62" i="2"/>
  <c r="Y62" i="2"/>
  <c r="Y34" i="2"/>
  <c r="Z55" i="2"/>
  <c r="X34" i="2"/>
  <c r="X81" i="2"/>
  <c r="Y63" i="2"/>
  <c r="AC34" i="2"/>
  <c r="AB43" i="2"/>
  <c r="AB70" i="2"/>
  <c r="A107" i="2"/>
  <c r="AB105" i="2"/>
  <c r="AA105" i="2"/>
  <c r="AC91" i="2"/>
  <c r="AC83" i="2"/>
  <c r="AB75" i="2"/>
  <c r="AC72" i="2"/>
  <c r="Y60" i="2"/>
  <c r="AA54" i="2"/>
  <c r="Y46" i="2"/>
  <c r="Y36" i="2"/>
  <c r="AC97" i="2"/>
  <c r="AB95" i="2"/>
  <c r="AB93" i="2"/>
  <c r="AA80" i="2"/>
  <c r="Y68" i="2"/>
  <c r="Y54" i="2"/>
  <c r="AC51" i="2"/>
  <c r="AA97" i="2"/>
  <c r="X90" i="2"/>
  <c r="Y70" i="2"/>
  <c r="AC67" i="2"/>
  <c r="AB59" i="2"/>
  <c r="X51" i="2"/>
  <c r="Y47" i="2"/>
  <c r="Z47" i="2" s="1"/>
  <c r="AA38" i="2"/>
  <c r="AC92" i="2"/>
  <c r="AB79" i="2"/>
  <c r="AB71" i="2"/>
  <c r="AB67" i="2"/>
  <c r="X59" i="2"/>
  <c r="Z51" i="2"/>
  <c r="Y38" i="2"/>
  <c r="AC103" i="2"/>
  <c r="AA92" i="2"/>
  <c r="AC89" i="2"/>
  <c r="AB84" i="2"/>
  <c r="Y79" i="2"/>
  <c r="Z79" i="2" s="1"/>
  <c r="X67" i="2"/>
  <c r="Z67" i="2" s="1"/>
  <c r="Z59" i="2"/>
  <c r="AC94" i="2"/>
  <c r="Y92" i="2"/>
  <c r="Z92" i="2" s="1"/>
  <c r="AA89" i="2"/>
  <c r="Z71" i="2"/>
  <c r="Z63" i="2"/>
  <c r="AB46" i="2"/>
  <c r="AB54" i="2"/>
  <c r="Y52" i="2"/>
  <c r="AA46" i="2"/>
  <c r="V36" i="6"/>
  <c r="U36" i="6"/>
  <c r="F36" i="6"/>
  <c r="J36" i="6"/>
  <c r="A37" i="6"/>
  <c r="B36" i="6"/>
  <c r="C36" i="6"/>
  <c r="V633" i="2"/>
  <c r="AT633" i="2" s="1"/>
  <c r="AP633" i="2"/>
  <c r="V630" i="2"/>
  <c r="AT630" i="2" s="1"/>
  <c r="V616" i="2"/>
  <c r="AT616" i="2" s="1"/>
  <c r="V587" i="2"/>
  <c r="AT587" i="2" s="1"/>
  <c r="AP587" i="2"/>
  <c r="V585" i="2"/>
  <c r="AT585" i="2" s="1"/>
  <c r="AP585" i="2"/>
  <c r="AP540" i="2"/>
  <c r="V540" i="2"/>
  <c r="AT540" i="2" s="1"/>
  <c r="V609" i="2"/>
  <c r="AT609" i="2" s="1"/>
  <c r="AP609" i="2"/>
  <c r="V475" i="2"/>
  <c r="AT475" i="2" s="1"/>
  <c r="AP475" i="2"/>
  <c r="AP646" i="2"/>
  <c r="V640" i="2"/>
  <c r="AT640" i="2" s="1"/>
  <c r="V627" i="2"/>
  <c r="AT627" i="2" s="1"/>
  <c r="V624" i="2"/>
  <c r="AT624" i="2" s="1"/>
  <c r="V600" i="2"/>
  <c r="AT600" i="2" s="1"/>
  <c r="V571" i="2"/>
  <c r="AT571" i="2" s="1"/>
  <c r="AP571" i="2"/>
  <c r="AP567" i="2"/>
  <c r="V558" i="2"/>
  <c r="AT558" i="2" s="1"/>
  <c r="AP558" i="2"/>
  <c r="V611" i="2"/>
  <c r="AT611" i="2" s="1"/>
  <c r="AP611" i="2"/>
  <c r="V648" i="2"/>
  <c r="AT648" i="2" s="1"/>
  <c r="V595" i="2"/>
  <c r="AT595" i="2" s="1"/>
  <c r="AP595" i="2"/>
  <c r="V593" i="2"/>
  <c r="AT593" i="2" s="1"/>
  <c r="AP593" i="2"/>
  <c r="V568" i="2"/>
  <c r="AT568" i="2" s="1"/>
  <c r="AP543" i="2"/>
  <c r="V510" i="2"/>
  <c r="AT510" i="2" s="1"/>
  <c r="AP510" i="2"/>
  <c r="V641" i="2"/>
  <c r="AT641" i="2" s="1"/>
  <c r="AP641" i="2"/>
  <c r="V619" i="2"/>
  <c r="AT619" i="2" s="1"/>
  <c r="AP619" i="2"/>
  <c r="V617" i="2"/>
  <c r="AT617" i="2" s="1"/>
  <c r="AP617" i="2"/>
  <c r="V649" i="2"/>
  <c r="AT649" i="2" s="1"/>
  <c r="AP649" i="2"/>
  <c r="V625" i="2"/>
  <c r="AT625" i="2" s="1"/>
  <c r="AP625" i="2"/>
  <c r="V608" i="2"/>
  <c r="AT608" i="2" s="1"/>
  <c r="V579" i="2"/>
  <c r="AT579" i="2" s="1"/>
  <c r="AP579" i="2"/>
  <c r="V577" i="2"/>
  <c r="AT577" i="2" s="1"/>
  <c r="AP577" i="2"/>
  <c r="V643" i="2"/>
  <c r="AT643" i="2" s="1"/>
  <c r="V603" i="2"/>
  <c r="AT603" i="2" s="1"/>
  <c r="AP603" i="2"/>
  <c r="V601" i="2"/>
  <c r="AT601" i="2" s="1"/>
  <c r="AP601" i="2"/>
  <c r="AP541" i="2"/>
  <c r="V541" i="2"/>
  <c r="AT541" i="2" s="1"/>
  <c r="V491" i="2"/>
  <c r="AT491" i="2" s="1"/>
  <c r="AP491" i="2"/>
  <c r="AP549" i="2"/>
  <c r="V549" i="2"/>
  <c r="AT549" i="2" s="1"/>
  <c r="AP557" i="2"/>
  <c r="V557" i="2"/>
  <c r="AT557" i="2" s="1"/>
  <c r="V542" i="2"/>
  <c r="AT542" i="2" s="1"/>
  <c r="AP542" i="2"/>
  <c r="V518" i="2"/>
  <c r="AT518" i="2" s="1"/>
  <c r="AP518" i="2"/>
  <c r="V467" i="2"/>
  <c r="AT467" i="2" s="1"/>
  <c r="AP467" i="2"/>
  <c r="AP406" i="2"/>
  <c r="V406" i="2"/>
  <c r="AT406" i="2" s="1"/>
  <c r="V351" i="2"/>
  <c r="AT351" i="2" s="1"/>
  <c r="AP351" i="2"/>
  <c r="AP565" i="2"/>
  <c r="V565" i="2"/>
  <c r="AT565" i="2" s="1"/>
  <c r="V550" i="2"/>
  <c r="AT550" i="2" s="1"/>
  <c r="AP550" i="2"/>
  <c r="V526" i="2"/>
  <c r="AT526" i="2" s="1"/>
  <c r="AP526" i="2"/>
  <c r="V516" i="2"/>
  <c r="AT516" i="2" s="1"/>
  <c r="V500" i="2"/>
  <c r="AT500" i="2" s="1"/>
  <c r="AP500" i="2"/>
  <c r="V534" i="2"/>
  <c r="AT534" i="2" s="1"/>
  <c r="AP534" i="2"/>
  <c r="V502" i="2"/>
  <c r="AT502" i="2" s="1"/>
  <c r="AP502" i="2"/>
  <c r="V483" i="2"/>
  <c r="AT483" i="2" s="1"/>
  <c r="AP483" i="2"/>
  <c r="V566" i="2"/>
  <c r="AT566" i="2" s="1"/>
  <c r="AP566" i="2"/>
  <c r="V532" i="2"/>
  <c r="AT532" i="2" s="1"/>
  <c r="V463" i="2"/>
  <c r="AT463" i="2" s="1"/>
  <c r="AP463" i="2"/>
  <c r="V508" i="2"/>
  <c r="AT508" i="2" s="1"/>
  <c r="AP508" i="2"/>
  <c r="V533" i="2"/>
  <c r="AT533" i="2" s="1"/>
  <c r="V525" i="2"/>
  <c r="AT525" i="2" s="1"/>
  <c r="V517" i="2"/>
  <c r="AT517" i="2" s="1"/>
  <c r="V509" i="2"/>
  <c r="AT509" i="2" s="1"/>
  <c r="V501" i="2"/>
  <c r="AT501" i="2" s="1"/>
  <c r="V493" i="2"/>
  <c r="AT493" i="2" s="1"/>
  <c r="AP492" i="2"/>
  <c r="V485" i="2"/>
  <c r="AT485" i="2" s="1"/>
  <c r="AP484" i="2"/>
  <c r="V477" i="2"/>
  <c r="AT477" i="2" s="1"/>
  <c r="AP476" i="2"/>
  <c r="V469" i="2"/>
  <c r="AT469" i="2" s="1"/>
  <c r="AP468" i="2"/>
  <c r="AP434" i="2"/>
  <c r="V434" i="2"/>
  <c r="AT434" i="2" s="1"/>
  <c r="AP413" i="2"/>
  <c r="V413" i="2"/>
  <c r="AT413" i="2" s="1"/>
  <c r="AP494" i="2"/>
  <c r="AP486" i="2"/>
  <c r="AP478" i="2"/>
  <c r="AP470" i="2"/>
  <c r="V451" i="2"/>
  <c r="AT451" i="2" s="1"/>
  <c r="AP451" i="2"/>
  <c r="V412" i="2"/>
  <c r="AT412" i="2" s="1"/>
  <c r="AP412" i="2"/>
  <c r="AP372" i="2"/>
  <c r="V372" i="2"/>
  <c r="AT372" i="2" s="1"/>
  <c r="V443" i="2"/>
  <c r="AT443" i="2" s="1"/>
  <c r="AP443" i="2"/>
  <c r="V449" i="2"/>
  <c r="AT449" i="2" s="1"/>
  <c r="AP449" i="2"/>
  <c r="V307" i="2"/>
  <c r="AT307" i="2" s="1"/>
  <c r="AP307" i="2"/>
  <c r="AP382" i="2"/>
  <c r="V382" i="2"/>
  <c r="AT382" i="2" s="1"/>
  <c r="AP450" i="2"/>
  <c r="V450" i="2"/>
  <c r="AT450" i="2" s="1"/>
  <c r="AP442" i="2"/>
  <c r="V442" i="2"/>
  <c r="AT442" i="2" s="1"/>
  <c r="V391" i="2"/>
  <c r="AT391" i="2" s="1"/>
  <c r="AP391" i="2"/>
  <c r="V405" i="2"/>
  <c r="AT405" i="2" s="1"/>
  <c r="AP404" i="2"/>
  <c r="AP398" i="2"/>
  <c r="V398" i="2"/>
  <c r="AT398" i="2" s="1"/>
  <c r="AP366" i="2"/>
  <c r="V366" i="2"/>
  <c r="AT366" i="2" s="1"/>
  <c r="AP441" i="2"/>
  <c r="AP374" i="2"/>
  <c r="V374" i="2"/>
  <c r="AT374" i="2" s="1"/>
  <c r="AP435" i="2"/>
  <c r="AP414" i="2"/>
  <c r="V414" i="2"/>
  <c r="AT414" i="2" s="1"/>
  <c r="V399" i="2"/>
  <c r="AT399" i="2" s="1"/>
  <c r="AP399" i="2"/>
  <c r="V359" i="2"/>
  <c r="AT359" i="2" s="1"/>
  <c r="AP359" i="2"/>
  <c r="V274" i="2"/>
  <c r="AT274" i="2" s="1"/>
  <c r="AP274" i="2"/>
  <c r="AP422" i="2"/>
  <c r="V422" i="2"/>
  <c r="AT422" i="2" s="1"/>
  <c r="V407" i="2"/>
  <c r="AT407" i="2" s="1"/>
  <c r="AP407" i="2"/>
  <c r="V367" i="2"/>
  <c r="AT367" i="2" s="1"/>
  <c r="AP367" i="2"/>
  <c r="AP430" i="2"/>
  <c r="V430" i="2"/>
  <c r="AT430" i="2" s="1"/>
  <c r="V415" i="2"/>
  <c r="AT415" i="2" s="1"/>
  <c r="AP415" i="2"/>
  <c r="V375" i="2"/>
  <c r="AT375" i="2" s="1"/>
  <c r="AP375" i="2"/>
  <c r="V423" i="2"/>
  <c r="AT423" i="2" s="1"/>
  <c r="AP423" i="2"/>
  <c r="V383" i="2"/>
  <c r="AT383" i="2" s="1"/>
  <c r="AP383" i="2"/>
  <c r="AP350" i="2"/>
  <c r="V350" i="2"/>
  <c r="AT350" i="2" s="1"/>
  <c r="V348" i="2"/>
  <c r="AT348" i="2" s="1"/>
  <c r="V313" i="2"/>
  <c r="AT313" i="2" s="1"/>
  <c r="AP313" i="2"/>
  <c r="V431" i="2"/>
  <c r="AT431" i="2" s="1"/>
  <c r="AP431" i="2"/>
  <c r="AP390" i="2"/>
  <c r="V390" i="2"/>
  <c r="AT390" i="2" s="1"/>
  <c r="AP358" i="2"/>
  <c r="V358" i="2"/>
  <c r="AT358" i="2" s="1"/>
  <c r="V343" i="2"/>
  <c r="AT343" i="2" s="1"/>
  <c r="AP343" i="2"/>
  <c r="V335" i="2"/>
  <c r="AT335" i="2" s="1"/>
  <c r="AP335" i="2"/>
  <c r="V327" i="2"/>
  <c r="AT327" i="2" s="1"/>
  <c r="AP327" i="2"/>
  <c r="V310" i="2"/>
  <c r="AT310" i="2" s="1"/>
  <c r="AP310" i="2"/>
  <c r="V342" i="2"/>
  <c r="AT342" i="2" s="1"/>
  <c r="V334" i="2"/>
  <c r="AT334" i="2" s="1"/>
  <c r="V326" i="2"/>
  <c r="AT326" i="2" s="1"/>
  <c r="AP322" i="2"/>
  <c r="V321" i="2"/>
  <c r="AT321" i="2" s="1"/>
  <c r="AP321" i="2"/>
  <c r="V237" i="2"/>
  <c r="AT237" i="2" s="1"/>
  <c r="AP237" i="2"/>
  <c r="V303" i="2"/>
  <c r="AT303" i="2" s="1"/>
  <c r="AP303" i="2"/>
  <c r="V286" i="2"/>
  <c r="AT286" i="2" s="1"/>
  <c r="AP286" i="2"/>
  <c r="V278" i="2"/>
  <c r="AT278" i="2" s="1"/>
  <c r="AP278" i="2"/>
  <c r="V294" i="2"/>
  <c r="AT294" i="2" s="1"/>
  <c r="AP294" i="2"/>
  <c r="V302" i="2"/>
  <c r="AT302" i="2" s="1"/>
  <c r="AP302" i="2"/>
  <c r="AP295" i="2"/>
  <c r="AP287" i="2"/>
  <c r="AP279" i="2"/>
  <c r="V185" i="2"/>
  <c r="AT185" i="2" s="1"/>
  <c r="AP185" i="2"/>
  <c r="AP305" i="2"/>
  <c r="AP297" i="2"/>
  <c r="AP289" i="2"/>
  <c r="AP281" i="2"/>
  <c r="V266" i="2"/>
  <c r="AT266" i="2" s="1"/>
  <c r="AP265" i="2"/>
  <c r="V245" i="2"/>
  <c r="AT245" i="2" s="1"/>
  <c r="AP245" i="2"/>
  <c r="V217" i="2"/>
  <c r="AT217" i="2" s="1"/>
  <c r="AP217" i="2"/>
  <c r="V206" i="2"/>
  <c r="AT206" i="2" s="1"/>
  <c r="AP206" i="2"/>
  <c r="V229" i="2"/>
  <c r="AT229" i="2" s="1"/>
  <c r="AP229" i="2"/>
  <c r="V275" i="2"/>
  <c r="AT275" i="2" s="1"/>
  <c r="AP269" i="2"/>
  <c r="V267" i="2"/>
  <c r="AT267" i="2" s="1"/>
  <c r="AP267" i="2"/>
  <c r="V261" i="2"/>
  <c r="AT261" i="2" s="1"/>
  <c r="AP261" i="2"/>
  <c r="V259" i="2"/>
  <c r="AT259" i="2" s="1"/>
  <c r="AP259" i="2"/>
  <c r="V253" i="2"/>
  <c r="AT253" i="2" s="1"/>
  <c r="AP253" i="2"/>
  <c r="V177" i="2"/>
  <c r="AT177" i="2" s="1"/>
  <c r="AP177" i="2"/>
  <c r="V193" i="2"/>
  <c r="AT193" i="2" s="1"/>
  <c r="AP193" i="2"/>
  <c r="V268" i="2"/>
  <c r="AT268" i="2" s="1"/>
  <c r="V260" i="2"/>
  <c r="AT260" i="2" s="1"/>
  <c r="V252" i="2"/>
  <c r="AT252" i="2" s="1"/>
  <c r="AP251" i="2"/>
  <c r="AP243" i="2"/>
  <c r="AP235" i="2"/>
  <c r="AP227" i="2"/>
  <c r="V209" i="2"/>
  <c r="AT209" i="2" s="1"/>
  <c r="AP209" i="2"/>
  <c r="AP216" i="2"/>
  <c r="V216" i="2"/>
  <c r="AT216" i="2" s="1"/>
  <c r="V201" i="2"/>
  <c r="AT201" i="2" s="1"/>
  <c r="AP201" i="2"/>
  <c r="AP156" i="2"/>
  <c r="V156" i="2"/>
  <c r="AT156" i="2" s="1"/>
  <c r="V208" i="2"/>
  <c r="AT208" i="2" s="1"/>
  <c r="V200" i="2"/>
  <c r="AT200" i="2" s="1"/>
  <c r="V192" i="2"/>
  <c r="AT192" i="2" s="1"/>
  <c r="V184" i="2"/>
  <c r="AT184" i="2" s="1"/>
  <c r="V176" i="2"/>
  <c r="AT176" i="2" s="1"/>
  <c r="AP175" i="2"/>
  <c r="AP172" i="2"/>
  <c r="V172" i="2"/>
  <c r="AT172" i="2" s="1"/>
  <c r="AP164" i="2"/>
  <c r="V164" i="2"/>
  <c r="AT164" i="2" s="1"/>
  <c r="X69" i="2"/>
  <c r="Y69" i="2"/>
  <c r="AA69" i="2"/>
  <c r="AC69" i="2"/>
  <c r="AB69" i="2"/>
  <c r="AP140" i="2"/>
  <c r="V140" i="2"/>
  <c r="AT140" i="2" s="1"/>
  <c r="V173" i="2"/>
  <c r="AT173" i="2" s="1"/>
  <c r="AP173" i="2"/>
  <c r="V113" i="2"/>
  <c r="AT113" i="2" s="1"/>
  <c r="AP113" i="2"/>
  <c r="V165" i="2"/>
  <c r="AT165" i="2" s="1"/>
  <c r="AP165" i="2"/>
  <c r="V86" i="2"/>
  <c r="AT86" i="2" s="1"/>
  <c r="AP86" i="2"/>
  <c r="V163" i="2"/>
  <c r="AT163" i="2" s="1"/>
  <c r="AP163" i="2"/>
  <c r="AP148" i="2"/>
  <c r="V148" i="2"/>
  <c r="AT148" i="2" s="1"/>
  <c r="AP150" i="2"/>
  <c r="AP142" i="2"/>
  <c r="AP134" i="2"/>
  <c r="V131" i="2"/>
  <c r="AT131" i="2" s="1"/>
  <c r="V118" i="2"/>
  <c r="AT118" i="2" s="1"/>
  <c r="X53" i="2"/>
  <c r="Y53" i="2"/>
  <c r="AA53" i="2"/>
  <c r="AB53" i="2"/>
  <c r="AC53" i="2"/>
  <c r="AP155" i="2"/>
  <c r="AP147" i="2"/>
  <c r="AP139" i="2"/>
  <c r="AA100" i="2"/>
  <c r="AB100" i="2"/>
  <c r="AC100" i="2"/>
  <c r="X100" i="2"/>
  <c r="Y100" i="2"/>
  <c r="X86" i="2"/>
  <c r="Y86" i="2"/>
  <c r="AA86" i="2"/>
  <c r="AB86" i="2"/>
  <c r="AC86" i="2"/>
  <c r="X61" i="2"/>
  <c r="Y61" i="2"/>
  <c r="AA61" i="2"/>
  <c r="AB61" i="2"/>
  <c r="AC61" i="2"/>
  <c r="X37" i="2"/>
  <c r="Z37" i="2" s="1"/>
  <c r="Y37" i="2"/>
  <c r="AA37" i="2"/>
  <c r="AB37" i="2"/>
  <c r="AC37" i="2"/>
  <c r="AP157" i="2"/>
  <c r="AP149" i="2"/>
  <c r="AP141" i="2"/>
  <c r="AP133" i="2"/>
  <c r="X99" i="2"/>
  <c r="Y99" i="2"/>
  <c r="AA99" i="2"/>
  <c r="AB99" i="2"/>
  <c r="X85" i="2"/>
  <c r="AA85" i="2"/>
  <c r="AC85" i="2"/>
  <c r="Y85" i="2"/>
  <c r="AB85" i="2"/>
  <c r="AA39" i="2"/>
  <c r="AB39" i="2"/>
  <c r="AC39" i="2"/>
  <c r="X39" i="2"/>
  <c r="Y39" i="2"/>
  <c r="V107" i="2"/>
  <c r="AT107" i="2" s="1"/>
  <c r="V99" i="2"/>
  <c r="AT99" i="2" s="1"/>
  <c r="AP99" i="2"/>
  <c r="Y82" i="2"/>
  <c r="AB82" i="2"/>
  <c r="X82" i="2"/>
  <c r="AA82" i="2"/>
  <c r="AC82" i="2"/>
  <c r="X77" i="2"/>
  <c r="Y77" i="2"/>
  <c r="AA77" i="2"/>
  <c r="AC77" i="2"/>
  <c r="AB77" i="2"/>
  <c r="AC102" i="2"/>
  <c r="X102" i="2"/>
  <c r="Y102" i="2"/>
  <c r="AA102" i="2"/>
  <c r="AB96" i="2"/>
  <c r="AC96" i="2"/>
  <c r="X96" i="2"/>
  <c r="Y96" i="2"/>
  <c r="V132" i="2"/>
  <c r="AT132" i="2" s="1"/>
  <c r="Y98" i="2"/>
  <c r="Z98" i="2" s="1"/>
  <c r="AA98" i="2"/>
  <c r="AB98" i="2"/>
  <c r="AC98" i="2"/>
  <c r="AB88" i="2"/>
  <c r="X88" i="2"/>
  <c r="Y88" i="2"/>
  <c r="AA88" i="2"/>
  <c r="AC88" i="2"/>
  <c r="X104" i="2"/>
  <c r="Y104" i="2"/>
  <c r="AA104" i="2"/>
  <c r="AB104" i="2"/>
  <c r="AC104" i="2"/>
  <c r="X101" i="2"/>
  <c r="Y101" i="2"/>
  <c r="AA101" i="2"/>
  <c r="AB101" i="2"/>
  <c r="AC101" i="2"/>
  <c r="AP74" i="2"/>
  <c r="V74" i="2"/>
  <c r="AT74" i="2" s="1"/>
  <c r="AB41" i="2"/>
  <c r="AC41" i="2"/>
  <c r="X41" i="2"/>
  <c r="Y41" i="2"/>
  <c r="AA41" i="2"/>
  <c r="X103" i="2"/>
  <c r="Z103" i="2" s="1"/>
  <c r="AB94" i="2"/>
  <c r="AB92" i="2"/>
  <c r="AB91" i="2"/>
  <c r="AA90" i="2"/>
  <c r="AB89" i="2"/>
  <c r="AB87" i="2"/>
  <c r="AP82" i="2"/>
  <c r="V82" i="2"/>
  <c r="AT82" i="2" s="1"/>
  <c r="AC80" i="2"/>
  <c r="AC76" i="2"/>
  <c r="AA73" i="2"/>
  <c r="AA71" i="2"/>
  <c r="AC71" i="2"/>
  <c r="AP105" i="2"/>
  <c r="Y105" i="2"/>
  <c r="AP97" i="2"/>
  <c r="Y95" i="2"/>
  <c r="AA94" i="2"/>
  <c r="Y93" i="2"/>
  <c r="Z93" i="2" s="1"/>
  <c r="AA87" i="2"/>
  <c r="AA79" i="2"/>
  <c r="AC79" i="2"/>
  <c r="AB65" i="2"/>
  <c r="AC65" i="2"/>
  <c r="X65" i="2"/>
  <c r="Y65" i="2"/>
  <c r="AA63" i="2"/>
  <c r="AB63" i="2"/>
  <c r="AC63" i="2"/>
  <c r="AB57" i="2"/>
  <c r="AC57" i="2"/>
  <c r="X57" i="2"/>
  <c r="Y57" i="2"/>
  <c r="AA55" i="2"/>
  <c r="AB55" i="2"/>
  <c r="AC55" i="2"/>
  <c r="AB49" i="2"/>
  <c r="AC49" i="2"/>
  <c r="X49" i="2"/>
  <c r="Y49" i="2"/>
  <c r="AA47" i="2"/>
  <c r="AB47" i="2"/>
  <c r="AC47" i="2"/>
  <c r="X45" i="2"/>
  <c r="Y45" i="2"/>
  <c r="AA45" i="2"/>
  <c r="AB45" i="2"/>
  <c r="AC45" i="2"/>
  <c r="X43" i="2"/>
  <c r="Y43" i="2"/>
  <c r="AA43" i="2"/>
  <c r="X105" i="2"/>
  <c r="AP102" i="2"/>
  <c r="X95" i="2"/>
  <c r="Y94" i="2"/>
  <c r="Z94" i="2" s="1"/>
  <c r="Y90" i="2"/>
  <c r="Z90" i="2" s="1"/>
  <c r="Y83" i="2"/>
  <c r="Z83" i="2" s="1"/>
  <c r="AA83" i="2"/>
  <c r="V75" i="2"/>
  <c r="AT75" i="2" s="1"/>
  <c r="AP75" i="2"/>
  <c r="X72" i="2"/>
  <c r="Z72" i="2" s="1"/>
  <c r="AB72" i="2"/>
  <c r="V43" i="2"/>
  <c r="AT43" i="2" s="1"/>
  <c r="AP43" i="2"/>
  <c r="AA93" i="2"/>
  <c r="AC93" i="2"/>
  <c r="Y91" i="2"/>
  <c r="Z91" i="2" s="1"/>
  <c r="AA91" i="2"/>
  <c r="Y87" i="2"/>
  <c r="V83" i="2"/>
  <c r="AT83" i="2" s="1"/>
  <c r="AP83" i="2"/>
  <c r="X80" i="2"/>
  <c r="Z80" i="2" s="1"/>
  <c r="AB80" i="2"/>
  <c r="AB78" i="2"/>
  <c r="AA76" i="2"/>
  <c r="AB76" i="2"/>
  <c r="X76" i="2"/>
  <c r="Z76" i="2" s="1"/>
  <c r="AC74" i="2"/>
  <c r="AB73" i="2"/>
  <c r="AC73" i="2"/>
  <c r="Y73" i="2"/>
  <c r="Z73" i="2" s="1"/>
  <c r="Y42" i="2"/>
  <c r="Z42" i="2" s="1"/>
  <c r="AA42" i="2"/>
  <c r="AB42" i="2"/>
  <c r="AC42" i="2"/>
  <c r="X40" i="2"/>
  <c r="Y40" i="2"/>
  <c r="AA40" i="2"/>
  <c r="AB40" i="2"/>
  <c r="AP92" i="2"/>
  <c r="V91" i="2"/>
  <c r="AT91" i="2" s="1"/>
  <c r="AP90" i="2"/>
  <c r="V89" i="2"/>
  <c r="AT89" i="2" s="1"/>
  <c r="AP88" i="2"/>
  <c r="X87" i="2"/>
  <c r="AA84" i="2"/>
  <c r="X84" i="2"/>
  <c r="Z84" i="2" s="1"/>
  <c r="AB81" i="2"/>
  <c r="AC81" i="2"/>
  <c r="Y81" i="2"/>
  <c r="Z81" i="2" s="1"/>
  <c r="AA78" i="2"/>
  <c r="AA74" i="2"/>
  <c r="V67" i="2"/>
  <c r="AT67" i="2" s="1"/>
  <c r="AP67" i="2"/>
  <c r="X64" i="2"/>
  <c r="Y64" i="2"/>
  <c r="AA64" i="2"/>
  <c r="AB64" i="2"/>
  <c r="V59" i="2"/>
  <c r="AT59" i="2" s="1"/>
  <c r="AP59" i="2"/>
  <c r="X56" i="2"/>
  <c r="Y56" i="2"/>
  <c r="AA56" i="2"/>
  <c r="AB56" i="2"/>
  <c r="V51" i="2"/>
  <c r="AT51" i="2" s="1"/>
  <c r="AP51" i="2"/>
  <c r="X48" i="2"/>
  <c r="Y48" i="2"/>
  <c r="AA48" i="2"/>
  <c r="AB48" i="2"/>
  <c r="AC78" i="2"/>
  <c r="X78" i="2"/>
  <c r="Z78" i="2" s="1"/>
  <c r="Y74" i="2"/>
  <c r="Z74" i="2" s="1"/>
  <c r="AB74" i="2"/>
  <c r="Y66" i="2"/>
  <c r="Z66" i="2" s="1"/>
  <c r="AA66" i="2"/>
  <c r="AB66" i="2"/>
  <c r="AC66" i="2"/>
  <c r="Y58" i="2"/>
  <c r="Z58" i="2" s="1"/>
  <c r="AA58" i="2"/>
  <c r="AB58" i="2"/>
  <c r="AC58" i="2"/>
  <c r="Y50" i="2"/>
  <c r="Z50" i="2" s="1"/>
  <c r="AA50" i="2"/>
  <c r="AB50" i="2"/>
  <c r="AC50" i="2"/>
  <c r="AA75" i="2"/>
  <c r="AD75" i="2" s="1"/>
  <c r="X68" i="2"/>
  <c r="AA67" i="2"/>
  <c r="AD67" i="2" s="1"/>
  <c r="V66" i="2"/>
  <c r="AT66" i="2" s="1"/>
  <c r="X60" i="2"/>
  <c r="Z60" i="2" s="1"/>
  <c r="AA59" i="2"/>
  <c r="AD59" i="2" s="1"/>
  <c r="V58" i="2"/>
  <c r="AT58" i="2" s="1"/>
  <c r="X52" i="2"/>
  <c r="AA51" i="2"/>
  <c r="V50" i="2"/>
  <c r="AT50" i="2" s="1"/>
  <c r="X44" i="2"/>
  <c r="Z44" i="2" s="1"/>
  <c r="V42" i="2"/>
  <c r="AT42" i="2" s="1"/>
  <c r="X36" i="2"/>
  <c r="Z36" i="2" s="1"/>
  <c r="X70" i="2"/>
  <c r="Z70" i="2" s="1"/>
  <c r="X62" i="2"/>
  <c r="X54" i="2"/>
  <c r="X46" i="2"/>
  <c r="Z46" i="2" s="1"/>
  <c r="AD46" i="2" s="1"/>
  <c r="X38" i="2"/>
  <c r="AC68" i="2"/>
  <c r="AC60" i="2"/>
  <c r="AC52" i="2"/>
  <c r="AC44" i="2"/>
  <c r="AC36" i="2"/>
  <c r="AB68" i="2"/>
  <c r="AB60" i="2"/>
  <c r="AB52" i="2"/>
  <c r="AB44" i="2"/>
  <c r="AB36" i="2"/>
  <c r="A22" i="1"/>
  <c r="L21" i="6"/>
  <c r="L22" i="6"/>
  <c r="U20" i="6"/>
  <c r="V7" i="6"/>
  <c r="U6" i="6"/>
  <c r="T6" i="6"/>
  <c r="U7" i="6"/>
  <c r="U8" i="6"/>
  <c r="U19" i="6"/>
  <c r="U12" i="6"/>
  <c r="U16" i="6"/>
  <c r="U15" i="6"/>
  <c r="U11" i="6"/>
  <c r="V11" i="6"/>
  <c r="V15" i="6"/>
  <c r="V19" i="6"/>
  <c r="U14" i="6"/>
  <c r="V14" i="6"/>
  <c r="T14" i="6"/>
  <c r="U18" i="6"/>
  <c r="V18" i="6"/>
  <c r="T18" i="6"/>
  <c r="U9" i="6"/>
  <c r="T8" i="6"/>
  <c r="V9" i="6"/>
  <c r="T12" i="6"/>
  <c r="V13" i="6"/>
  <c r="T16" i="6"/>
  <c r="V17" i="6"/>
  <c r="T20" i="6"/>
  <c r="V21" i="6"/>
  <c r="R660" i="6"/>
  <c r="T10" i="6"/>
  <c r="U10" i="6"/>
  <c r="T13" i="6"/>
  <c r="T17" i="6"/>
  <c r="T21" i="6"/>
  <c r="Z54" i="2" l="1"/>
  <c r="AD54" i="2" s="1"/>
  <c r="Z34" i="2"/>
  <c r="AD34" i="2" s="1"/>
  <c r="Z38" i="2"/>
  <c r="AD38" i="2" s="1"/>
  <c r="Z101" i="2"/>
  <c r="AD101" i="2" s="1"/>
  <c r="Z68" i="2"/>
  <c r="AD51" i="2"/>
  <c r="AD84" i="2"/>
  <c r="Z99" i="2"/>
  <c r="AD99" i="2" s="1"/>
  <c r="AD58" i="2"/>
  <c r="AD73" i="2"/>
  <c r="AD55" i="2"/>
  <c r="Z62" i="2"/>
  <c r="AD62" i="2" s="1"/>
  <c r="Z56" i="2"/>
  <c r="AD56" i="2" s="1"/>
  <c r="Z64" i="2"/>
  <c r="AD64" i="2" s="1"/>
  <c r="AD70" i="2"/>
  <c r="AD42" i="2"/>
  <c r="Z39" i="2"/>
  <c r="AD39" i="2" s="1"/>
  <c r="AD97" i="2"/>
  <c r="Z105" i="2"/>
  <c r="AD105" i="2" s="1"/>
  <c r="A108" i="2"/>
  <c r="W36" i="6"/>
  <c r="W13" i="6"/>
  <c r="W16" i="6"/>
  <c r="Z52" i="2"/>
  <c r="AD52" i="2" s="1"/>
  <c r="AD63" i="2"/>
  <c r="AD93" i="2"/>
  <c r="Z102" i="2"/>
  <c r="AD102" i="2" s="1"/>
  <c r="Z82" i="2"/>
  <c r="AD82" i="2" s="1"/>
  <c r="AD66" i="2"/>
  <c r="AD47" i="2"/>
  <c r="AD50" i="2"/>
  <c r="Z87" i="2"/>
  <c r="AD87" i="2" s="1"/>
  <c r="AD90" i="2"/>
  <c r="Z57" i="2"/>
  <c r="AD57" i="2" s="1"/>
  <c r="AD103" i="2"/>
  <c r="Z61" i="2"/>
  <c r="AD61" i="2" s="1"/>
  <c r="AD92" i="2"/>
  <c r="Z95" i="2"/>
  <c r="AD95" i="2" s="1"/>
  <c r="AD68" i="2"/>
  <c r="AD81" i="2"/>
  <c r="AD72" i="2"/>
  <c r="AD79" i="2"/>
  <c r="AD71" i="2"/>
  <c r="AD89" i="2"/>
  <c r="Z104" i="2"/>
  <c r="AD104" i="2" s="1"/>
  <c r="D37" i="6"/>
  <c r="C37" i="6"/>
  <c r="G37" i="6"/>
  <c r="B37" i="6"/>
  <c r="A38" i="6"/>
  <c r="J37" i="6"/>
  <c r="F37" i="6"/>
  <c r="E37" i="6"/>
  <c r="S37" i="6" s="1"/>
  <c r="AD36" i="2"/>
  <c r="AD60" i="2"/>
  <c r="Z48" i="2"/>
  <c r="AD48" i="2" s="1"/>
  <c r="AD80" i="2"/>
  <c r="AD94" i="2"/>
  <c r="Z43" i="2"/>
  <c r="AD43" i="2" s="1"/>
  <c r="Z65" i="2"/>
  <c r="AD65" i="2" s="1"/>
  <c r="Z88" i="2"/>
  <c r="AD88" i="2" s="1"/>
  <c r="AD98" i="2"/>
  <c r="Z77" i="2"/>
  <c r="AD77" i="2" s="1"/>
  <c r="Z86" i="2"/>
  <c r="AD86" i="2" s="1"/>
  <c r="Z53" i="2"/>
  <c r="AD53" i="2" s="1"/>
  <c r="Z69" i="2"/>
  <c r="AD69" i="2" s="1"/>
  <c r="AD44" i="2"/>
  <c r="Z40" i="2"/>
  <c r="AD40" i="2" s="1"/>
  <c r="Z49" i="2"/>
  <c r="AD49" i="2" s="1"/>
  <c r="Z100" i="2"/>
  <c r="AD100" i="2" s="1"/>
  <c r="AD78" i="2"/>
  <c r="AD76" i="2"/>
  <c r="AD74" i="2"/>
  <c r="AD37" i="2"/>
  <c r="AD91" i="2"/>
  <c r="Z45" i="2"/>
  <c r="AD45" i="2" s="1"/>
  <c r="Z41" i="2"/>
  <c r="AD41" i="2" s="1"/>
  <c r="Z96" i="2"/>
  <c r="AD96" i="2" s="1"/>
  <c r="Z85" i="2"/>
  <c r="AD85" i="2" s="1"/>
  <c r="AD83" i="2"/>
  <c r="G22" i="6"/>
  <c r="A23" i="1"/>
  <c r="F22" i="6"/>
  <c r="E22" i="6"/>
  <c r="S22" i="6" s="1"/>
  <c r="D22" i="6"/>
  <c r="C22" i="6"/>
  <c r="B22" i="6"/>
  <c r="W17" i="6"/>
  <c r="W7" i="6"/>
  <c r="W6" i="6"/>
  <c r="W20" i="6"/>
  <c r="W8" i="6"/>
  <c r="W19" i="6"/>
  <c r="W21" i="6"/>
  <c r="W15" i="6"/>
  <c r="W11" i="6"/>
  <c r="W14" i="6"/>
  <c r="W12" i="6"/>
  <c r="W10" i="6"/>
  <c r="W9" i="6"/>
  <c r="W18" i="6"/>
  <c r="T37" i="6" l="1"/>
  <c r="U37" i="6"/>
  <c r="V37" i="6"/>
  <c r="A109" i="2"/>
  <c r="D38" i="6"/>
  <c r="C38" i="6"/>
  <c r="B38" i="6"/>
  <c r="A39" i="6"/>
  <c r="J38" i="6"/>
  <c r="F38" i="6"/>
  <c r="E38" i="6"/>
  <c r="S38" i="6" s="1"/>
  <c r="G38" i="6"/>
  <c r="A24" i="1"/>
  <c r="L23" i="6"/>
  <c r="L24" i="6"/>
  <c r="V22" i="6"/>
  <c r="U22" i="6"/>
  <c r="T22" i="6"/>
  <c r="C24" i="6"/>
  <c r="B23" i="6"/>
  <c r="C23" i="6"/>
  <c r="D23" i="6"/>
  <c r="E23" i="6"/>
  <c r="S23" i="6" s="1"/>
  <c r="F23" i="6"/>
  <c r="G23" i="6"/>
  <c r="B24" i="6"/>
  <c r="D24" i="6"/>
  <c r="E24" i="6"/>
  <c r="S24" i="6" s="1"/>
  <c r="F24" i="6"/>
  <c r="G24" i="6"/>
  <c r="V38" i="6" l="1"/>
  <c r="T38" i="6"/>
  <c r="U38" i="6"/>
  <c r="W37" i="6"/>
  <c r="A110" i="2"/>
  <c r="A40" i="6"/>
  <c r="D39" i="6"/>
  <c r="C39" i="6"/>
  <c r="B39" i="6"/>
  <c r="G39" i="6"/>
  <c r="J39" i="6"/>
  <c r="F39" i="6"/>
  <c r="E39" i="6"/>
  <c r="S39" i="6" s="1"/>
  <c r="T23" i="6"/>
  <c r="V23" i="6"/>
  <c r="U23" i="6"/>
  <c r="W22" i="6"/>
  <c r="A25" i="1"/>
  <c r="V24" i="6"/>
  <c r="U24" i="6"/>
  <c r="T24" i="6"/>
  <c r="T39" i="6" l="1"/>
  <c r="U39" i="6"/>
  <c r="V39" i="6"/>
  <c r="W38" i="6"/>
  <c r="A111" i="2"/>
  <c r="A41" i="6"/>
  <c r="E40" i="6"/>
  <c r="S40" i="6" s="1"/>
  <c r="D40" i="6"/>
  <c r="C40" i="6"/>
  <c r="B40" i="6"/>
  <c r="G40" i="6"/>
  <c r="F40" i="6"/>
  <c r="J40" i="6"/>
  <c r="W24" i="6"/>
  <c r="A26" i="1"/>
  <c r="E25" i="6"/>
  <c r="S25" i="6" s="1"/>
  <c r="G26" i="6"/>
  <c r="L26" i="6"/>
  <c r="F25" i="6"/>
  <c r="L25" i="6"/>
  <c r="D25" i="6"/>
  <c r="B25" i="6"/>
  <c r="C25" i="6"/>
  <c r="C26" i="6"/>
  <c r="W23" i="6"/>
  <c r="E26" i="6"/>
  <c r="S26" i="6" s="1"/>
  <c r="G25" i="6"/>
  <c r="B26" i="6"/>
  <c r="N659" i="1"/>
  <c r="N658" i="1"/>
  <c r="N657" i="1"/>
  <c r="N656" i="1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6" i="2"/>
  <c r="V40" i="6" l="1"/>
  <c r="T40" i="6"/>
  <c r="U40" i="6"/>
  <c r="W39" i="6"/>
  <c r="A112" i="2"/>
  <c r="A42" i="6"/>
  <c r="F41" i="6"/>
  <c r="E41" i="6"/>
  <c r="S41" i="6" s="1"/>
  <c r="D41" i="6"/>
  <c r="C41" i="6"/>
  <c r="B41" i="6"/>
  <c r="J41" i="6"/>
  <c r="G41" i="6"/>
  <c r="F26" i="6"/>
  <c r="U25" i="6"/>
  <c r="T25" i="6"/>
  <c r="V25" i="6"/>
  <c r="A27" i="1"/>
  <c r="D27" i="6"/>
  <c r="D26" i="6"/>
  <c r="C27" i="6"/>
  <c r="L27" i="6"/>
  <c r="U26" i="6"/>
  <c r="V26" i="6"/>
  <c r="T26" i="6"/>
  <c r="W1" i="2"/>
  <c r="W40" i="6" l="1"/>
  <c r="T41" i="6"/>
  <c r="U41" i="6"/>
  <c r="V41" i="6"/>
  <c r="A113" i="2"/>
  <c r="A43" i="6"/>
  <c r="G42" i="6"/>
  <c r="F42" i="6"/>
  <c r="E42" i="6"/>
  <c r="S42" i="6" s="1"/>
  <c r="D42" i="6"/>
  <c r="B42" i="6"/>
  <c r="C42" i="6"/>
  <c r="J42" i="6"/>
  <c r="W25" i="6"/>
  <c r="W26" i="6"/>
  <c r="A28" i="1"/>
  <c r="E27" i="2"/>
  <c r="E27" i="6"/>
  <c r="S27" i="6" s="1"/>
  <c r="F27" i="6"/>
  <c r="E28" i="2"/>
  <c r="L28" i="6"/>
  <c r="F27" i="2"/>
  <c r="B27" i="2"/>
  <c r="C28" i="2"/>
  <c r="M27" i="2"/>
  <c r="B27" i="6"/>
  <c r="B28" i="2"/>
  <c r="D27" i="2"/>
  <c r="G27" i="2"/>
  <c r="C27" i="2"/>
  <c r="R7" i="2"/>
  <c r="V7" i="2" s="1"/>
  <c r="U42" i="6" l="1"/>
  <c r="V42" i="6"/>
  <c r="T42" i="6"/>
  <c r="W41" i="6"/>
  <c r="A114" i="2"/>
  <c r="A44" i="6"/>
  <c r="J43" i="6"/>
  <c r="G43" i="6"/>
  <c r="F43" i="6"/>
  <c r="E43" i="6"/>
  <c r="S43" i="6" s="1"/>
  <c r="C43" i="6"/>
  <c r="D43" i="6"/>
  <c r="B43" i="6"/>
  <c r="F28" i="2"/>
  <c r="B28" i="6"/>
  <c r="A29" i="1"/>
  <c r="G29" i="6"/>
  <c r="E29" i="6"/>
  <c r="S29" i="6" s="1"/>
  <c r="D28" i="6"/>
  <c r="B29" i="2"/>
  <c r="C29" i="6"/>
  <c r="D29" i="2"/>
  <c r="G28" i="2"/>
  <c r="M28" i="2"/>
  <c r="D29" i="6"/>
  <c r="C29" i="2"/>
  <c r="E28" i="6"/>
  <c r="S28" i="6" s="1"/>
  <c r="F28" i="6"/>
  <c r="C28" i="6"/>
  <c r="V27" i="6"/>
  <c r="U27" i="6"/>
  <c r="T27" i="6"/>
  <c r="G28" i="6"/>
  <c r="E29" i="2"/>
  <c r="D28" i="2"/>
  <c r="L29" i="2"/>
  <c r="L28" i="2"/>
  <c r="L27" i="2"/>
  <c r="L26" i="2"/>
  <c r="L25" i="2"/>
  <c r="L24" i="2"/>
  <c r="L23" i="2"/>
  <c r="L22" i="2"/>
  <c r="L21" i="2"/>
  <c r="L20" i="2"/>
  <c r="M19" i="1"/>
  <c r="L19" i="2" s="1"/>
  <c r="M18" i="1"/>
  <c r="L18" i="2" s="1"/>
  <c r="M17" i="1"/>
  <c r="L17" i="2" s="1"/>
  <c r="M16" i="1"/>
  <c r="L16" i="2" s="1"/>
  <c r="M15" i="1"/>
  <c r="L15" i="2" s="1"/>
  <c r="M14" i="1"/>
  <c r="L14" i="2" s="1"/>
  <c r="M13" i="1"/>
  <c r="L13" i="2" s="1"/>
  <c r="M12" i="1"/>
  <c r="L12" i="2" s="1"/>
  <c r="M11" i="1"/>
  <c r="L11" i="2" s="1"/>
  <c r="M10" i="1"/>
  <c r="L10" i="2" s="1"/>
  <c r="M9" i="1"/>
  <c r="L9" i="2" s="1"/>
  <c r="M8" i="1"/>
  <c r="L8" i="2" s="1"/>
  <c r="M7" i="1"/>
  <c r="L7" i="2" s="1"/>
  <c r="M6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6" i="1"/>
  <c r="W42" i="6" l="1"/>
  <c r="U43" i="6"/>
  <c r="T43" i="6"/>
  <c r="V43" i="6"/>
  <c r="A115" i="2"/>
  <c r="A45" i="6"/>
  <c r="J44" i="6"/>
  <c r="G44" i="6"/>
  <c r="F44" i="6"/>
  <c r="E44" i="6"/>
  <c r="S44" i="6" s="1"/>
  <c r="C44" i="6"/>
  <c r="B44" i="6"/>
  <c r="D44" i="6"/>
  <c r="W27" i="6"/>
  <c r="V28" i="6"/>
  <c r="T28" i="6"/>
  <c r="U28" i="6"/>
  <c r="A30" i="1"/>
  <c r="B29" i="6"/>
  <c r="G29" i="2"/>
  <c r="C30" i="6"/>
  <c r="F29" i="6"/>
  <c r="G30" i="6"/>
  <c r="F29" i="2"/>
  <c r="D30" i="6"/>
  <c r="M30" i="2"/>
  <c r="B30" i="2"/>
  <c r="M29" i="2"/>
  <c r="L29" i="6"/>
  <c r="D30" i="2"/>
  <c r="E30" i="2"/>
  <c r="F30" i="6"/>
  <c r="E30" i="6"/>
  <c r="S30" i="6" s="1"/>
  <c r="L30" i="2"/>
  <c r="U29" i="6"/>
  <c r="T29" i="6"/>
  <c r="V29" i="6"/>
  <c r="G30" i="2"/>
  <c r="J25" i="2"/>
  <c r="J25" i="6"/>
  <c r="J24" i="2"/>
  <c r="J24" i="6"/>
  <c r="K20" i="2"/>
  <c r="K20" i="6"/>
  <c r="K28" i="2"/>
  <c r="K28" i="6"/>
  <c r="J23" i="2"/>
  <c r="J23" i="6"/>
  <c r="K21" i="2"/>
  <c r="K21" i="6"/>
  <c r="K29" i="2"/>
  <c r="K29" i="6"/>
  <c r="K27" i="2"/>
  <c r="K27" i="6"/>
  <c r="J30" i="2"/>
  <c r="J30" i="6"/>
  <c r="J22" i="2"/>
  <c r="J22" i="6"/>
  <c r="K6" i="2"/>
  <c r="K6" i="6"/>
  <c r="K22" i="2"/>
  <c r="K22" i="6"/>
  <c r="K30" i="2"/>
  <c r="K30" i="6"/>
  <c r="J26" i="2"/>
  <c r="J26" i="6"/>
  <c r="K26" i="2"/>
  <c r="K26" i="6"/>
  <c r="J6" i="2"/>
  <c r="J6" i="6"/>
  <c r="J28" i="2"/>
  <c r="J28" i="6"/>
  <c r="J20" i="2"/>
  <c r="J20" i="6"/>
  <c r="K24" i="2"/>
  <c r="K24" i="6"/>
  <c r="J29" i="2"/>
  <c r="J29" i="6"/>
  <c r="J21" i="2"/>
  <c r="J21" i="6"/>
  <c r="K23" i="2"/>
  <c r="K23" i="6"/>
  <c r="J27" i="2"/>
  <c r="J27" i="6"/>
  <c r="K25" i="2"/>
  <c r="K25" i="6"/>
  <c r="J18" i="2"/>
  <c r="J18" i="6"/>
  <c r="J10" i="2"/>
  <c r="J10" i="6"/>
  <c r="K10" i="2"/>
  <c r="K10" i="6"/>
  <c r="K18" i="2"/>
  <c r="K18" i="6"/>
  <c r="J17" i="2"/>
  <c r="J17" i="6"/>
  <c r="J9" i="2"/>
  <c r="J9" i="6"/>
  <c r="K11" i="2"/>
  <c r="K11" i="6"/>
  <c r="K19" i="2"/>
  <c r="K19" i="6"/>
  <c r="J16" i="2"/>
  <c r="J16" i="6"/>
  <c r="J8" i="2"/>
  <c r="J8" i="6"/>
  <c r="K12" i="2"/>
  <c r="K12" i="6"/>
  <c r="J12" i="2"/>
  <c r="J12" i="6"/>
  <c r="J15" i="2"/>
  <c r="J15" i="6"/>
  <c r="J7" i="2"/>
  <c r="J7" i="6"/>
  <c r="K13" i="2"/>
  <c r="K13" i="6"/>
  <c r="J14" i="2"/>
  <c r="J14" i="6"/>
  <c r="K14" i="2"/>
  <c r="K14" i="6"/>
  <c r="K8" i="2"/>
  <c r="K8" i="6"/>
  <c r="J19" i="2"/>
  <c r="J19" i="6"/>
  <c r="J11" i="2"/>
  <c r="J11" i="6"/>
  <c r="K9" i="2"/>
  <c r="K9" i="6"/>
  <c r="K17" i="2"/>
  <c r="K17" i="6"/>
  <c r="J13" i="2"/>
  <c r="J13" i="6"/>
  <c r="K7" i="2"/>
  <c r="K7" i="6"/>
  <c r="K15" i="2"/>
  <c r="K15" i="6"/>
  <c r="K16" i="2"/>
  <c r="K16" i="6"/>
  <c r="M657" i="1"/>
  <c r="L6" i="2"/>
  <c r="G660" i="2"/>
  <c r="F660" i="2"/>
  <c r="AS35" i="2"/>
  <c r="AR35" i="2"/>
  <c r="AQ35" i="2"/>
  <c r="AO35" i="2"/>
  <c r="AN35" i="2"/>
  <c r="R35" i="2"/>
  <c r="AS33" i="2"/>
  <c r="AR33" i="2"/>
  <c r="AQ33" i="2"/>
  <c r="AO33" i="2"/>
  <c r="AN33" i="2"/>
  <c r="R33" i="2"/>
  <c r="AP33" i="2" s="1"/>
  <c r="AS32" i="2"/>
  <c r="AR32" i="2"/>
  <c r="AQ32" i="2"/>
  <c r="AO32" i="2"/>
  <c r="AN32" i="2"/>
  <c r="R32" i="2"/>
  <c r="AP32" i="2" s="1"/>
  <c r="AS31" i="2"/>
  <c r="AR31" i="2"/>
  <c r="AQ31" i="2"/>
  <c r="AO31" i="2"/>
  <c r="AN31" i="2"/>
  <c r="R31" i="2"/>
  <c r="V31" i="2" s="1"/>
  <c r="AT31" i="2" s="1"/>
  <c r="AS30" i="2"/>
  <c r="AR30" i="2"/>
  <c r="AQ30" i="2"/>
  <c r="AO30" i="2"/>
  <c r="AN30" i="2"/>
  <c r="R30" i="2"/>
  <c r="AP30" i="2" s="1"/>
  <c r="W30" i="2"/>
  <c r="AS29" i="2"/>
  <c r="AR29" i="2"/>
  <c r="AQ29" i="2"/>
  <c r="AO29" i="2"/>
  <c r="AN29" i="2"/>
  <c r="R29" i="2"/>
  <c r="V29" i="2" s="1"/>
  <c r="AT29" i="2" s="1"/>
  <c r="W29" i="2"/>
  <c r="AS28" i="2"/>
  <c r="AR28" i="2"/>
  <c r="AQ28" i="2"/>
  <c r="AO28" i="2"/>
  <c r="AN28" i="2"/>
  <c r="R28" i="2"/>
  <c r="AP28" i="2" s="1"/>
  <c r="W28" i="2"/>
  <c r="AS27" i="2"/>
  <c r="AR27" i="2"/>
  <c r="AQ27" i="2"/>
  <c r="AO27" i="2"/>
  <c r="AN27" i="2"/>
  <c r="R27" i="2"/>
  <c r="AP27" i="2" s="1"/>
  <c r="W27" i="2"/>
  <c r="AS26" i="2"/>
  <c r="AR26" i="2"/>
  <c r="AQ26" i="2"/>
  <c r="AO26" i="2"/>
  <c r="AN26" i="2"/>
  <c r="R26" i="2"/>
  <c r="AP26" i="2" s="1"/>
  <c r="W26" i="2"/>
  <c r="AS25" i="2"/>
  <c r="AR25" i="2"/>
  <c r="AQ25" i="2"/>
  <c r="AO25" i="2"/>
  <c r="AN25" i="2"/>
  <c r="R25" i="2"/>
  <c r="AP25" i="2" s="1"/>
  <c r="W25" i="2"/>
  <c r="AS24" i="2"/>
  <c r="AR24" i="2"/>
  <c r="AQ24" i="2"/>
  <c r="AO24" i="2"/>
  <c r="AN24" i="2"/>
  <c r="R24" i="2"/>
  <c r="AP24" i="2" s="1"/>
  <c r="W24" i="2"/>
  <c r="AS23" i="2"/>
  <c r="AR23" i="2"/>
  <c r="AQ23" i="2"/>
  <c r="AO23" i="2"/>
  <c r="AN23" i="2"/>
  <c r="R23" i="2"/>
  <c r="V23" i="2" s="1"/>
  <c r="AT23" i="2" s="1"/>
  <c r="W23" i="2"/>
  <c r="AS22" i="2"/>
  <c r="AR22" i="2"/>
  <c r="AQ22" i="2"/>
  <c r="AO22" i="2"/>
  <c r="AN22" i="2"/>
  <c r="R22" i="2"/>
  <c r="AP22" i="2" s="1"/>
  <c r="W22" i="2"/>
  <c r="AS21" i="2"/>
  <c r="AR21" i="2"/>
  <c r="AQ21" i="2"/>
  <c r="AO21" i="2"/>
  <c r="AN21" i="2"/>
  <c r="R21" i="2"/>
  <c r="V21" i="2" s="1"/>
  <c r="AT21" i="2" s="1"/>
  <c r="W21" i="2"/>
  <c r="B1" i="2"/>
  <c r="J661" i="1"/>
  <c r="I661" i="1"/>
  <c r="H661" i="1"/>
  <c r="J659" i="1"/>
  <c r="J657" i="1"/>
  <c r="J656" i="1"/>
  <c r="I659" i="1"/>
  <c r="I657" i="1"/>
  <c r="I656" i="1"/>
  <c r="H659" i="1"/>
  <c r="H657" i="1"/>
  <c r="N661" i="1"/>
  <c r="M660" i="2" s="1"/>
  <c r="G661" i="1"/>
  <c r="F661" i="1"/>
  <c r="B2" i="1"/>
  <c r="W43" i="6" l="1"/>
  <c r="T44" i="6"/>
  <c r="V44" i="6"/>
  <c r="U44" i="6"/>
  <c r="A116" i="2"/>
  <c r="A46" i="6"/>
  <c r="B45" i="6"/>
  <c r="J45" i="6"/>
  <c r="G45" i="6"/>
  <c r="E45" i="6"/>
  <c r="S45" i="6" s="1"/>
  <c r="F45" i="6"/>
  <c r="D45" i="6"/>
  <c r="C45" i="6"/>
  <c r="AP35" i="2"/>
  <c r="V35" i="2"/>
  <c r="U30" i="6"/>
  <c r="T30" i="6"/>
  <c r="V30" i="6"/>
  <c r="A31" i="1"/>
  <c r="F30" i="2"/>
  <c r="C30" i="2"/>
  <c r="W28" i="6"/>
  <c r="W29" i="6"/>
  <c r="M661" i="1"/>
  <c r="L660" i="2" s="1"/>
  <c r="K661" i="1"/>
  <c r="J660" i="2" s="1"/>
  <c r="L661" i="1"/>
  <c r="K660" i="2" s="1"/>
  <c r="AC27" i="2"/>
  <c r="AA27" i="2"/>
  <c r="X27" i="2"/>
  <c r="Y27" i="2"/>
  <c r="AB27" i="2"/>
  <c r="AC21" i="2"/>
  <c r="X21" i="2"/>
  <c r="AB21" i="2"/>
  <c r="AA21" i="2"/>
  <c r="Y21" i="2"/>
  <c r="AC28" i="2"/>
  <c r="Y28" i="2"/>
  <c r="X28" i="2"/>
  <c r="AB28" i="2"/>
  <c r="AA28" i="2"/>
  <c r="AC29" i="2"/>
  <c r="X29" i="2"/>
  <c r="AB29" i="2"/>
  <c r="AA29" i="2"/>
  <c r="Y29" i="2"/>
  <c r="Y24" i="2"/>
  <c r="AA24" i="2"/>
  <c r="X24" i="2"/>
  <c r="AC24" i="2"/>
  <c r="AB24" i="2"/>
  <c r="AA25" i="2"/>
  <c r="X25" i="2"/>
  <c r="AC25" i="2"/>
  <c r="Y25" i="2"/>
  <c r="AB25" i="2"/>
  <c r="Y23" i="2"/>
  <c r="AB23" i="2"/>
  <c r="AA23" i="2"/>
  <c r="X23" i="2"/>
  <c r="AC23" i="2"/>
  <c r="AB30" i="2"/>
  <c r="AA30" i="2"/>
  <c r="AC30" i="2"/>
  <c r="Y30" i="2"/>
  <c r="X30" i="2"/>
  <c r="AB22" i="2"/>
  <c r="AA22" i="2"/>
  <c r="AC22" i="2"/>
  <c r="Y22" i="2"/>
  <c r="X22" i="2"/>
  <c r="X26" i="2"/>
  <c r="AB26" i="2"/>
  <c r="Y26" i="2"/>
  <c r="AA26" i="2"/>
  <c r="AC26" i="2"/>
  <c r="V25" i="2"/>
  <c r="AT25" i="2" s="1"/>
  <c r="V26" i="2"/>
  <c r="AT26" i="2" s="1"/>
  <c r="V32" i="2"/>
  <c r="AT32" i="2" s="1"/>
  <c r="AP31" i="2"/>
  <c r="V33" i="2"/>
  <c r="AT33" i="2" s="1"/>
  <c r="V24" i="2"/>
  <c r="AT24" i="2" s="1"/>
  <c r="AP23" i="2"/>
  <c r="V27" i="2"/>
  <c r="AT27" i="2" s="1"/>
  <c r="AP21" i="2"/>
  <c r="V22" i="2"/>
  <c r="AT22" i="2" s="1"/>
  <c r="AP29" i="2"/>
  <c r="V30" i="2"/>
  <c r="AT30" i="2" s="1"/>
  <c r="V28" i="2"/>
  <c r="AT28" i="2" s="1"/>
  <c r="W44" i="6" l="1"/>
  <c r="V45" i="6"/>
  <c r="T45" i="6"/>
  <c r="U45" i="6"/>
  <c r="A117" i="2"/>
  <c r="A47" i="6"/>
  <c r="C46" i="6"/>
  <c r="B46" i="6"/>
  <c r="J46" i="6"/>
  <c r="G46" i="6"/>
  <c r="E46" i="6"/>
  <c r="S46" i="6" s="1"/>
  <c r="D46" i="6"/>
  <c r="F46" i="6"/>
  <c r="AT35" i="2"/>
  <c r="A32" i="1"/>
  <c r="C31" i="2"/>
  <c r="F32" i="2"/>
  <c r="M32" i="2"/>
  <c r="L31" i="2"/>
  <c r="J32" i="2"/>
  <c r="J31" i="2"/>
  <c r="E31" i="2"/>
  <c r="W31" i="2" s="1"/>
  <c r="K31" i="2"/>
  <c r="D32" i="2"/>
  <c r="J32" i="6"/>
  <c r="J31" i="6"/>
  <c r="D31" i="2"/>
  <c r="K32" i="6"/>
  <c r="K31" i="6"/>
  <c r="F31" i="2"/>
  <c r="B31" i="2"/>
  <c r="W30" i="6"/>
  <c r="C32" i="2"/>
  <c r="M31" i="2"/>
  <c r="G31" i="2"/>
  <c r="G32" i="2"/>
  <c r="E32" i="2"/>
  <c r="W32" i="2" s="1"/>
  <c r="B32" i="2"/>
  <c r="Z28" i="2"/>
  <c r="AD28" i="2" s="1"/>
  <c r="Z29" i="2"/>
  <c r="AD29" i="2" s="1"/>
  <c r="Z23" i="2"/>
  <c r="AD23" i="2" s="1"/>
  <c r="Z30" i="2"/>
  <c r="AD30" i="2" s="1"/>
  <c r="Z21" i="2"/>
  <c r="AD21" i="2" s="1"/>
  <c r="Z26" i="2"/>
  <c r="AD26" i="2" s="1"/>
  <c r="Z24" i="2"/>
  <c r="AD24" i="2" s="1"/>
  <c r="Z27" i="2"/>
  <c r="AD27" i="2" s="1"/>
  <c r="Z25" i="2"/>
  <c r="AD25" i="2" s="1"/>
  <c r="Z22" i="2"/>
  <c r="AD22" i="2" s="1"/>
  <c r="M659" i="1"/>
  <c r="M658" i="1"/>
  <c r="M656" i="1"/>
  <c r="L659" i="1"/>
  <c r="L658" i="1"/>
  <c r="L657" i="1"/>
  <c r="L656" i="1"/>
  <c r="J658" i="1"/>
  <c r="I658" i="1"/>
  <c r="H658" i="1"/>
  <c r="A661" i="2"/>
  <c r="B660" i="2"/>
  <c r="C1" i="4"/>
  <c r="W45" i="6" l="1"/>
  <c r="V46" i="6"/>
  <c r="T46" i="6"/>
  <c r="U46" i="6"/>
  <c r="A118" i="2"/>
  <c r="B47" i="6"/>
  <c r="A48" i="6"/>
  <c r="E47" i="6"/>
  <c r="S47" i="6" s="1"/>
  <c r="D47" i="6"/>
  <c r="C47" i="6"/>
  <c r="J47" i="6"/>
  <c r="G47" i="6"/>
  <c r="F47" i="6"/>
  <c r="L32" i="2"/>
  <c r="AA31" i="2"/>
  <c r="AC31" i="2"/>
  <c r="AB31" i="2"/>
  <c r="X31" i="2"/>
  <c r="Y31" i="2"/>
  <c r="A33" i="1"/>
  <c r="M33" i="2"/>
  <c r="D33" i="2"/>
  <c r="X32" i="2"/>
  <c r="AA32" i="2"/>
  <c r="AB32" i="2"/>
  <c r="AC32" i="2"/>
  <c r="Y32" i="2"/>
  <c r="K32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B10" i="4"/>
  <c r="B9" i="4"/>
  <c r="B8" i="4"/>
  <c r="AG660" i="2"/>
  <c r="T47" i="6" l="1"/>
  <c r="U47" i="6"/>
  <c r="V47" i="6"/>
  <c r="W46" i="6"/>
  <c r="A119" i="2"/>
  <c r="C48" i="6"/>
  <c r="B48" i="6"/>
  <c r="A49" i="6"/>
  <c r="J48" i="6"/>
  <c r="G48" i="6"/>
  <c r="F48" i="6"/>
  <c r="E48" i="6"/>
  <c r="S48" i="6" s="1"/>
  <c r="D48" i="6"/>
  <c r="Z32" i="2"/>
  <c r="AD32" i="2" s="1"/>
  <c r="A34" i="1"/>
  <c r="E33" i="2"/>
  <c r="W33" i="2" s="1"/>
  <c r="K33" i="6"/>
  <c r="F33" i="2"/>
  <c r="K34" i="6"/>
  <c r="C33" i="2"/>
  <c r="B33" i="2"/>
  <c r="J33" i="2"/>
  <c r="J33" i="6"/>
  <c r="K33" i="2"/>
  <c r="L33" i="2"/>
  <c r="J34" i="6"/>
  <c r="Z31" i="2"/>
  <c r="AD31" i="2" s="1"/>
  <c r="AC13" i="2"/>
  <c r="Y13" i="2"/>
  <c r="AA13" i="2"/>
  <c r="X13" i="2"/>
  <c r="AB13" i="2"/>
  <c r="AA9" i="2"/>
  <c r="X9" i="2"/>
  <c r="AC9" i="2"/>
  <c r="AB9" i="2"/>
  <c r="Y9" i="2"/>
  <c r="AC20" i="2"/>
  <c r="AA20" i="2"/>
  <c r="Y20" i="2"/>
  <c r="X20" i="2"/>
  <c r="AB20" i="2"/>
  <c r="AC12" i="2"/>
  <c r="AA12" i="2"/>
  <c r="X12" i="2"/>
  <c r="Y12" i="2"/>
  <c r="AB12" i="2"/>
  <c r="Y8" i="2"/>
  <c r="AA8" i="2"/>
  <c r="AC8" i="2"/>
  <c r="AB8" i="2"/>
  <c r="X8" i="2"/>
  <c r="Y16" i="2"/>
  <c r="AA16" i="2"/>
  <c r="AC16" i="2"/>
  <c r="AB16" i="2"/>
  <c r="X16" i="2"/>
  <c r="AC19" i="2"/>
  <c r="AB19" i="2"/>
  <c r="X19" i="2"/>
  <c r="AA19" i="2"/>
  <c r="Y19" i="2"/>
  <c r="AC11" i="2"/>
  <c r="AA11" i="2"/>
  <c r="AB11" i="2"/>
  <c r="X11" i="2"/>
  <c r="Y11" i="2"/>
  <c r="Y7" i="2"/>
  <c r="AB7" i="2"/>
  <c r="AC7" i="2"/>
  <c r="AA7" i="2"/>
  <c r="X7" i="2"/>
  <c r="Y15" i="2"/>
  <c r="AB15" i="2"/>
  <c r="AC15" i="2"/>
  <c r="AA15" i="2"/>
  <c r="X15" i="2"/>
  <c r="AB14" i="2"/>
  <c r="X14" i="2"/>
  <c r="AC14" i="2"/>
  <c r="AA14" i="2"/>
  <c r="Y14" i="2"/>
  <c r="X10" i="2"/>
  <c r="AC10" i="2"/>
  <c r="AA10" i="2"/>
  <c r="AB10" i="2"/>
  <c r="Y10" i="2"/>
  <c r="AA17" i="2"/>
  <c r="X17" i="2"/>
  <c r="AC17" i="2"/>
  <c r="AB17" i="2"/>
  <c r="Y17" i="2"/>
  <c r="X18" i="2"/>
  <c r="AC18" i="2"/>
  <c r="AA18" i="2"/>
  <c r="AB18" i="2"/>
  <c r="Y18" i="2"/>
  <c r="B4" i="2"/>
  <c r="Z660" i="2"/>
  <c r="AS20" i="2"/>
  <c r="AR20" i="2"/>
  <c r="AQ20" i="2"/>
  <c r="AO20" i="2"/>
  <c r="AN20" i="2"/>
  <c r="AS19" i="2"/>
  <c r="AR19" i="2"/>
  <c r="AQ19" i="2"/>
  <c r="AO19" i="2"/>
  <c r="AN19" i="2"/>
  <c r="AS18" i="2"/>
  <c r="AR18" i="2"/>
  <c r="AQ18" i="2"/>
  <c r="AO18" i="2"/>
  <c r="AN18" i="2"/>
  <c r="AS17" i="2"/>
  <c r="AR17" i="2"/>
  <c r="AQ17" i="2"/>
  <c r="AO17" i="2"/>
  <c r="AN17" i="2"/>
  <c r="AS16" i="2"/>
  <c r="AR16" i="2"/>
  <c r="AQ16" i="2"/>
  <c r="AO16" i="2"/>
  <c r="AN16" i="2"/>
  <c r="AS15" i="2"/>
  <c r="AR15" i="2"/>
  <c r="AQ15" i="2"/>
  <c r="AO15" i="2"/>
  <c r="AN15" i="2"/>
  <c r="AS14" i="2"/>
  <c r="AR14" i="2"/>
  <c r="AQ14" i="2"/>
  <c r="AO14" i="2"/>
  <c r="AN14" i="2"/>
  <c r="AS13" i="2"/>
  <c r="AR13" i="2"/>
  <c r="AQ13" i="2"/>
  <c r="AO13" i="2"/>
  <c r="AN13" i="2"/>
  <c r="AS12" i="2"/>
  <c r="AR12" i="2"/>
  <c r="AQ12" i="2"/>
  <c r="AO12" i="2"/>
  <c r="AN12" i="2"/>
  <c r="AS11" i="2"/>
  <c r="AR11" i="2"/>
  <c r="AQ11" i="2"/>
  <c r="AO11" i="2"/>
  <c r="AN11" i="2"/>
  <c r="AS10" i="2"/>
  <c r="AR10" i="2"/>
  <c r="AQ10" i="2"/>
  <c r="AO10" i="2"/>
  <c r="AN10" i="2"/>
  <c r="AS9" i="2"/>
  <c r="AR9" i="2"/>
  <c r="AQ9" i="2"/>
  <c r="AO9" i="2"/>
  <c r="AN9" i="2"/>
  <c r="AS8" i="2"/>
  <c r="AR8" i="2"/>
  <c r="AQ8" i="2"/>
  <c r="AO8" i="2"/>
  <c r="AN8" i="2"/>
  <c r="AS7" i="2"/>
  <c r="AR7" i="2"/>
  <c r="AQ7" i="2"/>
  <c r="AO7" i="2"/>
  <c r="AN7" i="2"/>
  <c r="AS6" i="2"/>
  <c r="AR6" i="2"/>
  <c r="AQ6" i="2"/>
  <c r="AO6" i="2"/>
  <c r="AN6" i="2"/>
  <c r="R20" i="2"/>
  <c r="AP20" i="2" s="1"/>
  <c r="R19" i="2"/>
  <c r="AP19" i="2" s="1"/>
  <c r="R18" i="2"/>
  <c r="V18" i="2" s="1"/>
  <c r="AT18" i="2" s="1"/>
  <c r="R17" i="2"/>
  <c r="AP17" i="2" s="1"/>
  <c r="R16" i="2"/>
  <c r="AP16" i="2" s="1"/>
  <c r="R15" i="2"/>
  <c r="V15" i="2" s="1"/>
  <c r="AT15" i="2" s="1"/>
  <c r="R14" i="2"/>
  <c r="V14" i="2" s="1"/>
  <c r="AT14" i="2" s="1"/>
  <c r="R13" i="2"/>
  <c r="AP13" i="2" s="1"/>
  <c r="R12" i="2"/>
  <c r="AP12" i="2" s="1"/>
  <c r="R11" i="2"/>
  <c r="AP11" i="2" s="1"/>
  <c r="R10" i="2"/>
  <c r="V10" i="2" s="1"/>
  <c r="AT10" i="2" s="1"/>
  <c r="R9" i="2"/>
  <c r="AP9" i="2" s="1"/>
  <c r="R8" i="2"/>
  <c r="AP8" i="2" s="1"/>
  <c r="AT7" i="2"/>
  <c r="R6" i="2"/>
  <c r="V6" i="2" s="1"/>
  <c r="W47" i="6" l="1"/>
  <c r="T48" i="6"/>
  <c r="U48" i="6"/>
  <c r="V48" i="6"/>
  <c r="A120" i="2"/>
  <c r="C49" i="6"/>
  <c r="B49" i="6"/>
  <c r="A50" i="6"/>
  <c r="J49" i="6"/>
  <c r="G49" i="6"/>
  <c r="E49" i="6"/>
  <c r="S49" i="6" s="1"/>
  <c r="D49" i="6"/>
  <c r="F49" i="6"/>
  <c r="AA33" i="2"/>
  <c r="X33" i="2"/>
  <c r="AC33" i="2"/>
  <c r="AB33" i="2"/>
  <c r="Y33" i="2"/>
  <c r="A35" i="1"/>
  <c r="Z20" i="2"/>
  <c r="AD20" i="2" s="1"/>
  <c r="Z13" i="2"/>
  <c r="AD13" i="2" s="1"/>
  <c r="Z16" i="2"/>
  <c r="AD16" i="2" s="1"/>
  <c r="Z18" i="2"/>
  <c r="AD18" i="2" s="1"/>
  <c r="Z9" i="2"/>
  <c r="AD9" i="2" s="1"/>
  <c r="Z19" i="2"/>
  <c r="AD19" i="2" s="1"/>
  <c r="Z8" i="2"/>
  <c r="AD8" i="2" s="1"/>
  <c r="Z11" i="2"/>
  <c r="AD11" i="2" s="1"/>
  <c r="Z17" i="2"/>
  <c r="AD17" i="2" s="1"/>
  <c r="Z7" i="2"/>
  <c r="AD7" i="2" s="1"/>
  <c r="Z10" i="2"/>
  <c r="AD10" i="2" s="1"/>
  <c r="Z14" i="2"/>
  <c r="AD14" i="2" s="1"/>
  <c r="Z15" i="2"/>
  <c r="AD15" i="2" s="1"/>
  <c r="Z12" i="2"/>
  <c r="AD12" i="2" s="1"/>
  <c r="AT6" i="2"/>
  <c r="V9" i="2"/>
  <c r="AT9" i="2" s="1"/>
  <c r="V11" i="2"/>
  <c r="AT11" i="2" s="1"/>
  <c r="AP7" i="2"/>
  <c r="V17" i="2"/>
  <c r="AT17" i="2" s="1"/>
  <c r="AP15" i="2"/>
  <c r="V19" i="2"/>
  <c r="AT19" i="2" s="1"/>
  <c r="AD660" i="2"/>
  <c r="V12" i="2"/>
  <c r="AT12" i="2" s="1"/>
  <c r="V20" i="2"/>
  <c r="AT20" i="2" s="1"/>
  <c r="AP6" i="2"/>
  <c r="AP14" i="2"/>
  <c r="V13" i="2"/>
  <c r="AT13" i="2" s="1"/>
  <c r="V8" i="2"/>
  <c r="AT8" i="2" s="1"/>
  <c r="V16" i="2"/>
  <c r="AT16" i="2" s="1"/>
  <c r="AP10" i="2"/>
  <c r="AP18" i="2"/>
  <c r="W6" i="2"/>
  <c r="K658" i="1"/>
  <c r="K659" i="1"/>
  <c r="K657" i="1"/>
  <c r="K656" i="1"/>
  <c r="B661" i="1"/>
  <c r="T49" i="6" l="1"/>
  <c r="V49" i="6"/>
  <c r="U49" i="6"/>
  <c r="W48" i="6"/>
  <c r="A121" i="2"/>
  <c r="C50" i="6"/>
  <c r="B50" i="6"/>
  <c r="A51" i="6"/>
  <c r="F50" i="6"/>
  <c r="E50" i="6"/>
  <c r="S50" i="6" s="1"/>
  <c r="D50" i="6"/>
  <c r="J50" i="6"/>
  <c r="G50" i="6"/>
  <c r="A36" i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6" i="1" s="1"/>
  <c r="G35" i="2"/>
  <c r="C35" i="2"/>
  <c r="D35" i="2"/>
  <c r="L35" i="2"/>
  <c r="L655" i="2" s="1"/>
  <c r="J35" i="2"/>
  <c r="M35" i="2"/>
  <c r="E35" i="2"/>
  <c r="K35" i="2"/>
  <c r="K655" i="2" s="1"/>
  <c r="K35" i="6"/>
  <c r="Z33" i="2"/>
  <c r="AD33" i="2" s="1"/>
  <c r="AC6" i="2"/>
  <c r="AA6" i="2"/>
  <c r="Y6" i="2"/>
  <c r="X6" i="2"/>
  <c r="AB6" i="2"/>
  <c r="V660" i="2"/>
  <c r="L657" i="2"/>
  <c r="K657" i="2"/>
  <c r="W49" i="6" l="1"/>
  <c r="L656" i="2"/>
  <c r="A107" i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F106" i="2"/>
  <c r="L106" i="2"/>
  <c r="C106" i="2"/>
  <c r="B106" i="2"/>
  <c r="M106" i="2"/>
  <c r="D106" i="2"/>
  <c r="E106" i="2"/>
  <c r="W106" i="2" s="1"/>
  <c r="G106" i="2"/>
  <c r="J106" i="2"/>
  <c r="K106" i="2"/>
  <c r="E107" i="2"/>
  <c r="W107" i="2" s="1"/>
  <c r="C107" i="2"/>
  <c r="F107" i="2"/>
  <c r="D107" i="2"/>
  <c r="K107" i="2"/>
  <c r="J107" i="2"/>
  <c r="L107" i="2"/>
  <c r="B107" i="2"/>
  <c r="G107" i="2"/>
  <c r="M107" i="2"/>
  <c r="F108" i="2"/>
  <c r="G108" i="2"/>
  <c r="J108" i="2"/>
  <c r="M108" i="2"/>
  <c r="K108" i="2"/>
  <c r="C108" i="2"/>
  <c r="D108" i="2"/>
  <c r="E108" i="2"/>
  <c r="W108" i="2" s="1"/>
  <c r="B108" i="2"/>
  <c r="L108" i="2"/>
  <c r="G109" i="2"/>
  <c r="B109" i="2"/>
  <c r="J109" i="2"/>
  <c r="E109" i="2"/>
  <c r="W109" i="2" s="1"/>
  <c r="K109" i="2"/>
  <c r="L109" i="2"/>
  <c r="C109" i="2"/>
  <c r="M109" i="2"/>
  <c r="D109" i="2"/>
  <c r="F109" i="2"/>
  <c r="C110" i="2"/>
  <c r="J110" i="2"/>
  <c r="E110" i="2"/>
  <c r="W110" i="2" s="1"/>
  <c r="M110" i="2"/>
  <c r="L110" i="2"/>
  <c r="F110" i="2"/>
  <c r="D110" i="2"/>
  <c r="G110" i="2"/>
  <c r="K110" i="2"/>
  <c r="B110" i="2"/>
  <c r="E111" i="2"/>
  <c r="W111" i="2" s="1"/>
  <c r="G111" i="2"/>
  <c r="C111" i="2"/>
  <c r="M111" i="2"/>
  <c r="F111" i="2"/>
  <c r="J111" i="2"/>
  <c r="B111" i="2"/>
  <c r="K111" i="2"/>
  <c r="D111" i="2"/>
  <c r="L111" i="2"/>
  <c r="G112" i="2"/>
  <c r="K112" i="2"/>
  <c r="J112" i="2"/>
  <c r="M112" i="2"/>
  <c r="B112" i="2"/>
  <c r="C112" i="2"/>
  <c r="D112" i="2"/>
  <c r="F112" i="2"/>
  <c r="L112" i="2"/>
  <c r="E112" i="2"/>
  <c r="W112" i="2" s="1"/>
  <c r="J113" i="2"/>
  <c r="K113" i="2"/>
  <c r="C113" i="2"/>
  <c r="G113" i="2"/>
  <c r="E113" i="2"/>
  <c r="W113" i="2" s="1"/>
  <c r="L113" i="2"/>
  <c r="M113" i="2"/>
  <c r="D113" i="2"/>
  <c r="B113" i="2"/>
  <c r="F113" i="2"/>
  <c r="J114" i="2"/>
  <c r="K114" i="2"/>
  <c r="L114" i="2"/>
  <c r="C114" i="2"/>
  <c r="B114" i="2"/>
  <c r="M114" i="2"/>
  <c r="F114" i="2"/>
  <c r="D114" i="2"/>
  <c r="E114" i="2"/>
  <c r="W114" i="2" s="1"/>
  <c r="G114" i="2"/>
  <c r="C115" i="2"/>
  <c r="M115" i="2"/>
  <c r="E115" i="2"/>
  <c r="W115" i="2" s="1"/>
  <c r="F115" i="2"/>
  <c r="L115" i="2"/>
  <c r="D115" i="2"/>
  <c r="K115" i="2"/>
  <c r="J115" i="2"/>
  <c r="B115" i="2"/>
  <c r="G115" i="2"/>
  <c r="B116" i="2"/>
  <c r="F116" i="2"/>
  <c r="C116" i="2"/>
  <c r="K116" i="2"/>
  <c r="M116" i="2"/>
  <c r="L116" i="2"/>
  <c r="D116" i="2"/>
  <c r="E116" i="2"/>
  <c r="W116" i="2" s="1"/>
  <c r="J116" i="2"/>
  <c r="G116" i="2"/>
  <c r="C117" i="2"/>
  <c r="M117" i="2"/>
  <c r="D117" i="2"/>
  <c r="B117" i="2"/>
  <c r="E117" i="2"/>
  <c r="W117" i="2" s="1"/>
  <c r="G117" i="2"/>
  <c r="F117" i="2"/>
  <c r="K117" i="2"/>
  <c r="J117" i="2"/>
  <c r="L117" i="2"/>
  <c r="G118" i="2"/>
  <c r="L118" i="2"/>
  <c r="D118" i="2"/>
  <c r="M118" i="2"/>
  <c r="E118" i="2"/>
  <c r="W118" i="2" s="1"/>
  <c r="F118" i="2"/>
  <c r="J118" i="2"/>
  <c r="C118" i="2"/>
  <c r="K118" i="2"/>
  <c r="B118" i="2"/>
  <c r="F119" i="2"/>
  <c r="G119" i="2"/>
  <c r="J119" i="2"/>
  <c r="K119" i="2"/>
  <c r="B119" i="2"/>
  <c r="D119" i="2"/>
  <c r="C119" i="2"/>
  <c r="L119" i="2"/>
  <c r="E119" i="2"/>
  <c r="W119" i="2" s="1"/>
  <c r="M119" i="2"/>
  <c r="D120" i="2"/>
  <c r="M120" i="2"/>
  <c r="K120" i="2"/>
  <c r="C120" i="2"/>
  <c r="J120" i="2"/>
  <c r="L120" i="2"/>
  <c r="T50" i="6"/>
  <c r="U50" i="6"/>
  <c r="V50" i="6"/>
  <c r="G120" i="2"/>
  <c r="F120" i="2"/>
  <c r="A122" i="2"/>
  <c r="F121" i="2"/>
  <c r="G121" i="2"/>
  <c r="B121" i="2"/>
  <c r="L121" i="2"/>
  <c r="C121" i="2"/>
  <c r="M121" i="2"/>
  <c r="D121" i="2"/>
  <c r="E121" i="2"/>
  <c r="W121" i="2" s="1"/>
  <c r="J121" i="2"/>
  <c r="K121" i="2"/>
  <c r="C51" i="6"/>
  <c r="B51" i="6"/>
  <c r="A52" i="6"/>
  <c r="J51" i="6"/>
  <c r="G51" i="6"/>
  <c r="F51" i="6"/>
  <c r="D51" i="6"/>
  <c r="E51" i="6"/>
  <c r="S51" i="6" s="1"/>
  <c r="J655" i="2"/>
  <c r="L658" i="2"/>
  <c r="L661" i="2" s="1"/>
  <c r="J656" i="2"/>
  <c r="W35" i="2"/>
  <c r="X35" i="2" s="1"/>
  <c r="K658" i="2"/>
  <c r="K656" i="2"/>
  <c r="K661" i="2" s="1"/>
  <c r="M655" i="2"/>
  <c r="M658" i="2"/>
  <c r="M656" i="2"/>
  <c r="M657" i="2"/>
  <c r="J658" i="2"/>
  <c r="K656" i="6"/>
  <c r="K655" i="6"/>
  <c r="K658" i="6"/>
  <c r="K657" i="6"/>
  <c r="L30" i="6"/>
  <c r="C32" i="6"/>
  <c r="G27" i="6"/>
  <c r="E32" i="6"/>
  <c r="S32" i="6" s="1"/>
  <c r="G34" i="6"/>
  <c r="B31" i="6"/>
  <c r="D31" i="6"/>
  <c r="E33" i="6"/>
  <c r="S33" i="6" s="1"/>
  <c r="D34" i="6"/>
  <c r="D32" i="6"/>
  <c r="D33" i="6"/>
  <c r="B30" i="6"/>
  <c r="F34" i="6"/>
  <c r="F31" i="6"/>
  <c r="E31" i="6"/>
  <c r="S31" i="6" s="1"/>
  <c r="G33" i="6"/>
  <c r="L31" i="6"/>
  <c r="L34" i="6"/>
  <c r="E34" i="6"/>
  <c r="S34" i="6" s="1"/>
  <c r="L33" i="6"/>
  <c r="C33" i="6"/>
  <c r="B34" i="6"/>
  <c r="B32" i="6"/>
  <c r="C34" i="6"/>
  <c r="B33" i="6"/>
  <c r="L32" i="6"/>
  <c r="L35" i="6"/>
  <c r="F32" i="6"/>
  <c r="G31" i="6"/>
  <c r="G32" i="6"/>
  <c r="F33" i="6"/>
  <c r="S35" i="6"/>
  <c r="C31" i="6"/>
  <c r="G33" i="2"/>
  <c r="F35" i="2"/>
  <c r="B35" i="2"/>
  <c r="J657" i="2"/>
  <c r="Z6" i="2"/>
  <c r="AB111" i="2" l="1"/>
  <c r="AA111" i="2"/>
  <c r="AC111" i="2"/>
  <c r="X111" i="2"/>
  <c r="Y111" i="2"/>
  <c r="AA117" i="2"/>
  <c r="AB117" i="2"/>
  <c r="AC117" i="2"/>
  <c r="Y117" i="2"/>
  <c r="X117" i="2"/>
  <c r="Z117" i="2" s="1"/>
  <c r="W50" i="6"/>
  <c r="Y114" i="2"/>
  <c r="AA114" i="2"/>
  <c r="AC114" i="2"/>
  <c r="AB114" i="2"/>
  <c r="X114" i="2"/>
  <c r="K105" i="6"/>
  <c r="AA108" i="2"/>
  <c r="AB108" i="2"/>
  <c r="AC108" i="2"/>
  <c r="Y108" i="2"/>
  <c r="X108" i="2"/>
  <c r="AC113" i="2"/>
  <c r="AA113" i="2"/>
  <c r="X113" i="2"/>
  <c r="AB113" i="2"/>
  <c r="Y113" i="2"/>
  <c r="AC109" i="2"/>
  <c r="AB109" i="2"/>
  <c r="X109" i="2"/>
  <c r="Y109" i="2"/>
  <c r="AA109" i="2"/>
  <c r="V51" i="6"/>
  <c r="T51" i="6"/>
  <c r="U51" i="6"/>
  <c r="Y110" i="2"/>
  <c r="AA110" i="2"/>
  <c r="X110" i="2"/>
  <c r="AB110" i="2"/>
  <c r="AC110" i="2"/>
  <c r="X106" i="2"/>
  <c r="AA106" i="2"/>
  <c r="AC106" i="2"/>
  <c r="Y106" i="2"/>
  <c r="AB106" i="2"/>
  <c r="L105" i="6"/>
  <c r="B120" i="2"/>
  <c r="AB116" i="2"/>
  <c r="X116" i="2"/>
  <c r="AC116" i="2"/>
  <c r="Y116" i="2"/>
  <c r="AA116" i="2"/>
  <c r="X107" i="2"/>
  <c r="Z107" i="2" s="1"/>
  <c r="AA107" i="2"/>
  <c r="AB107" i="2"/>
  <c r="AC107" i="2"/>
  <c r="Y107" i="2"/>
  <c r="Y112" i="2"/>
  <c r="AA112" i="2"/>
  <c r="AB112" i="2"/>
  <c r="AC112" i="2"/>
  <c r="X112" i="2"/>
  <c r="Z112" i="2" s="1"/>
  <c r="AD112" i="2" s="1"/>
  <c r="AA119" i="2"/>
  <c r="Y119" i="2"/>
  <c r="AB119" i="2"/>
  <c r="X119" i="2"/>
  <c r="Z119" i="2" s="1"/>
  <c r="AC119" i="2"/>
  <c r="X118" i="2"/>
  <c r="AA118" i="2"/>
  <c r="AB118" i="2"/>
  <c r="Y118" i="2"/>
  <c r="AC118" i="2"/>
  <c r="AB115" i="2"/>
  <c r="Y115" i="2"/>
  <c r="AC115" i="2"/>
  <c r="X115" i="2"/>
  <c r="AA115" i="2"/>
  <c r="E120" i="2"/>
  <c r="W120" i="2" s="1"/>
  <c r="X121" i="2"/>
  <c r="AA121" i="2"/>
  <c r="Y121" i="2"/>
  <c r="AB121" i="2"/>
  <c r="AC121" i="2"/>
  <c r="A123" i="2"/>
  <c r="C122" i="2"/>
  <c r="M122" i="2"/>
  <c r="D122" i="2"/>
  <c r="G122" i="2"/>
  <c r="J122" i="2"/>
  <c r="L122" i="2"/>
  <c r="B122" i="2"/>
  <c r="E122" i="2"/>
  <c r="W122" i="2" s="1"/>
  <c r="F122" i="2"/>
  <c r="K122" i="2"/>
  <c r="C52" i="6"/>
  <c r="B52" i="6"/>
  <c r="A53" i="6"/>
  <c r="D52" i="6"/>
  <c r="J52" i="6"/>
  <c r="F52" i="6"/>
  <c r="E52" i="6"/>
  <c r="S52" i="6" s="1"/>
  <c r="G52" i="6"/>
  <c r="AA35" i="2"/>
  <c r="AA655" i="2" s="1"/>
  <c r="AC35" i="2"/>
  <c r="AC655" i="2" s="1"/>
  <c r="AB35" i="2"/>
  <c r="AB657" i="2" s="1"/>
  <c r="X657" i="2"/>
  <c r="AI660" i="2" s="1"/>
  <c r="H8" i="4" s="1"/>
  <c r="Y35" i="2"/>
  <c r="Z35" i="2" s="1"/>
  <c r="Z657" i="2" s="1"/>
  <c r="X658" i="2"/>
  <c r="M661" i="2"/>
  <c r="K661" i="6"/>
  <c r="J661" i="2"/>
  <c r="L658" i="6"/>
  <c r="L656" i="6"/>
  <c r="L655" i="6"/>
  <c r="L657" i="6"/>
  <c r="V32" i="6"/>
  <c r="U32" i="6"/>
  <c r="T32" i="6"/>
  <c r="U33" i="6"/>
  <c r="V33" i="6"/>
  <c r="T33" i="6"/>
  <c r="U34" i="6"/>
  <c r="V34" i="6"/>
  <c r="T34" i="6"/>
  <c r="V31" i="6"/>
  <c r="U31" i="6"/>
  <c r="T31" i="6"/>
  <c r="U35" i="6"/>
  <c r="T35" i="6"/>
  <c r="V35" i="6"/>
  <c r="X656" i="2"/>
  <c r="AJ660" i="2" s="1"/>
  <c r="I8" i="4" s="1"/>
  <c r="X655" i="2"/>
  <c r="AK660" i="2" s="1"/>
  <c r="J8" i="4" s="1"/>
  <c r="AB656" i="2"/>
  <c r="AB655" i="2"/>
  <c r="AC656" i="2"/>
  <c r="AD6" i="2"/>
  <c r="Z109" i="2" l="1"/>
  <c r="Z118" i="2"/>
  <c r="Z110" i="2"/>
  <c r="AD110" i="2" s="1"/>
  <c r="AD119" i="2"/>
  <c r="T52" i="6"/>
  <c r="V52" i="6"/>
  <c r="U52" i="6"/>
  <c r="Z106" i="2"/>
  <c r="AD106" i="2" s="1"/>
  <c r="Z115" i="2"/>
  <c r="AD115" i="2" s="1"/>
  <c r="AD118" i="2"/>
  <c r="AB120" i="2"/>
  <c r="X120" i="2"/>
  <c r="AA120" i="2"/>
  <c r="Y120" i="2"/>
  <c r="AC120" i="2"/>
  <c r="W51" i="6"/>
  <c r="Z113" i="2"/>
  <c r="AD113" i="2" s="1"/>
  <c r="Z111" i="2"/>
  <c r="AD111" i="2" s="1"/>
  <c r="AD107" i="2"/>
  <c r="Z114" i="2"/>
  <c r="AD114" i="2" s="1"/>
  <c r="AD109" i="2"/>
  <c r="AD117" i="2"/>
  <c r="Z116" i="2"/>
  <c r="AD116" i="2" s="1"/>
  <c r="Z108" i="2"/>
  <c r="AD108" i="2" s="1"/>
  <c r="X122" i="2"/>
  <c r="Y122" i="2"/>
  <c r="AB122" i="2"/>
  <c r="AA122" i="2"/>
  <c r="AC122" i="2"/>
  <c r="A124" i="2"/>
  <c r="J123" i="2"/>
  <c r="K123" i="2"/>
  <c r="D123" i="2"/>
  <c r="E123" i="2"/>
  <c r="W123" i="2" s="1"/>
  <c r="B123" i="2"/>
  <c r="F123" i="2"/>
  <c r="G123" i="2"/>
  <c r="L123" i="2"/>
  <c r="C123" i="2"/>
  <c r="M123" i="2"/>
  <c r="Z121" i="2"/>
  <c r="AD121" i="2" s="1"/>
  <c r="C53" i="6"/>
  <c r="B53" i="6"/>
  <c r="A54" i="6"/>
  <c r="G53" i="6"/>
  <c r="F53" i="6"/>
  <c r="E53" i="6"/>
  <c r="S53" i="6" s="1"/>
  <c r="D53" i="6"/>
  <c r="J53" i="6"/>
  <c r="AC657" i="2"/>
  <c r="X661" i="2"/>
  <c r="AA657" i="2"/>
  <c r="Y656" i="2"/>
  <c r="Y655" i="2"/>
  <c r="AA658" i="2"/>
  <c r="AA656" i="2"/>
  <c r="AD35" i="2"/>
  <c r="AD658" i="2" s="1"/>
  <c r="AB658" i="2"/>
  <c r="AC658" i="2"/>
  <c r="Y658" i="2"/>
  <c r="Y657" i="2"/>
  <c r="W32" i="6"/>
  <c r="V658" i="6"/>
  <c r="Z658" i="2"/>
  <c r="AL660" i="2" s="1"/>
  <c r="G9" i="4" s="1"/>
  <c r="W34" i="6"/>
  <c r="Z656" i="2"/>
  <c r="AN660" i="2" s="1"/>
  <c r="I9" i="4" s="1"/>
  <c r="V655" i="6"/>
  <c r="V656" i="6"/>
  <c r="V657" i="6"/>
  <c r="Z655" i="2"/>
  <c r="AO660" i="2" s="1"/>
  <c r="J9" i="4" s="1"/>
  <c r="W35" i="6"/>
  <c r="T657" i="6"/>
  <c r="AB660" i="6" s="1"/>
  <c r="T655" i="6"/>
  <c r="AD660" i="6" s="1"/>
  <c r="T656" i="6"/>
  <c r="AC660" i="6" s="1"/>
  <c r="U656" i="6"/>
  <c r="U657" i="6"/>
  <c r="U655" i="6"/>
  <c r="U658" i="6"/>
  <c r="W33" i="6"/>
  <c r="W31" i="6"/>
  <c r="T658" i="6"/>
  <c r="L661" i="6"/>
  <c r="AH660" i="2"/>
  <c r="G8" i="4" s="1"/>
  <c r="AM660" i="2"/>
  <c r="H9" i="4" s="1"/>
  <c r="Z120" i="2" l="1"/>
  <c r="AD120" i="2"/>
  <c r="T53" i="6"/>
  <c r="U53" i="6"/>
  <c r="V53" i="6"/>
  <c r="W52" i="6"/>
  <c r="A125" i="2"/>
  <c r="D124" i="2"/>
  <c r="E124" i="2"/>
  <c r="W124" i="2" s="1"/>
  <c r="J124" i="2"/>
  <c r="K124" i="2"/>
  <c r="B124" i="2"/>
  <c r="F124" i="2"/>
  <c r="G124" i="2"/>
  <c r="L124" i="2"/>
  <c r="C124" i="2"/>
  <c r="M124" i="2"/>
  <c r="Y123" i="2"/>
  <c r="X123" i="2"/>
  <c r="AA123" i="2"/>
  <c r="AB123" i="2"/>
  <c r="AC123" i="2"/>
  <c r="Z122" i="2"/>
  <c r="AD122" i="2" s="1"/>
  <c r="C54" i="6"/>
  <c r="B54" i="6"/>
  <c r="A55" i="6"/>
  <c r="J54" i="6"/>
  <c r="G54" i="6"/>
  <c r="E54" i="6"/>
  <c r="S54" i="6" s="1"/>
  <c r="F54" i="6"/>
  <c r="D54" i="6"/>
  <c r="AD655" i="2"/>
  <c r="AS660" i="2" s="1"/>
  <c r="J10" i="4" s="1"/>
  <c r="AD656" i="2"/>
  <c r="AR660" i="2" s="1"/>
  <c r="I10" i="4" s="1"/>
  <c r="AD657" i="2"/>
  <c r="AQ660" i="2" s="1"/>
  <c r="H10" i="4" s="1"/>
  <c r="Z661" i="2"/>
  <c r="W655" i="6"/>
  <c r="AH660" i="6" s="1"/>
  <c r="W658" i="6"/>
  <c r="W656" i="6"/>
  <c r="AG660" i="6" s="1"/>
  <c r="W657" i="6"/>
  <c r="AF660" i="6" s="1"/>
  <c r="AA660" i="6"/>
  <c r="T661" i="6"/>
  <c r="AD661" i="2"/>
  <c r="AP660" i="2"/>
  <c r="G10" i="4" s="1"/>
  <c r="V54" i="6" l="1"/>
  <c r="T54" i="6"/>
  <c r="U54" i="6"/>
  <c r="W53" i="6"/>
  <c r="Z123" i="2"/>
  <c r="AD123" i="2" s="1"/>
  <c r="AA124" i="2"/>
  <c r="X124" i="2"/>
  <c r="Y124" i="2"/>
  <c r="AB124" i="2"/>
  <c r="AC124" i="2"/>
  <c r="A126" i="2"/>
  <c r="B125" i="2"/>
  <c r="L125" i="2"/>
  <c r="C125" i="2"/>
  <c r="M125" i="2"/>
  <c r="F125" i="2"/>
  <c r="G125" i="2"/>
  <c r="D125" i="2"/>
  <c r="E125" i="2"/>
  <c r="W125" i="2" s="1"/>
  <c r="J125" i="2"/>
  <c r="K125" i="2"/>
  <c r="C55" i="6"/>
  <c r="B55" i="6"/>
  <c r="A56" i="6"/>
  <c r="E55" i="6"/>
  <c r="S55" i="6" s="1"/>
  <c r="D55" i="6"/>
  <c r="G55" i="6"/>
  <c r="F55" i="6"/>
  <c r="J55" i="6"/>
  <c r="AE660" i="6"/>
  <c r="W661" i="6"/>
  <c r="Z124" i="2" l="1"/>
  <c r="AD124" i="2" s="1"/>
  <c r="W54" i="6"/>
  <c r="V55" i="6"/>
  <c r="T55" i="6"/>
  <c r="U55" i="6"/>
  <c r="AB125" i="2"/>
  <c r="X125" i="2"/>
  <c r="AC125" i="2"/>
  <c r="Y125" i="2"/>
  <c r="AA125" i="2"/>
  <c r="A127" i="2"/>
  <c r="J126" i="2"/>
  <c r="K126" i="2"/>
  <c r="D126" i="2"/>
  <c r="E126" i="2"/>
  <c r="W126" i="2" s="1"/>
  <c r="L126" i="2"/>
  <c r="M126" i="2"/>
  <c r="B126" i="2"/>
  <c r="C126" i="2"/>
  <c r="F126" i="2"/>
  <c r="G126" i="2"/>
  <c r="C56" i="6"/>
  <c r="B56" i="6"/>
  <c r="A57" i="6"/>
  <c r="F56" i="6"/>
  <c r="J56" i="6"/>
  <c r="G56" i="6"/>
  <c r="E56" i="6"/>
  <c r="S56" i="6" s="1"/>
  <c r="D56" i="6"/>
  <c r="W55" i="6" l="1"/>
  <c r="V56" i="6"/>
  <c r="T56" i="6"/>
  <c r="U56" i="6"/>
  <c r="A128" i="2"/>
  <c r="G127" i="2"/>
  <c r="J127" i="2"/>
  <c r="C127" i="2"/>
  <c r="M127" i="2"/>
  <c r="D127" i="2"/>
  <c r="B127" i="2"/>
  <c r="E127" i="2"/>
  <c r="W127" i="2" s="1"/>
  <c r="K127" i="2"/>
  <c r="L127" i="2"/>
  <c r="F127" i="2"/>
  <c r="AC126" i="2"/>
  <c r="AB126" i="2"/>
  <c r="Y126" i="2"/>
  <c r="AA126" i="2"/>
  <c r="X126" i="2"/>
  <c r="Z125" i="2"/>
  <c r="AD125" i="2" s="1"/>
  <c r="C57" i="6"/>
  <c r="B57" i="6"/>
  <c r="A58" i="6"/>
  <c r="F57" i="6"/>
  <c r="D57" i="6"/>
  <c r="J57" i="6"/>
  <c r="G57" i="6"/>
  <c r="E57" i="6"/>
  <c r="S57" i="6" s="1"/>
  <c r="J656" i="6"/>
  <c r="J655" i="6"/>
  <c r="J657" i="6"/>
  <c r="J658" i="6"/>
  <c r="V57" i="6" l="1"/>
  <c r="T57" i="6"/>
  <c r="U57" i="6"/>
  <c r="W56" i="6"/>
  <c r="X127" i="2"/>
  <c r="AB127" i="2"/>
  <c r="Y127" i="2"/>
  <c r="AC127" i="2"/>
  <c r="AA127" i="2"/>
  <c r="Z126" i="2"/>
  <c r="AD126" i="2" s="1"/>
  <c r="A129" i="2"/>
  <c r="E128" i="2"/>
  <c r="W128" i="2" s="1"/>
  <c r="F128" i="2"/>
  <c r="K128" i="2"/>
  <c r="B128" i="2"/>
  <c r="L128" i="2"/>
  <c r="G128" i="2"/>
  <c r="J128" i="2"/>
  <c r="M128" i="2"/>
  <c r="C128" i="2"/>
  <c r="D128" i="2"/>
  <c r="J661" i="6"/>
  <c r="C58" i="6"/>
  <c r="B58" i="6"/>
  <c r="A59" i="6"/>
  <c r="F58" i="6"/>
  <c r="J58" i="6"/>
  <c r="G58" i="6"/>
  <c r="E58" i="6"/>
  <c r="S58" i="6" s="1"/>
  <c r="D58" i="6"/>
  <c r="Z127" i="2" l="1"/>
  <c r="AD127" i="2" s="1"/>
  <c r="T58" i="6"/>
  <c r="U58" i="6"/>
  <c r="V58" i="6"/>
  <c r="W57" i="6"/>
  <c r="AC128" i="2"/>
  <c r="Y128" i="2"/>
  <c r="AA128" i="2"/>
  <c r="AB128" i="2"/>
  <c r="X128" i="2"/>
  <c r="A130" i="2"/>
  <c r="K129" i="2"/>
  <c r="B129" i="2"/>
  <c r="L129" i="2"/>
  <c r="E129" i="2"/>
  <c r="W129" i="2" s="1"/>
  <c r="F129" i="2"/>
  <c r="M129" i="2"/>
  <c r="C129" i="2"/>
  <c r="D129" i="2"/>
  <c r="G129" i="2"/>
  <c r="J129" i="2"/>
  <c r="C59" i="6"/>
  <c r="B59" i="6"/>
  <c r="A60" i="6"/>
  <c r="F59" i="6"/>
  <c r="D59" i="6"/>
  <c r="G59" i="6"/>
  <c r="E59" i="6"/>
  <c r="S59" i="6" s="1"/>
  <c r="J59" i="6"/>
  <c r="W58" i="6" l="1"/>
  <c r="V59" i="6"/>
  <c r="T59" i="6"/>
  <c r="U59" i="6"/>
  <c r="Z128" i="2"/>
  <c r="A131" i="2"/>
  <c r="G130" i="2"/>
  <c r="J130" i="2"/>
  <c r="C130" i="2"/>
  <c r="M130" i="2"/>
  <c r="D130" i="2"/>
  <c r="B130" i="2"/>
  <c r="E130" i="2"/>
  <c r="W130" i="2" s="1"/>
  <c r="K130" i="2"/>
  <c r="L130" i="2"/>
  <c r="F130" i="2"/>
  <c r="AD128" i="2"/>
  <c r="AB129" i="2"/>
  <c r="AC129" i="2"/>
  <c r="Y129" i="2"/>
  <c r="AA129" i="2"/>
  <c r="X129" i="2"/>
  <c r="C60" i="6"/>
  <c r="B60" i="6"/>
  <c r="A61" i="6"/>
  <c r="F60" i="6"/>
  <c r="J60" i="6"/>
  <c r="G60" i="6"/>
  <c r="E60" i="6"/>
  <c r="S60" i="6" s="1"/>
  <c r="D60" i="6"/>
  <c r="W59" i="6" l="1"/>
  <c r="T60" i="6"/>
  <c r="V60" i="6"/>
  <c r="U60" i="6"/>
  <c r="AA130" i="2"/>
  <c r="AB130" i="2"/>
  <c r="X130" i="2"/>
  <c r="AC130" i="2"/>
  <c r="Y130" i="2"/>
  <c r="Z129" i="2"/>
  <c r="AD129" i="2" s="1"/>
  <c r="A132" i="2"/>
  <c r="E131" i="2"/>
  <c r="W131" i="2" s="1"/>
  <c r="F131" i="2"/>
  <c r="K131" i="2"/>
  <c r="B131" i="2"/>
  <c r="L131" i="2"/>
  <c r="G131" i="2"/>
  <c r="J131" i="2"/>
  <c r="M131" i="2"/>
  <c r="C131" i="2"/>
  <c r="D131" i="2"/>
  <c r="C61" i="6"/>
  <c r="B61" i="6"/>
  <c r="A62" i="6"/>
  <c r="F61" i="6"/>
  <c r="D61" i="6"/>
  <c r="J61" i="6"/>
  <c r="G61" i="6"/>
  <c r="E61" i="6"/>
  <c r="S61" i="6" s="1"/>
  <c r="T61" i="6" l="1"/>
  <c r="U61" i="6"/>
  <c r="V61" i="6"/>
  <c r="W60" i="6"/>
  <c r="A133" i="2"/>
  <c r="C132" i="2"/>
  <c r="M132" i="2"/>
  <c r="D132" i="2"/>
  <c r="G132" i="2"/>
  <c r="J132" i="2"/>
  <c r="B132" i="2"/>
  <c r="E132" i="2"/>
  <c r="W132" i="2" s="1"/>
  <c r="K132" i="2"/>
  <c r="L132" i="2"/>
  <c r="F132" i="2"/>
  <c r="AB131" i="2"/>
  <c r="AC131" i="2"/>
  <c r="AA131" i="2"/>
  <c r="Y131" i="2"/>
  <c r="X131" i="2"/>
  <c r="Z130" i="2"/>
  <c r="AD130" i="2" s="1"/>
  <c r="C62" i="6"/>
  <c r="B62" i="6"/>
  <c r="A63" i="6"/>
  <c r="F62" i="6"/>
  <c r="J62" i="6"/>
  <c r="G62" i="6"/>
  <c r="E62" i="6"/>
  <c r="S62" i="6" s="1"/>
  <c r="D62" i="6"/>
  <c r="V62" i="6" l="1"/>
  <c r="U62" i="6"/>
  <c r="T62" i="6"/>
  <c r="W62" i="6" s="1"/>
  <c r="W61" i="6"/>
  <c r="Y132" i="2"/>
  <c r="X132" i="2"/>
  <c r="Z132" i="2" s="1"/>
  <c r="AA132" i="2"/>
  <c r="AC132" i="2"/>
  <c r="AB132" i="2"/>
  <c r="Z131" i="2"/>
  <c r="AD131" i="2" s="1"/>
  <c r="A134" i="2"/>
  <c r="B133" i="2"/>
  <c r="L133" i="2"/>
  <c r="C133" i="2"/>
  <c r="M133" i="2"/>
  <c r="F133" i="2"/>
  <c r="G133" i="2"/>
  <c r="K133" i="2"/>
  <c r="D133" i="2"/>
  <c r="E133" i="2"/>
  <c r="W133" i="2" s="1"/>
  <c r="J133" i="2"/>
  <c r="C63" i="6"/>
  <c r="B63" i="6"/>
  <c r="A64" i="6"/>
  <c r="F63" i="6"/>
  <c r="D63" i="6"/>
  <c r="G63" i="6"/>
  <c r="E63" i="6"/>
  <c r="S63" i="6" s="1"/>
  <c r="J63" i="6"/>
  <c r="T63" i="6" l="1"/>
  <c r="U63" i="6"/>
  <c r="V63" i="6"/>
  <c r="AC133" i="2"/>
  <c r="Y133" i="2"/>
  <c r="X133" i="2"/>
  <c r="AB133" i="2"/>
  <c r="AA133" i="2"/>
  <c r="A135" i="2"/>
  <c r="J134" i="2"/>
  <c r="K134" i="2"/>
  <c r="D134" i="2"/>
  <c r="E134" i="2"/>
  <c r="W134" i="2" s="1"/>
  <c r="B134" i="2"/>
  <c r="C134" i="2"/>
  <c r="G134" i="2"/>
  <c r="L134" i="2"/>
  <c r="M134" i="2"/>
  <c r="F134" i="2"/>
  <c r="AD132" i="2"/>
  <c r="C64" i="6"/>
  <c r="B64" i="6"/>
  <c r="A65" i="6"/>
  <c r="F64" i="6"/>
  <c r="J64" i="6"/>
  <c r="G64" i="6"/>
  <c r="E64" i="6"/>
  <c r="S64" i="6" s="1"/>
  <c r="D64" i="6"/>
  <c r="Z133" i="2" l="1"/>
  <c r="W63" i="6"/>
  <c r="T64" i="6"/>
  <c r="V64" i="6"/>
  <c r="U64" i="6"/>
  <c r="A136" i="2"/>
  <c r="G135" i="2"/>
  <c r="J135" i="2"/>
  <c r="C135" i="2"/>
  <c r="M135" i="2"/>
  <c r="D135" i="2"/>
  <c r="K135" i="2"/>
  <c r="L135" i="2"/>
  <c r="B135" i="2"/>
  <c r="E135" i="2"/>
  <c r="W135" i="2" s="1"/>
  <c r="F135" i="2"/>
  <c r="AD133" i="2"/>
  <c r="AA134" i="2"/>
  <c r="AB134" i="2"/>
  <c r="X134" i="2"/>
  <c r="AC134" i="2"/>
  <c r="Y134" i="2"/>
  <c r="C65" i="6"/>
  <c r="B65" i="6"/>
  <c r="A66" i="6"/>
  <c r="F65" i="6"/>
  <c r="D65" i="6"/>
  <c r="J65" i="6"/>
  <c r="G65" i="6"/>
  <c r="E65" i="6"/>
  <c r="S65" i="6" s="1"/>
  <c r="W64" i="6" l="1"/>
  <c r="Z134" i="2"/>
  <c r="AD134" i="2" s="1"/>
  <c r="T65" i="6"/>
  <c r="U65" i="6"/>
  <c r="V65" i="6"/>
  <c r="X135" i="2"/>
  <c r="Y135" i="2"/>
  <c r="AA135" i="2"/>
  <c r="AB135" i="2"/>
  <c r="AC135" i="2"/>
  <c r="A137" i="2"/>
  <c r="D136" i="2"/>
  <c r="E136" i="2"/>
  <c r="W136" i="2" s="1"/>
  <c r="J136" i="2"/>
  <c r="K136" i="2"/>
  <c r="M136" i="2"/>
  <c r="C136" i="2"/>
  <c r="F136" i="2"/>
  <c r="G136" i="2"/>
  <c r="B136" i="2"/>
  <c r="L136" i="2"/>
  <c r="C66" i="6"/>
  <c r="B66" i="6"/>
  <c r="A67" i="6"/>
  <c r="F66" i="6"/>
  <c r="J66" i="6"/>
  <c r="G66" i="6"/>
  <c r="E66" i="6"/>
  <c r="S66" i="6" s="1"/>
  <c r="D66" i="6"/>
  <c r="T66" i="6" l="1"/>
  <c r="U66" i="6"/>
  <c r="V66" i="6"/>
  <c r="W65" i="6"/>
  <c r="A138" i="2"/>
  <c r="B137" i="2"/>
  <c r="L137" i="2"/>
  <c r="C137" i="2"/>
  <c r="M137" i="2"/>
  <c r="F137" i="2"/>
  <c r="G137" i="2"/>
  <c r="D137" i="2"/>
  <c r="E137" i="2"/>
  <c r="W137" i="2" s="1"/>
  <c r="K137" i="2"/>
  <c r="J137" i="2"/>
  <c r="AD135" i="2"/>
  <c r="Z135" i="2"/>
  <c r="Y136" i="2"/>
  <c r="AC136" i="2"/>
  <c r="X136" i="2"/>
  <c r="Z136" i="2" s="1"/>
  <c r="AA136" i="2"/>
  <c r="AB136" i="2"/>
  <c r="C67" i="6"/>
  <c r="B67" i="6"/>
  <c r="A68" i="6"/>
  <c r="F67" i="6"/>
  <c r="D67" i="6"/>
  <c r="G67" i="6"/>
  <c r="E67" i="6"/>
  <c r="S67" i="6" s="1"/>
  <c r="J67" i="6"/>
  <c r="W66" i="6" l="1"/>
  <c r="T67" i="6"/>
  <c r="V67" i="6"/>
  <c r="U67" i="6"/>
  <c r="W67" i="6" s="1"/>
  <c r="AD136" i="2"/>
  <c r="AB137" i="2"/>
  <c r="X137" i="2"/>
  <c r="AC137" i="2"/>
  <c r="Y137" i="2"/>
  <c r="AA137" i="2"/>
  <c r="A139" i="2"/>
  <c r="J138" i="2"/>
  <c r="K138" i="2"/>
  <c r="D138" i="2"/>
  <c r="E138" i="2"/>
  <c r="W138" i="2" s="1"/>
  <c r="G138" i="2"/>
  <c r="L138" i="2"/>
  <c r="M138" i="2"/>
  <c r="B138" i="2"/>
  <c r="C138" i="2"/>
  <c r="F138" i="2"/>
  <c r="C68" i="6"/>
  <c r="B68" i="6"/>
  <c r="A69" i="6"/>
  <c r="F68" i="6"/>
  <c r="J68" i="6"/>
  <c r="G68" i="6"/>
  <c r="E68" i="6"/>
  <c r="S68" i="6" s="1"/>
  <c r="D68" i="6"/>
  <c r="Z137" i="2" l="1"/>
  <c r="AD137" i="2" s="1"/>
  <c r="T68" i="6"/>
  <c r="U68" i="6"/>
  <c r="V68" i="6"/>
  <c r="A140" i="2"/>
  <c r="E139" i="2"/>
  <c r="W139" i="2" s="1"/>
  <c r="F139" i="2"/>
  <c r="K139" i="2"/>
  <c r="B139" i="2"/>
  <c r="L139" i="2"/>
  <c r="M139" i="2"/>
  <c r="C139" i="2"/>
  <c r="D139" i="2"/>
  <c r="G139" i="2"/>
  <c r="J139" i="2"/>
  <c r="AA138" i="2"/>
  <c r="Y138" i="2"/>
  <c r="X138" i="2"/>
  <c r="AB138" i="2"/>
  <c r="AC138" i="2"/>
  <c r="C69" i="6"/>
  <c r="B69" i="6"/>
  <c r="A70" i="6"/>
  <c r="F69" i="6"/>
  <c r="D69" i="6"/>
  <c r="J69" i="6"/>
  <c r="G69" i="6"/>
  <c r="E69" i="6"/>
  <c r="S69" i="6" s="1"/>
  <c r="T69" i="6" l="1"/>
  <c r="U69" i="6"/>
  <c r="V69" i="6"/>
  <c r="Z138" i="2"/>
  <c r="AD138" i="2" s="1"/>
  <c r="W68" i="6"/>
  <c r="X139" i="2"/>
  <c r="Y139" i="2"/>
  <c r="Z139" i="2" s="1"/>
  <c r="AB139" i="2"/>
  <c r="AA139" i="2"/>
  <c r="AC139" i="2"/>
  <c r="A141" i="2"/>
  <c r="D140" i="2"/>
  <c r="E140" i="2"/>
  <c r="W140" i="2" s="1"/>
  <c r="J140" i="2"/>
  <c r="K140" i="2"/>
  <c r="C140" i="2"/>
  <c r="F140" i="2"/>
  <c r="G140" i="2"/>
  <c r="M140" i="2"/>
  <c r="B140" i="2"/>
  <c r="L140" i="2"/>
  <c r="C70" i="6"/>
  <c r="B70" i="6"/>
  <c r="A71" i="6"/>
  <c r="F70" i="6"/>
  <c r="J70" i="6"/>
  <c r="G70" i="6"/>
  <c r="E70" i="6"/>
  <c r="S70" i="6" s="1"/>
  <c r="D70" i="6"/>
  <c r="V70" i="6" l="1"/>
  <c r="U70" i="6"/>
  <c r="T70" i="6"/>
  <c r="W69" i="6"/>
  <c r="A142" i="2"/>
  <c r="C141" i="2"/>
  <c r="M141" i="2"/>
  <c r="D141" i="2"/>
  <c r="G141" i="2"/>
  <c r="J141" i="2"/>
  <c r="E141" i="2"/>
  <c r="W141" i="2" s="1"/>
  <c r="F141" i="2"/>
  <c r="K141" i="2"/>
  <c r="B141" i="2"/>
  <c r="L141" i="2"/>
  <c r="AD139" i="2"/>
  <c r="AC140" i="2"/>
  <c r="X140" i="2"/>
  <c r="Y140" i="2"/>
  <c r="AA140" i="2"/>
  <c r="AB140" i="2"/>
  <c r="C71" i="6"/>
  <c r="B71" i="6"/>
  <c r="A72" i="6"/>
  <c r="F71" i="6"/>
  <c r="D71" i="6"/>
  <c r="G71" i="6"/>
  <c r="E71" i="6"/>
  <c r="S71" i="6" s="1"/>
  <c r="J71" i="6"/>
  <c r="W70" i="6" l="1"/>
  <c r="T71" i="6"/>
  <c r="U71" i="6"/>
  <c r="V71" i="6"/>
  <c r="AC141" i="2"/>
  <c r="AB141" i="2"/>
  <c r="X141" i="2"/>
  <c r="AA141" i="2"/>
  <c r="Y141" i="2"/>
  <c r="Z140" i="2"/>
  <c r="AD140" i="2" s="1"/>
  <c r="A143" i="2"/>
  <c r="B142" i="2"/>
  <c r="L142" i="2"/>
  <c r="C142" i="2"/>
  <c r="M142" i="2"/>
  <c r="F142" i="2"/>
  <c r="G142" i="2"/>
  <c r="E142" i="2"/>
  <c r="W142" i="2" s="1"/>
  <c r="J142" i="2"/>
  <c r="K142" i="2"/>
  <c r="D142" i="2"/>
  <c r="C72" i="6"/>
  <c r="B72" i="6"/>
  <c r="A73" i="6"/>
  <c r="F72" i="6"/>
  <c r="J72" i="6"/>
  <c r="G72" i="6"/>
  <c r="E72" i="6"/>
  <c r="S72" i="6" s="1"/>
  <c r="D72" i="6"/>
  <c r="V72" i="6" l="1"/>
  <c r="U72" i="6"/>
  <c r="T72" i="6"/>
  <c r="W71" i="6"/>
  <c r="Z141" i="2"/>
  <c r="AD141" i="2" s="1"/>
  <c r="Y142" i="2"/>
  <c r="AA142" i="2"/>
  <c r="AB142" i="2"/>
  <c r="AC142" i="2"/>
  <c r="X142" i="2"/>
  <c r="A144" i="2"/>
  <c r="K143" i="2"/>
  <c r="B143" i="2"/>
  <c r="L143" i="2"/>
  <c r="E143" i="2"/>
  <c r="W143" i="2" s="1"/>
  <c r="F143" i="2"/>
  <c r="C143" i="2"/>
  <c r="G143" i="2"/>
  <c r="J143" i="2"/>
  <c r="M143" i="2"/>
  <c r="D143" i="2"/>
  <c r="C73" i="6"/>
  <c r="B73" i="6"/>
  <c r="A74" i="6"/>
  <c r="F73" i="6"/>
  <c r="D73" i="6"/>
  <c r="J73" i="6"/>
  <c r="G73" i="6"/>
  <c r="E73" i="6"/>
  <c r="S73" i="6" s="1"/>
  <c r="V73" i="6" l="1"/>
  <c r="T73" i="6"/>
  <c r="U73" i="6"/>
  <c r="W72" i="6"/>
  <c r="Z142" i="2"/>
  <c r="AD142" i="2" s="1"/>
  <c r="X143" i="2"/>
  <c r="Y143" i="2"/>
  <c r="AC143" i="2"/>
  <c r="AB143" i="2"/>
  <c r="AA143" i="2"/>
  <c r="A145" i="2"/>
  <c r="F144" i="2"/>
  <c r="K144" i="2"/>
  <c r="B144" i="2"/>
  <c r="L144" i="2"/>
  <c r="C144" i="2"/>
  <c r="D144" i="2"/>
  <c r="E144" i="2"/>
  <c r="W144" i="2" s="1"/>
  <c r="J144" i="2"/>
  <c r="M144" i="2"/>
  <c r="G144" i="2"/>
  <c r="C74" i="6"/>
  <c r="B74" i="6"/>
  <c r="A75" i="6"/>
  <c r="F74" i="6"/>
  <c r="J74" i="6"/>
  <c r="G74" i="6"/>
  <c r="E74" i="6"/>
  <c r="S74" i="6" s="1"/>
  <c r="D74" i="6"/>
  <c r="W73" i="6" l="1"/>
  <c r="V74" i="6"/>
  <c r="U74" i="6"/>
  <c r="T74" i="6"/>
  <c r="W74" i="6" s="1"/>
  <c r="A146" i="2"/>
  <c r="D145" i="2"/>
  <c r="G145" i="2"/>
  <c r="J145" i="2"/>
  <c r="E145" i="2"/>
  <c r="W145" i="2" s="1"/>
  <c r="F145" i="2"/>
  <c r="K145" i="2"/>
  <c r="M145" i="2"/>
  <c r="B145" i="2"/>
  <c r="C145" i="2"/>
  <c r="L145" i="2"/>
  <c r="AC144" i="2"/>
  <c r="X144" i="2"/>
  <c r="AA144" i="2"/>
  <c r="Y144" i="2"/>
  <c r="AB144" i="2"/>
  <c r="Z143" i="2"/>
  <c r="AD143" i="2" s="1"/>
  <c r="C75" i="6"/>
  <c r="B75" i="6"/>
  <c r="A76" i="6"/>
  <c r="F75" i="6"/>
  <c r="D75" i="6"/>
  <c r="G75" i="6"/>
  <c r="E75" i="6"/>
  <c r="S75" i="6" s="1"/>
  <c r="J75" i="6"/>
  <c r="T75" i="6" l="1"/>
  <c r="U75" i="6"/>
  <c r="V75" i="6"/>
  <c r="AB145" i="2"/>
  <c r="X145" i="2"/>
  <c r="AC145" i="2"/>
  <c r="Y145" i="2"/>
  <c r="AA145" i="2"/>
  <c r="Z144" i="2"/>
  <c r="AD144" i="2" s="1"/>
  <c r="A147" i="2"/>
  <c r="B146" i="2"/>
  <c r="L146" i="2"/>
  <c r="E146" i="2"/>
  <c r="W146" i="2" s="1"/>
  <c r="F146" i="2"/>
  <c r="J146" i="2"/>
  <c r="K146" i="2"/>
  <c r="M146" i="2"/>
  <c r="C146" i="2"/>
  <c r="D146" i="2"/>
  <c r="G146" i="2"/>
  <c r="C76" i="6"/>
  <c r="B76" i="6"/>
  <c r="A77" i="6"/>
  <c r="F76" i="6"/>
  <c r="J76" i="6"/>
  <c r="G76" i="6"/>
  <c r="E76" i="6"/>
  <c r="S76" i="6" s="1"/>
  <c r="D76" i="6"/>
  <c r="T76" i="6" l="1"/>
  <c r="U76" i="6"/>
  <c r="V76" i="6"/>
  <c r="W75" i="6"/>
  <c r="A148" i="2"/>
  <c r="G147" i="2"/>
  <c r="B147" i="2"/>
  <c r="L147" i="2"/>
  <c r="C147" i="2"/>
  <c r="M147" i="2"/>
  <c r="E147" i="2"/>
  <c r="W147" i="2" s="1"/>
  <c r="F147" i="2"/>
  <c r="J147" i="2"/>
  <c r="K147" i="2"/>
  <c r="D147" i="2"/>
  <c r="AA146" i="2"/>
  <c r="AC146" i="2"/>
  <c r="Y146" i="2"/>
  <c r="X146" i="2"/>
  <c r="Z146" i="2" s="1"/>
  <c r="AB146" i="2"/>
  <c r="Z145" i="2"/>
  <c r="AD145" i="2" s="1"/>
  <c r="C77" i="6"/>
  <c r="B77" i="6"/>
  <c r="A78" i="6"/>
  <c r="F77" i="6"/>
  <c r="D77" i="6"/>
  <c r="J77" i="6"/>
  <c r="G77" i="6"/>
  <c r="E77" i="6"/>
  <c r="S77" i="6" s="1"/>
  <c r="T77" i="6" l="1"/>
  <c r="U77" i="6"/>
  <c r="V77" i="6"/>
  <c r="W76" i="6"/>
  <c r="X147" i="2"/>
  <c r="AA147" i="2"/>
  <c r="Y147" i="2"/>
  <c r="AB147" i="2"/>
  <c r="AC147" i="2"/>
  <c r="AD146" i="2"/>
  <c r="A149" i="2"/>
  <c r="F148" i="2"/>
  <c r="K148" i="2"/>
  <c r="B148" i="2"/>
  <c r="L148" i="2"/>
  <c r="D148" i="2"/>
  <c r="E148" i="2"/>
  <c r="W148" i="2" s="1"/>
  <c r="G148" i="2"/>
  <c r="M148" i="2"/>
  <c r="J148" i="2"/>
  <c r="C148" i="2"/>
  <c r="C78" i="6"/>
  <c r="B78" i="6"/>
  <c r="A79" i="6"/>
  <c r="F78" i="6"/>
  <c r="J78" i="6"/>
  <c r="G78" i="6"/>
  <c r="E78" i="6"/>
  <c r="S78" i="6" s="1"/>
  <c r="D78" i="6"/>
  <c r="W77" i="6" l="1"/>
  <c r="Z147" i="2"/>
  <c r="U78" i="6"/>
  <c r="V78" i="6"/>
  <c r="T78" i="6"/>
  <c r="Y148" i="2"/>
  <c r="AA148" i="2"/>
  <c r="AC148" i="2"/>
  <c r="X148" i="2"/>
  <c r="Z148" i="2" s="1"/>
  <c r="AB148" i="2"/>
  <c r="AD147" i="2"/>
  <c r="A150" i="2"/>
  <c r="E149" i="2"/>
  <c r="W149" i="2" s="1"/>
  <c r="J149" i="2"/>
  <c r="K149" i="2"/>
  <c r="G149" i="2"/>
  <c r="L149" i="2"/>
  <c r="M149" i="2"/>
  <c r="B149" i="2"/>
  <c r="C149" i="2"/>
  <c r="F149" i="2"/>
  <c r="D149" i="2"/>
  <c r="C79" i="6"/>
  <c r="B79" i="6"/>
  <c r="A80" i="6"/>
  <c r="F79" i="6"/>
  <c r="D79" i="6"/>
  <c r="G79" i="6"/>
  <c r="E79" i="6"/>
  <c r="S79" i="6" s="1"/>
  <c r="J79" i="6"/>
  <c r="W78" i="6" l="1"/>
  <c r="T79" i="6"/>
  <c r="U79" i="6"/>
  <c r="V79" i="6"/>
  <c r="AD148" i="2"/>
  <c r="AC149" i="2"/>
  <c r="X149" i="2"/>
  <c r="Y149" i="2"/>
  <c r="AB149" i="2"/>
  <c r="AA149" i="2"/>
  <c r="A151" i="2"/>
  <c r="G150" i="2"/>
  <c r="J150" i="2"/>
  <c r="M150" i="2"/>
  <c r="B150" i="2"/>
  <c r="C150" i="2"/>
  <c r="E150" i="2"/>
  <c r="W150" i="2" s="1"/>
  <c r="F150" i="2"/>
  <c r="K150" i="2"/>
  <c r="L150" i="2"/>
  <c r="D150" i="2"/>
  <c r="C80" i="6"/>
  <c r="B80" i="6"/>
  <c r="A81" i="6"/>
  <c r="F80" i="6"/>
  <c r="J80" i="6"/>
  <c r="G80" i="6"/>
  <c r="E80" i="6"/>
  <c r="S80" i="6" s="1"/>
  <c r="D80" i="6"/>
  <c r="W79" i="6" l="1"/>
  <c r="V80" i="6"/>
  <c r="T80" i="6"/>
  <c r="U80" i="6"/>
  <c r="Y150" i="2"/>
  <c r="AA150" i="2"/>
  <c r="AC150" i="2"/>
  <c r="AB150" i="2"/>
  <c r="X150" i="2"/>
  <c r="A152" i="2"/>
  <c r="F151" i="2"/>
  <c r="G151" i="2"/>
  <c r="B151" i="2"/>
  <c r="C151" i="2"/>
  <c r="D151" i="2"/>
  <c r="J151" i="2"/>
  <c r="K151" i="2"/>
  <c r="E151" i="2"/>
  <c r="W151" i="2" s="1"/>
  <c r="L151" i="2"/>
  <c r="M151" i="2"/>
  <c r="Z149" i="2"/>
  <c r="AD149" i="2" s="1"/>
  <c r="C81" i="6"/>
  <c r="B81" i="6"/>
  <c r="A82" i="6"/>
  <c r="F81" i="6"/>
  <c r="D81" i="6"/>
  <c r="J81" i="6"/>
  <c r="G81" i="6"/>
  <c r="E81" i="6"/>
  <c r="S81" i="6" s="1"/>
  <c r="Z150" i="2" l="1"/>
  <c r="AD150" i="2" s="1"/>
  <c r="W80" i="6"/>
  <c r="V81" i="6"/>
  <c r="T81" i="6"/>
  <c r="U81" i="6"/>
  <c r="X151" i="2"/>
  <c r="Y151" i="2"/>
  <c r="AB151" i="2"/>
  <c r="AA151" i="2"/>
  <c r="AC151" i="2"/>
  <c r="A153" i="2"/>
  <c r="B152" i="2"/>
  <c r="L152" i="2"/>
  <c r="C152" i="2"/>
  <c r="M152" i="2"/>
  <c r="D152" i="2"/>
  <c r="E152" i="2"/>
  <c r="W152" i="2" s="1"/>
  <c r="F152" i="2"/>
  <c r="J152" i="2"/>
  <c r="K152" i="2"/>
  <c r="G152" i="2"/>
  <c r="C82" i="6"/>
  <c r="B82" i="6"/>
  <c r="A83" i="6"/>
  <c r="F82" i="6"/>
  <c r="J82" i="6"/>
  <c r="G82" i="6"/>
  <c r="E82" i="6"/>
  <c r="S82" i="6" s="1"/>
  <c r="D82" i="6"/>
  <c r="W81" i="6" l="1"/>
  <c r="V82" i="6"/>
  <c r="U82" i="6"/>
  <c r="T82" i="6"/>
  <c r="W82" i="6" s="1"/>
  <c r="Y152" i="2"/>
  <c r="AB152" i="2"/>
  <c r="AC152" i="2"/>
  <c r="X152" i="2"/>
  <c r="Z152" i="2" s="1"/>
  <c r="AA152" i="2"/>
  <c r="A154" i="2"/>
  <c r="G153" i="2"/>
  <c r="J153" i="2"/>
  <c r="C153" i="2"/>
  <c r="D153" i="2"/>
  <c r="E153" i="2"/>
  <c r="W153" i="2" s="1"/>
  <c r="K153" i="2"/>
  <c r="L153" i="2"/>
  <c r="B153" i="2"/>
  <c r="F153" i="2"/>
  <c r="M153" i="2"/>
  <c r="Z151" i="2"/>
  <c r="AD151" i="2" s="1"/>
  <c r="C83" i="6"/>
  <c r="B83" i="6"/>
  <c r="A84" i="6"/>
  <c r="F83" i="6"/>
  <c r="D83" i="6"/>
  <c r="G83" i="6"/>
  <c r="E83" i="6"/>
  <c r="S83" i="6" s="1"/>
  <c r="J83" i="6"/>
  <c r="T83" i="6" l="1"/>
  <c r="V83" i="6"/>
  <c r="U83" i="6"/>
  <c r="A155" i="2"/>
  <c r="E154" i="2"/>
  <c r="W154" i="2" s="1"/>
  <c r="F154" i="2"/>
  <c r="C154" i="2"/>
  <c r="D154" i="2"/>
  <c r="G154" i="2"/>
  <c r="K154" i="2"/>
  <c r="L154" i="2"/>
  <c r="J154" i="2"/>
  <c r="M154" i="2"/>
  <c r="B154" i="2"/>
  <c r="AA153" i="2"/>
  <c r="AB153" i="2"/>
  <c r="AC153" i="2"/>
  <c r="X153" i="2"/>
  <c r="Y153" i="2"/>
  <c r="AD152" i="2"/>
  <c r="C84" i="6"/>
  <c r="B84" i="6"/>
  <c r="A85" i="6"/>
  <c r="F84" i="6"/>
  <c r="J84" i="6"/>
  <c r="G84" i="6"/>
  <c r="E84" i="6"/>
  <c r="S84" i="6" s="1"/>
  <c r="D84" i="6"/>
  <c r="T84" i="6" l="1"/>
  <c r="U84" i="6"/>
  <c r="V84" i="6"/>
  <c r="W83" i="6"/>
  <c r="Z153" i="2"/>
  <c r="AD153" i="2" s="1"/>
  <c r="AA154" i="2"/>
  <c r="Y154" i="2"/>
  <c r="AB154" i="2"/>
  <c r="AC154" i="2"/>
  <c r="X154" i="2"/>
  <c r="A156" i="2"/>
  <c r="D155" i="2"/>
  <c r="E155" i="2"/>
  <c r="W155" i="2" s="1"/>
  <c r="F155" i="2"/>
  <c r="G155" i="2"/>
  <c r="J155" i="2"/>
  <c r="L155" i="2"/>
  <c r="M155" i="2"/>
  <c r="B155" i="2"/>
  <c r="C155" i="2"/>
  <c r="K155" i="2"/>
  <c r="C85" i="6"/>
  <c r="B85" i="6"/>
  <c r="A86" i="6"/>
  <c r="F85" i="6"/>
  <c r="D85" i="6"/>
  <c r="G85" i="6"/>
  <c r="E85" i="6"/>
  <c r="S85" i="6" s="1"/>
  <c r="J85" i="6"/>
  <c r="V85" i="6" l="1"/>
  <c r="U85" i="6"/>
  <c r="T85" i="6"/>
  <c r="W85" i="6" s="1"/>
  <c r="Z154" i="2"/>
  <c r="AD154" i="2" s="1"/>
  <c r="W84" i="6"/>
  <c r="A157" i="2"/>
  <c r="C156" i="2"/>
  <c r="M156" i="2"/>
  <c r="D156" i="2"/>
  <c r="J156" i="2"/>
  <c r="K156" i="2"/>
  <c r="L156" i="2"/>
  <c r="B156" i="2"/>
  <c r="E156" i="2"/>
  <c r="W156" i="2" s="1"/>
  <c r="F156" i="2"/>
  <c r="G156" i="2"/>
  <c r="X155" i="2"/>
  <c r="AC155" i="2"/>
  <c r="Y155" i="2"/>
  <c r="Z155" i="2" s="1"/>
  <c r="AA155" i="2"/>
  <c r="AB155" i="2"/>
  <c r="C86" i="6"/>
  <c r="B86" i="6"/>
  <c r="A87" i="6"/>
  <c r="F86" i="6"/>
  <c r="J86" i="6"/>
  <c r="G86" i="6"/>
  <c r="E86" i="6"/>
  <c r="S86" i="6" s="1"/>
  <c r="D86" i="6"/>
  <c r="V86" i="6" l="1"/>
  <c r="T86" i="6"/>
  <c r="W86" i="6" s="1"/>
  <c r="U86" i="6"/>
  <c r="AD155" i="2"/>
  <c r="Y156" i="2"/>
  <c r="X156" i="2"/>
  <c r="AC156" i="2"/>
  <c r="AB156" i="2"/>
  <c r="AA156" i="2"/>
  <c r="A158" i="2"/>
  <c r="J157" i="2"/>
  <c r="K157" i="2"/>
  <c r="F157" i="2"/>
  <c r="G157" i="2"/>
  <c r="L157" i="2"/>
  <c r="B157" i="2"/>
  <c r="C157" i="2"/>
  <c r="D157" i="2"/>
  <c r="E157" i="2"/>
  <c r="W157" i="2" s="1"/>
  <c r="M157" i="2"/>
  <c r="C87" i="6"/>
  <c r="B87" i="6"/>
  <c r="A88" i="6"/>
  <c r="F87" i="6"/>
  <c r="D87" i="6"/>
  <c r="J87" i="6"/>
  <c r="G87" i="6"/>
  <c r="E87" i="6"/>
  <c r="S87" i="6" s="1"/>
  <c r="Z156" i="2" l="1"/>
  <c r="AD156" i="2" s="1"/>
  <c r="T87" i="6"/>
  <c r="V87" i="6"/>
  <c r="U87" i="6"/>
  <c r="A159" i="2"/>
  <c r="G158" i="2"/>
  <c r="J158" i="2"/>
  <c r="K158" i="2"/>
  <c r="L158" i="2"/>
  <c r="M158" i="2"/>
  <c r="C158" i="2"/>
  <c r="D158" i="2"/>
  <c r="B158" i="2"/>
  <c r="E158" i="2"/>
  <c r="W158" i="2" s="1"/>
  <c r="F158" i="2"/>
  <c r="AC157" i="2"/>
  <c r="X157" i="2"/>
  <c r="AA157" i="2"/>
  <c r="Y157" i="2"/>
  <c r="AB157" i="2"/>
  <c r="C88" i="6"/>
  <c r="B88" i="6"/>
  <c r="A89" i="6"/>
  <c r="F88" i="6"/>
  <c r="J88" i="6"/>
  <c r="G88" i="6"/>
  <c r="E88" i="6"/>
  <c r="S88" i="6" s="1"/>
  <c r="D88" i="6"/>
  <c r="W87" i="6" l="1"/>
  <c r="V88" i="6"/>
  <c r="U88" i="6"/>
  <c r="T88" i="6"/>
  <c r="Z157" i="2"/>
  <c r="AD157" i="2" s="1"/>
  <c r="AA158" i="2"/>
  <c r="AC158" i="2"/>
  <c r="AB158" i="2"/>
  <c r="X158" i="2"/>
  <c r="Z158" i="2" s="1"/>
  <c r="Y158" i="2"/>
  <c r="A160" i="2"/>
  <c r="E159" i="2"/>
  <c r="W159" i="2" s="1"/>
  <c r="F159" i="2"/>
  <c r="K159" i="2"/>
  <c r="L159" i="2"/>
  <c r="M159" i="2"/>
  <c r="C159" i="2"/>
  <c r="D159" i="2"/>
  <c r="J159" i="2"/>
  <c r="B159" i="2"/>
  <c r="G159" i="2"/>
  <c r="C89" i="6"/>
  <c r="B89" i="6"/>
  <c r="A90" i="6"/>
  <c r="F89" i="6"/>
  <c r="D89" i="6"/>
  <c r="J89" i="6"/>
  <c r="G89" i="6"/>
  <c r="E89" i="6"/>
  <c r="S89" i="6" s="1"/>
  <c r="V89" i="6" l="1"/>
  <c r="T89" i="6"/>
  <c r="U89" i="6"/>
  <c r="W88" i="6"/>
  <c r="A161" i="2"/>
  <c r="J160" i="2"/>
  <c r="K160" i="2"/>
  <c r="E160" i="2"/>
  <c r="W160" i="2" s="1"/>
  <c r="F160" i="2"/>
  <c r="G160" i="2"/>
  <c r="M160" i="2"/>
  <c r="B160" i="2"/>
  <c r="C160" i="2"/>
  <c r="D160" i="2"/>
  <c r="L160" i="2"/>
  <c r="AD158" i="2"/>
  <c r="X159" i="2"/>
  <c r="Y159" i="2"/>
  <c r="AB159" i="2"/>
  <c r="AC159" i="2"/>
  <c r="AA159" i="2"/>
  <c r="C90" i="6"/>
  <c r="B90" i="6"/>
  <c r="A91" i="6"/>
  <c r="F90" i="6"/>
  <c r="J90" i="6"/>
  <c r="G90" i="6"/>
  <c r="E90" i="6"/>
  <c r="S90" i="6" s="1"/>
  <c r="D90" i="6"/>
  <c r="W89" i="6" l="1"/>
  <c r="T90" i="6"/>
  <c r="U90" i="6"/>
  <c r="V90" i="6"/>
  <c r="Z159" i="2"/>
  <c r="AD159" i="2" s="1"/>
  <c r="Y160" i="2"/>
  <c r="AB160" i="2"/>
  <c r="AC160" i="2"/>
  <c r="X160" i="2"/>
  <c r="AA160" i="2"/>
  <c r="A162" i="2"/>
  <c r="E161" i="2"/>
  <c r="W161" i="2" s="1"/>
  <c r="F161" i="2"/>
  <c r="D161" i="2"/>
  <c r="G161" i="2"/>
  <c r="J161" i="2"/>
  <c r="L161" i="2"/>
  <c r="M161" i="2"/>
  <c r="K161" i="2"/>
  <c r="B161" i="2"/>
  <c r="C161" i="2"/>
  <c r="C91" i="6"/>
  <c r="B91" i="6"/>
  <c r="A92" i="6"/>
  <c r="F91" i="6"/>
  <c r="D91" i="6"/>
  <c r="G91" i="6"/>
  <c r="E91" i="6"/>
  <c r="S91" i="6" s="1"/>
  <c r="J91" i="6"/>
  <c r="U91" i="6" l="1"/>
  <c r="T91" i="6"/>
  <c r="V91" i="6"/>
  <c r="Z160" i="2"/>
  <c r="AD160" i="2" s="1"/>
  <c r="W90" i="6"/>
  <c r="Y161" i="2"/>
  <c r="AA161" i="2"/>
  <c r="X161" i="2"/>
  <c r="Z161" i="2" s="1"/>
  <c r="AB161" i="2"/>
  <c r="AC161" i="2"/>
  <c r="A163" i="2"/>
  <c r="K162" i="2"/>
  <c r="B162" i="2"/>
  <c r="L162" i="2"/>
  <c r="D162" i="2"/>
  <c r="E162" i="2"/>
  <c r="W162" i="2" s="1"/>
  <c r="F162" i="2"/>
  <c r="J162" i="2"/>
  <c r="M162" i="2"/>
  <c r="C162" i="2"/>
  <c r="G162" i="2"/>
  <c r="C92" i="6"/>
  <c r="B92" i="6"/>
  <c r="A93" i="6"/>
  <c r="G92" i="6"/>
  <c r="F92" i="6"/>
  <c r="J92" i="6"/>
  <c r="E92" i="6"/>
  <c r="S92" i="6" s="1"/>
  <c r="D92" i="6"/>
  <c r="T92" i="6" l="1"/>
  <c r="V92" i="6"/>
  <c r="U92" i="6"/>
  <c r="W91" i="6"/>
  <c r="A164" i="2"/>
  <c r="J163" i="2"/>
  <c r="K163" i="2"/>
  <c r="E163" i="2"/>
  <c r="W163" i="2" s="1"/>
  <c r="F163" i="2"/>
  <c r="G163" i="2"/>
  <c r="M163" i="2"/>
  <c r="B163" i="2"/>
  <c r="C163" i="2"/>
  <c r="D163" i="2"/>
  <c r="L163" i="2"/>
  <c r="X162" i="2"/>
  <c r="Y162" i="2"/>
  <c r="AB162" i="2"/>
  <c r="AA162" i="2"/>
  <c r="AC162" i="2"/>
  <c r="AD161" i="2"/>
  <c r="C93" i="6"/>
  <c r="B93" i="6"/>
  <c r="A94" i="6"/>
  <c r="G93" i="6"/>
  <c r="F93" i="6"/>
  <c r="E93" i="6"/>
  <c r="S93" i="6" s="1"/>
  <c r="D93" i="6"/>
  <c r="J93" i="6"/>
  <c r="W92" i="6" l="1"/>
  <c r="T93" i="6"/>
  <c r="U93" i="6"/>
  <c r="V93" i="6"/>
  <c r="Z162" i="2"/>
  <c r="AD162" i="2" s="1"/>
  <c r="AA163" i="2"/>
  <c r="X163" i="2"/>
  <c r="AC163" i="2"/>
  <c r="AB163" i="2"/>
  <c r="Y163" i="2"/>
  <c r="A165" i="2"/>
  <c r="G164" i="2"/>
  <c r="J164" i="2"/>
  <c r="F164" i="2"/>
  <c r="K164" i="2"/>
  <c r="L164" i="2"/>
  <c r="B164" i="2"/>
  <c r="C164" i="2"/>
  <c r="D164" i="2"/>
  <c r="E164" i="2"/>
  <c r="W164" i="2" s="1"/>
  <c r="M164" i="2"/>
  <c r="C94" i="6"/>
  <c r="B94" i="6"/>
  <c r="A95" i="6"/>
  <c r="G94" i="6"/>
  <c r="F94" i="6"/>
  <c r="E94" i="6"/>
  <c r="S94" i="6" s="1"/>
  <c r="J94" i="6"/>
  <c r="D94" i="6"/>
  <c r="V94" i="6" l="1"/>
  <c r="T94" i="6"/>
  <c r="U94" i="6"/>
  <c r="Z163" i="2"/>
  <c r="AD163" i="2" s="1"/>
  <c r="W93" i="6"/>
  <c r="A166" i="2"/>
  <c r="D165" i="2"/>
  <c r="E165" i="2"/>
  <c r="W165" i="2" s="1"/>
  <c r="J165" i="2"/>
  <c r="K165" i="2"/>
  <c r="L165" i="2"/>
  <c r="B165" i="2"/>
  <c r="C165" i="2"/>
  <c r="M165" i="2"/>
  <c r="G165" i="2"/>
  <c r="F165" i="2"/>
  <c r="Y164" i="2"/>
  <c r="AC164" i="2"/>
  <c r="X164" i="2"/>
  <c r="AB164" i="2"/>
  <c r="AA164" i="2"/>
  <c r="D95" i="6"/>
  <c r="C95" i="6"/>
  <c r="B95" i="6"/>
  <c r="A96" i="6"/>
  <c r="G95" i="6"/>
  <c r="F95" i="6"/>
  <c r="J95" i="6"/>
  <c r="E95" i="6"/>
  <c r="S95" i="6" s="1"/>
  <c r="T95" i="6" l="1"/>
  <c r="U95" i="6"/>
  <c r="V95" i="6"/>
  <c r="Z164" i="2"/>
  <c r="AD164" i="2" s="1"/>
  <c r="W94" i="6"/>
  <c r="AB165" i="2"/>
  <c r="AC165" i="2"/>
  <c r="AA165" i="2"/>
  <c r="X165" i="2"/>
  <c r="Y165" i="2"/>
  <c r="A167" i="2"/>
  <c r="B166" i="2"/>
  <c r="L166" i="2"/>
  <c r="C166" i="2"/>
  <c r="M166" i="2"/>
  <c r="K166" i="2"/>
  <c r="E166" i="2"/>
  <c r="W166" i="2" s="1"/>
  <c r="F166" i="2"/>
  <c r="G166" i="2"/>
  <c r="J166" i="2"/>
  <c r="D166" i="2"/>
  <c r="D96" i="6"/>
  <c r="C96" i="6"/>
  <c r="B96" i="6"/>
  <c r="A97" i="6"/>
  <c r="G96" i="6"/>
  <c r="F96" i="6"/>
  <c r="J96" i="6"/>
  <c r="E96" i="6"/>
  <c r="S96" i="6" s="1"/>
  <c r="V96" i="6" l="1"/>
  <c r="U96" i="6"/>
  <c r="T96" i="6"/>
  <c r="W96" i="6" s="1"/>
  <c r="W95" i="6"/>
  <c r="A168" i="2"/>
  <c r="G167" i="2"/>
  <c r="J167" i="2"/>
  <c r="L167" i="2"/>
  <c r="M167" i="2"/>
  <c r="B167" i="2"/>
  <c r="D167" i="2"/>
  <c r="E167" i="2"/>
  <c r="W167" i="2" s="1"/>
  <c r="C167" i="2"/>
  <c r="F167" i="2"/>
  <c r="K167" i="2"/>
  <c r="Y166" i="2"/>
  <c r="AB166" i="2"/>
  <c r="AC166" i="2"/>
  <c r="X166" i="2"/>
  <c r="AA166" i="2"/>
  <c r="Z165" i="2"/>
  <c r="AD165" i="2" s="1"/>
  <c r="D97" i="6"/>
  <c r="C97" i="6"/>
  <c r="B97" i="6"/>
  <c r="A98" i="6"/>
  <c r="G97" i="6"/>
  <c r="F97" i="6"/>
  <c r="J97" i="6"/>
  <c r="E97" i="6"/>
  <c r="S97" i="6" s="1"/>
  <c r="T97" i="6" l="1"/>
  <c r="V97" i="6"/>
  <c r="U97" i="6"/>
  <c r="Z166" i="2"/>
  <c r="AD166" i="2" s="1"/>
  <c r="Y167" i="2"/>
  <c r="AC167" i="2"/>
  <c r="X167" i="2"/>
  <c r="Z167" i="2" s="1"/>
  <c r="AB167" i="2"/>
  <c r="AA167" i="2"/>
  <c r="A169" i="2"/>
  <c r="G168" i="2"/>
  <c r="J168" i="2"/>
  <c r="K168" i="2"/>
  <c r="C168" i="2"/>
  <c r="M168" i="2"/>
  <c r="D168" i="2"/>
  <c r="L168" i="2"/>
  <c r="B168" i="2"/>
  <c r="F168" i="2"/>
  <c r="E168" i="2"/>
  <c r="W168" i="2" s="1"/>
  <c r="D98" i="6"/>
  <c r="C98" i="6"/>
  <c r="B98" i="6"/>
  <c r="A99" i="6"/>
  <c r="G98" i="6"/>
  <c r="F98" i="6"/>
  <c r="J98" i="6"/>
  <c r="E98" i="6"/>
  <c r="S98" i="6" s="1"/>
  <c r="W97" i="6" l="1"/>
  <c r="T98" i="6"/>
  <c r="U98" i="6"/>
  <c r="V98" i="6"/>
  <c r="AD167" i="2"/>
  <c r="A170" i="2"/>
  <c r="E169" i="2"/>
  <c r="W169" i="2" s="1"/>
  <c r="F169" i="2"/>
  <c r="G169" i="2"/>
  <c r="K169" i="2"/>
  <c r="B169" i="2"/>
  <c r="L169" i="2"/>
  <c r="C169" i="2"/>
  <c r="D169" i="2"/>
  <c r="J169" i="2"/>
  <c r="M169" i="2"/>
  <c r="Y168" i="2"/>
  <c r="AC168" i="2"/>
  <c r="X168" i="2"/>
  <c r="AB168" i="2"/>
  <c r="AA168" i="2"/>
  <c r="D99" i="6"/>
  <c r="C99" i="6"/>
  <c r="B99" i="6"/>
  <c r="A100" i="6"/>
  <c r="G99" i="6"/>
  <c r="F99" i="6"/>
  <c r="J99" i="6"/>
  <c r="E99" i="6"/>
  <c r="S99" i="6" s="1"/>
  <c r="T99" i="6" l="1"/>
  <c r="V99" i="6"/>
  <c r="U99" i="6"/>
  <c r="Z168" i="2"/>
  <c r="AD168" i="2" s="1"/>
  <c r="W98" i="6"/>
  <c r="AA169" i="2"/>
  <c r="X169" i="2"/>
  <c r="Y169" i="2"/>
  <c r="AB169" i="2"/>
  <c r="AC169" i="2"/>
  <c r="A171" i="2"/>
  <c r="K170" i="2"/>
  <c r="B170" i="2"/>
  <c r="L170" i="2"/>
  <c r="C170" i="2"/>
  <c r="M170" i="2"/>
  <c r="E170" i="2"/>
  <c r="W170" i="2" s="1"/>
  <c r="F170" i="2"/>
  <c r="D170" i="2"/>
  <c r="G170" i="2"/>
  <c r="J170" i="2"/>
  <c r="D100" i="6"/>
  <c r="C100" i="6"/>
  <c r="B100" i="6"/>
  <c r="A101" i="6"/>
  <c r="G100" i="6"/>
  <c r="F100" i="6"/>
  <c r="J100" i="6"/>
  <c r="E100" i="6"/>
  <c r="S100" i="6" s="1"/>
  <c r="T100" i="6" l="1"/>
  <c r="U100" i="6"/>
  <c r="V100" i="6"/>
  <c r="W99" i="6"/>
  <c r="Z169" i="2"/>
  <c r="AD169" i="2" s="1"/>
  <c r="A172" i="2"/>
  <c r="G171" i="2"/>
  <c r="J171" i="2"/>
  <c r="K171" i="2"/>
  <c r="C171" i="2"/>
  <c r="M171" i="2"/>
  <c r="D171" i="2"/>
  <c r="B171" i="2"/>
  <c r="E171" i="2"/>
  <c r="W171" i="2" s="1"/>
  <c r="F171" i="2"/>
  <c r="L171" i="2"/>
  <c r="AB170" i="2"/>
  <c r="X170" i="2"/>
  <c r="Y170" i="2"/>
  <c r="AA170" i="2"/>
  <c r="AC170" i="2"/>
  <c r="D101" i="6"/>
  <c r="C101" i="6"/>
  <c r="B101" i="6"/>
  <c r="A102" i="6"/>
  <c r="G101" i="6"/>
  <c r="F101" i="6"/>
  <c r="J101" i="6"/>
  <c r="E101" i="6"/>
  <c r="S101" i="6" s="1"/>
  <c r="W100" i="6" l="1"/>
  <c r="U101" i="6"/>
  <c r="V101" i="6"/>
  <c r="T101" i="6"/>
  <c r="Z170" i="2"/>
  <c r="AD170" i="2" s="1"/>
  <c r="AA171" i="2"/>
  <c r="AB171" i="2"/>
  <c r="Y171" i="2"/>
  <c r="X171" i="2"/>
  <c r="AC171" i="2"/>
  <c r="A173" i="2"/>
  <c r="F172" i="2"/>
  <c r="G172" i="2"/>
  <c r="J172" i="2"/>
  <c r="B172" i="2"/>
  <c r="L172" i="2"/>
  <c r="C172" i="2"/>
  <c r="M172" i="2"/>
  <c r="D172" i="2"/>
  <c r="E172" i="2"/>
  <c r="W172" i="2" s="1"/>
  <c r="K172" i="2"/>
  <c r="D102" i="6"/>
  <c r="C102" i="6"/>
  <c r="B102" i="6"/>
  <c r="A103" i="6"/>
  <c r="G102" i="6"/>
  <c r="F102" i="6"/>
  <c r="E102" i="6"/>
  <c r="S102" i="6" s="1"/>
  <c r="J102" i="6"/>
  <c r="W101" i="6" l="1"/>
  <c r="U102" i="6"/>
  <c r="T102" i="6"/>
  <c r="V102" i="6"/>
  <c r="Z171" i="2"/>
  <c r="X172" i="2"/>
  <c r="AC172" i="2"/>
  <c r="Y172" i="2"/>
  <c r="Z172" i="2" s="1"/>
  <c r="AB172" i="2"/>
  <c r="AA172" i="2"/>
  <c r="AD171" i="2"/>
  <c r="A174" i="2"/>
  <c r="E173" i="2"/>
  <c r="W173" i="2" s="1"/>
  <c r="F173" i="2"/>
  <c r="G173" i="2"/>
  <c r="K173" i="2"/>
  <c r="B173" i="2"/>
  <c r="L173" i="2"/>
  <c r="M173" i="2"/>
  <c r="C173" i="2"/>
  <c r="D173" i="2"/>
  <c r="J173" i="2"/>
  <c r="D103" i="6"/>
  <c r="C103" i="6"/>
  <c r="B103" i="6"/>
  <c r="A104" i="6"/>
  <c r="G103" i="6"/>
  <c r="F103" i="6"/>
  <c r="J103" i="6"/>
  <c r="E103" i="6"/>
  <c r="S103" i="6" s="1"/>
  <c r="T103" i="6" l="1"/>
  <c r="U103" i="6"/>
  <c r="V103" i="6"/>
  <c r="W102" i="6"/>
  <c r="AD172" i="2"/>
  <c r="X173" i="2"/>
  <c r="AB173" i="2"/>
  <c r="Y173" i="2"/>
  <c r="Z173" i="2" s="1"/>
  <c r="AA173" i="2"/>
  <c r="AC173" i="2"/>
  <c r="A175" i="2"/>
  <c r="C174" i="2"/>
  <c r="M174" i="2"/>
  <c r="D174" i="2"/>
  <c r="E174" i="2"/>
  <c r="W174" i="2" s="1"/>
  <c r="G174" i="2"/>
  <c r="J174" i="2"/>
  <c r="F174" i="2"/>
  <c r="K174" i="2"/>
  <c r="L174" i="2"/>
  <c r="B174" i="2"/>
  <c r="D104" i="6"/>
  <c r="C104" i="6"/>
  <c r="B104" i="6"/>
  <c r="G104" i="6"/>
  <c r="F104" i="6"/>
  <c r="J104" i="6"/>
  <c r="E104" i="6"/>
  <c r="S104" i="6" s="1"/>
  <c r="V104" i="6" l="1"/>
  <c r="T104" i="6"/>
  <c r="U104" i="6"/>
  <c r="W103" i="6"/>
  <c r="AD173" i="2"/>
  <c r="AC174" i="2"/>
  <c r="AA174" i="2"/>
  <c r="Y174" i="2"/>
  <c r="AB174" i="2"/>
  <c r="X174" i="2"/>
  <c r="A176" i="2"/>
  <c r="G175" i="2"/>
  <c r="J175" i="2"/>
  <c r="K175" i="2"/>
  <c r="C175" i="2"/>
  <c r="M175" i="2"/>
  <c r="D175" i="2"/>
  <c r="B175" i="2"/>
  <c r="E175" i="2"/>
  <c r="W175" i="2" s="1"/>
  <c r="F175" i="2"/>
  <c r="L175" i="2"/>
  <c r="D105" i="6"/>
  <c r="C105" i="6"/>
  <c r="B105" i="6"/>
  <c r="A106" i="6"/>
  <c r="G105" i="6"/>
  <c r="F105" i="6"/>
  <c r="J105" i="6"/>
  <c r="E105" i="6"/>
  <c r="S105" i="6" s="1"/>
  <c r="K106" i="6" l="1"/>
  <c r="L106" i="6"/>
  <c r="V105" i="6"/>
  <c r="T105" i="6"/>
  <c r="U105" i="6"/>
  <c r="Z174" i="2"/>
  <c r="AD174" i="2" s="1"/>
  <c r="W104" i="6"/>
  <c r="Y175" i="2"/>
  <c r="AC175" i="2"/>
  <c r="AA175" i="2"/>
  <c r="AB175" i="2"/>
  <c r="X175" i="2"/>
  <c r="A177" i="2"/>
  <c r="G176" i="2"/>
  <c r="J176" i="2"/>
  <c r="K176" i="2"/>
  <c r="C176" i="2"/>
  <c r="M176" i="2"/>
  <c r="D176" i="2"/>
  <c r="F176" i="2"/>
  <c r="L176" i="2"/>
  <c r="B176" i="2"/>
  <c r="E176" i="2"/>
  <c r="W176" i="2" s="1"/>
  <c r="D106" i="6"/>
  <c r="C106" i="6"/>
  <c r="B106" i="6"/>
  <c r="A107" i="6"/>
  <c r="G106" i="6"/>
  <c r="F106" i="6"/>
  <c r="J106" i="6"/>
  <c r="E106" i="6"/>
  <c r="S106" i="6" s="1"/>
  <c r="W105" i="6" l="1"/>
  <c r="L107" i="6"/>
  <c r="K107" i="6"/>
  <c r="T106" i="6"/>
  <c r="U106" i="6"/>
  <c r="V106" i="6"/>
  <c r="Z175" i="2"/>
  <c r="AD175" i="2" s="1"/>
  <c r="Y176" i="2"/>
  <c r="X176" i="2"/>
  <c r="AA176" i="2"/>
  <c r="AB176" i="2"/>
  <c r="AC176" i="2"/>
  <c r="A178" i="2"/>
  <c r="E177" i="2"/>
  <c r="W177" i="2" s="1"/>
  <c r="F177" i="2"/>
  <c r="G177" i="2"/>
  <c r="K177" i="2"/>
  <c r="B177" i="2"/>
  <c r="L177" i="2"/>
  <c r="C177" i="2"/>
  <c r="D177" i="2"/>
  <c r="J177" i="2"/>
  <c r="M177" i="2"/>
  <c r="D107" i="6"/>
  <c r="C107" i="6"/>
  <c r="B107" i="6"/>
  <c r="A108" i="6"/>
  <c r="G107" i="6"/>
  <c r="F107" i="6"/>
  <c r="J107" i="6"/>
  <c r="E107" i="6"/>
  <c r="S107" i="6" s="1"/>
  <c r="Z176" i="2" l="1"/>
  <c r="L108" i="6"/>
  <c r="K108" i="6"/>
  <c r="U107" i="6"/>
  <c r="T107" i="6"/>
  <c r="V107" i="6"/>
  <c r="W106" i="6"/>
  <c r="A179" i="2"/>
  <c r="B178" i="2"/>
  <c r="L178" i="2"/>
  <c r="C178" i="2"/>
  <c r="M178" i="2"/>
  <c r="D178" i="2"/>
  <c r="F178" i="2"/>
  <c r="G178" i="2"/>
  <c r="E178" i="2"/>
  <c r="W178" i="2" s="1"/>
  <c r="J178" i="2"/>
  <c r="K178" i="2"/>
  <c r="AD176" i="2"/>
  <c r="AA177" i="2"/>
  <c r="X177" i="2"/>
  <c r="Y177" i="2"/>
  <c r="AC177" i="2"/>
  <c r="AB177" i="2"/>
  <c r="D108" i="6"/>
  <c r="C108" i="6"/>
  <c r="B108" i="6"/>
  <c r="A109" i="6"/>
  <c r="G108" i="6"/>
  <c r="F108" i="6"/>
  <c r="J108" i="6"/>
  <c r="E108" i="6"/>
  <c r="S108" i="6" s="1"/>
  <c r="W107" i="6" l="1"/>
  <c r="K109" i="6"/>
  <c r="L109" i="6"/>
  <c r="T108" i="6"/>
  <c r="U108" i="6"/>
  <c r="V108" i="6"/>
  <c r="Z177" i="2"/>
  <c r="AD177" i="2" s="1"/>
  <c r="Y178" i="2"/>
  <c r="AA178" i="2"/>
  <c r="AB178" i="2"/>
  <c r="AC178" i="2"/>
  <c r="X178" i="2"/>
  <c r="A180" i="2"/>
  <c r="K179" i="2"/>
  <c r="B179" i="2"/>
  <c r="L179" i="2"/>
  <c r="C179" i="2"/>
  <c r="M179" i="2"/>
  <c r="E179" i="2"/>
  <c r="W179" i="2" s="1"/>
  <c r="F179" i="2"/>
  <c r="J179" i="2"/>
  <c r="D179" i="2"/>
  <c r="G179" i="2"/>
  <c r="D109" i="6"/>
  <c r="C109" i="6"/>
  <c r="B109" i="6"/>
  <c r="A110" i="6"/>
  <c r="G109" i="6"/>
  <c r="F109" i="6"/>
  <c r="J109" i="6"/>
  <c r="E109" i="6"/>
  <c r="S109" i="6" s="1"/>
  <c r="Z178" i="2" l="1"/>
  <c r="AD178" i="2" s="1"/>
  <c r="L110" i="6"/>
  <c r="K110" i="6"/>
  <c r="T109" i="6"/>
  <c r="U109" i="6"/>
  <c r="V109" i="6"/>
  <c r="W108" i="6"/>
  <c r="A181" i="2"/>
  <c r="F180" i="2"/>
  <c r="G180" i="2"/>
  <c r="J180" i="2"/>
  <c r="B180" i="2"/>
  <c r="L180" i="2"/>
  <c r="C180" i="2"/>
  <c r="M180" i="2"/>
  <c r="D180" i="2"/>
  <c r="E180" i="2"/>
  <c r="W180" i="2" s="1"/>
  <c r="K180" i="2"/>
  <c r="AA179" i="2"/>
  <c r="AC179" i="2"/>
  <c r="AB179" i="2"/>
  <c r="X179" i="2"/>
  <c r="Y179" i="2"/>
  <c r="J110" i="6"/>
  <c r="G110" i="6"/>
  <c r="F110" i="6"/>
  <c r="B110" i="6"/>
  <c r="E110" i="6"/>
  <c r="S110" i="6" s="1"/>
  <c r="D110" i="6"/>
  <c r="C110" i="6"/>
  <c r="A111" i="6"/>
  <c r="W109" i="6" l="1"/>
  <c r="L111" i="6"/>
  <c r="K111" i="6"/>
  <c r="U110" i="6"/>
  <c r="T110" i="6"/>
  <c r="V110" i="6"/>
  <c r="AC180" i="2"/>
  <c r="AB180" i="2"/>
  <c r="AA180" i="2"/>
  <c r="Y180" i="2"/>
  <c r="X180" i="2"/>
  <c r="Z179" i="2"/>
  <c r="AD179" i="2" s="1"/>
  <c r="A182" i="2"/>
  <c r="C181" i="2"/>
  <c r="M181" i="2"/>
  <c r="D181" i="2"/>
  <c r="E181" i="2"/>
  <c r="W181" i="2" s="1"/>
  <c r="G181" i="2"/>
  <c r="J181" i="2"/>
  <c r="B181" i="2"/>
  <c r="F181" i="2"/>
  <c r="K181" i="2"/>
  <c r="L181" i="2"/>
  <c r="J111" i="6"/>
  <c r="G111" i="6"/>
  <c r="F111" i="6"/>
  <c r="B111" i="6"/>
  <c r="A112" i="6"/>
  <c r="D111" i="6"/>
  <c r="C111" i="6"/>
  <c r="E111" i="6"/>
  <c r="S111" i="6" s="1"/>
  <c r="Z180" i="2" l="1"/>
  <c r="AD180" i="2" s="1"/>
  <c r="K112" i="6"/>
  <c r="L112" i="6"/>
  <c r="T111" i="6"/>
  <c r="U111" i="6"/>
  <c r="V111" i="6"/>
  <c r="W110" i="6"/>
  <c r="A183" i="2"/>
  <c r="K182" i="2"/>
  <c r="B182" i="2"/>
  <c r="L182" i="2"/>
  <c r="C182" i="2"/>
  <c r="M182" i="2"/>
  <c r="E182" i="2"/>
  <c r="W182" i="2" s="1"/>
  <c r="F182" i="2"/>
  <c r="G182" i="2"/>
  <c r="J182" i="2"/>
  <c r="D182" i="2"/>
  <c r="Y181" i="2"/>
  <c r="AA181" i="2"/>
  <c r="AC181" i="2"/>
  <c r="AB181" i="2"/>
  <c r="X181" i="2"/>
  <c r="J112" i="6"/>
  <c r="G112" i="6"/>
  <c r="F112" i="6"/>
  <c r="B112" i="6"/>
  <c r="E112" i="6"/>
  <c r="S112" i="6" s="1"/>
  <c r="D112" i="6"/>
  <c r="C112" i="6"/>
  <c r="A113" i="6"/>
  <c r="K113" i="6" l="1"/>
  <c r="L113" i="6"/>
  <c r="Z181" i="2"/>
  <c r="AD181" i="2" s="1"/>
  <c r="W111" i="6"/>
  <c r="V112" i="6"/>
  <c r="T112" i="6"/>
  <c r="U112" i="6"/>
  <c r="X182" i="2"/>
  <c r="AB182" i="2"/>
  <c r="Y182" i="2"/>
  <c r="AA182" i="2"/>
  <c r="AC182" i="2"/>
  <c r="A184" i="2"/>
  <c r="J183" i="2"/>
  <c r="K183" i="2"/>
  <c r="B183" i="2"/>
  <c r="L183" i="2"/>
  <c r="D183" i="2"/>
  <c r="E183" i="2"/>
  <c r="W183" i="2" s="1"/>
  <c r="C183" i="2"/>
  <c r="F183" i="2"/>
  <c r="G183" i="2"/>
  <c r="M183" i="2"/>
  <c r="J113" i="6"/>
  <c r="G113" i="6"/>
  <c r="F113" i="6"/>
  <c r="B113" i="6"/>
  <c r="A114" i="6"/>
  <c r="D113" i="6"/>
  <c r="C113" i="6"/>
  <c r="E113" i="6"/>
  <c r="S113" i="6" s="1"/>
  <c r="L114" i="6" l="1"/>
  <c r="K114" i="6"/>
  <c r="V113" i="6"/>
  <c r="U113" i="6"/>
  <c r="T113" i="6"/>
  <c r="W112" i="6"/>
  <c r="AA183" i="2"/>
  <c r="AC183" i="2"/>
  <c r="X183" i="2"/>
  <c r="Y183" i="2"/>
  <c r="AB183" i="2"/>
  <c r="A185" i="2"/>
  <c r="F184" i="2"/>
  <c r="G184" i="2"/>
  <c r="J184" i="2"/>
  <c r="B184" i="2"/>
  <c r="L184" i="2"/>
  <c r="C184" i="2"/>
  <c r="M184" i="2"/>
  <c r="D184" i="2"/>
  <c r="E184" i="2"/>
  <c r="W184" i="2" s="1"/>
  <c r="K184" i="2"/>
  <c r="Z182" i="2"/>
  <c r="AD182" i="2" s="1"/>
  <c r="J114" i="6"/>
  <c r="G114" i="6"/>
  <c r="F114" i="6"/>
  <c r="B114" i="6"/>
  <c r="E114" i="6"/>
  <c r="S114" i="6" s="1"/>
  <c r="D114" i="6"/>
  <c r="C114" i="6"/>
  <c r="A115" i="6"/>
  <c r="L115" i="6" l="1"/>
  <c r="K115" i="6"/>
  <c r="W113" i="6"/>
  <c r="V114" i="6"/>
  <c r="U114" i="6"/>
  <c r="T114" i="6"/>
  <c r="Y184" i="2"/>
  <c r="X184" i="2"/>
  <c r="Z184" i="2" s="1"/>
  <c r="AB184" i="2"/>
  <c r="AC184" i="2"/>
  <c r="AA184" i="2"/>
  <c r="Z183" i="2"/>
  <c r="AD183" i="2" s="1"/>
  <c r="A186" i="2"/>
  <c r="E185" i="2"/>
  <c r="W185" i="2" s="1"/>
  <c r="F185" i="2"/>
  <c r="G185" i="2"/>
  <c r="K185" i="2"/>
  <c r="B185" i="2"/>
  <c r="L185" i="2"/>
  <c r="D185" i="2"/>
  <c r="J185" i="2"/>
  <c r="M185" i="2"/>
  <c r="C185" i="2"/>
  <c r="J115" i="6"/>
  <c r="G115" i="6"/>
  <c r="F115" i="6"/>
  <c r="B115" i="6"/>
  <c r="A116" i="6"/>
  <c r="D115" i="6"/>
  <c r="C115" i="6"/>
  <c r="E115" i="6"/>
  <c r="S115" i="6" s="1"/>
  <c r="K116" i="6" l="1"/>
  <c r="L116" i="6"/>
  <c r="T115" i="6"/>
  <c r="V115" i="6"/>
  <c r="U115" i="6"/>
  <c r="W114" i="6"/>
  <c r="AD184" i="2"/>
  <c r="Y185" i="2"/>
  <c r="AC185" i="2"/>
  <c r="X185" i="2"/>
  <c r="AB185" i="2"/>
  <c r="AA185" i="2"/>
  <c r="A187" i="2"/>
  <c r="D186" i="2"/>
  <c r="E186" i="2"/>
  <c r="W186" i="2" s="1"/>
  <c r="F186" i="2"/>
  <c r="J186" i="2"/>
  <c r="K186" i="2"/>
  <c r="B186" i="2"/>
  <c r="C186" i="2"/>
  <c r="G186" i="2"/>
  <c r="L186" i="2"/>
  <c r="M186" i="2"/>
  <c r="J116" i="6"/>
  <c r="G116" i="6"/>
  <c r="F116" i="6"/>
  <c r="B116" i="6"/>
  <c r="E116" i="6"/>
  <c r="S116" i="6" s="1"/>
  <c r="D116" i="6"/>
  <c r="C116" i="6"/>
  <c r="A117" i="6"/>
  <c r="Z185" i="2" l="1"/>
  <c r="L117" i="6"/>
  <c r="K117" i="6"/>
  <c r="T116" i="6"/>
  <c r="U116" i="6"/>
  <c r="V116" i="6"/>
  <c r="W116" i="6" s="1"/>
  <c r="AD185" i="2"/>
  <c r="W115" i="6"/>
  <c r="AB186" i="2"/>
  <c r="AC186" i="2"/>
  <c r="X186" i="2"/>
  <c r="Y186" i="2"/>
  <c r="AA186" i="2"/>
  <c r="A188" i="2"/>
  <c r="C187" i="2"/>
  <c r="M187" i="2"/>
  <c r="D187" i="2"/>
  <c r="E187" i="2"/>
  <c r="W187" i="2" s="1"/>
  <c r="G187" i="2"/>
  <c r="J187" i="2"/>
  <c r="L187" i="2"/>
  <c r="B187" i="2"/>
  <c r="F187" i="2"/>
  <c r="K187" i="2"/>
  <c r="J117" i="6"/>
  <c r="G117" i="6"/>
  <c r="F117" i="6"/>
  <c r="B117" i="6"/>
  <c r="A118" i="6"/>
  <c r="D117" i="6"/>
  <c r="C117" i="6"/>
  <c r="E117" i="6"/>
  <c r="S117" i="6" s="1"/>
  <c r="L118" i="6" l="1"/>
  <c r="K118" i="6"/>
  <c r="U117" i="6"/>
  <c r="V117" i="6"/>
  <c r="T117" i="6"/>
  <c r="A189" i="2"/>
  <c r="J188" i="2"/>
  <c r="K188" i="2"/>
  <c r="B188" i="2"/>
  <c r="L188" i="2"/>
  <c r="D188" i="2"/>
  <c r="E188" i="2"/>
  <c r="W188" i="2" s="1"/>
  <c r="C188" i="2"/>
  <c r="F188" i="2"/>
  <c r="G188" i="2"/>
  <c r="M188" i="2"/>
  <c r="Z186" i="2"/>
  <c r="AD186" i="2" s="1"/>
  <c r="AB187" i="2"/>
  <c r="X187" i="2"/>
  <c r="Y187" i="2"/>
  <c r="AA187" i="2"/>
  <c r="AC187" i="2"/>
  <c r="J118" i="6"/>
  <c r="G118" i="6"/>
  <c r="F118" i="6"/>
  <c r="B118" i="6"/>
  <c r="E118" i="6"/>
  <c r="S118" i="6" s="1"/>
  <c r="D118" i="6"/>
  <c r="C118" i="6"/>
  <c r="A119" i="6"/>
  <c r="K119" i="6" l="1"/>
  <c r="L119" i="6"/>
  <c r="W117" i="6"/>
  <c r="U118" i="6"/>
  <c r="V118" i="6"/>
  <c r="T118" i="6"/>
  <c r="W118" i="6" s="1"/>
  <c r="AC188" i="2"/>
  <c r="AB188" i="2"/>
  <c r="AA188" i="2"/>
  <c r="X188" i="2"/>
  <c r="Y188" i="2"/>
  <c r="Z187" i="2"/>
  <c r="AD187" i="2" s="1"/>
  <c r="A190" i="2"/>
  <c r="C189" i="2"/>
  <c r="M189" i="2"/>
  <c r="D189" i="2"/>
  <c r="E189" i="2"/>
  <c r="W189" i="2" s="1"/>
  <c r="G189" i="2"/>
  <c r="J189" i="2"/>
  <c r="B189" i="2"/>
  <c r="F189" i="2"/>
  <c r="K189" i="2"/>
  <c r="L189" i="2"/>
  <c r="J119" i="6"/>
  <c r="G119" i="6"/>
  <c r="F119" i="6"/>
  <c r="B119" i="6"/>
  <c r="A120" i="6"/>
  <c r="D119" i="6"/>
  <c r="C119" i="6"/>
  <c r="E119" i="6"/>
  <c r="S119" i="6" s="1"/>
  <c r="K120" i="6" l="1"/>
  <c r="L120" i="6"/>
  <c r="T119" i="6"/>
  <c r="U119" i="6"/>
  <c r="V119" i="6"/>
  <c r="A191" i="2"/>
  <c r="K190" i="2"/>
  <c r="B190" i="2"/>
  <c r="L190" i="2"/>
  <c r="C190" i="2"/>
  <c r="M190" i="2"/>
  <c r="E190" i="2"/>
  <c r="W190" i="2" s="1"/>
  <c r="F190" i="2"/>
  <c r="D190" i="2"/>
  <c r="G190" i="2"/>
  <c r="J190" i="2"/>
  <c r="Z188" i="2"/>
  <c r="AD188" i="2" s="1"/>
  <c r="Y189" i="2"/>
  <c r="X189" i="2"/>
  <c r="AB189" i="2"/>
  <c r="AA189" i="2"/>
  <c r="AC189" i="2"/>
  <c r="J120" i="6"/>
  <c r="G120" i="6"/>
  <c r="F120" i="6"/>
  <c r="B120" i="6"/>
  <c r="E120" i="6"/>
  <c r="S120" i="6" s="1"/>
  <c r="D120" i="6"/>
  <c r="C120" i="6"/>
  <c r="A121" i="6"/>
  <c r="L121" i="6" l="1"/>
  <c r="K121" i="6"/>
  <c r="W119" i="6"/>
  <c r="V120" i="6"/>
  <c r="T120" i="6"/>
  <c r="U120" i="6"/>
  <c r="Z189" i="2"/>
  <c r="AD189" i="2" s="1"/>
  <c r="X190" i="2"/>
  <c r="Y190" i="2"/>
  <c r="AA190" i="2"/>
  <c r="AB190" i="2"/>
  <c r="AC190" i="2"/>
  <c r="A192" i="2"/>
  <c r="J191" i="2"/>
  <c r="K191" i="2"/>
  <c r="B191" i="2"/>
  <c r="L191" i="2"/>
  <c r="D191" i="2"/>
  <c r="E191" i="2"/>
  <c r="W191" i="2" s="1"/>
  <c r="M191" i="2"/>
  <c r="C191" i="2"/>
  <c r="F191" i="2"/>
  <c r="G191" i="2"/>
  <c r="J121" i="6"/>
  <c r="G121" i="6"/>
  <c r="F121" i="6"/>
  <c r="B121" i="6"/>
  <c r="A122" i="6"/>
  <c r="D121" i="6"/>
  <c r="C121" i="6"/>
  <c r="E121" i="6"/>
  <c r="S121" i="6" s="1"/>
  <c r="K122" i="6" l="1"/>
  <c r="L122" i="6"/>
  <c r="Z190" i="2"/>
  <c r="V121" i="6"/>
  <c r="U121" i="6"/>
  <c r="T121" i="6"/>
  <c r="W121" i="6" s="1"/>
  <c r="W120" i="6"/>
  <c r="AA191" i="2"/>
  <c r="AC191" i="2"/>
  <c r="X191" i="2"/>
  <c r="Z191" i="2" s="1"/>
  <c r="Y191" i="2"/>
  <c r="AB191" i="2"/>
  <c r="A193" i="2"/>
  <c r="J192" i="2"/>
  <c r="C192" i="2"/>
  <c r="D192" i="2"/>
  <c r="B192" i="2"/>
  <c r="E192" i="2"/>
  <c r="W192" i="2" s="1"/>
  <c r="F192" i="2"/>
  <c r="G192" i="2"/>
  <c r="K192" i="2"/>
  <c r="L192" i="2"/>
  <c r="M192" i="2"/>
  <c r="AD190" i="2"/>
  <c r="J122" i="6"/>
  <c r="G122" i="6"/>
  <c r="F122" i="6"/>
  <c r="B122" i="6"/>
  <c r="E122" i="6"/>
  <c r="S122" i="6" s="1"/>
  <c r="D122" i="6"/>
  <c r="C122" i="6"/>
  <c r="A123" i="6"/>
  <c r="K123" i="6" l="1"/>
  <c r="L123" i="6"/>
  <c r="T122" i="6"/>
  <c r="U122" i="6"/>
  <c r="V122" i="6"/>
  <c r="Y192" i="2"/>
  <c r="AB192" i="2"/>
  <c r="AC192" i="2"/>
  <c r="X192" i="2"/>
  <c r="AA192" i="2"/>
  <c r="AD191" i="2"/>
  <c r="A194" i="2"/>
  <c r="D193" i="2"/>
  <c r="E193" i="2"/>
  <c r="W193" i="2" s="1"/>
  <c r="F193" i="2"/>
  <c r="G193" i="2"/>
  <c r="J193" i="2"/>
  <c r="K193" i="2"/>
  <c r="B193" i="2"/>
  <c r="C193" i="2"/>
  <c r="L193" i="2"/>
  <c r="M193" i="2"/>
  <c r="J123" i="6"/>
  <c r="G123" i="6"/>
  <c r="F123" i="6"/>
  <c r="B123" i="6"/>
  <c r="A124" i="6"/>
  <c r="D123" i="6"/>
  <c r="C123" i="6"/>
  <c r="E123" i="6"/>
  <c r="S123" i="6" s="1"/>
  <c r="L124" i="6" l="1"/>
  <c r="K124" i="6"/>
  <c r="W122" i="6"/>
  <c r="U123" i="6"/>
  <c r="T123" i="6"/>
  <c r="V123" i="6"/>
  <c r="A195" i="2"/>
  <c r="K194" i="2"/>
  <c r="B194" i="2"/>
  <c r="L194" i="2"/>
  <c r="C194" i="2"/>
  <c r="M194" i="2"/>
  <c r="D194" i="2"/>
  <c r="E194" i="2"/>
  <c r="W194" i="2" s="1"/>
  <c r="F194" i="2"/>
  <c r="G194" i="2"/>
  <c r="J194" i="2"/>
  <c r="Z192" i="2"/>
  <c r="AD192" i="2" s="1"/>
  <c r="Y193" i="2"/>
  <c r="X193" i="2"/>
  <c r="Z193" i="2" s="1"/>
  <c r="AB193" i="2"/>
  <c r="AC193" i="2"/>
  <c r="AA193" i="2"/>
  <c r="J124" i="6"/>
  <c r="G124" i="6"/>
  <c r="F124" i="6"/>
  <c r="B124" i="6"/>
  <c r="E124" i="6"/>
  <c r="S124" i="6" s="1"/>
  <c r="D124" i="6"/>
  <c r="C124" i="6"/>
  <c r="A125" i="6"/>
  <c r="K125" i="6" l="1"/>
  <c r="L125" i="6"/>
  <c r="T124" i="6"/>
  <c r="U124" i="6"/>
  <c r="V124" i="6"/>
  <c r="W123" i="6"/>
  <c r="AD193" i="2"/>
  <c r="AA194" i="2"/>
  <c r="AB194" i="2"/>
  <c r="AC194" i="2"/>
  <c r="X194" i="2"/>
  <c r="Y194" i="2"/>
  <c r="A196" i="2"/>
  <c r="J195" i="2"/>
  <c r="K195" i="2"/>
  <c r="B195" i="2"/>
  <c r="L195" i="2"/>
  <c r="C195" i="2"/>
  <c r="M195" i="2"/>
  <c r="D195" i="2"/>
  <c r="E195" i="2"/>
  <c r="W195" i="2" s="1"/>
  <c r="F195" i="2"/>
  <c r="G195" i="2"/>
  <c r="J125" i="6"/>
  <c r="G125" i="6"/>
  <c r="F125" i="6"/>
  <c r="B125" i="6"/>
  <c r="A126" i="6"/>
  <c r="D125" i="6"/>
  <c r="C125" i="6"/>
  <c r="E125" i="6"/>
  <c r="S125" i="6" s="1"/>
  <c r="L126" i="6" l="1"/>
  <c r="K126" i="6"/>
  <c r="V125" i="6"/>
  <c r="T125" i="6"/>
  <c r="U125" i="6"/>
  <c r="W124" i="6"/>
  <c r="X195" i="2"/>
  <c r="Y195" i="2"/>
  <c r="AA195" i="2"/>
  <c r="AB195" i="2"/>
  <c r="AC195" i="2"/>
  <c r="A197" i="2"/>
  <c r="E196" i="2"/>
  <c r="W196" i="2" s="1"/>
  <c r="F196" i="2"/>
  <c r="G196" i="2"/>
  <c r="J196" i="2"/>
  <c r="K196" i="2"/>
  <c r="B196" i="2"/>
  <c r="L196" i="2"/>
  <c r="D196" i="2"/>
  <c r="M196" i="2"/>
  <c r="C196" i="2"/>
  <c r="Z194" i="2"/>
  <c r="AD194" i="2" s="1"/>
  <c r="J126" i="6"/>
  <c r="G126" i="6"/>
  <c r="F126" i="6"/>
  <c r="B126" i="6"/>
  <c r="E126" i="6"/>
  <c r="S126" i="6" s="1"/>
  <c r="D126" i="6"/>
  <c r="C126" i="6"/>
  <c r="A127" i="6"/>
  <c r="K127" i="6" l="1"/>
  <c r="L127" i="6"/>
  <c r="W125" i="6"/>
  <c r="U126" i="6"/>
  <c r="T126" i="6"/>
  <c r="V126" i="6"/>
  <c r="AC196" i="2"/>
  <c r="AA196" i="2"/>
  <c r="Y196" i="2"/>
  <c r="AB196" i="2"/>
  <c r="X196" i="2"/>
  <c r="Z196" i="2" s="1"/>
  <c r="A198" i="2"/>
  <c r="K197" i="2"/>
  <c r="B197" i="2"/>
  <c r="L197" i="2"/>
  <c r="C197" i="2"/>
  <c r="M197" i="2"/>
  <c r="D197" i="2"/>
  <c r="E197" i="2"/>
  <c r="W197" i="2" s="1"/>
  <c r="F197" i="2"/>
  <c r="G197" i="2"/>
  <c r="J197" i="2"/>
  <c r="Z195" i="2"/>
  <c r="AD195" i="2" s="1"/>
  <c r="J127" i="6"/>
  <c r="G127" i="6"/>
  <c r="F127" i="6"/>
  <c r="B127" i="6"/>
  <c r="A128" i="6"/>
  <c r="D127" i="6"/>
  <c r="C127" i="6"/>
  <c r="E127" i="6"/>
  <c r="S127" i="6" s="1"/>
  <c r="AD196" i="2" l="1"/>
  <c r="L128" i="6"/>
  <c r="K128" i="6"/>
  <c r="V127" i="6"/>
  <c r="U127" i="6"/>
  <c r="T127" i="6"/>
  <c r="W126" i="6"/>
  <c r="Y197" i="2"/>
  <c r="X197" i="2"/>
  <c r="AC197" i="2"/>
  <c r="AA197" i="2"/>
  <c r="AB197" i="2"/>
  <c r="A199" i="2"/>
  <c r="G198" i="2"/>
  <c r="J198" i="2"/>
  <c r="K198" i="2"/>
  <c r="B198" i="2"/>
  <c r="L198" i="2"/>
  <c r="C198" i="2"/>
  <c r="M198" i="2"/>
  <c r="D198" i="2"/>
  <c r="E198" i="2"/>
  <c r="W198" i="2" s="1"/>
  <c r="F198" i="2"/>
  <c r="J128" i="6"/>
  <c r="G128" i="6"/>
  <c r="F128" i="6"/>
  <c r="B128" i="6"/>
  <c r="E128" i="6"/>
  <c r="S128" i="6" s="1"/>
  <c r="D128" i="6"/>
  <c r="C128" i="6"/>
  <c r="A129" i="6"/>
  <c r="Z197" i="2" l="1"/>
  <c r="W127" i="6"/>
  <c r="L129" i="6"/>
  <c r="K129" i="6"/>
  <c r="V128" i="6"/>
  <c r="T128" i="6"/>
  <c r="U128" i="6"/>
  <c r="AD197" i="2"/>
  <c r="AC198" i="2"/>
  <c r="AB198" i="2"/>
  <c r="Y198" i="2"/>
  <c r="X198" i="2"/>
  <c r="Z198" i="2" s="1"/>
  <c r="AD198" i="2" s="1"/>
  <c r="AA198" i="2"/>
  <c r="A200" i="2"/>
  <c r="E199" i="2"/>
  <c r="W199" i="2" s="1"/>
  <c r="F199" i="2"/>
  <c r="G199" i="2"/>
  <c r="J199" i="2"/>
  <c r="K199" i="2"/>
  <c r="B199" i="2"/>
  <c r="L199" i="2"/>
  <c r="C199" i="2"/>
  <c r="M199" i="2"/>
  <c r="D199" i="2"/>
  <c r="J129" i="6"/>
  <c r="G129" i="6"/>
  <c r="F129" i="6"/>
  <c r="B129" i="6"/>
  <c r="A130" i="6"/>
  <c r="D129" i="6"/>
  <c r="C129" i="6"/>
  <c r="E129" i="6"/>
  <c r="S129" i="6" s="1"/>
  <c r="W128" i="6" l="1"/>
  <c r="K130" i="6"/>
  <c r="L130" i="6"/>
  <c r="T129" i="6"/>
  <c r="U129" i="6"/>
  <c r="V129" i="6"/>
  <c r="AA199" i="2"/>
  <c r="Y199" i="2"/>
  <c r="AB199" i="2"/>
  <c r="AC199" i="2"/>
  <c r="X199" i="2"/>
  <c r="A201" i="2"/>
  <c r="D200" i="2"/>
  <c r="E200" i="2"/>
  <c r="W200" i="2" s="1"/>
  <c r="F200" i="2"/>
  <c r="G200" i="2"/>
  <c r="J200" i="2"/>
  <c r="K200" i="2"/>
  <c r="C200" i="2"/>
  <c r="L200" i="2"/>
  <c r="M200" i="2"/>
  <c r="B200" i="2"/>
  <c r="J130" i="6"/>
  <c r="G130" i="6"/>
  <c r="F130" i="6"/>
  <c r="B130" i="6"/>
  <c r="E130" i="6"/>
  <c r="S130" i="6" s="1"/>
  <c r="D130" i="6"/>
  <c r="C130" i="6"/>
  <c r="A131" i="6"/>
  <c r="Z199" i="2" l="1"/>
  <c r="AD199" i="2" s="1"/>
  <c r="K131" i="6"/>
  <c r="L131" i="6"/>
  <c r="V130" i="6"/>
  <c r="T130" i="6"/>
  <c r="U130" i="6"/>
  <c r="W129" i="6"/>
  <c r="X200" i="2"/>
  <c r="AB200" i="2"/>
  <c r="AC200" i="2"/>
  <c r="Y200" i="2"/>
  <c r="AA200" i="2"/>
  <c r="A202" i="2"/>
  <c r="B201" i="2"/>
  <c r="L201" i="2"/>
  <c r="C201" i="2"/>
  <c r="M201" i="2"/>
  <c r="D201" i="2"/>
  <c r="E201" i="2"/>
  <c r="W201" i="2" s="1"/>
  <c r="F201" i="2"/>
  <c r="G201" i="2"/>
  <c r="J201" i="2"/>
  <c r="K201" i="2"/>
  <c r="J131" i="6"/>
  <c r="G131" i="6"/>
  <c r="F131" i="6"/>
  <c r="B131" i="6"/>
  <c r="A132" i="6"/>
  <c r="D131" i="6"/>
  <c r="C131" i="6"/>
  <c r="E131" i="6"/>
  <c r="S131" i="6" s="1"/>
  <c r="W130" i="6" l="1"/>
  <c r="L132" i="6"/>
  <c r="K132" i="6"/>
  <c r="U131" i="6"/>
  <c r="T131" i="6"/>
  <c r="V131" i="6"/>
  <c r="Y201" i="2"/>
  <c r="AB201" i="2"/>
  <c r="AC201" i="2"/>
  <c r="AA201" i="2"/>
  <c r="X201" i="2"/>
  <c r="A203" i="2"/>
  <c r="G202" i="2"/>
  <c r="J202" i="2"/>
  <c r="K202" i="2"/>
  <c r="B202" i="2"/>
  <c r="L202" i="2"/>
  <c r="C202" i="2"/>
  <c r="M202" i="2"/>
  <c r="D202" i="2"/>
  <c r="E202" i="2"/>
  <c r="W202" i="2" s="1"/>
  <c r="F202" i="2"/>
  <c r="Z200" i="2"/>
  <c r="AD200" i="2" s="1"/>
  <c r="J132" i="6"/>
  <c r="G132" i="6"/>
  <c r="F132" i="6"/>
  <c r="B132" i="6"/>
  <c r="E132" i="6"/>
  <c r="S132" i="6" s="1"/>
  <c r="D132" i="6"/>
  <c r="C132" i="6"/>
  <c r="A133" i="6"/>
  <c r="Z201" i="2" l="1"/>
  <c r="AD201" i="2" s="1"/>
  <c r="K133" i="6"/>
  <c r="L133" i="6"/>
  <c r="W131" i="6"/>
  <c r="T132" i="6"/>
  <c r="U132" i="6"/>
  <c r="V132" i="6"/>
  <c r="Y202" i="2"/>
  <c r="AA202" i="2"/>
  <c r="AB202" i="2"/>
  <c r="AC202" i="2"/>
  <c r="X202" i="2"/>
  <c r="A204" i="2"/>
  <c r="E203" i="2"/>
  <c r="W203" i="2" s="1"/>
  <c r="F203" i="2"/>
  <c r="G203" i="2"/>
  <c r="J203" i="2"/>
  <c r="K203" i="2"/>
  <c r="B203" i="2"/>
  <c r="L203" i="2"/>
  <c r="C203" i="2"/>
  <c r="D203" i="2"/>
  <c r="M203" i="2"/>
  <c r="J133" i="6"/>
  <c r="G133" i="6"/>
  <c r="F133" i="6"/>
  <c r="B133" i="6"/>
  <c r="A134" i="6"/>
  <c r="D133" i="6"/>
  <c r="C133" i="6"/>
  <c r="E133" i="6"/>
  <c r="S133" i="6" s="1"/>
  <c r="Z202" i="2" l="1"/>
  <c r="L134" i="6"/>
  <c r="K134" i="6"/>
  <c r="U133" i="6"/>
  <c r="V133" i="6"/>
  <c r="T133" i="6"/>
  <c r="W132" i="6"/>
  <c r="A205" i="2"/>
  <c r="C204" i="2"/>
  <c r="M204" i="2"/>
  <c r="D204" i="2"/>
  <c r="E204" i="2"/>
  <c r="W204" i="2" s="1"/>
  <c r="F204" i="2"/>
  <c r="G204" i="2"/>
  <c r="J204" i="2"/>
  <c r="L204" i="2"/>
  <c r="B204" i="2"/>
  <c r="K204" i="2"/>
  <c r="AD202" i="2"/>
  <c r="AA203" i="2"/>
  <c r="AB203" i="2"/>
  <c r="AC203" i="2"/>
  <c r="X203" i="2"/>
  <c r="Z203" i="2" s="1"/>
  <c r="Y203" i="2"/>
  <c r="J134" i="6"/>
  <c r="G134" i="6"/>
  <c r="F134" i="6"/>
  <c r="B134" i="6"/>
  <c r="E134" i="6"/>
  <c r="S134" i="6" s="1"/>
  <c r="D134" i="6"/>
  <c r="C134" i="6"/>
  <c r="A135" i="6"/>
  <c r="L135" i="6" l="1"/>
  <c r="K135" i="6"/>
  <c r="AD203" i="2"/>
  <c r="W133" i="6"/>
  <c r="U134" i="6"/>
  <c r="T134" i="6"/>
  <c r="V134" i="6"/>
  <c r="AA204" i="2"/>
  <c r="AB204" i="2"/>
  <c r="X204" i="2"/>
  <c r="AC204" i="2"/>
  <c r="Y204" i="2"/>
  <c r="A206" i="2"/>
  <c r="J205" i="2"/>
  <c r="K205" i="2"/>
  <c r="B205" i="2"/>
  <c r="L205" i="2"/>
  <c r="C205" i="2"/>
  <c r="M205" i="2"/>
  <c r="D205" i="2"/>
  <c r="E205" i="2"/>
  <c r="W205" i="2" s="1"/>
  <c r="F205" i="2"/>
  <c r="G205" i="2"/>
  <c r="J135" i="6"/>
  <c r="G135" i="6"/>
  <c r="F135" i="6"/>
  <c r="B135" i="6"/>
  <c r="A136" i="6"/>
  <c r="D135" i="6"/>
  <c r="C135" i="6"/>
  <c r="E135" i="6"/>
  <c r="S135" i="6" s="1"/>
  <c r="K136" i="6" l="1"/>
  <c r="L136" i="6"/>
  <c r="V135" i="6"/>
  <c r="T135" i="6"/>
  <c r="U135" i="6"/>
  <c r="W134" i="6"/>
  <c r="Z204" i="2"/>
  <c r="AD204" i="2" s="1"/>
  <c r="X205" i="2"/>
  <c r="Y205" i="2"/>
  <c r="AB205" i="2"/>
  <c r="AA205" i="2"/>
  <c r="AC205" i="2"/>
  <c r="A207" i="2"/>
  <c r="F206" i="2"/>
  <c r="G206" i="2"/>
  <c r="J206" i="2"/>
  <c r="K206" i="2"/>
  <c r="B206" i="2"/>
  <c r="L206" i="2"/>
  <c r="C206" i="2"/>
  <c r="M206" i="2"/>
  <c r="D206" i="2"/>
  <c r="E206" i="2"/>
  <c r="W206" i="2" s="1"/>
  <c r="J136" i="6"/>
  <c r="G136" i="6"/>
  <c r="F136" i="6"/>
  <c r="B136" i="6"/>
  <c r="E136" i="6"/>
  <c r="S136" i="6" s="1"/>
  <c r="D136" i="6"/>
  <c r="C136" i="6"/>
  <c r="A137" i="6"/>
  <c r="Z205" i="2" l="1"/>
  <c r="L137" i="6"/>
  <c r="K137" i="6"/>
  <c r="W135" i="6"/>
  <c r="V136" i="6"/>
  <c r="U136" i="6"/>
  <c r="T136" i="6"/>
  <c r="W136" i="6" s="1"/>
  <c r="AD205" i="2"/>
  <c r="A208" i="2"/>
  <c r="E207" i="2"/>
  <c r="W207" i="2" s="1"/>
  <c r="F207" i="2"/>
  <c r="G207" i="2"/>
  <c r="J207" i="2"/>
  <c r="K207" i="2"/>
  <c r="B207" i="2"/>
  <c r="L207" i="2"/>
  <c r="C207" i="2"/>
  <c r="D207" i="2"/>
  <c r="M207" i="2"/>
  <c r="AC206" i="2"/>
  <c r="Y206" i="2"/>
  <c r="X206" i="2"/>
  <c r="AA206" i="2"/>
  <c r="AB206" i="2"/>
  <c r="J137" i="6"/>
  <c r="G137" i="6"/>
  <c r="F137" i="6"/>
  <c r="B137" i="6"/>
  <c r="A138" i="6"/>
  <c r="D137" i="6"/>
  <c r="C137" i="6"/>
  <c r="E137" i="6"/>
  <c r="S137" i="6" s="1"/>
  <c r="K138" i="6" l="1"/>
  <c r="L138" i="6"/>
  <c r="Z206" i="2"/>
  <c r="AD206" i="2" s="1"/>
  <c r="V137" i="6"/>
  <c r="T137" i="6"/>
  <c r="U137" i="6"/>
  <c r="AA207" i="2"/>
  <c r="AB207" i="2"/>
  <c r="AC207" i="2"/>
  <c r="X207" i="2"/>
  <c r="Y207" i="2"/>
  <c r="A209" i="2"/>
  <c r="C208" i="2"/>
  <c r="M208" i="2"/>
  <c r="D208" i="2"/>
  <c r="E208" i="2"/>
  <c r="W208" i="2" s="1"/>
  <c r="G208" i="2"/>
  <c r="J208" i="2"/>
  <c r="K208" i="2"/>
  <c r="L208" i="2"/>
  <c r="B208" i="2"/>
  <c r="F208" i="2"/>
  <c r="J138" i="6"/>
  <c r="G138" i="6"/>
  <c r="F138" i="6"/>
  <c r="B138" i="6"/>
  <c r="E138" i="6"/>
  <c r="S138" i="6" s="1"/>
  <c r="D138" i="6"/>
  <c r="C138" i="6"/>
  <c r="A139" i="6"/>
  <c r="L139" i="6" l="1"/>
  <c r="K139" i="6"/>
  <c r="W137" i="6"/>
  <c r="T138" i="6"/>
  <c r="U138" i="6"/>
  <c r="V138" i="6"/>
  <c r="AA208" i="2"/>
  <c r="Y208" i="2"/>
  <c r="AB208" i="2"/>
  <c r="AC208" i="2"/>
  <c r="X208" i="2"/>
  <c r="A210" i="2"/>
  <c r="B209" i="2"/>
  <c r="L209" i="2"/>
  <c r="C209" i="2"/>
  <c r="M209" i="2"/>
  <c r="D209" i="2"/>
  <c r="F209" i="2"/>
  <c r="G209" i="2"/>
  <c r="E209" i="2"/>
  <c r="W209" i="2" s="1"/>
  <c r="J209" i="2"/>
  <c r="K209" i="2"/>
  <c r="Z207" i="2"/>
  <c r="AD207" i="2" s="1"/>
  <c r="J139" i="6"/>
  <c r="G139" i="6"/>
  <c r="F139" i="6"/>
  <c r="B139" i="6"/>
  <c r="A140" i="6"/>
  <c r="D139" i="6"/>
  <c r="C139" i="6"/>
  <c r="E139" i="6"/>
  <c r="S139" i="6" s="1"/>
  <c r="L140" i="6" l="1"/>
  <c r="K140" i="6"/>
  <c r="U139" i="6"/>
  <c r="V139" i="6"/>
  <c r="T139" i="6"/>
  <c r="W139" i="6" s="1"/>
  <c r="W138" i="6"/>
  <c r="Z208" i="2"/>
  <c r="AD208" i="2" s="1"/>
  <c r="A211" i="2"/>
  <c r="G210" i="2"/>
  <c r="J210" i="2"/>
  <c r="K210" i="2"/>
  <c r="C210" i="2"/>
  <c r="M210" i="2"/>
  <c r="D210" i="2"/>
  <c r="B210" i="2"/>
  <c r="E210" i="2"/>
  <c r="W210" i="2" s="1"/>
  <c r="F210" i="2"/>
  <c r="L210" i="2"/>
  <c r="Y209" i="2"/>
  <c r="X209" i="2"/>
  <c r="AB209" i="2"/>
  <c r="AC209" i="2"/>
  <c r="AA209" i="2"/>
  <c r="J140" i="6"/>
  <c r="G140" i="6"/>
  <c r="F140" i="6"/>
  <c r="B140" i="6"/>
  <c r="E140" i="6"/>
  <c r="S140" i="6" s="1"/>
  <c r="D140" i="6"/>
  <c r="C140" i="6"/>
  <c r="A141" i="6"/>
  <c r="K141" i="6" l="1"/>
  <c r="L141" i="6"/>
  <c r="T140" i="6"/>
  <c r="U140" i="6"/>
  <c r="V140" i="6"/>
  <c r="W140" i="6" s="1"/>
  <c r="Z209" i="2"/>
  <c r="AD209" i="2" s="1"/>
  <c r="AA210" i="2"/>
  <c r="AB210" i="2"/>
  <c r="Y210" i="2"/>
  <c r="X210" i="2"/>
  <c r="Z210" i="2" s="1"/>
  <c r="AC210" i="2"/>
  <c r="A212" i="2"/>
  <c r="C211" i="2"/>
  <c r="M211" i="2"/>
  <c r="D211" i="2"/>
  <c r="E211" i="2"/>
  <c r="W211" i="2" s="1"/>
  <c r="G211" i="2"/>
  <c r="J211" i="2"/>
  <c r="F211" i="2"/>
  <c r="K211" i="2"/>
  <c r="L211" i="2"/>
  <c r="B211" i="2"/>
  <c r="J141" i="6"/>
  <c r="G141" i="6"/>
  <c r="F141" i="6"/>
  <c r="B141" i="6"/>
  <c r="A142" i="6"/>
  <c r="D141" i="6"/>
  <c r="C141" i="6"/>
  <c r="E141" i="6"/>
  <c r="S141" i="6" s="1"/>
  <c r="L142" i="6" l="1"/>
  <c r="K142" i="6"/>
  <c r="U141" i="6"/>
  <c r="V141" i="6"/>
  <c r="T141" i="6"/>
  <c r="W141" i="6" s="1"/>
  <c r="X211" i="2"/>
  <c r="AA211" i="2"/>
  <c r="AB211" i="2"/>
  <c r="AC211" i="2"/>
  <c r="Y211" i="2"/>
  <c r="A213" i="2"/>
  <c r="K212" i="2"/>
  <c r="B212" i="2"/>
  <c r="L212" i="2"/>
  <c r="C212" i="2"/>
  <c r="M212" i="2"/>
  <c r="E212" i="2"/>
  <c r="W212" i="2" s="1"/>
  <c r="F212" i="2"/>
  <c r="D212" i="2"/>
  <c r="G212" i="2"/>
  <c r="J212" i="2"/>
  <c r="AD210" i="2"/>
  <c r="J142" i="6"/>
  <c r="G142" i="6"/>
  <c r="F142" i="6"/>
  <c r="B142" i="6"/>
  <c r="E142" i="6"/>
  <c r="S142" i="6" s="1"/>
  <c r="D142" i="6"/>
  <c r="C142" i="6"/>
  <c r="A143" i="6"/>
  <c r="K143" i="6" l="1"/>
  <c r="L143" i="6"/>
  <c r="U142" i="6"/>
  <c r="T142" i="6"/>
  <c r="V142" i="6"/>
  <c r="W142" i="6" s="1"/>
  <c r="AC212" i="2"/>
  <c r="X212" i="2"/>
  <c r="Y212" i="2"/>
  <c r="AA212" i="2"/>
  <c r="AB212" i="2"/>
  <c r="A214" i="2"/>
  <c r="G213" i="2"/>
  <c r="J213" i="2"/>
  <c r="K213" i="2"/>
  <c r="C213" i="2"/>
  <c r="M213" i="2"/>
  <c r="D213" i="2"/>
  <c r="F213" i="2"/>
  <c r="L213" i="2"/>
  <c r="E213" i="2"/>
  <c r="W213" i="2" s="1"/>
  <c r="B213" i="2"/>
  <c r="Z211" i="2"/>
  <c r="AD211" i="2" s="1"/>
  <c r="J143" i="6"/>
  <c r="G143" i="6"/>
  <c r="F143" i="6"/>
  <c r="B143" i="6"/>
  <c r="A144" i="6"/>
  <c r="D143" i="6"/>
  <c r="C143" i="6"/>
  <c r="E143" i="6"/>
  <c r="S143" i="6" s="1"/>
  <c r="K144" i="6" l="1"/>
  <c r="L144" i="6"/>
  <c r="V143" i="6"/>
  <c r="U143" i="6"/>
  <c r="T143" i="6"/>
  <c r="W143" i="6" s="1"/>
  <c r="AC213" i="2"/>
  <c r="AB213" i="2"/>
  <c r="Y213" i="2"/>
  <c r="AA213" i="2"/>
  <c r="X213" i="2"/>
  <c r="Z212" i="2"/>
  <c r="AD212" i="2" s="1"/>
  <c r="A215" i="2"/>
  <c r="E214" i="2"/>
  <c r="W214" i="2" s="1"/>
  <c r="F214" i="2"/>
  <c r="G214" i="2"/>
  <c r="K214" i="2"/>
  <c r="B214" i="2"/>
  <c r="L214" i="2"/>
  <c r="C214" i="2"/>
  <c r="D214" i="2"/>
  <c r="J214" i="2"/>
  <c r="M214" i="2"/>
  <c r="J144" i="6"/>
  <c r="G144" i="6"/>
  <c r="F144" i="6"/>
  <c r="B144" i="6"/>
  <c r="E144" i="6"/>
  <c r="S144" i="6" s="1"/>
  <c r="D144" i="6"/>
  <c r="C144" i="6"/>
  <c r="A145" i="6"/>
  <c r="Z213" i="2" l="1"/>
  <c r="AD213" i="2" s="1"/>
  <c r="K145" i="6"/>
  <c r="L145" i="6"/>
  <c r="T144" i="6"/>
  <c r="V144" i="6"/>
  <c r="U144" i="6"/>
  <c r="AB214" i="2"/>
  <c r="AC214" i="2"/>
  <c r="AA214" i="2"/>
  <c r="Y214" i="2"/>
  <c r="X214" i="2"/>
  <c r="Z214" i="2" s="1"/>
  <c r="A216" i="2"/>
  <c r="B215" i="2"/>
  <c r="L215" i="2"/>
  <c r="C215" i="2"/>
  <c r="M215" i="2"/>
  <c r="D215" i="2"/>
  <c r="F215" i="2"/>
  <c r="G215" i="2"/>
  <c r="J215" i="2"/>
  <c r="K215" i="2"/>
  <c r="E215" i="2"/>
  <c r="W215" i="2" s="1"/>
  <c r="J145" i="6"/>
  <c r="G145" i="6"/>
  <c r="F145" i="6"/>
  <c r="B145" i="6"/>
  <c r="A146" i="6"/>
  <c r="D145" i="6"/>
  <c r="C145" i="6"/>
  <c r="E145" i="6"/>
  <c r="S145" i="6" s="1"/>
  <c r="AD214" i="2" l="1"/>
  <c r="W144" i="6"/>
  <c r="L146" i="6"/>
  <c r="K146" i="6"/>
  <c r="T145" i="6"/>
  <c r="U145" i="6"/>
  <c r="V145" i="6"/>
  <c r="W145" i="6" s="1"/>
  <c r="X215" i="2"/>
  <c r="AC215" i="2"/>
  <c r="AB215" i="2"/>
  <c r="Y215" i="2"/>
  <c r="AA215" i="2"/>
  <c r="A217" i="2"/>
  <c r="J216" i="2"/>
  <c r="K216" i="2"/>
  <c r="B216" i="2"/>
  <c r="L216" i="2"/>
  <c r="D216" i="2"/>
  <c r="E216" i="2"/>
  <c r="W216" i="2" s="1"/>
  <c r="C216" i="2"/>
  <c r="F216" i="2"/>
  <c r="G216" i="2"/>
  <c r="M216" i="2"/>
  <c r="J146" i="6"/>
  <c r="G146" i="6"/>
  <c r="F146" i="6"/>
  <c r="B146" i="6"/>
  <c r="E146" i="6"/>
  <c r="S146" i="6" s="1"/>
  <c r="D146" i="6"/>
  <c r="C146" i="6"/>
  <c r="A147" i="6"/>
  <c r="Z215" i="2" l="1"/>
  <c r="L147" i="6"/>
  <c r="K147" i="6"/>
  <c r="T146" i="6"/>
  <c r="U146" i="6"/>
  <c r="V146" i="6"/>
  <c r="AA216" i="2"/>
  <c r="Y216" i="2"/>
  <c r="X216" i="2"/>
  <c r="AC216" i="2"/>
  <c r="AB216" i="2"/>
  <c r="AD215" i="2"/>
  <c r="A218" i="2"/>
  <c r="G217" i="2"/>
  <c r="J217" i="2"/>
  <c r="K217" i="2"/>
  <c r="C217" i="2"/>
  <c r="M217" i="2"/>
  <c r="D217" i="2"/>
  <c r="B217" i="2"/>
  <c r="E217" i="2"/>
  <c r="W217" i="2" s="1"/>
  <c r="F217" i="2"/>
  <c r="L217" i="2"/>
  <c r="J147" i="6"/>
  <c r="G147" i="6"/>
  <c r="F147" i="6"/>
  <c r="B147" i="6"/>
  <c r="A148" i="6"/>
  <c r="D147" i="6"/>
  <c r="C147" i="6"/>
  <c r="E147" i="6"/>
  <c r="S147" i="6" s="1"/>
  <c r="L148" i="6" l="1"/>
  <c r="K148" i="6"/>
  <c r="T147" i="6"/>
  <c r="U147" i="6"/>
  <c r="V147" i="6"/>
  <c r="W146" i="6"/>
  <c r="AC217" i="2"/>
  <c r="AB217" i="2"/>
  <c r="Y217" i="2"/>
  <c r="AA217" i="2"/>
  <c r="X217" i="2"/>
  <c r="A219" i="2"/>
  <c r="E218" i="2"/>
  <c r="W218" i="2" s="1"/>
  <c r="F218" i="2"/>
  <c r="G218" i="2"/>
  <c r="K218" i="2"/>
  <c r="B218" i="2"/>
  <c r="L218" i="2"/>
  <c r="D218" i="2"/>
  <c r="J218" i="2"/>
  <c r="M218" i="2"/>
  <c r="C218" i="2"/>
  <c r="Z216" i="2"/>
  <c r="AD216" i="2" s="1"/>
  <c r="J148" i="6"/>
  <c r="G148" i="6"/>
  <c r="F148" i="6"/>
  <c r="B148" i="6"/>
  <c r="E148" i="6"/>
  <c r="S148" i="6" s="1"/>
  <c r="D148" i="6"/>
  <c r="C148" i="6"/>
  <c r="A149" i="6"/>
  <c r="K149" i="6" l="1"/>
  <c r="L149" i="6"/>
  <c r="T148" i="6"/>
  <c r="V148" i="6"/>
  <c r="U148" i="6"/>
  <c r="W148" i="6" s="1"/>
  <c r="W147" i="6"/>
  <c r="Y218" i="2"/>
  <c r="AB218" i="2"/>
  <c r="AC218" i="2"/>
  <c r="AA218" i="2"/>
  <c r="X218" i="2"/>
  <c r="Z217" i="2"/>
  <c r="AD217" i="2" s="1"/>
  <c r="A220" i="2"/>
  <c r="J219" i="2"/>
  <c r="K219" i="2"/>
  <c r="B219" i="2"/>
  <c r="L219" i="2"/>
  <c r="D219" i="2"/>
  <c r="E219" i="2"/>
  <c r="W219" i="2" s="1"/>
  <c r="C219" i="2"/>
  <c r="F219" i="2"/>
  <c r="G219" i="2"/>
  <c r="M219" i="2"/>
  <c r="J149" i="6"/>
  <c r="G149" i="6"/>
  <c r="F149" i="6"/>
  <c r="B149" i="6"/>
  <c r="A150" i="6"/>
  <c r="D149" i="6"/>
  <c r="C149" i="6"/>
  <c r="E149" i="6"/>
  <c r="S149" i="6" s="1"/>
  <c r="K150" i="6" l="1"/>
  <c r="L150" i="6"/>
  <c r="T149" i="6"/>
  <c r="U149" i="6"/>
  <c r="V149" i="6"/>
  <c r="Z218" i="2"/>
  <c r="AD218" i="2" s="1"/>
  <c r="Y219" i="2"/>
  <c r="AA219" i="2"/>
  <c r="X219" i="2"/>
  <c r="AC219" i="2"/>
  <c r="AB219" i="2"/>
  <c r="A221" i="2"/>
  <c r="E220" i="2"/>
  <c r="W220" i="2" s="1"/>
  <c r="F220" i="2"/>
  <c r="G220" i="2"/>
  <c r="K220" i="2"/>
  <c r="B220" i="2"/>
  <c r="L220" i="2"/>
  <c r="C220" i="2"/>
  <c r="D220" i="2"/>
  <c r="J220" i="2"/>
  <c r="M220" i="2"/>
  <c r="J150" i="6"/>
  <c r="G150" i="6"/>
  <c r="F150" i="6"/>
  <c r="B150" i="6"/>
  <c r="E150" i="6"/>
  <c r="S150" i="6" s="1"/>
  <c r="D150" i="6"/>
  <c r="C150" i="6"/>
  <c r="A151" i="6"/>
  <c r="Z219" i="2" l="1"/>
  <c r="W149" i="6"/>
  <c r="L151" i="6"/>
  <c r="K151" i="6"/>
  <c r="T150" i="6"/>
  <c r="V150" i="6"/>
  <c r="U150" i="6"/>
  <c r="W150" i="6" s="1"/>
  <c r="AC220" i="2"/>
  <c r="AA220" i="2"/>
  <c r="Y220" i="2"/>
  <c r="X220" i="2"/>
  <c r="AB220" i="2"/>
  <c r="AD219" i="2"/>
  <c r="A222" i="2"/>
  <c r="K221" i="2"/>
  <c r="B221" i="2"/>
  <c r="L221" i="2"/>
  <c r="C221" i="2"/>
  <c r="M221" i="2"/>
  <c r="E221" i="2"/>
  <c r="W221" i="2" s="1"/>
  <c r="F221" i="2"/>
  <c r="D221" i="2"/>
  <c r="G221" i="2"/>
  <c r="J221" i="2"/>
  <c r="J151" i="6"/>
  <c r="G151" i="6"/>
  <c r="F151" i="6"/>
  <c r="B151" i="6"/>
  <c r="A152" i="6"/>
  <c r="D151" i="6"/>
  <c r="C151" i="6"/>
  <c r="E151" i="6"/>
  <c r="S151" i="6" s="1"/>
  <c r="Z220" i="2" l="1"/>
  <c r="L152" i="6"/>
  <c r="K152" i="6"/>
  <c r="AD220" i="2"/>
  <c r="T151" i="6"/>
  <c r="U151" i="6"/>
  <c r="V151" i="6"/>
  <c r="A223" i="2"/>
  <c r="B222" i="2"/>
  <c r="L222" i="2"/>
  <c r="C222" i="2"/>
  <c r="M222" i="2"/>
  <c r="D222" i="2"/>
  <c r="F222" i="2"/>
  <c r="G222" i="2"/>
  <c r="E222" i="2"/>
  <c r="W222" i="2" s="1"/>
  <c r="J222" i="2"/>
  <c r="K222" i="2"/>
  <c r="Y221" i="2"/>
  <c r="AC221" i="2"/>
  <c r="X221" i="2"/>
  <c r="AA221" i="2"/>
  <c r="AB221" i="2"/>
  <c r="J152" i="6"/>
  <c r="G152" i="6"/>
  <c r="F152" i="6"/>
  <c r="B152" i="6"/>
  <c r="E152" i="6"/>
  <c r="S152" i="6" s="1"/>
  <c r="D152" i="6"/>
  <c r="C152" i="6"/>
  <c r="A153" i="6"/>
  <c r="K153" i="6" l="1"/>
  <c r="L153" i="6"/>
  <c r="Z221" i="2"/>
  <c r="AD221" i="2" s="1"/>
  <c r="W151" i="6"/>
  <c r="T152" i="6"/>
  <c r="U152" i="6"/>
  <c r="V152" i="6"/>
  <c r="X222" i="2"/>
  <c r="Y222" i="2"/>
  <c r="AA222" i="2"/>
  <c r="AB222" i="2"/>
  <c r="AC222" i="2"/>
  <c r="A224" i="2"/>
  <c r="J223" i="2"/>
  <c r="K223" i="2"/>
  <c r="B223" i="2"/>
  <c r="L223" i="2"/>
  <c r="D223" i="2"/>
  <c r="E223" i="2"/>
  <c r="W223" i="2" s="1"/>
  <c r="M223" i="2"/>
  <c r="F223" i="2"/>
  <c r="G223" i="2"/>
  <c r="C223" i="2"/>
  <c r="J153" i="6"/>
  <c r="G153" i="6"/>
  <c r="F153" i="6"/>
  <c r="B153" i="6"/>
  <c r="A154" i="6"/>
  <c r="D153" i="6"/>
  <c r="C153" i="6"/>
  <c r="E153" i="6"/>
  <c r="S153" i="6" s="1"/>
  <c r="L154" i="6" l="1"/>
  <c r="K154" i="6"/>
  <c r="T153" i="6"/>
  <c r="U153" i="6"/>
  <c r="V153" i="6"/>
  <c r="W152" i="6"/>
  <c r="AC223" i="2"/>
  <c r="AB223" i="2"/>
  <c r="X223" i="2"/>
  <c r="Y223" i="2"/>
  <c r="AA223" i="2"/>
  <c r="A225" i="2"/>
  <c r="D224" i="2"/>
  <c r="E224" i="2"/>
  <c r="W224" i="2" s="1"/>
  <c r="F224" i="2"/>
  <c r="J224" i="2"/>
  <c r="K224" i="2"/>
  <c r="B224" i="2"/>
  <c r="C224" i="2"/>
  <c r="G224" i="2"/>
  <c r="L224" i="2"/>
  <c r="M224" i="2"/>
  <c r="Z222" i="2"/>
  <c r="AD222" i="2" s="1"/>
  <c r="J154" i="6"/>
  <c r="G154" i="6"/>
  <c r="F154" i="6"/>
  <c r="B154" i="6"/>
  <c r="E154" i="6"/>
  <c r="S154" i="6" s="1"/>
  <c r="D154" i="6"/>
  <c r="C154" i="6"/>
  <c r="A155" i="6"/>
  <c r="K155" i="6" l="1"/>
  <c r="L155" i="6"/>
  <c r="T154" i="6"/>
  <c r="U154" i="6"/>
  <c r="V154" i="6"/>
  <c r="W153" i="6"/>
  <c r="A226" i="2"/>
  <c r="B225" i="2"/>
  <c r="L225" i="2"/>
  <c r="C225" i="2"/>
  <c r="M225" i="2"/>
  <c r="D225" i="2"/>
  <c r="F225" i="2"/>
  <c r="G225" i="2"/>
  <c r="J225" i="2"/>
  <c r="K225" i="2"/>
  <c r="E225" i="2"/>
  <c r="W225" i="2" s="1"/>
  <c r="AA224" i="2"/>
  <c r="Y224" i="2"/>
  <c r="AB224" i="2"/>
  <c r="X224" i="2"/>
  <c r="Z224" i="2" s="1"/>
  <c r="AC224" i="2"/>
  <c r="Z223" i="2"/>
  <c r="AD223" i="2" s="1"/>
  <c r="J155" i="6"/>
  <c r="G155" i="6"/>
  <c r="F155" i="6"/>
  <c r="B155" i="6"/>
  <c r="A156" i="6"/>
  <c r="D155" i="6"/>
  <c r="C155" i="6"/>
  <c r="E155" i="6"/>
  <c r="S155" i="6" s="1"/>
  <c r="L156" i="6" l="1"/>
  <c r="K156" i="6"/>
  <c r="T155" i="6"/>
  <c r="U155" i="6"/>
  <c r="V155" i="6"/>
  <c r="W154" i="6"/>
  <c r="AD224" i="2"/>
  <c r="Y225" i="2"/>
  <c r="AC225" i="2"/>
  <c r="AA225" i="2"/>
  <c r="AB225" i="2"/>
  <c r="X225" i="2"/>
  <c r="A227" i="2"/>
  <c r="J226" i="2"/>
  <c r="K226" i="2"/>
  <c r="B226" i="2"/>
  <c r="L226" i="2"/>
  <c r="D226" i="2"/>
  <c r="E226" i="2"/>
  <c r="W226" i="2" s="1"/>
  <c r="C226" i="2"/>
  <c r="F226" i="2"/>
  <c r="G226" i="2"/>
  <c r="M226" i="2"/>
  <c r="J156" i="6"/>
  <c r="G156" i="6"/>
  <c r="F156" i="6"/>
  <c r="B156" i="6"/>
  <c r="E156" i="6"/>
  <c r="S156" i="6" s="1"/>
  <c r="D156" i="6"/>
  <c r="C156" i="6"/>
  <c r="A157" i="6"/>
  <c r="L157" i="6" l="1"/>
  <c r="K157" i="6"/>
  <c r="T156" i="6"/>
  <c r="U156" i="6"/>
  <c r="V156" i="6"/>
  <c r="Z225" i="2"/>
  <c r="AD225" i="2" s="1"/>
  <c r="W155" i="6"/>
  <c r="A228" i="2"/>
  <c r="G227" i="2"/>
  <c r="J227" i="2"/>
  <c r="K227" i="2"/>
  <c r="C227" i="2"/>
  <c r="M227" i="2"/>
  <c r="D227" i="2"/>
  <c r="L227" i="2"/>
  <c r="B227" i="2"/>
  <c r="F227" i="2"/>
  <c r="E227" i="2"/>
  <c r="W227" i="2" s="1"/>
  <c r="AB226" i="2"/>
  <c r="AC226" i="2"/>
  <c r="Y226" i="2"/>
  <c r="X226" i="2"/>
  <c r="AA226" i="2"/>
  <c r="J157" i="6"/>
  <c r="G157" i="6"/>
  <c r="F157" i="6"/>
  <c r="B157" i="6"/>
  <c r="A158" i="6"/>
  <c r="D157" i="6"/>
  <c r="C157" i="6"/>
  <c r="E157" i="6"/>
  <c r="S157" i="6" s="1"/>
  <c r="K158" i="6" l="1"/>
  <c r="L158" i="6"/>
  <c r="W156" i="6"/>
  <c r="T157" i="6"/>
  <c r="V157" i="6"/>
  <c r="U157" i="6"/>
  <c r="Z226" i="2"/>
  <c r="AD226" i="2" s="1"/>
  <c r="AB227" i="2"/>
  <c r="Y227" i="2"/>
  <c r="AA227" i="2"/>
  <c r="X227" i="2"/>
  <c r="AC227" i="2"/>
  <c r="A229" i="2"/>
  <c r="F228" i="2"/>
  <c r="G228" i="2"/>
  <c r="J228" i="2"/>
  <c r="B228" i="2"/>
  <c r="L228" i="2"/>
  <c r="C228" i="2"/>
  <c r="D228" i="2"/>
  <c r="E228" i="2"/>
  <c r="W228" i="2" s="1"/>
  <c r="K228" i="2"/>
  <c r="M228" i="2"/>
  <c r="J158" i="6"/>
  <c r="G158" i="6"/>
  <c r="F158" i="6"/>
  <c r="B158" i="6"/>
  <c r="E158" i="6"/>
  <c r="S158" i="6" s="1"/>
  <c r="D158" i="6"/>
  <c r="C158" i="6"/>
  <c r="A159" i="6"/>
  <c r="Z227" i="2" l="1"/>
  <c r="AD227" i="2" s="1"/>
  <c r="K159" i="6"/>
  <c r="L159" i="6"/>
  <c r="V158" i="6"/>
  <c r="U158" i="6"/>
  <c r="T158" i="6"/>
  <c r="W157" i="6"/>
  <c r="Y228" i="2"/>
  <c r="X228" i="2"/>
  <c r="AB228" i="2"/>
  <c r="AA228" i="2"/>
  <c r="AC228" i="2"/>
  <c r="A230" i="2"/>
  <c r="B229" i="2"/>
  <c r="L229" i="2"/>
  <c r="C229" i="2"/>
  <c r="M229" i="2"/>
  <c r="D229" i="2"/>
  <c r="F229" i="2"/>
  <c r="K229" i="2"/>
  <c r="J229" i="2"/>
  <c r="G229" i="2"/>
  <c r="E229" i="2"/>
  <c r="W229" i="2" s="1"/>
  <c r="J159" i="6"/>
  <c r="G159" i="6"/>
  <c r="F159" i="6"/>
  <c r="B159" i="6"/>
  <c r="A160" i="6"/>
  <c r="D159" i="6"/>
  <c r="C159" i="6"/>
  <c r="E159" i="6"/>
  <c r="S159" i="6" s="1"/>
  <c r="Z228" i="2" l="1"/>
  <c r="L160" i="6"/>
  <c r="K160" i="6"/>
  <c r="W158" i="6"/>
  <c r="T159" i="6"/>
  <c r="U159" i="6"/>
  <c r="V159" i="6"/>
  <c r="A231" i="2"/>
  <c r="J230" i="2"/>
  <c r="K230" i="2"/>
  <c r="B230" i="2"/>
  <c r="L230" i="2"/>
  <c r="D230" i="2"/>
  <c r="C230" i="2"/>
  <c r="E230" i="2"/>
  <c r="W230" i="2" s="1"/>
  <c r="F230" i="2"/>
  <c r="G230" i="2"/>
  <c r="M230" i="2"/>
  <c r="X229" i="2"/>
  <c r="AC229" i="2"/>
  <c r="Y229" i="2"/>
  <c r="AA229" i="2"/>
  <c r="AB229" i="2"/>
  <c r="AD228" i="2"/>
  <c r="J160" i="6"/>
  <c r="G160" i="6"/>
  <c r="F160" i="6"/>
  <c r="B160" i="6"/>
  <c r="E160" i="6"/>
  <c r="S160" i="6" s="1"/>
  <c r="D160" i="6"/>
  <c r="C160" i="6"/>
  <c r="A161" i="6"/>
  <c r="K161" i="6" l="1"/>
  <c r="L161" i="6"/>
  <c r="V160" i="6"/>
  <c r="T160" i="6"/>
  <c r="U160" i="6"/>
  <c r="Z229" i="2"/>
  <c r="AD229" i="2" s="1"/>
  <c r="W159" i="6"/>
  <c r="AC230" i="2"/>
  <c r="X230" i="2"/>
  <c r="Y230" i="2"/>
  <c r="AA230" i="2"/>
  <c r="AB230" i="2"/>
  <c r="A232" i="2"/>
  <c r="G231" i="2"/>
  <c r="J231" i="2"/>
  <c r="B231" i="2"/>
  <c r="L231" i="2"/>
  <c r="F231" i="2"/>
  <c r="K231" i="2"/>
  <c r="M231" i="2"/>
  <c r="D231" i="2"/>
  <c r="E231" i="2"/>
  <c r="W231" i="2" s="1"/>
  <c r="C231" i="2"/>
  <c r="J161" i="6"/>
  <c r="G161" i="6"/>
  <c r="F161" i="6"/>
  <c r="B161" i="6"/>
  <c r="A162" i="6"/>
  <c r="D161" i="6"/>
  <c r="C161" i="6"/>
  <c r="E161" i="6"/>
  <c r="S161" i="6" s="1"/>
  <c r="L162" i="6" l="1"/>
  <c r="K162" i="6"/>
  <c r="W160" i="6"/>
  <c r="V161" i="6"/>
  <c r="U161" i="6"/>
  <c r="T161" i="6"/>
  <c r="W161" i="6" s="1"/>
  <c r="AA231" i="2"/>
  <c r="AB231" i="2"/>
  <c r="AC231" i="2"/>
  <c r="X231" i="2"/>
  <c r="Y231" i="2"/>
  <c r="A233" i="2"/>
  <c r="F232" i="2"/>
  <c r="G232" i="2"/>
  <c r="J232" i="2"/>
  <c r="K232" i="2"/>
  <c r="B232" i="2"/>
  <c r="L232" i="2"/>
  <c r="C232" i="2"/>
  <c r="D232" i="2"/>
  <c r="E232" i="2"/>
  <c r="W232" i="2" s="1"/>
  <c r="M232" i="2"/>
  <c r="Z230" i="2"/>
  <c r="AD230" i="2" s="1"/>
  <c r="J162" i="6"/>
  <c r="G162" i="6"/>
  <c r="F162" i="6"/>
  <c r="B162" i="6"/>
  <c r="E162" i="6"/>
  <c r="S162" i="6" s="1"/>
  <c r="D162" i="6"/>
  <c r="C162" i="6"/>
  <c r="A163" i="6"/>
  <c r="K163" i="6" l="1"/>
  <c r="L163" i="6"/>
  <c r="T162" i="6"/>
  <c r="U162" i="6"/>
  <c r="V162" i="6"/>
  <c r="AB232" i="2"/>
  <c r="Y232" i="2"/>
  <c r="AA232" i="2"/>
  <c r="AC232" i="2"/>
  <c r="X232" i="2"/>
  <c r="Z231" i="2"/>
  <c r="AD231" i="2" s="1"/>
  <c r="A234" i="2"/>
  <c r="D233" i="2"/>
  <c r="E233" i="2"/>
  <c r="W233" i="2" s="1"/>
  <c r="F233" i="2"/>
  <c r="G233" i="2"/>
  <c r="J233" i="2"/>
  <c r="K233" i="2"/>
  <c r="L233" i="2"/>
  <c r="M233" i="2"/>
  <c r="B233" i="2"/>
  <c r="C233" i="2"/>
  <c r="J163" i="6"/>
  <c r="G163" i="6"/>
  <c r="F163" i="6"/>
  <c r="B163" i="6"/>
  <c r="A164" i="6"/>
  <c r="D163" i="6"/>
  <c r="C163" i="6"/>
  <c r="E163" i="6"/>
  <c r="S163" i="6" s="1"/>
  <c r="Z232" i="2" l="1"/>
  <c r="L164" i="6"/>
  <c r="K164" i="6"/>
  <c r="AD232" i="2"/>
  <c r="T163" i="6"/>
  <c r="U163" i="6"/>
  <c r="V163" i="6"/>
  <c r="W162" i="6"/>
  <c r="A235" i="2"/>
  <c r="B234" i="2"/>
  <c r="L234" i="2"/>
  <c r="C234" i="2"/>
  <c r="M234" i="2"/>
  <c r="D234" i="2"/>
  <c r="E234" i="2"/>
  <c r="W234" i="2" s="1"/>
  <c r="F234" i="2"/>
  <c r="G234" i="2"/>
  <c r="J234" i="2"/>
  <c r="K234" i="2"/>
  <c r="Y233" i="2"/>
  <c r="AA233" i="2"/>
  <c r="AB233" i="2"/>
  <c r="AC233" i="2"/>
  <c r="X233" i="2"/>
  <c r="J164" i="6"/>
  <c r="G164" i="6"/>
  <c r="F164" i="6"/>
  <c r="B164" i="6"/>
  <c r="E164" i="6"/>
  <c r="S164" i="6" s="1"/>
  <c r="D164" i="6"/>
  <c r="C164" i="6"/>
  <c r="A165" i="6"/>
  <c r="K165" i="6" l="1"/>
  <c r="L165" i="6"/>
  <c r="W163" i="6"/>
  <c r="V164" i="6"/>
  <c r="U164" i="6"/>
  <c r="T164" i="6"/>
  <c r="Z233" i="2"/>
  <c r="AD233" i="2" s="1"/>
  <c r="AA234" i="2"/>
  <c r="AB234" i="2"/>
  <c r="AC234" i="2"/>
  <c r="X234" i="2"/>
  <c r="Y234" i="2"/>
  <c r="A236" i="2"/>
  <c r="K235" i="2"/>
  <c r="B235" i="2"/>
  <c r="L235" i="2"/>
  <c r="C235" i="2"/>
  <c r="M235" i="2"/>
  <c r="D235" i="2"/>
  <c r="E235" i="2"/>
  <c r="W235" i="2" s="1"/>
  <c r="F235" i="2"/>
  <c r="G235" i="2"/>
  <c r="J235" i="2"/>
  <c r="J165" i="6"/>
  <c r="G165" i="6"/>
  <c r="F165" i="6"/>
  <c r="B165" i="6"/>
  <c r="A166" i="6"/>
  <c r="D165" i="6"/>
  <c r="C165" i="6"/>
  <c r="E165" i="6"/>
  <c r="S165" i="6" s="1"/>
  <c r="L166" i="6" l="1"/>
  <c r="K166" i="6"/>
  <c r="T165" i="6"/>
  <c r="V165" i="6"/>
  <c r="U165" i="6"/>
  <c r="W164" i="6"/>
  <c r="Z234" i="2"/>
  <c r="AD234" i="2" s="1"/>
  <c r="A237" i="2"/>
  <c r="G236" i="2"/>
  <c r="J236" i="2"/>
  <c r="K236" i="2"/>
  <c r="B236" i="2"/>
  <c r="L236" i="2"/>
  <c r="C236" i="2"/>
  <c r="M236" i="2"/>
  <c r="F236" i="2"/>
  <c r="E236" i="2"/>
  <c r="W236" i="2" s="1"/>
  <c r="D236" i="2"/>
  <c r="AB235" i="2"/>
  <c r="AA235" i="2"/>
  <c r="X235" i="2"/>
  <c r="Z235" i="2" s="1"/>
  <c r="AC235" i="2"/>
  <c r="Y235" i="2"/>
  <c r="J166" i="6"/>
  <c r="G166" i="6"/>
  <c r="F166" i="6"/>
  <c r="B166" i="6"/>
  <c r="E166" i="6"/>
  <c r="S166" i="6" s="1"/>
  <c r="D166" i="6"/>
  <c r="C166" i="6"/>
  <c r="A167" i="6"/>
  <c r="L167" i="6" l="1"/>
  <c r="K167" i="6"/>
  <c r="V166" i="6"/>
  <c r="U166" i="6"/>
  <c r="T166" i="6"/>
  <c r="AD235" i="2"/>
  <c r="W165" i="6"/>
  <c r="Y236" i="2"/>
  <c r="X236" i="2"/>
  <c r="AB236" i="2"/>
  <c r="AA236" i="2"/>
  <c r="AC236" i="2"/>
  <c r="A238" i="2"/>
  <c r="D237" i="2"/>
  <c r="E237" i="2"/>
  <c r="W237" i="2" s="1"/>
  <c r="F237" i="2"/>
  <c r="G237" i="2"/>
  <c r="J237" i="2"/>
  <c r="B237" i="2"/>
  <c r="C237" i="2"/>
  <c r="K237" i="2"/>
  <c r="L237" i="2"/>
  <c r="M237" i="2"/>
  <c r="J167" i="6"/>
  <c r="G167" i="6"/>
  <c r="F167" i="6"/>
  <c r="B167" i="6"/>
  <c r="A168" i="6"/>
  <c r="D167" i="6"/>
  <c r="C167" i="6"/>
  <c r="E167" i="6"/>
  <c r="S167" i="6" s="1"/>
  <c r="Z236" i="2" l="1"/>
  <c r="L168" i="6"/>
  <c r="K168" i="6"/>
  <c r="W166" i="6"/>
  <c r="U167" i="6"/>
  <c r="T167" i="6"/>
  <c r="V167" i="6"/>
  <c r="AD236" i="2"/>
  <c r="X237" i="2"/>
  <c r="AC237" i="2"/>
  <c r="AB237" i="2"/>
  <c r="AA237" i="2"/>
  <c r="Y237" i="2"/>
  <c r="Z237" i="2" s="1"/>
  <c r="AD237" i="2" s="1"/>
  <c r="A239" i="2"/>
  <c r="C238" i="2"/>
  <c r="M238" i="2"/>
  <c r="D238" i="2"/>
  <c r="E238" i="2"/>
  <c r="W238" i="2" s="1"/>
  <c r="F238" i="2"/>
  <c r="G238" i="2"/>
  <c r="L238" i="2"/>
  <c r="B238" i="2"/>
  <c r="K238" i="2"/>
  <c r="J238" i="2"/>
  <c r="J168" i="6"/>
  <c r="G168" i="6"/>
  <c r="F168" i="6"/>
  <c r="B168" i="6"/>
  <c r="E168" i="6"/>
  <c r="S168" i="6" s="1"/>
  <c r="D168" i="6"/>
  <c r="C168" i="6"/>
  <c r="A169" i="6"/>
  <c r="K169" i="6" l="1"/>
  <c r="L169" i="6"/>
  <c r="T168" i="6"/>
  <c r="U168" i="6"/>
  <c r="V168" i="6"/>
  <c r="W167" i="6"/>
  <c r="A240" i="2"/>
  <c r="K239" i="2"/>
  <c r="B239" i="2"/>
  <c r="L239" i="2"/>
  <c r="C239" i="2"/>
  <c r="M239" i="2"/>
  <c r="D239" i="2"/>
  <c r="E239" i="2"/>
  <c r="W239" i="2" s="1"/>
  <c r="F239" i="2"/>
  <c r="G239" i="2"/>
  <c r="J239" i="2"/>
  <c r="X238" i="2"/>
  <c r="Y238" i="2"/>
  <c r="AB238" i="2"/>
  <c r="AA238" i="2"/>
  <c r="AC238" i="2"/>
  <c r="J169" i="6"/>
  <c r="G169" i="6"/>
  <c r="F169" i="6"/>
  <c r="B169" i="6"/>
  <c r="A170" i="6"/>
  <c r="D169" i="6"/>
  <c r="C169" i="6"/>
  <c r="E169" i="6"/>
  <c r="S169" i="6" s="1"/>
  <c r="L170" i="6" l="1"/>
  <c r="K170" i="6"/>
  <c r="T169" i="6"/>
  <c r="U169" i="6"/>
  <c r="V169" i="6"/>
  <c r="W168" i="6"/>
  <c r="X239" i="2"/>
  <c r="Y239" i="2"/>
  <c r="AA239" i="2"/>
  <c r="AB239" i="2"/>
  <c r="AC239" i="2"/>
  <c r="Z238" i="2"/>
  <c r="AD238" i="2" s="1"/>
  <c r="A241" i="2"/>
  <c r="F240" i="2"/>
  <c r="G240" i="2"/>
  <c r="J240" i="2"/>
  <c r="K240" i="2"/>
  <c r="B240" i="2"/>
  <c r="L240" i="2"/>
  <c r="M240" i="2"/>
  <c r="C240" i="2"/>
  <c r="D240" i="2"/>
  <c r="E240" i="2"/>
  <c r="W240" i="2" s="1"/>
  <c r="J170" i="6"/>
  <c r="G170" i="6"/>
  <c r="F170" i="6"/>
  <c r="B170" i="6"/>
  <c r="E170" i="6"/>
  <c r="S170" i="6" s="1"/>
  <c r="D170" i="6"/>
  <c r="C170" i="6"/>
  <c r="A171" i="6"/>
  <c r="L171" i="6" l="1"/>
  <c r="K171" i="6"/>
  <c r="W169" i="6"/>
  <c r="U170" i="6"/>
  <c r="T170" i="6"/>
  <c r="V170" i="6"/>
  <c r="A242" i="2"/>
  <c r="E241" i="2"/>
  <c r="W241" i="2" s="1"/>
  <c r="F241" i="2"/>
  <c r="G241" i="2"/>
  <c r="J241" i="2"/>
  <c r="K241" i="2"/>
  <c r="B241" i="2"/>
  <c r="C241" i="2"/>
  <c r="D241" i="2"/>
  <c r="L241" i="2"/>
  <c r="M241" i="2"/>
  <c r="AB240" i="2"/>
  <c r="AA240" i="2"/>
  <c r="AC240" i="2"/>
  <c r="X240" i="2"/>
  <c r="Y240" i="2"/>
  <c r="Z239" i="2"/>
  <c r="AD239" i="2" s="1"/>
  <c r="J171" i="6"/>
  <c r="G171" i="6"/>
  <c r="F171" i="6"/>
  <c r="B171" i="6"/>
  <c r="A172" i="6"/>
  <c r="D171" i="6"/>
  <c r="C171" i="6"/>
  <c r="E171" i="6"/>
  <c r="S171" i="6" s="1"/>
  <c r="K172" i="6" l="1"/>
  <c r="L172" i="6"/>
  <c r="U171" i="6"/>
  <c r="T171" i="6"/>
  <c r="V171" i="6"/>
  <c r="W170" i="6"/>
  <c r="Z240" i="2"/>
  <c r="AD240" i="2" s="1"/>
  <c r="Y241" i="2"/>
  <c r="AA241" i="2"/>
  <c r="AB241" i="2"/>
  <c r="AC241" i="2"/>
  <c r="X241" i="2"/>
  <c r="A243" i="2"/>
  <c r="C242" i="2"/>
  <c r="M242" i="2"/>
  <c r="D242" i="2"/>
  <c r="E242" i="2"/>
  <c r="W242" i="2" s="1"/>
  <c r="F242" i="2"/>
  <c r="G242" i="2"/>
  <c r="B242" i="2"/>
  <c r="J242" i="2"/>
  <c r="K242" i="2"/>
  <c r="L242" i="2"/>
  <c r="J172" i="6"/>
  <c r="G172" i="6"/>
  <c r="F172" i="6"/>
  <c r="B172" i="6"/>
  <c r="E172" i="6"/>
  <c r="S172" i="6" s="1"/>
  <c r="D172" i="6"/>
  <c r="C172" i="6"/>
  <c r="A173" i="6"/>
  <c r="L173" i="6" l="1"/>
  <c r="K173" i="6"/>
  <c r="V172" i="6"/>
  <c r="U172" i="6"/>
  <c r="T172" i="6"/>
  <c r="Z241" i="2"/>
  <c r="AD241" i="2" s="1"/>
  <c r="W171" i="6"/>
  <c r="A244" i="2"/>
  <c r="B243" i="2"/>
  <c r="L243" i="2"/>
  <c r="C243" i="2"/>
  <c r="M243" i="2"/>
  <c r="D243" i="2"/>
  <c r="E243" i="2"/>
  <c r="W243" i="2" s="1"/>
  <c r="F243" i="2"/>
  <c r="J243" i="2"/>
  <c r="K243" i="2"/>
  <c r="G243" i="2"/>
  <c r="AC242" i="2"/>
  <c r="AA242" i="2"/>
  <c r="X242" i="2"/>
  <c r="Y242" i="2"/>
  <c r="AB242" i="2"/>
  <c r="J173" i="6"/>
  <c r="G173" i="6"/>
  <c r="F173" i="6"/>
  <c r="B173" i="6"/>
  <c r="A174" i="6"/>
  <c r="D173" i="6"/>
  <c r="C173" i="6"/>
  <c r="E173" i="6"/>
  <c r="S173" i="6" s="1"/>
  <c r="K174" i="6" l="1"/>
  <c r="L174" i="6"/>
  <c r="T173" i="6"/>
  <c r="U173" i="6"/>
  <c r="V173" i="6"/>
  <c r="W172" i="6"/>
  <c r="AB243" i="2"/>
  <c r="AC243" i="2"/>
  <c r="X243" i="2"/>
  <c r="Y243" i="2"/>
  <c r="AA243" i="2"/>
  <c r="Z242" i="2"/>
  <c r="AD242" i="2" s="1"/>
  <c r="A245" i="2"/>
  <c r="J244" i="2"/>
  <c r="K244" i="2"/>
  <c r="B244" i="2"/>
  <c r="L244" i="2"/>
  <c r="C244" i="2"/>
  <c r="M244" i="2"/>
  <c r="D244" i="2"/>
  <c r="E244" i="2"/>
  <c r="W244" i="2" s="1"/>
  <c r="F244" i="2"/>
  <c r="G244" i="2"/>
  <c r="J174" i="6"/>
  <c r="G174" i="6"/>
  <c r="F174" i="6"/>
  <c r="B174" i="6"/>
  <c r="E174" i="6"/>
  <c r="S174" i="6" s="1"/>
  <c r="D174" i="6"/>
  <c r="C174" i="6"/>
  <c r="A175" i="6"/>
  <c r="L175" i="6" l="1"/>
  <c r="K175" i="6"/>
  <c r="Z243" i="2"/>
  <c r="U174" i="6"/>
  <c r="T174" i="6"/>
  <c r="V174" i="6"/>
  <c r="W173" i="6"/>
  <c r="Y244" i="2"/>
  <c r="AB244" i="2"/>
  <c r="X244" i="2"/>
  <c r="AC244" i="2"/>
  <c r="AA244" i="2"/>
  <c r="A246" i="2"/>
  <c r="F245" i="2"/>
  <c r="G245" i="2"/>
  <c r="J245" i="2"/>
  <c r="K245" i="2"/>
  <c r="B245" i="2"/>
  <c r="L245" i="2"/>
  <c r="C245" i="2"/>
  <c r="D245" i="2"/>
  <c r="E245" i="2"/>
  <c r="W245" i="2" s="1"/>
  <c r="M245" i="2"/>
  <c r="AD243" i="2"/>
  <c r="J175" i="6"/>
  <c r="G175" i="6"/>
  <c r="F175" i="6"/>
  <c r="B175" i="6"/>
  <c r="A176" i="6"/>
  <c r="D175" i="6"/>
  <c r="C175" i="6"/>
  <c r="E175" i="6"/>
  <c r="S175" i="6" s="1"/>
  <c r="Z244" i="2" l="1"/>
  <c r="K176" i="6"/>
  <c r="L176" i="6"/>
  <c r="V175" i="6"/>
  <c r="U175" i="6"/>
  <c r="T175" i="6"/>
  <c r="W175" i="6" s="1"/>
  <c r="W174" i="6"/>
  <c r="A247" i="2"/>
  <c r="D246" i="2"/>
  <c r="E246" i="2"/>
  <c r="W246" i="2" s="1"/>
  <c r="F246" i="2"/>
  <c r="G246" i="2"/>
  <c r="J246" i="2"/>
  <c r="K246" i="2"/>
  <c r="L246" i="2"/>
  <c r="M246" i="2"/>
  <c r="B246" i="2"/>
  <c r="C246" i="2"/>
  <c r="AD244" i="2"/>
  <c r="X245" i="2"/>
  <c r="AC245" i="2"/>
  <c r="AA245" i="2"/>
  <c r="AB245" i="2"/>
  <c r="Y245" i="2"/>
  <c r="Z245" i="2" s="1"/>
  <c r="J176" i="6"/>
  <c r="G176" i="6"/>
  <c r="F176" i="6"/>
  <c r="B176" i="6"/>
  <c r="E176" i="6"/>
  <c r="S176" i="6" s="1"/>
  <c r="D176" i="6"/>
  <c r="C176" i="6"/>
  <c r="A177" i="6"/>
  <c r="L177" i="6" l="1"/>
  <c r="K177" i="6"/>
  <c r="T176" i="6"/>
  <c r="U176" i="6"/>
  <c r="V176" i="6"/>
  <c r="AA246" i="2"/>
  <c r="AB246" i="2"/>
  <c r="AC246" i="2"/>
  <c r="X246" i="2"/>
  <c r="Y246" i="2"/>
  <c r="AD245" i="2"/>
  <c r="A248" i="2"/>
  <c r="B247" i="2"/>
  <c r="L247" i="2"/>
  <c r="C247" i="2"/>
  <c r="M247" i="2"/>
  <c r="D247" i="2"/>
  <c r="E247" i="2"/>
  <c r="W247" i="2" s="1"/>
  <c r="F247" i="2"/>
  <c r="G247" i="2"/>
  <c r="J247" i="2"/>
  <c r="K247" i="2"/>
  <c r="J177" i="6"/>
  <c r="G177" i="6"/>
  <c r="F177" i="6"/>
  <c r="B177" i="6"/>
  <c r="A178" i="6"/>
  <c r="D177" i="6"/>
  <c r="C177" i="6"/>
  <c r="E177" i="6"/>
  <c r="S177" i="6" s="1"/>
  <c r="L178" i="6" l="1"/>
  <c r="K178" i="6"/>
  <c r="W176" i="6"/>
  <c r="V177" i="6"/>
  <c r="T177" i="6"/>
  <c r="U177" i="6"/>
  <c r="A249" i="2"/>
  <c r="G248" i="2"/>
  <c r="J248" i="2"/>
  <c r="K248" i="2"/>
  <c r="B248" i="2"/>
  <c r="L248" i="2"/>
  <c r="C248" i="2"/>
  <c r="M248" i="2"/>
  <c r="F248" i="2"/>
  <c r="D248" i="2"/>
  <c r="E248" i="2"/>
  <c r="W248" i="2" s="1"/>
  <c r="Y247" i="2"/>
  <c r="AA247" i="2"/>
  <c r="AB247" i="2"/>
  <c r="AC247" i="2"/>
  <c r="X247" i="2"/>
  <c r="Z246" i="2"/>
  <c r="AD246" i="2" s="1"/>
  <c r="J178" i="6"/>
  <c r="G178" i="6"/>
  <c r="F178" i="6"/>
  <c r="B178" i="6"/>
  <c r="E178" i="6"/>
  <c r="S178" i="6" s="1"/>
  <c r="D178" i="6"/>
  <c r="C178" i="6"/>
  <c r="A179" i="6"/>
  <c r="L179" i="6" l="1"/>
  <c r="K179" i="6"/>
  <c r="W177" i="6"/>
  <c r="Z247" i="2"/>
  <c r="AD247" i="2" s="1"/>
  <c r="T178" i="6"/>
  <c r="V178" i="6"/>
  <c r="U178" i="6"/>
  <c r="AB248" i="2"/>
  <c r="Y248" i="2"/>
  <c r="AC248" i="2"/>
  <c r="AA248" i="2"/>
  <c r="X248" i="2"/>
  <c r="A250" i="2"/>
  <c r="E249" i="2"/>
  <c r="W249" i="2" s="1"/>
  <c r="F249" i="2"/>
  <c r="G249" i="2"/>
  <c r="J249" i="2"/>
  <c r="K249" i="2"/>
  <c r="B249" i="2"/>
  <c r="C249" i="2"/>
  <c r="D249" i="2"/>
  <c r="L249" i="2"/>
  <c r="M249" i="2"/>
  <c r="J179" i="6"/>
  <c r="G179" i="6"/>
  <c r="F179" i="6"/>
  <c r="B179" i="6"/>
  <c r="A180" i="6"/>
  <c r="D179" i="6"/>
  <c r="C179" i="6"/>
  <c r="E179" i="6"/>
  <c r="S179" i="6" s="1"/>
  <c r="W178" i="6" l="1"/>
  <c r="L180" i="6"/>
  <c r="K180" i="6"/>
  <c r="T179" i="6"/>
  <c r="U179" i="6"/>
  <c r="V179" i="6"/>
  <c r="Z248" i="2"/>
  <c r="AD248" i="2" s="1"/>
  <c r="Y249" i="2"/>
  <c r="AB249" i="2"/>
  <c r="AC249" i="2"/>
  <c r="X249" i="2"/>
  <c r="AA249" i="2"/>
  <c r="A251" i="2"/>
  <c r="C250" i="2"/>
  <c r="M250" i="2"/>
  <c r="D250" i="2"/>
  <c r="E250" i="2"/>
  <c r="W250" i="2" s="1"/>
  <c r="F250" i="2"/>
  <c r="G250" i="2"/>
  <c r="L250" i="2"/>
  <c r="B250" i="2"/>
  <c r="J250" i="2"/>
  <c r="K250" i="2"/>
  <c r="J180" i="6"/>
  <c r="G180" i="6"/>
  <c r="F180" i="6"/>
  <c r="B180" i="6"/>
  <c r="E180" i="6"/>
  <c r="S180" i="6" s="1"/>
  <c r="D180" i="6"/>
  <c r="C180" i="6"/>
  <c r="A181" i="6"/>
  <c r="Z249" i="2" l="1"/>
  <c r="K181" i="6"/>
  <c r="L181" i="6"/>
  <c r="T180" i="6"/>
  <c r="V180" i="6"/>
  <c r="U180" i="6"/>
  <c r="W179" i="6"/>
  <c r="A252" i="2"/>
  <c r="B251" i="2"/>
  <c r="L251" i="2"/>
  <c r="C251" i="2"/>
  <c r="M251" i="2"/>
  <c r="D251" i="2"/>
  <c r="E251" i="2"/>
  <c r="W251" i="2" s="1"/>
  <c r="F251" i="2"/>
  <c r="G251" i="2"/>
  <c r="J251" i="2"/>
  <c r="K251" i="2"/>
  <c r="AD249" i="2"/>
  <c r="AB250" i="2"/>
  <c r="X250" i="2"/>
  <c r="Y250" i="2"/>
  <c r="AA250" i="2"/>
  <c r="AC250" i="2"/>
  <c r="J181" i="6"/>
  <c r="G181" i="6"/>
  <c r="F181" i="6"/>
  <c r="B181" i="6"/>
  <c r="A182" i="6"/>
  <c r="D181" i="6"/>
  <c r="C181" i="6"/>
  <c r="E181" i="6"/>
  <c r="S181" i="6" s="1"/>
  <c r="K182" i="6" l="1"/>
  <c r="L182" i="6"/>
  <c r="U181" i="6"/>
  <c r="V181" i="6"/>
  <c r="T181" i="6"/>
  <c r="W180" i="6"/>
  <c r="AB251" i="2"/>
  <c r="AA251" i="2"/>
  <c r="X251" i="2"/>
  <c r="AC251" i="2"/>
  <c r="Y251" i="2"/>
  <c r="Z250" i="2"/>
  <c r="AD250" i="2" s="1"/>
  <c r="A253" i="2"/>
  <c r="K252" i="2"/>
  <c r="B252" i="2"/>
  <c r="L252" i="2"/>
  <c r="C252" i="2"/>
  <c r="M252" i="2"/>
  <c r="D252" i="2"/>
  <c r="E252" i="2"/>
  <c r="W252" i="2" s="1"/>
  <c r="F252" i="2"/>
  <c r="G252" i="2"/>
  <c r="J252" i="2"/>
  <c r="J182" i="6"/>
  <c r="G182" i="6"/>
  <c r="F182" i="6"/>
  <c r="B182" i="6"/>
  <c r="E182" i="6"/>
  <c r="S182" i="6" s="1"/>
  <c r="D182" i="6"/>
  <c r="C182" i="6"/>
  <c r="A183" i="6"/>
  <c r="W181" i="6" l="1"/>
  <c r="K183" i="6"/>
  <c r="L183" i="6"/>
  <c r="U182" i="6"/>
  <c r="T182" i="6"/>
  <c r="V182" i="6"/>
  <c r="A254" i="2"/>
  <c r="G253" i="2"/>
  <c r="J253" i="2"/>
  <c r="K253" i="2"/>
  <c r="B253" i="2"/>
  <c r="L253" i="2"/>
  <c r="C253" i="2"/>
  <c r="M253" i="2"/>
  <c r="D253" i="2"/>
  <c r="E253" i="2"/>
  <c r="W253" i="2" s="1"/>
  <c r="F253" i="2"/>
  <c r="Z251" i="2"/>
  <c r="AD251" i="2" s="1"/>
  <c r="Y252" i="2"/>
  <c r="X252" i="2"/>
  <c r="AA252" i="2"/>
  <c r="AB252" i="2"/>
  <c r="AC252" i="2"/>
  <c r="J183" i="6"/>
  <c r="G183" i="6"/>
  <c r="F183" i="6"/>
  <c r="B183" i="6"/>
  <c r="A184" i="6"/>
  <c r="D183" i="6"/>
  <c r="C183" i="6"/>
  <c r="E183" i="6"/>
  <c r="S183" i="6" s="1"/>
  <c r="L184" i="6" l="1"/>
  <c r="K184" i="6"/>
  <c r="V183" i="6"/>
  <c r="T183" i="6"/>
  <c r="U183" i="6"/>
  <c r="W183" i="6" s="1"/>
  <c r="W182" i="6"/>
  <c r="Z252" i="2"/>
  <c r="AD252" i="2"/>
  <c r="X253" i="2"/>
  <c r="AC253" i="2"/>
  <c r="Y253" i="2"/>
  <c r="AB253" i="2"/>
  <c r="AA253" i="2"/>
  <c r="A255" i="2"/>
  <c r="F254" i="2"/>
  <c r="G254" i="2"/>
  <c r="J254" i="2"/>
  <c r="K254" i="2"/>
  <c r="B254" i="2"/>
  <c r="L254" i="2"/>
  <c r="M254" i="2"/>
  <c r="C254" i="2"/>
  <c r="E254" i="2"/>
  <c r="W254" i="2" s="1"/>
  <c r="D254" i="2"/>
  <c r="J184" i="6"/>
  <c r="G184" i="6"/>
  <c r="F184" i="6"/>
  <c r="B184" i="6"/>
  <c r="E184" i="6"/>
  <c r="S184" i="6" s="1"/>
  <c r="D184" i="6"/>
  <c r="C184" i="6"/>
  <c r="A185" i="6"/>
  <c r="L185" i="6" l="1"/>
  <c r="K185" i="6"/>
  <c r="U184" i="6"/>
  <c r="T184" i="6"/>
  <c r="V184" i="6"/>
  <c r="Z253" i="2"/>
  <c r="AD253" i="2" s="1"/>
  <c r="A256" i="2"/>
  <c r="C255" i="2"/>
  <c r="M255" i="2"/>
  <c r="D255" i="2"/>
  <c r="E255" i="2"/>
  <c r="W255" i="2" s="1"/>
  <c r="F255" i="2"/>
  <c r="G255" i="2"/>
  <c r="B255" i="2"/>
  <c r="J255" i="2"/>
  <c r="K255" i="2"/>
  <c r="L255" i="2"/>
  <c r="AB254" i="2"/>
  <c r="AA254" i="2"/>
  <c r="AC254" i="2"/>
  <c r="X254" i="2"/>
  <c r="Y254" i="2"/>
  <c r="J185" i="6"/>
  <c r="G185" i="6"/>
  <c r="F185" i="6"/>
  <c r="B185" i="6"/>
  <c r="A186" i="6"/>
  <c r="D185" i="6"/>
  <c r="C185" i="6"/>
  <c r="E185" i="6"/>
  <c r="S185" i="6" s="1"/>
  <c r="K186" i="6" l="1"/>
  <c r="L186" i="6"/>
  <c r="V185" i="6"/>
  <c r="T185" i="6"/>
  <c r="U185" i="6"/>
  <c r="W184" i="6"/>
  <c r="Z254" i="2"/>
  <c r="AD254" i="2" s="1"/>
  <c r="Y255" i="2"/>
  <c r="X255" i="2"/>
  <c r="AA255" i="2"/>
  <c r="AB255" i="2"/>
  <c r="AC255" i="2"/>
  <c r="A257" i="2"/>
  <c r="J256" i="2"/>
  <c r="K256" i="2"/>
  <c r="B256" i="2"/>
  <c r="L256" i="2"/>
  <c r="C256" i="2"/>
  <c r="M256" i="2"/>
  <c r="D256" i="2"/>
  <c r="E256" i="2"/>
  <c r="W256" i="2" s="1"/>
  <c r="F256" i="2"/>
  <c r="G256" i="2"/>
  <c r="J186" i="6"/>
  <c r="G186" i="6"/>
  <c r="F186" i="6"/>
  <c r="B186" i="6"/>
  <c r="E186" i="6"/>
  <c r="S186" i="6" s="1"/>
  <c r="D186" i="6"/>
  <c r="C186" i="6"/>
  <c r="A187" i="6"/>
  <c r="L187" i="6" l="1"/>
  <c r="K187" i="6"/>
  <c r="Z255" i="2"/>
  <c r="T186" i="6"/>
  <c r="U186" i="6"/>
  <c r="V186" i="6"/>
  <c r="W185" i="6"/>
  <c r="AB256" i="2"/>
  <c r="Y256" i="2"/>
  <c r="AC256" i="2"/>
  <c r="X256" i="2"/>
  <c r="AA256" i="2"/>
  <c r="A258" i="2"/>
  <c r="F257" i="2"/>
  <c r="G257" i="2"/>
  <c r="J257" i="2"/>
  <c r="K257" i="2"/>
  <c r="B257" i="2"/>
  <c r="L257" i="2"/>
  <c r="C257" i="2"/>
  <c r="D257" i="2"/>
  <c r="E257" i="2"/>
  <c r="W257" i="2" s="1"/>
  <c r="M257" i="2"/>
  <c r="AD255" i="2"/>
  <c r="J187" i="6"/>
  <c r="G187" i="6"/>
  <c r="F187" i="6"/>
  <c r="B187" i="6"/>
  <c r="A188" i="6"/>
  <c r="D187" i="6"/>
  <c r="C187" i="6"/>
  <c r="E187" i="6"/>
  <c r="S187" i="6" s="1"/>
  <c r="K188" i="6" l="1"/>
  <c r="L188" i="6"/>
  <c r="U187" i="6"/>
  <c r="T187" i="6"/>
  <c r="V187" i="6"/>
  <c r="W186" i="6"/>
  <c r="Z256" i="2"/>
  <c r="AD256" i="2"/>
  <c r="A259" i="2"/>
  <c r="C258" i="2"/>
  <c r="M258" i="2"/>
  <c r="D258" i="2"/>
  <c r="E258" i="2"/>
  <c r="W258" i="2" s="1"/>
  <c r="F258" i="2"/>
  <c r="G258" i="2"/>
  <c r="B258" i="2"/>
  <c r="J258" i="2"/>
  <c r="K258" i="2"/>
  <c r="L258" i="2"/>
  <c r="AA257" i="2"/>
  <c r="Y257" i="2"/>
  <c r="X257" i="2"/>
  <c r="AB257" i="2"/>
  <c r="AC257" i="2"/>
  <c r="J188" i="6"/>
  <c r="G188" i="6"/>
  <c r="F188" i="6"/>
  <c r="B188" i="6"/>
  <c r="E188" i="6"/>
  <c r="S188" i="6" s="1"/>
  <c r="D188" i="6"/>
  <c r="C188" i="6"/>
  <c r="A189" i="6"/>
  <c r="W187" i="6" l="1"/>
  <c r="K189" i="6"/>
  <c r="L189" i="6"/>
  <c r="T188" i="6"/>
  <c r="V188" i="6"/>
  <c r="U188" i="6"/>
  <c r="Z257" i="2"/>
  <c r="AD257" i="2" s="1"/>
  <c r="X258" i="2"/>
  <c r="AC258" i="2"/>
  <c r="Y258" i="2"/>
  <c r="AA258" i="2"/>
  <c r="AB258" i="2"/>
  <c r="A260" i="2"/>
  <c r="K259" i="2"/>
  <c r="B259" i="2"/>
  <c r="L259" i="2"/>
  <c r="C259" i="2"/>
  <c r="M259" i="2"/>
  <c r="D259" i="2"/>
  <c r="E259" i="2"/>
  <c r="W259" i="2" s="1"/>
  <c r="G259" i="2"/>
  <c r="J259" i="2"/>
  <c r="F259" i="2"/>
  <c r="J189" i="6"/>
  <c r="G189" i="6"/>
  <c r="F189" i="6"/>
  <c r="B189" i="6"/>
  <c r="A190" i="6"/>
  <c r="D189" i="6"/>
  <c r="C189" i="6"/>
  <c r="E189" i="6"/>
  <c r="S189" i="6" s="1"/>
  <c r="Z258" i="2" l="1"/>
  <c r="L190" i="6"/>
  <c r="K190" i="6"/>
  <c r="U189" i="6"/>
  <c r="V189" i="6"/>
  <c r="T189" i="6"/>
  <c r="W188" i="6"/>
  <c r="AB259" i="2"/>
  <c r="AC259" i="2"/>
  <c r="X259" i="2"/>
  <c r="Y259" i="2"/>
  <c r="AA259" i="2"/>
  <c r="AD258" i="2"/>
  <c r="A261" i="2"/>
  <c r="G260" i="2"/>
  <c r="J260" i="2"/>
  <c r="K260" i="2"/>
  <c r="B260" i="2"/>
  <c r="L260" i="2"/>
  <c r="C260" i="2"/>
  <c r="D260" i="2"/>
  <c r="E260" i="2"/>
  <c r="W260" i="2" s="1"/>
  <c r="F260" i="2"/>
  <c r="M260" i="2"/>
  <c r="J190" i="6"/>
  <c r="G190" i="6"/>
  <c r="F190" i="6"/>
  <c r="B190" i="6"/>
  <c r="E190" i="6"/>
  <c r="S190" i="6" s="1"/>
  <c r="D190" i="6"/>
  <c r="C190" i="6"/>
  <c r="A191" i="6"/>
  <c r="K191" i="6" l="1"/>
  <c r="L191" i="6"/>
  <c r="W189" i="6"/>
  <c r="U190" i="6"/>
  <c r="T190" i="6"/>
  <c r="V190" i="6"/>
  <c r="X260" i="2"/>
  <c r="AB260" i="2"/>
  <c r="Y260" i="2"/>
  <c r="AA260" i="2"/>
  <c r="AC260" i="2"/>
  <c r="A262" i="2"/>
  <c r="F261" i="2"/>
  <c r="G261" i="2"/>
  <c r="J261" i="2"/>
  <c r="K261" i="2"/>
  <c r="L261" i="2"/>
  <c r="M261" i="2"/>
  <c r="B261" i="2"/>
  <c r="C261" i="2"/>
  <c r="D261" i="2"/>
  <c r="E261" i="2"/>
  <c r="W261" i="2" s="1"/>
  <c r="Z259" i="2"/>
  <c r="AD259" i="2" s="1"/>
  <c r="J191" i="6"/>
  <c r="G191" i="6"/>
  <c r="F191" i="6"/>
  <c r="B191" i="6"/>
  <c r="A192" i="6"/>
  <c r="D191" i="6"/>
  <c r="C191" i="6"/>
  <c r="E191" i="6"/>
  <c r="S191" i="6" s="1"/>
  <c r="W190" i="6" l="1"/>
  <c r="L192" i="6"/>
  <c r="K192" i="6"/>
  <c r="V191" i="6"/>
  <c r="T191" i="6"/>
  <c r="U191" i="6"/>
  <c r="AB261" i="2"/>
  <c r="Y261" i="2"/>
  <c r="AA261" i="2"/>
  <c r="AC261" i="2"/>
  <c r="X261" i="2"/>
  <c r="A263" i="2"/>
  <c r="E262" i="2"/>
  <c r="W262" i="2" s="1"/>
  <c r="F262" i="2"/>
  <c r="G262" i="2"/>
  <c r="J262" i="2"/>
  <c r="B262" i="2"/>
  <c r="C262" i="2"/>
  <c r="D262" i="2"/>
  <c r="K262" i="2"/>
  <c r="L262" i="2"/>
  <c r="M262" i="2"/>
  <c r="Z260" i="2"/>
  <c r="AD260" i="2" s="1"/>
  <c r="J192" i="6"/>
  <c r="G192" i="6"/>
  <c r="F192" i="6"/>
  <c r="B192" i="6"/>
  <c r="E192" i="6"/>
  <c r="S192" i="6" s="1"/>
  <c r="D192" i="6"/>
  <c r="C192" i="6"/>
  <c r="A193" i="6"/>
  <c r="Z261" i="2" l="1"/>
  <c r="AD261" i="2" s="1"/>
  <c r="L193" i="6"/>
  <c r="K193" i="6"/>
  <c r="W191" i="6"/>
  <c r="T192" i="6"/>
  <c r="U192" i="6"/>
  <c r="V192" i="6"/>
  <c r="Y262" i="2"/>
  <c r="AA262" i="2"/>
  <c r="AC262" i="2"/>
  <c r="AB262" i="2"/>
  <c r="X262" i="2"/>
  <c r="A264" i="2"/>
  <c r="B263" i="2"/>
  <c r="L263" i="2"/>
  <c r="C263" i="2"/>
  <c r="M263" i="2"/>
  <c r="D263" i="2"/>
  <c r="E263" i="2"/>
  <c r="W263" i="2" s="1"/>
  <c r="G263" i="2"/>
  <c r="J263" i="2"/>
  <c r="K263" i="2"/>
  <c r="F263" i="2"/>
  <c r="J193" i="6"/>
  <c r="G193" i="6"/>
  <c r="F193" i="6"/>
  <c r="B193" i="6"/>
  <c r="A194" i="6"/>
  <c r="D193" i="6"/>
  <c r="C193" i="6"/>
  <c r="E193" i="6"/>
  <c r="S193" i="6" s="1"/>
  <c r="L194" i="6" l="1"/>
  <c r="K194" i="6"/>
  <c r="T193" i="6"/>
  <c r="V193" i="6"/>
  <c r="U193" i="6"/>
  <c r="W192" i="6"/>
  <c r="Z262" i="2"/>
  <c r="AD262" i="2" s="1"/>
  <c r="AB263" i="2"/>
  <c r="AC263" i="2"/>
  <c r="Y263" i="2"/>
  <c r="X263" i="2"/>
  <c r="AA263" i="2"/>
  <c r="A265" i="2"/>
  <c r="J264" i="2"/>
  <c r="K264" i="2"/>
  <c r="B264" i="2"/>
  <c r="L264" i="2"/>
  <c r="C264" i="2"/>
  <c r="M264" i="2"/>
  <c r="D264" i="2"/>
  <c r="E264" i="2"/>
  <c r="W264" i="2" s="1"/>
  <c r="F264" i="2"/>
  <c r="G264" i="2"/>
  <c r="J194" i="6"/>
  <c r="G194" i="6"/>
  <c r="F194" i="6"/>
  <c r="B194" i="6"/>
  <c r="E194" i="6"/>
  <c r="S194" i="6" s="1"/>
  <c r="D194" i="6"/>
  <c r="C194" i="6"/>
  <c r="A195" i="6"/>
  <c r="L195" i="6" l="1"/>
  <c r="K195" i="6"/>
  <c r="T194" i="6"/>
  <c r="U194" i="6"/>
  <c r="V194" i="6"/>
  <c r="Z263" i="2"/>
  <c r="AD263" i="2" s="1"/>
  <c r="W193" i="6"/>
  <c r="A266" i="2"/>
  <c r="E265" i="2"/>
  <c r="W265" i="2" s="1"/>
  <c r="F265" i="2"/>
  <c r="G265" i="2"/>
  <c r="J265" i="2"/>
  <c r="B265" i="2"/>
  <c r="C265" i="2"/>
  <c r="D265" i="2"/>
  <c r="K265" i="2"/>
  <c r="L265" i="2"/>
  <c r="M265" i="2"/>
  <c r="X264" i="2"/>
  <c r="AA264" i="2"/>
  <c r="Y264" i="2"/>
  <c r="AB264" i="2"/>
  <c r="AC264" i="2"/>
  <c r="J195" i="6"/>
  <c r="G195" i="6"/>
  <c r="F195" i="6"/>
  <c r="B195" i="6"/>
  <c r="A196" i="6"/>
  <c r="D195" i="6"/>
  <c r="C195" i="6"/>
  <c r="E195" i="6"/>
  <c r="S195" i="6" s="1"/>
  <c r="L196" i="6" l="1"/>
  <c r="K196" i="6"/>
  <c r="T195" i="6"/>
  <c r="V195" i="6"/>
  <c r="U195" i="6"/>
  <c r="Z264" i="2"/>
  <c r="AD264" i="2" s="1"/>
  <c r="W194" i="6"/>
  <c r="AB265" i="2"/>
  <c r="X265" i="2"/>
  <c r="AA265" i="2"/>
  <c r="AC265" i="2"/>
  <c r="Y265" i="2"/>
  <c r="A267" i="2"/>
  <c r="B266" i="2"/>
  <c r="L266" i="2"/>
  <c r="C266" i="2"/>
  <c r="M266" i="2"/>
  <c r="D266" i="2"/>
  <c r="E266" i="2"/>
  <c r="W266" i="2" s="1"/>
  <c r="K266" i="2"/>
  <c r="F266" i="2"/>
  <c r="G266" i="2"/>
  <c r="J266" i="2"/>
  <c r="J196" i="6"/>
  <c r="G196" i="6"/>
  <c r="F196" i="6"/>
  <c r="B196" i="6"/>
  <c r="E196" i="6"/>
  <c r="S196" i="6" s="1"/>
  <c r="D196" i="6"/>
  <c r="C196" i="6"/>
  <c r="A197" i="6"/>
  <c r="K197" i="6" l="1"/>
  <c r="L197" i="6"/>
  <c r="W195" i="6"/>
  <c r="T196" i="6"/>
  <c r="U196" i="6"/>
  <c r="V196" i="6"/>
  <c r="X266" i="2"/>
  <c r="AC266" i="2"/>
  <c r="Y266" i="2"/>
  <c r="AA266" i="2"/>
  <c r="AB266" i="2"/>
  <c r="Z265" i="2"/>
  <c r="AD265" i="2" s="1"/>
  <c r="A268" i="2"/>
  <c r="J267" i="2"/>
  <c r="K267" i="2"/>
  <c r="B267" i="2"/>
  <c r="L267" i="2"/>
  <c r="C267" i="2"/>
  <c r="M267" i="2"/>
  <c r="D267" i="2"/>
  <c r="E267" i="2"/>
  <c r="W267" i="2" s="1"/>
  <c r="F267" i="2"/>
  <c r="G267" i="2"/>
  <c r="J197" i="6"/>
  <c r="G197" i="6"/>
  <c r="F197" i="6"/>
  <c r="B197" i="6"/>
  <c r="A198" i="6"/>
  <c r="D197" i="6"/>
  <c r="C197" i="6"/>
  <c r="E197" i="6"/>
  <c r="S197" i="6" s="1"/>
  <c r="Z266" i="2" l="1"/>
  <c r="L198" i="6"/>
  <c r="K198" i="6"/>
  <c r="T197" i="6"/>
  <c r="U197" i="6"/>
  <c r="V197" i="6"/>
  <c r="W196" i="6"/>
  <c r="AA267" i="2"/>
  <c r="AC267" i="2"/>
  <c r="Y267" i="2"/>
  <c r="AB267" i="2"/>
  <c r="X267" i="2"/>
  <c r="A269" i="2"/>
  <c r="G268" i="2"/>
  <c r="J268" i="2"/>
  <c r="K268" i="2"/>
  <c r="B268" i="2"/>
  <c r="L268" i="2"/>
  <c r="C268" i="2"/>
  <c r="D268" i="2"/>
  <c r="E268" i="2"/>
  <c r="W268" i="2" s="1"/>
  <c r="F268" i="2"/>
  <c r="M268" i="2"/>
  <c r="AD266" i="2"/>
  <c r="J198" i="6"/>
  <c r="G198" i="6"/>
  <c r="F198" i="6"/>
  <c r="B198" i="6"/>
  <c r="E198" i="6"/>
  <c r="S198" i="6" s="1"/>
  <c r="D198" i="6"/>
  <c r="C198" i="6"/>
  <c r="A199" i="6"/>
  <c r="L199" i="6" l="1"/>
  <c r="K199" i="6"/>
  <c r="U198" i="6"/>
  <c r="T198" i="6"/>
  <c r="V198" i="6"/>
  <c r="Z267" i="2"/>
  <c r="AD267" i="2" s="1"/>
  <c r="W197" i="6"/>
  <c r="AB268" i="2"/>
  <c r="AC268" i="2"/>
  <c r="Y268" i="2"/>
  <c r="AA268" i="2"/>
  <c r="X268" i="2"/>
  <c r="A270" i="2"/>
  <c r="F269" i="2"/>
  <c r="G269" i="2"/>
  <c r="J269" i="2"/>
  <c r="C269" i="2"/>
  <c r="D269" i="2"/>
  <c r="E269" i="2"/>
  <c r="W269" i="2" s="1"/>
  <c r="K269" i="2"/>
  <c r="L269" i="2"/>
  <c r="M269" i="2"/>
  <c r="B269" i="2"/>
  <c r="J199" i="6"/>
  <c r="G199" i="6"/>
  <c r="F199" i="6"/>
  <c r="B199" i="6"/>
  <c r="A200" i="6"/>
  <c r="D199" i="6"/>
  <c r="C199" i="6"/>
  <c r="E199" i="6"/>
  <c r="S199" i="6" s="1"/>
  <c r="K200" i="6" l="1"/>
  <c r="L200" i="6"/>
  <c r="V199" i="6"/>
  <c r="T199" i="6"/>
  <c r="U199" i="6"/>
  <c r="W198" i="6"/>
  <c r="Z268" i="2"/>
  <c r="AD268" i="2" s="1"/>
  <c r="Y269" i="2"/>
  <c r="X269" i="2"/>
  <c r="AC269" i="2"/>
  <c r="AA269" i="2"/>
  <c r="AB269" i="2"/>
  <c r="A271" i="2"/>
  <c r="E270" i="2"/>
  <c r="W270" i="2" s="1"/>
  <c r="F270" i="2"/>
  <c r="G270" i="2"/>
  <c r="J270" i="2"/>
  <c r="K270" i="2"/>
  <c r="L270" i="2"/>
  <c r="M270" i="2"/>
  <c r="B270" i="2"/>
  <c r="C270" i="2"/>
  <c r="D270" i="2"/>
  <c r="J200" i="6"/>
  <c r="G200" i="6"/>
  <c r="F200" i="6"/>
  <c r="B200" i="6"/>
  <c r="E200" i="6"/>
  <c r="S200" i="6" s="1"/>
  <c r="D200" i="6"/>
  <c r="C200" i="6"/>
  <c r="A201" i="6"/>
  <c r="K201" i="6" l="1"/>
  <c r="L201" i="6"/>
  <c r="W199" i="6"/>
  <c r="Z269" i="2"/>
  <c r="T200" i="6"/>
  <c r="U200" i="6"/>
  <c r="V200" i="6"/>
  <c r="Y270" i="2"/>
  <c r="AA270" i="2"/>
  <c r="AB270" i="2"/>
  <c r="AC270" i="2"/>
  <c r="X270" i="2"/>
  <c r="AD269" i="2"/>
  <c r="A272" i="2"/>
  <c r="B271" i="2"/>
  <c r="L271" i="2"/>
  <c r="C271" i="2"/>
  <c r="M271" i="2"/>
  <c r="D271" i="2"/>
  <c r="K271" i="2"/>
  <c r="E271" i="2"/>
  <c r="W271" i="2" s="1"/>
  <c r="F271" i="2"/>
  <c r="G271" i="2"/>
  <c r="J271" i="2"/>
  <c r="J201" i="6"/>
  <c r="G201" i="6"/>
  <c r="F201" i="6"/>
  <c r="B201" i="6"/>
  <c r="A202" i="6"/>
  <c r="D201" i="6"/>
  <c r="C201" i="6"/>
  <c r="E201" i="6"/>
  <c r="S201" i="6" s="1"/>
  <c r="L202" i="6" l="1"/>
  <c r="K202" i="6"/>
  <c r="T201" i="6"/>
  <c r="V201" i="6"/>
  <c r="U201" i="6"/>
  <c r="W200" i="6"/>
  <c r="Z270" i="2"/>
  <c r="AD270" i="2" s="1"/>
  <c r="A273" i="2"/>
  <c r="J272" i="2"/>
  <c r="B272" i="2"/>
  <c r="M272" i="2"/>
  <c r="C272" i="2"/>
  <c r="D272" i="2"/>
  <c r="E272" i="2"/>
  <c r="W272" i="2" s="1"/>
  <c r="F272" i="2"/>
  <c r="G272" i="2"/>
  <c r="K272" i="2"/>
  <c r="L272" i="2"/>
  <c r="AA271" i="2"/>
  <c r="AB271" i="2"/>
  <c r="AC271" i="2"/>
  <c r="X271" i="2"/>
  <c r="Y271" i="2"/>
  <c r="J202" i="6"/>
  <c r="G202" i="6"/>
  <c r="F202" i="6"/>
  <c r="B202" i="6"/>
  <c r="E202" i="6"/>
  <c r="S202" i="6" s="1"/>
  <c r="D202" i="6"/>
  <c r="C202" i="6"/>
  <c r="A203" i="6"/>
  <c r="Z271" i="2" l="1"/>
  <c r="AD271" i="2" s="1"/>
  <c r="L203" i="6"/>
  <c r="K203" i="6"/>
  <c r="T202" i="6"/>
  <c r="U202" i="6"/>
  <c r="V202" i="6"/>
  <c r="W201" i="6"/>
  <c r="X272" i="2"/>
  <c r="Y272" i="2"/>
  <c r="AA272" i="2"/>
  <c r="AB272" i="2"/>
  <c r="AC272" i="2"/>
  <c r="A274" i="2"/>
  <c r="F273" i="2"/>
  <c r="L273" i="2"/>
  <c r="B273" i="2"/>
  <c r="M273" i="2"/>
  <c r="C273" i="2"/>
  <c r="D273" i="2"/>
  <c r="E273" i="2"/>
  <c r="W273" i="2" s="1"/>
  <c r="G273" i="2"/>
  <c r="K273" i="2"/>
  <c r="J273" i="2"/>
  <c r="J203" i="6"/>
  <c r="G203" i="6"/>
  <c r="F203" i="6"/>
  <c r="B203" i="6"/>
  <c r="A204" i="6"/>
  <c r="D203" i="6"/>
  <c r="C203" i="6"/>
  <c r="E203" i="6"/>
  <c r="S203" i="6" s="1"/>
  <c r="K204" i="6" l="1"/>
  <c r="L204" i="6"/>
  <c r="T203" i="6"/>
  <c r="V203" i="6"/>
  <c r="U203" i="6"/>
  <c r="W202" i="6"/>
  <c r="X273" i="2"/>
  <c r="Y273" i="2"/>
  <c r="AA273" i="2"/>
  <c r="AB273" i="2"/>
  <c r="AC273" i="2"/>
  <c r="A275" i="2"/>
  <c r="K274" i="2"/>
  <c r="B274" i="2"/>
  <c r="L274" i="2"/>
  <c r="C274" i="2"/>
  <c r="M274" i="2"/>
  <c r="D274" i="2"/>
  <c r="E274" i="2"/>
  <c r="W274" i="2" s="1"/>
  <c r="F274" i="2"/>
  <c r="G274" i="2"/>
  <c r="J274" i="2"/>
  <c r="Z272" i="2"/>
  <c r="AD272" i="2" s="1"/>
  <c r="J204" i="6"/>
  <c r="G204" i="6"/>
  <c r="F204" i="6"/>
  <c r="B204" i="6"/>
  <c r="E204" i="6"/>
  <c r="S204" i="6" s="1"/>
  <c r="D204" i="6"/>
  <c r="C204" i="6"/>
  <c r="A205" i="6"/>
  <c r="Z273" i="2" l="1"/>
  <c r="L205" i="6"/>
  <c r="K205" i="6"/>
  <c r="W203" i="6"/>
  <c r="T204" i="6"/>
  <c r="U204" i="6"/>
  <c r="V204" i="6"/>
  <c r="AB274" i="2"/>
  <c r="Y274" i="2"/>
  <c r="AA274" i="2"/>
  <c r="AC274" i="2"/>
  <c r="X274" i="2"/>
  <c r="A276" i="2"/>
  <c r="J275" i="2"/>
  <c r="K275" i="2"/>
  <c r="B275" i="2"/>
  <c r="L275" i="2"/>
  <c r="C275" i="2"/>
  <c r="M275" i="2"/>
  <c r="D275" i="2"/>
  <c r="E275" i="2"/>
  <c r="W275" i="2" s="1"/>
  <c r="F275" i="2"/>
  <c r="G275" i="2"/>
  <c r="AD273" i="2"/>
  <c r="J205" i="6"/>
  <c r="G205" i="6"/>
  <c r="F205" i="6"/>
  <c r="B205" i="6"/>
  <c r="A206" i="6"/>
  <c r="D205" i="6"/>
  <c r="C205" i="6"/>
  <c r="E205" i="6"/>
  <c r="S205" i="6" s="1"/>
  <c r="L206" i="6" l="1"/>
  <c r="K206" i="6"/>
  <c r="U205" i="6"/>
  <c r="V205" i="6"/>
  <c r="T205" i="6"/>
  <c r="W204" i="6"/>
  <c r="Z274" i="2"/>
  <c r="AD274" i="2" s="1"/>
  <c r="A277" i="2"/>
  <c r="G276" i="2"/>
  <c r="J276" i="2"/>
  <c r="K276" i="2"/>
  <c r="B276" i="2"/>
  <c r="L276" i="2"/>
  <c r="C276" i="2"/>
  <c r="M276" i="2"/>
  <c r="D276" i="2"/>
  <c r="E276" i="2"/>
  <c r="W276" i="2" s="1"/>
  <c r="F276" i="2"/>
  <c r="Y275" i="2"/>
  <c r="AB275" i="2"/>
  <c r="AC275" i="2"/>
  <c r="AA275" i="2"/>
  <c r="X275" i="2"/>
  <c r="Z275" i="2" s="1"/>
  <c r="J206" i="6"/>
  <c r="G206" i="6"/>
  <c r="F206" i="6"/>
  <c r="B206" i="6"/>
  <c r="E206" i="6"/>
  <c r="S206" i="6" s="1"/>
  <c r="D206" i="6"/>
  <c r="C206" i="6"/>
  <c r="A207" i="6"/>
  <c r="L207" i="6" l="1"/>
  <c r="K207" i="6"/>
  <c r="W205" i="6"/>
  <c r="AD275" i="2"/>
  <c r="T206" i="6"/>
  <c r="U206" i="6"/>
  <c r="V206" i="6"/>
  <c r="AA276" i="2"/>
  <c r="AB276" i="2"/>
  <c r="AC276" i="2"/>
  <c r="X276" i="2"/>
  <c r="Y276" i="2"/>
  <c r="A278" i="2"/>
  <c r="E277" i="2"/>
  <c r="W277" i="2" s="1"/>
  <c r="F277" i="2"/>
  <c r="G277" i="2"/>
  <c r="J277" i="2"/>
  <c r="K277" i="2"/>
  <c r="B277" i="2"/>
  <c r="L277" i="2"/>
  <c r="C277" i="2"/>
  <c r="D277" i="2"/>
  <c r="M277" i="2"/>
  <c r="J207" i="6"/>
  <c r="G207" i="6"/>
  <c r="F207" i="6"/>
  <c r="B207" i="6"/>
  <c r="A208" i="6"/>
  <c r="D207" i="6"/>
  <c r="C207" i="6"/>
  <c r="E207" i="6"/>
  <c r="S207" i="6" s="1"/>
  <c r="W206" i="6" l="1"/>
  <c r="K208" i="6"/>
  <c r="L208" i="6"/>
  <c r="V207" i="6"/>
  <c r="T207" i="6"/>
  <c r="U207" i="6"/>
  <c r="Y277" i="2"/>
  <c r="X277" i="2"/>
  <c r="AB277" i="2"/>
  <c r="AA277" i="2"/>
  <c r="AC277" i="2"/>
  <c r="Z276" i="2"/>
  <c r="AD276" i="2" s="1"/>
  <c r="A279" i="2"/>
  <c r="K278" i="2"/>
  <c r="B278" i="2"/>
  <c r="L278" i="2"/>
  <c r="C278" i="2"/>
  <c r="M278" i="2"/>
  <c r="D278" i="2"/>
  <c r="E278" i="2"/>
  <c r="W278" i="2" s="1"/>
  <c r="F278" i="2"/>
  <c r="G278" i="2"/>
  <c r="J278" i="2"/>
  <c r="J208" i="6"/>
  <c r="G208" i="6"/>
  <c r="F208" i="6"/>
  <c r="B208" i="6"/>
  <c r="E208" i="6"/>
  <c r="S208" i="6" s="1"/>
  <c r="D208" i="6"/>
  <c r="C208" i="6"/>
  <c r="A209" i="6"/>
  <c r="L209" i="6" l="1"/>
  <c r="K209" i="6"/>
  <c r="Z277" i="2"/>
  <c r="W207" i="6"/>
  <c r="U208" i="6"/>
  <c r="T208" i="6"/>
  <c r="W208" i="6" s="1"/>
  <c r="V208" i="6"/>
  <c r="A280" i="2"/>
  <c r="J279" i="2"/>
  <c r="K279" i="2"/>
  <c r="B279" i="2"/>
  <c r="L279" i="2"/>
  <c r="C279" i="2"/>
  <c r="M279" i="2"/>
  <c r="D279" i="2"/>
  <c r="E279" i="2"/>
  <c r="W279" i="2" s="1"/>
  <c r="F279" i="2"/>
  <c r="G279" i="2"/>
  <c r="AC278" i="2"/>
  <c r="AB278" i="2"/>
  <c r="Y278" i="2"/>
  <c r="X278" i="2"/>
  <c r="Z278" i="2" s="1"/>
  <c r="AA278" i="2"/>
  <c r="AD277" i="2"/>
  <c r="J209" i="6"/>
  <c r="G209" i="6"/>
  <c r="F209" i="6"/>
  <c r="B209" i="6"/>
  <c r="A210" i="6"/>
  <c r="D209" i="6"/>
  <c r="C209" i="6"/>
  <c r="E209" i="6"/>
  <c r="S209" i="6" s="1"/>
  <c r="K210" i="6" l="1"/>
  <c r="L210" i="6"/>
  <c r="V209" i="6"/>
  <c r="T209" i="6"/>
  <c r="U209" i="6"/>
  <c r="AD278" i="2"/>
  <c r="Y279" i="2"/>
  <c r="AA279" i="2"/>
  <c r="AB279" i="2"/>
  <c r="AC279" i="2"/>
  <c r="X279" i="2"/>
  <c r="A281" i="2"/>
  <c r="J280" i="2"/>
  <c r="K280" i="2"/>
  <c r="B280" i="2"/>
  <c r="L280" i="2"/>
  <c r="C280" i="2"/>
  <c r="M280" i="2"/>
  <c r="D280" i="2"/>
  <c r="E280" i="2"/>
  <c r="W280" i="2" s="1"/>
  <c r="F280" i="2"/>
  <c r="G280" i="2"/>
  <c r="J210" i="6"/>
  <c r="G210" i="6"/>
  <c r="F210" i="6"/>
  <c r="B210" i="6"/>
  <c r="E210" i="6"/>
  <c r="S210" i="6" s="1"/>
  <c r="D210" i="6"/>
  <c r="C210" i="6"/>
  <c r="A211" i="6"/>
  <c r="L211" i="6" l="1"/>
  <c r="K211" i="6"/>
  <c r="W209" i="6"/>
  <c r="T210" i="6"/>
  <c r="V210" i="6"/>
  <c r="U210" i="6"/>
  <c r="W210" i="6" s="1"/>
  <c r="Z279" i="2"/>
  <c r="AD279" i="2" s="1"/>
  <c r="A282" i="2"/>
  <c r="F281" i="2"/>
  <c r="G281" i="2"/>
  <c r="J281" i="2"/>
  <c r="K281" i="2"/>
  <c r="B281" i="2"/>
  <c r="L281" i="2"/>
  <c r="C281" i="2"/>
  <c r="M281" i="2"/>
  <c r="E281" i="2"/>
  <c r="W281" i="2" s="1"/>
  <c r="D281" i="2"/>
  <c r="X280" i="2"/>
  <c r="Y280" i="2"/>
  <c r="AA280" i="2"/>
  <c r="AC280" i="2"/>
  <c r="AB280" i="2"/>
  <c r="J211" i="6"/>
  <c r="G211" i="6"/>
  <c r="F211" i="6"/>
  <c r="B211" i="6"/>
  <c r="A212" i="6"/>
  <c r="D211" i="6"/>
  <c r="C211" i="6"/>
  <c r="E211" i="6"/>
  <c r="S211" i="6" s="1"/>
  <c r="L212" i="6" l="1"/>
  <c r="K212" i="6"/>
  <c r="T211" i="6"/>
  <c r="V211" i="6"/>
  <c r="U211" i="6"/>
  <c r="Z280" i="2"/>
  <c r="AD280" i="2" s="1"/>
  <c r="AC281" i="2"/>
  <c r="Y281" i="2"/>
  <c r="AA281" i="2"/>
  <c r="AB281" i="2"/>
  <c r="X281" i="2"/>
  <c r="A283" i="2"/>
  <c r="E282" i="2"/>
  <c r="W282" i="2" s="1"/>
  <c r="F282" i="2"/>
  <c r="G282" i="2"/>
  <c r="J282" i="2"/>
  <c r="K282" i="2"/>
  <c r="B282" i="2"/>
  <c r="L282" i="2"/>
  <c r="C282" i="2"/>
  <c r="D282" i="2"/>
  <c r="M282" i="2"/>
  <c r="J212" i="6"/>
  <c r="G212" i="6"/>
  <c r="F212" i="6"/>
  <c r="B212" i="6"/>
  <c r="E212" i="6"/>
  <c r="S212" i="6" s="1"/>
  <c r="D212" i="6"/>
  <c r="C212" i="6"/>
  <c r="A213" i="6"/>
  <c r="K213" i="6" l="1"/>
  <c r="L213" i="6"/>
  <c r="W211" i="6"/>
  <c r="T212" i="6"/>
  <c r="U212" i="6"/>
  <c r="V212" i="6"/>
  <c r="Z281" i="2"/>
  <c r="AD281" i="2" s="1"/>
  <c r="AA282" i="2"/>
  <c r="Y282" i="2"/>
  <c r="X282" i="2"/>
  <c r="Z282" i="2" s="1"/>
  <c r="AB282" i="2"/>
  <c r="AC282" i="2"/>
  <c r="A284" i="2"/>
  <c r="B283" i="2"/>
  <c r="L283" i="2"/>
  <c r="C283" i="2"/>
  <c r="M283" i="2"/>
  <c r="D283" i="2"/>
  <c r="E283" i="2"/>
  <c r="W283" i="2" s="1"/>
  <c r="F283" i="2"/>
  <c r="G283" i="2"/>
  <c r="J283" i="2"/>
  <c r="K283" i="2"/>
  <c r="J213" i="6"/>
  <c r="G213" i="6"/>
  <c r="F213" i="6"/>
  <c r="B213" i="6"/>
  <c r="A214" i="6"/>
  <c r="D213" i="6"/>
  <c r="C213" i="6"/>
  <c r="E213" i="6"/>
  <c r="S213" i="6" s="1"/>
  <c r="K214" i="6" l="1"/>
  <c r="L214" i="6"/>
  <c r="T213" i="6"/>
  <c r="U213" i="6"/>
  <c r="V213" i="6"/>
  <c r="W212" i="6"/>
  <c r="AC283" i="2"/>
  <c r="AA283" i="2"/>
  <c r="X283" i="2"/>
  <c r="Y283" i="2"/>
  <c r="AB283" i="2"/>
  <c r="AD282" i="2"/>
  <c r="A285" i="2"/>
  <c r="J284" i="2"/>
  <c r="K284" i="2"/>
  <c r="B284" i="2"/>
  <c r="L284" i="2"/>
  <c r="C284" i="2"/>
  <c r="M284" i="2"/>
  <c r="D284" i="2"/>
  <c r="E284" i="2"/>
  <c r="W284" i="2" s="1"/>
  <c r="F284" i="2"/>
  <c r="G284" i="2"/>
  <c r="J214" i="6"/>
  <c r="G214" i="6"/>
  <c r="F214" i="6"/>
  <c r="B214" i="6"/>
  <c r="E214" i="6"/>
  <c r="S214" i="6" s="1"/>
  <c r="D214" i="6"/>
  <c r="C214" i="6"/>
  <c r="A215" i="6"/>
  <c r="K215" i="6" l="1"/>
  <c r="L215" i="6"/>
  <c r="T214" i="6"/>
  <c r="U214" i="6"/>
  <c r="V214" i="6"/>
  <c r="W213" i="6"/>
  <c r="AA284" i="2"/>
  <c r="AB284" i="2"/>
  <c r="AC284" i="2"/>
  <c r="X284" i="2"/>
  <c r="Y284" i="2"/>
  <c r="A286" i="2"/>
  <c r="F285" i="2"/>
  <c r="G285" i="2"/>
  <c r="J285" i="2"/>
  <c r="K285" i="2"/>
  <c r="B285" i="2"/>
  <c r="L285" i="2"/>
  <c r="C285" i="2"/>
  <c r="M285" i="2"/>
  <c r="D285" i="2"/>
  <c r="E285" i="2"/>
  <c r="W285" i="2" s="1"/>
  <c r="Z283" i="2"/>
  <c r="AD283" i="2" s="1"/>
  <c r="J215" i="6"/>
  <c r="G215" i="6"/>
  <c r="F215" i="6"/>
  <c r="B215" i="6"/>
  <c r="A216" i="6"/>
  <c r="D215" i="6"/>
  <c r="C215" i="6"/>
  <c r="E215" i="6"/>
  <c r="S215" i="6" s="1"/>
  <c r="L216" i="6" l="1"/>
  <c r="K216" i="6"/>
  <c r="V215" i="6"/>
  <c r="U215" i="6"/>
  <c r="T215" i="6"/>
  <c r="W214" i="6"/>
  <c r="Y285" i="2"/>
  <c r="X285" i="2"/>
  <c r="Z285" i="2" s="1"/>
  <c r="AA285" i="2"/>
  <c r="AC285" i="2"/>
  <c r="AB285" i="2"/>
  <c r="Z284" i="2"/>
  <c r="AD284" i="2" s="1"/>
  <c r="A287" i="2"/>
  <c r="C286" i="2"/>
  <c r="M286" i="2"/>
  <c r="D286" i="2"/>
  <c r="E286" i="2"/>
  <c r="W286" i="2" s="1"/>
  <c r="F286" i="2"/>
  <c r="G286" i="2"/>
  <c r="J286" i="2"/>
  <c r="B286" i="2"/>
  <c r="K286" i="2"/>
  <c r="L286" i="2"/>
  <c r="J216" i="6"/>
  <c r="G216" i="6"/>
  <c r="F216" i="6"/>
  <c r="B216" i="6"/>
  <c r="E216" i="6"/>
  <c r="S216" i="6" s="1"/>
  <c r="D216" i="6"/>
  <c r="C216" i="6"/>
  <c r="A217" i="6"/>
  <c r="L217" i="6" l="1"/>
  <c r="K217" i="6"/>
  <c r="W215" i="6"/>
  <c r="T216" i="6"/>
  <c r="U216" i="6"/>
  <c r="V216" i="6"/>
  <c r="A288" i="2"/>
  <c r="B287" i="2"/>
  <c r="L287" i="2"/>
  <c r="C287" i="2"/>
  <c r="M287" i="2"/>
  <c r="D287" i="2"/>
  <c r="E287" i="2"/>
  <c r="W287" i="2" s="1"/>
  <c r="F287" i="2"/>
  <c r="G287" i="2"/>
  <c r="J287" i="2"/>
  <c r="K287" i="2"/>
  <c r="AC286" i="2"/>
  <c r="X286" i="2"/>
  <c r="Y286" i="2"/>
  <c r="AA286" i="2"/>
  <c r="AB286" i="2"/>
  <c r="AD285" i="2"/>
  <c r="J217" i="6"/>
  <c r="G217" i="6"/>
  <c r="F217" i="6"/>
  <c r="B217" i="6"/>
  <c r="A218" i="6"/>
  <c r="D217" i="6"/>
  <c r="C217" i="6"/>
  <c r="E217" i="6"/>
  <c r="S217" i="6" s="1"/>
  <c r="L218" i="6" l="1"/>
  <c r="K218" i="6"/>
  <c r="V217" i="6"/>
  <c r="T217" i="6"/>
  <c r="U217" i="6"/>
  <c r="W216" i="6"/>
  <c r="X287" i="2"/>
  <c r="Y287" i="2"/>
  <c r="AA287" i="2"/>
  <c r="AB287" i="2"/>
  <c r="AC287" i="2"/>
  <c r="Z286" i="2"/>
  <c r="AD286" i="2" s="1"/>
  <c r="A289" i="2"/>
  <c r="B288" i="2"/>
  <c r="L288" i="2"/>
  <c r="C288" i="2"/>
  <c r="M288" i="2"/>
  <c r="D288" i="2"/>
  <c r="E288" i="2"/>
  <c r="W288" i="2" s="1"/>
  <c r="F288" i="2"/>
  <c r="G288" i="2"/>
  <c r="J288" i="2"/>
  <c r="K288" i="2"/>
  <c r="A219" i="6"/>
  <c r="J218" i="6"/>
  <c r="G218" i="6"/>
  <c r="F218" i="6"/>
  <c r="B218" i="6"/>
  <c r="E218" i="6"/>
  <c r="S218" i="6" s="1"/>
  <c r="D218" i="6"/>
  <c r="C218" i="6"/>
  <c r="L219" i="6" l="1"/>
  <c r="K219" i="6"/>
  <c r="W217" i="6"/>
  <c r="T218" i="6"/>
  <c r="V218" i="6"/>
  <c r="U218" i="6"/>
  <c r="A290" i="2"/>
  <c r="J289" i="2"/>
  <c r="K289" i="2"/>
  <c r="B289" i="2"/>
  <c r="L289" i="2"/>
  <c r="C289" i="2"/>
  <c r="M289" i="2"/>
  <c r="D289" i="2"/>
  <c r="E289" i="2"/>
  <c r="W289" i="2" s="1"/>
  <c r="F289" i="2"/>
  <c r="G289" i="2"/>
  <c r="X288" i="2"/>
  <c r="Y288" i="2"/>
  <c r="AA288" i="2"/>
  <c r="AB288" i="2"/>
  <c r="AC288" i="2"/>
  <c r="Z287" i="2"/>
  <c r="AD287" i="2" s="1"/>
  <c r="A220" i="6"/>
  <c r="J219" i="6"/>
  <c r="G219" i="6"/>
  <c r="C219" i="6"/>
  <c r="E219" i="6"/>
  <c r="S219" i="6" s="1"/>
  <c r="D219" i="6"/>
  <c r="F219" i="6"/>
  <c r="B219" i="6"/>
  <c r="W218" i="6" l="1"/>
  <c r="K220" i="6"/>
  <c r="L220" i="6"/>
  <c r="T219" i="6"/>
  <c r="V219" i="6"/>
  <c r="U219" i="6"/>
  <c r="Z288" i="2"/>
  <c r="AD288" i="2" s="1"/>
  <c r="AC289" i="2"/>
  <c r="AB289" i="2"/>
  <c r="Y289" i="2"/>
  <c r="X289" i="2"/>
  <c r="Z289" i="2" s="1"/>
  <c r="AA289" i="2"/>
  <c r="A291" i="2"/>
  <c r="G290" i="2"/>
  <c r="J290" i="2"/>
  <c r="K290" i="2"/>
  <c r="B290" i="2"/>
  <c r="L290" i="2"/>
  <c r="C290" i="2"/>
  <c r="M290" i="2"/>
  <c r="D290" i="2"/>
  <c r="E290" i="2"/>
  <c r="W290" i="2" s="1"/>
  <c r="F290" i="2"/>
  <c r="A221" i="6"/>
  <c r="B220" i="6"/>
  <c r="J220" i="6"/>
  <c r="D220" i="6"/>
  <c r="G220" i="6"/>
  <c r="F220" i="6"/>
  <c r="E220" i="6"/>
  <c r="S220" i="6" s="1"/>
  <c r="C220" i="6"/>
  <c r="K221" i="6" l="1"/>
  <c r="L221" i="6"/>
  <c r="W219" i="6"/>
  <c r="T220" i="6"/>
  <c r="V220" i="6"/>
  <c r="U220" i="6"/>
  <c r="A292" i="2"/>
  <c r="B291" i="2"/>
  <c r="L291" i="2"/>
  <c r="C291" i="2"/>
  <c r="M291" i="2"/>
  <c r="D291" i="2"/>
  <c r="E291" i="2"/>
  <c r="W291" i="2" s="1"/>
  <c r="F291" i="2"/>
  <c r="G291" i="2"/>
  <c r="J291" i="2"/>
  <c r="K291" i="2"/>
  <c r="AD289" i="2"/>
  <c r="AA290" i="2"/>
  <c r="Y290" i="2"/>
  <c r="AB290" i="2"/>
  <c r="X290" i="2"/>
  <c r="Z290" i="2" s="1"/>
  <c r="AC290" i="2"/>
  <c r="A222" i="6"/>
  <c r="C221" i="6"/>
  <c r="B221" i="6"/>
  <c r="E221" i="6"/>
  <c r="S221" i="6" s="1"/>
  <c r="G221" i="6"/>
  <c r="F221" i="6"/>
  <c r="J221" i="6"/>
  <c r="D221" i="6"/>
  <c r="L222" i="6" l="1"/>
  <c r="K222" i="6"/>
  <c r="W220" i="6"/>
  <c r="U221" i="6"/>
  <c r="V221" i="6"/>
  <c r="T221" i="6"/>
  <c r="AC291" i="2"/>
  <c r="AA291" i="2"/>
  <c r="X291" i="2"/>
  <c r="Y291" i="2"/>
  <c r="AB291" i="2"/>
  <c r="AD290" i="2"/>
  <c r="A293" i="2"/>
  <c r="J292" i="2"/>
  <c r="K292" i="2"/>
  <c r="B292" i="2"/>
  <c r="L292" i="2"/>
  <c r="C292" i="2"/>
  <c r="M292" i="2"/>
  <c r="D292" i="2"/>
  <c r="E292" i="2"/>
  <c r="W292" i="2" s="1"/>
  <c r="G292" i="2"/>
  <c r="F292" i="2"/>
  <c r="A223" i="6"/>
  <c r="D222" i="6"/>
  <c r="C222" i="6"/>
  <c r="B222" i="6"/>
  <c r="F222" i="6"/>
  <c r="J222" i="6"/>
  <c r="G222" i="6"/>
  <c r="E222" i="6"/>
  <c r="S222" i="6" s="1"/>
  <c r="K223" i="6" l="1"/>
  <c r="L223" i="6"/>
  <c r="Z291" i="2"/>
  <c r="T222" i="6"/>
  <c r="V222" i="6"/>
  <c r="U222" i="6"/>
  <c r="W221" i="6"/>
  <c r="AA292" i="2"/>
  <c r="X292" i="2"/>
  <c r="Y292" i="2"/>
  <c r="AB292" i="2"/>
  <c r="AC292" i="2"/>
  <c r="A294" i="2"/>
  <c r="F293" i="2"/>
  <c r="G293" i="2"/>
  <c r="J293" i="2"/>
  <c r="K293" i="2"/>
  <c r="B293" i="2"/>
  <c r="L293" i="2"/>
  <c r="C293" i="2"/>
  <c r="M293" i="2"/>
  <c r="D293" i="2"/>
  <c r="E293" i="2"/>
  <c r="W293" i="2" s="1"/>
  <c r="AD291" i="2"/>
  <c r="A224" i="6"/>
  <c r="E223" i="6"/>
  <c r="S223" i="6" s="1"/>
  <c r="D223" i="6"/>
  <c r="C223" i="6"/>
  <c r="G223" i="6"/>
  <c r="B223" i="6"/>
  <c r="J223" i="6"/>
  <c r="F223" i="6"/>
  <c r="K224" i="6" l="1"/>
  <c r="L224" i="6"/>
  <c r="V223" i="6"/>
  <c r="U223" i="6"/>
  <c r="T223" i="6"/>
  <c r="Z292" i="2"/>
  <c r="W222" i="6"/>
  <c r="A295" i="2"/>
  <c r="C294" i="2"/>
  <c r="M294" i="2"/>
  <c r="D294" i="2"/>
  <c r="E294" i="2"/>
  <c r="W294" i="2" s="1"/>
  <c r="F294" i="2"/>
  <c r="G294" i="2"/>
  <c r="J294" i="2"/>
  <c r="B294" i="2"/>
  <c r="K294" i="2"/>
  <c r="L294" i="2"/>
  <c r="Y293" i="2"/>
  <c r="AC293" i="2"/>
  <c r="AB293" i="2"/>
  <c r="AA293" i="2"/>
  <c r="X293" i="2"/>
  <c r="Z293" i="2" s="1"/>
  <c r="AD292" i="2"/>
  <c r="A225" i="6"/>
  <c r="F224" i="6"/>
  <c r="E224" i="6"/>
  <c r="S224" i="6" s="1"/>
  <c r="D224" i="6"/>
  <c r="J224" i="6"/>
  <c r="G224" i="6"/>
  <c r="B224" i="6"/>
  <c r="C224" i="6"/>
  <c r="W223" i="6" l="1"/>
  <c r="L225" i="6"/>
  <c r="K225" i="6"/>
  <c r="AD293" i="2"/>
  <c r="T224" i="6"/>
  <c r="U224" i="6"/>
  <c r="V224" i="6"/>
  <c r="AC294" i="2"/>
  <c r="X294" i="2"/>
  <c r="Y294" i="2"/>
  <c r="AA294" i="2"/>
  <c r="AB294" i="2"/>
  <c r="A296" i="2"/>
  <c r="B295" i="2"/>
  <c r="L295" i="2"/>
  <c r="C295" i="2"/>
  <c r="M295" i="2"/>
  <c r="D295" i="2"/>
  <c r="E295" i="2"/>
  <c r="W295" i="2" s="1"/>
  <c r="F295" i="2"/>
  <c r="G295" i="2"/>
  <c r="J295" i="2"/>
  <c r="K295" i="2"/>
  <c r="A226" i="6"/>
  <c r="G225" i="6"/>
  <c r="F225" i="6"/>
  <c r="E225" i="6"/>
  <c r="S225" i="6" s="1"/>
  <c r="D225" i="6"/>
  <c r="C225" i="6"/>
  <c r="B225" i="6"/>
  <c r="J225" i="6"/>
  <c r="K226" i="6" l="1"/>
  <c r="L226" i="6"/>
  <c r="U225" i="6"/>
  <c r="T225" i="6"/>
  <c r="V225" i="6"/>
  <c r="W225" i="6" s="1"/>
  <c r="W224" i="6"/>
  <c r="A297" i="2"/>
  <c r="B296" i="2"/>
  <c r="L296" i="2"/>
  <c r="C296" i="2"/>
  <c r="M296" i="2"/>
  <c r="D296" i="2"/>
  <c r="E296" i="2"/>
  <c r="W296" i="2" s="1"/>
  <c r="F296" i="2"/>
  <c r="G296" i="2"/>
  <c r="J296" i="2"/>
  <c r="K296" i="2"/>
  <c r="AA295" i="2"/>
  <c r="AB295" i="2"/>
  <c r="X295" i="2"/>
  <c r="AC295" i="2"/>
  <c r="Y295" i="2"/>
  <c r="Z294" i="2"/>
  <c r="AD294" i="2" s="1"/>
  <c r="A227" i="6"/>
  <c r="J226" i="6"/>
  <c r="G226" i="6"/>
  <c r="F226" i="6"/>
  <c r="B226" i="6"/>
  <c r="D226" i="6"/>
  <c r="C226" i="6"/>
  <c r="E226" i="6"/>
  <c r="S226" i="6" s="1"/>
  <c r="K227" i="6" l="1"/>
  <c r="L227" i="6"/>
  <c r="T226" i="6"/>
  <c r="U226" i="6"/>
  <c r="V226" i="6"/>
  <c r="Z295" i="2"/>
  <c r="AD295" i="2" s="1"/>
  <c r="Y296" i="2"/>
  <c r="AA296" i="2"/>
  <c r="AB296" i="2"/>
  <c r="AC296" i="2"/>
  <c r="X296" i="2"/>
  <c r="A298" i="2"/>
  <c r="J297" i="2"/>
  <c r="K297" i="2"/>
  <c r="B297" i="2"/>
  <c r="L297" i="2"/>
  <c r="C297" i="2"/>
  <c r="M297" i="2"/>
  <c r="D297" i="2"/>
  <c r="E297" i="2"/>
  <c r="W297" i="2" s="1"/>
  <c r="F297" i="2"/>
  <c r="G297" i="2"/>
  <c r="A228" i="6"/>
  <c r="J227" i="6"/>
  <c r="G227" i="6"/>
  <c r="C227" i="6"/>
  <c r="F227" i="6"/>
  <c r="E227" i="6"/>
  <c r="S227" i="6" s="1"/>
  <c r="D227" i="6"/>
  <c r="B227" i="6"/>
  <c r="K228" i="6" l="1"/>
  <c r="L228" i="6"/>
  <c r="T227" i="6"/>
  <c r="V227" i="6"/>
  <c r="U227" i="6"/>
  <c r="Z296" i="2"/>
  <c r="AD296" i="2" s="1"/>
  <c r="W226" i="6"/>
  <c r="AC297" i="2"/>
  <c r="AB297" i="2"/>
  <c r="Y297" i="2"/>
  <c r="X297" i="2"/>
  <c r="AA297" i="2"/>
  <c r="A299" i="2"/>
  <c r="F298" i="2"/>
  <c r="G298" i="2"/>
  <c r="J298" i="2"/>
  <c r="K298" i="2"/>
  <c r="B298" i="2"/>
  <c r="L298" i="2"/>
  <c r="C298" i="2"/>
  <c r="M298" i="2"/>
  <c r="D298" i="2"/>
  <c r="E298" i="2"/>
  <c r="W298" i="2" s="1"/>
  <c r="A229" i="6"/>
  <c r="B228" i="6"/>
  <c r="J228" i="6"/>
  <c r="D228" i="6"/>
  <c r="F228" i="6"/>
  <c r="E228" i="6"/>
  <c r="S228" i="6" s="1"/>
  <c r="G228" i="6"/>
  <c r="C228" i="6"/>
  <c r="K229" i="6" l="1"/>
  <c r="L229" i="6"/>
  <c r="T228" i="6"/>
  <c r="V228" i="6"/>
  <c r="U228" i="6"/>
  <c r="W227" i="6"/>
  <c r="Z297" i="2"/>
  <c r="A300" i="2"/>
  <c r="B299" i="2"/>
  <c r="L299" i="2"/>
  <c r="C299" i="2"/>
  <c r="M299" i="2"/>
  <c r="D299" i="2"/>
  <c r="E299" i="2"/>
  <c r="W299" i="2" s="1"/>
  <c r="F299" i="2"/>
  <c r="G299" i="2"/>
  <c r="J299" i="2"/>
  <c r="K299" i="2"/>
  <c r="AD297" i="2"/>
  <c r="AA298" i="2"/>
  <c r="X298" i="2"/>
  <c r="AB298" i="2"/>
  <c r="Y298" i="2"/>
  <c r="AC298" i="2"/>
  <c r="A230" i="6"/>
  <c r="C229" i="6"/>
  <c r="B229" i="6"/>
  <c r="E229" i="6"/>
  <c r="S229" i="6" s="1"/>
  <c r="J229" i="6"/>
  <c r="G229" i="6"/>
  <c r="F229" i="6"/>
  <c r="D229" i="6"/>
  <c r="W228" i="6" l="1"/>
  <c r="L230" i="6"/>
  <c r="K230" i="6"/>
  <c r="T229" i="6"/>
  <c r="U229" i="6"/>
  <c r="V229" i="6"/>
  <c r="X299" i="2"/>
  <c r="Y299" i="2"/>
  <c r="AA299" i="2"/>
  <c r="AC299" i="2"/>
  <c r="AB299" i="2"/>
  <c r="Z298" i="2"/>
  <c r="AD298" i="2" s="1"/>
  <c r="A301" i="2"/>
  <c r="J300" i="2"/>
  <c r="K300" i="2"/>
  <c r="B300" i="2"/>
  <c r="L300" i="2"/>
  <c r="C300" i="2"/>
  <c r="M300" i="2"/>
  <c r="D300" i="2"/>
  <c r="E300" i="2"/>
  <c r="W300" i="2" s="1"/>
  <c r="F300" i="2"/>
  <c r="G300" i="2"/>
  <c r="A231" i="6"/>
  <c r="D230" i="6"/>
  <c r="C230" i="6"/>
  <c r="B230" i="6"/>
  <c r="F230" i="6"/>
  <c r="J230" i="6"/>
  <c r="G230" i="6"/>
  <c r="E230" i="6"/>
  <c r="S230" i="6" s="1"/>
  <c r="L231" i="6" l="1"/>
  <c r="K231" i="6"/>
  <c r="T230" i="6"/>
  <c r="U230" i="6"/>
  <c r="V230" i="6"/>
  <c r="W229" i="6"/>
  <c r="AA300" i="2"/>
  <c r="AC300" i="2"/>
  <c r="X300" i="2"/>
  <c r="Y300" i="2"/>
  <c r="AB300" i="2"/>
  <c r="A302" i="2"/>
  <c r="F301" i="2"/>
  <c r="G301" i="2"/>
  <c r="J301" i="2"/>
  <c r="K301" i="2"/>
  <c r="B301" i="2"/>
  <c r="L301" i="2"/>
  <c r="C301" i="2"/>
  <c r="M301" i="2"/>
  <c r="D301" i="2"/>
  <c r="E301" i="2"/>
  <c r="W301" i="2" s="1"/>
  <c r="Z299" i="2"/>
  <c r="AD299" i="2" s="1"/>
  <c r="A232" i="6"/>
  <c r="E231" i="6"/>
  <c r="S231" i="6" s="1"/>
  <c r="D231" i="6"/>
  <c r="C231" i="6"/>
  <c r="G231" i="6"/>
  <c r="J231" i="6"/>
  <c r="F231" i="6"/>
  <c r="B231" i="6"/>
  <c r="K232" i="6" l="1"/>
  <c r="L232" i="6"/>
  <c r="Z300" i="2"/>
  <c r="T231" i="6"/>
  <c r="U231" i="6"/>
  <c r="V231" i="6"/>
  <c r="W230" i="6"/>
  <c r="A303" i="2"/>
  <c r="C302" i="2"/>
  <c r="M302" i="2"/>
  <c r="D302" i="2"/>
  <c r="E302" i="2"/>
  <c r="W302" i="2" s="1"/>
  <c r="F302" i="2"/>
  <c r="G302" i="2"/>
  <c r="K302" i="2"/>
  <c r="L302" i="2"/>
  <c r="B302" i="2"/>
  <c r="J302" i="2"/>
  <c r="Y301" i="2"/>
  <c r="AB301" i="2"/>
  <c r="X301" i="2"/>
  <c r="AA301" i="2"/>
  <c r="AC301" i="2"/>
  <c r="AD300" i="2"/>
  <c r="A233" i="6"/>
  <c r="F232" i="6"/>
  <c r="E232" i="6"/>
  <c r="S232" i="6" s="1"/>
  <c r="D232" i="6"/>
  <c r="J232" i="6"/>
  <c r="C232" i="6"/>
  <c r="B232" i="6"/>
  <c r="G232" i="6"/>
  <c r="K233" i="6" l="1"/>
  <c r="L233" i="6"/>
  <c r="Z301" i="2"/>
  <c r="W231" i="6"/>
  <c r="T232" i="6"/>
  <c r="U232" i="6"/>
  <c r="V232" i="6"/>
  <c r="AC302" i="2"/>
  <c r="AB302" i="2"/>
  <c r="X302" i="2"/>
  <c r="Z302" i="2" s="1"/>
  <c r="Y302" i="2"/>
  <c r="AA302" i="2"/>
  <c r="AD301" i="2"/>
  <c r="A304" i="2"/>
  <c r="B303" i="2"/>
  <c r="L303" i="2"/>
  <c r="C303" i="2"/>
  <c r="D303" i="2"/>
  <c r="E303" i="2"/>
  <c r="W303" i="2" s="1"/>
  <c r="F303" i="2"/>
  <c r="G303" i="2"/>
  <c r="J303" i="2"/>
  <c r="K303" i="2"/>
  <c r="M303" i="2"/>
  <c r="A234" i="6"/>
  <c r="G233" i="6"/>
  <c r="F233" i="6"/>
  <c r="E233" i="6"/>
  <c r="S233" i="6" s="1"/>
  <c r="C233" i="6"/>
  <c r="D233" i="6"/>
  <c r="B233" i="6"/>
  <c r="J233" i="6"/>
  <c r="K234" i="6" l="1"/>
  <c r="L234" i="6"/>
  <c r="W232" i="6"/>
  <c r="U233" i="6"/>
  <c r="V233" i="6"/>
  <c r="T233" i="6"/>
  <c r="W233" i="6" s="1"/>
  <c r="A305" i="2"/>
  <c r="B304" i="2"/>
  <c r="L304" i="2"/>
  <c r="D304" i="2"/>
  <c r="E304" i="2"/>
  <c r="W304" i="2" s="1"/>
  <c r="F304" i="2"/>
  <c r="C304" i="2"/>
  <c r="G304" i="2"/>
  <c r="J304" i="2"/>
  <c r="K304" i="2"/>
  <c r="M304" i="2"/>
  <c r="AC303" i="2"/>
  <c r="AA303" i="2"/>
  <c r="AB303" i="2"/>
  <c r="X303" i="2"/>
  <c r="Y303" i="2"/>
  <c r="AD302" i="2"/>
  <c r="A235" i="6"/>
  <c r="J234" i="6"/>
  <c r="G234" i="6"/>
  <c r="F234" i="6"/>
  <c r="E234" i="6"/>
  <c r="S234" i="6" s="1"/>
  <c r="D234" i="6"/>
  <c r="B234" i="6"/>
  <c r="C234" i="6"/>
  <c r="L235" i="6" l="1"/>
  <c r="K235" i="6"/>
  <c r="T234" i="6"/>
  <c r="U234" i="6"/>
  <c r="V234" i="6"/>
  <c r="X304" i="2"/>
  <c r="Y304" i="2"/>
  <c r="AA304" i="2"/>
  <c r="AB304" i="2"/>
  <c r="AC304" i="2"/>
  <c r="Z303" i="2"/>
  <c r="AD303" i="2" s="1"/>
  <c r="A306" i="2"/>
  <c r="J305" i="2"/>
  <c r="B305" i="2"/>
  <c r="L305" i="2"/>
  <c r="C305" i="2"/>
  <c r="M305" i="2"/>
  <c r="D305" i="2"/>
  <c r="G305" i="2"/>
  <c r="K305" i="2"/>
  <c r="E305" i="2"/>
  <c r="W305" i="2" s="1"/>
  <c r="F305" i="2"/>
  <c r="A236" i="6"/>
  <c r="J235" i="6"/>
  <c r="G235" i="6"/>
  <c r="F235" i="6"/>
  <c r="E235" i="6"/>
  <c r="S235" i="6" s="1"/>
  <c r="C235" i="6"/>
  <c r="D235" i="6"/>
  <c r="B235" i="6"/>
  <c r="K236" i="6" l="1"/>
  <c r="L236" i="6"/>
  <c r="W234" i="6"/>
  <c r="T235" i="6"/>
  <c r="V235" i="6"/>
  <c r="U235" i="6"/>
  <c r="W235" i="6" s="1"/>
  <c r="A307" i="2"/>
  <c r="F306" i="2"/>
  <c r="J306" i="2"/>
  <c r="K306" i="2"/>
  <c r="B306" i="2"/>
  <c r="L306" i="2"/>
  <c r="C306" i="2"/>
  <c r="D306" i="2"/>
  <c r="E306" i="2"/>
  <c r="W306" i="2" s="1"/>
  <c r="G306" i="2"/>
  <c r="M306" i="2"/>
  <c r="AB305" i="2"/>
  <c r="X305" i="2"/>
  <c r="Y305" i="2"/>
  <c r="AA305" i="2"/>
  <c r="AC305" i="2"/>
  <c r="Z304" i="2"/>
  <c r="AD304" i="2" s="1"/>
  <c r="A237" i="6"/>
  <c r="B236" i="6"/>
  <c r="J236" i="6"/>
  <c r="G236" i="6"/>
  <c r="F236" i="6"/>
  <c r="D236" i="6"/>
  <c r="C236" i="6"/>
  <c r="E236" i="6"/>
  <c r="S236" i="6" s="1"/>
  <c r="K237" i="6" l="1"/>
  <c r="L237" i="6"/>
  <c r="T236" i="6"/>
  <c r="V236" i="6"/>
  <c r="U236" i="6"/>
  <c r="Z305" i="2"/>
  <c r="AD305" i="2" s="1"/>
  <c r="AA306" i="2"/>
  <c r="AB306" i="2"/>
  <c r="X306" i="2"/>
  <c r="Y306" i="2"/>
  <c r="AC306" i="2"/>
  <c r="A308" i="2"/>
  <c r="C307" i="2"/>
  <c r="M307" i="2"/>
  <c r="E307" i="2"/>
  <c r="W307" i="2" s="1"/>
  <c r="F307" i="2"/>
  <c r="G307" i="2"/>
  <c r="D307" i="2"/>
  <c r="J307" i="2"/>
  <c r="K307" i="2"/>
  <c r="L307" i="2"/>
  <c r="B307" i="2"/>
  <c r="A238" i="6"/>
  <c r="C237" i="6"/>
  <c r="B237" i="6"/>
  <c r="J237" i="6"/>
  <c r="G237" i="6"/>
  <c r="E237" i="6"/>
  <c r="S237" i="6" s="1"/>
  <c r="F237" i="6"/>
  <c r="D237" i="6"/>
  <c r="K238" i="6" l="1"/>
  <c r="L238" i="6"/>
  <c r="W236" i="6"/>
  <c r="V237" i="6"/>
  <c r="T237" i="6"/>
  <c r="U237" i="6"/>
  <c r="A309" i="2"/>
  <c r="B308" i="2"/>
  <c r="L308" i="2"/>
  <c r="D308" i="2"/>
  <c r="E308" i="2"/>
  <c r="W308" i="2" s="1"/>
  <c r="F308" i="2"/>
  <c r="C308" i="2"/>
  <c r="G308" i="2"/>
  <c r="J308" i="2"/>
  <c r="K308" i="2"/>
  <c r="M308" i="2"/>
  <c r="Z306" i="2"/>
  <c r="AD306" i="2" s="1"/>
  <c r="AC307" i="2"/>
  <c r="Y307" i="2"/>
  <c r="AA307" i="2"/>
  <c r="AB307" i="2"/>
  <c r="X307" i="2"/>
  <c r="A239" i="6"/>
  <c r="J238" i="6"/>
  <c r="D238" i="6"/>
  <c r="C238" i="6"/>
  <c r="B238" i="6"/>
  <c r="F238" i="6"/>
  <c r="G238" i="6"/>
  <c r="E238" i="6"/>
  <c r="S238" i="6" s="1"/>
  <c r="K239" i="6" l="1"/>
  <c r="L239" i="6"/>
  <c r="T238" i="6"/>
  <c r="U238" i="6"/>
  <c r="V238" i="6"/>
  <c r="W237" i="6"/>
  <c r="Y308" i="2"/>
  <c r="AC308" i="2"/>
  <c r="AA308" i="2"/>
  <c r="AB308" i="2"/>
  <c r="X308" i="2"/>
  <c r="Z307" i="2"/>
  <c r="AD307" i="2" s="1"/>
  <c r="A310" i="2"/>
  <c r="J309" i="2"/>
  <c r="D309" i="2"/>
  <c r="C309" i="2"/>
  <c r="E309" i="2"/>
  <c r="W309" i="2" s="1"/>
  <c r="F309" i="2"/>
  <c r="G309" i="2"/>
  <c r="K309" i="2"/>
  <c r="L309" i="2"/>
  <c r="B309" i="2"/>
  <c r="M309" i="2"/>
  <c r="A240" i="6"/>
  <c r="J239" i="6"/>
  <c r="F239" i="6"/>
  <c r="E239" i="6"/>
  <c r="S239" i="6" s="1"/>
  <c r="D239" i="6"/>
  <c r="C239" i="6"/>
  <c r="B239" i="6"/>
  <c r="G239" i="6"/>
  <c r="K240" i="6" l="1"/>
  <c r="L240" i="6"/>
  <c r="V239" i="6"/>
  <c r="T239" i="6"/>
  <c r="W239" i="6" s="1"/>
  <c r="U239" i="6"/>
  <c r="Z308" i="2"/>
  <c r="AD308" i="2" s="1"/>
  <c r="W238" i="6"/>
  <c r="A311" i="2"/>
  <c r="D310" i="2"/>
  <c r="J310" i="2"/>
  <c r="M310" i="2"/>
  <c r="B310" i="2"/>
  <c r="C310" i="2"/>
  <c r="E310" i="2"/>
  <c r="W310" i="2" s="1"/>
  <c r="F310" i="2"/>
  <c r="G310" i="2"/>
  <c r="K310" i="2"/>
  <c r="L310" i="2"/>
  <c r="AA309" i="2"/>
  <c r="X309" i="2"/>
  <c r="AB309" i="2"/>
  <c r="AC309" i="2"/>
  <c r="Y309" i="2"/>
  <c r="A241" i="6"/>
  <c r="J240" i="6"/>
  <c r="G240" i="6"/>
  <c r="F240" i="6"/>
  <c r="E240" i="6"/>
  <c r="S240" i="6" s="1"/>
  <c r="D240" i="6"/>
  <c r="B240" i="6"/>
  <c r="C240" i="6"/>
  <c r="L241" i="6" l="1"/>
  <c r="K241" i="6"/>
  <c r="Z309" i="2"/>
  <c r="AD309" i="2" s="1"/>
  <c r="U240" i="6"/>
  <c r="V240" i="6"/>
  <c r="T240" i="6"/>
  <c r="W240" i="6" s="1"/>
  <c r="AB310" i="2"/>
  <c r="X310" i="2"/>
  <c r="AC310" i="2"/>
  <c r="AA310" i="2"/>
  <c r="Y310" i="2"/>
  <c r="A312" i="2"/>
  <c r="B311" i="2"/>
  <c r="L311" i="2"/>
  <c r="F311" i="2"/>
  <c r="C311" i="2"/>
  <c r="D311" i="2"/>
  <c r="E311" i="2"/>
  <c r="W311" i="2" s="1"/>
  <c r="G311" i="2"/>
  <c r="J311" i="2"/>
  <c r="K311" i="2"/>
  <c r="M311" i="2"/>
  <c r="A242" i="6"/>
  <c r="J241" i="6"/>
  <c r="B241" i="6"/>
  <c r="G241" i="6"/>
  <c r="F241" i="6"/>
  <c r="D241" i="6"/>
  <c r="C241" i="6"/>
  <c r="E241" i="6"/>
  <c r="S241" i="6" s="1"/>
  <c r="K242" i="6" l="1"/>
  <c r="L242" i="6"/>
  <c r="V241" i="6"/>
  <c r="T241" i="6"/>
  <c r="U241" i="6"/>
  <c r="Z310" i="2"/>
  <c r="AD310" i="2" s="1"/>
  <c r="A313" i="2"/>
  <c r="G312" i="2"/>
  <c r="C312" i="2"/>
  <c r="M312" i="2"/>
  <c r="B312" i="2"/>
  <c r="D312" i="2"/>
  <c r="E312" i="2"/>
  <c r="W312" i="2" s="1"/>
  <c r="F312" i="2"/>
  <c r="J312" i="2"/>
  <c r="K312" i="2"/>
  <c r="L312" i="2"/>
  <c r="AA311" i="2"/>
  <c r="Y311" i="2"/>
  <c r="X311" i="2"/>
  <c r="AC311" i="2"/>
  <c r="AB311" i="2"/>
  <c r="A243" i="6"/>
  <c r="J242" i="6"/>
  <c r="D242" i="6"/>
  <c r="C242" i="6"/>
  <c r="B242" i="6"/>
  <c r="F242" i="6"/>
  <c r="E242" i="6"/>
  <c r="S242" i="6" s="1"/>
  <c r="G242" i="6"/>
  <c r="L243" i="6" l="1"/>
  <c r="K243" i="6"/>
  <c r="W241" i="6"/>
  <c r="U242" i="6"/>
  <c r="T242" i="6"/>
  <c r="V242" i="6"/>
  <c r="Z311" i="2"/>
  <c r="AD311" i="2" s="1"/>
  <c r="AC312" i="2"/>
  <c r="Y312" i="2"/>
  <c r="AA312" i="2"/>
  <c r="AB312" i="2"/>
  <c r="X312" i="2"/>
  <c r="Z312" i="2" s="1"/>
  <c r="A314" i="2"/>
  <c r="F313" i="2"/>
  <c r="B313" i="2"/>
  <c r="L313" i="2"/>
  <c r="D313" i="2"/>
  <c r="E313" i="2"/>
  <c r="W313" i="2" s="1"/>
  <c r="G313" i="2"/>
  <c r="J313" i="2"/>
  <c r="K313" i="2"/>
  <c r="M313" i="2"/>
  <c r="C313" i="2"/>
  <c r="A244" i="6"/>
  <c r="J243" i="6"/>
  <c r="F243" i="6"/>
  <c r="E243" i="6"/>
  <c r="S243" i="6" s="1"/>
  <c r="D243" i="6"/>
  <c r="C243" i="6"/>
  <c r="B243" i="6"/>
  <c r="G243" i="6"/>
  <c r="K244" i="6" l="1"/>
  <c r="L244" i="6"/>
  <c r="W242" i="6"/>
  <c r="V243" i="6"/>
  <c r="U243" i="6"/>
  <c r="T243" i="6"/>
  <c r="AD312" i="2"/>
  <c r="A315" i="2"/>
  <c r="E314" i="2"/>
  <c r="W314" i="2" s="1"/>
  <c r="K314" i="2"/>
  <c r="F314" i="2"/>
  <c r="G314" i="2"/>
  <c r="J314" i="2"/>
  <c r="L314" i="2"/>
  <c r="M314" i="2"/>
  <c r="B314" i="2"/>
  <c r="D314" i="2"/>
  <c r="C314" i="2"/>
  <c r="X313" i="2"/>
  <c r="Z313" i="2" s="1"/>
  <c r="Y313" i="2"/>
  <c r="AA313" i="2"/>
  <c r="AB313" i="2"/>
  <c r="AC313" i="2"/>
  <c r="A245" i="6"/>
  <c r="J244" i="6"/>
  <c r="G244" i="6"/>
  <c r="F244" i="6"/>
  <c r="E244" i="6"/>
  <c r="S244" i="6" s="1"/>
  <c r="D244" i="6"/>
  <c r="B244" i="6"/>
  <c r="C244" i="6"/>
  <c r="W243" i="6" l="1"/>
  <c r="K245" i="6"/>
  <c r="L245" i="6"/>
  <c r="T244" i="6"/>
  <c r="V244" i="6"/>
  <c r="U244" i="6"/>
  <c r="AD313" i="2"/>
  <c r="AA314" i="2"/>
  <c r="AB314" i="2"/>
  <c r="Y314" i="2"/>
  <c r="X314" i="2"/>
  <c r="AC314" i="2"/>
  <c r="A316" i="2"/>
  <c r="F315" i="2"/>
  <c r="G315" i="2"/>
  <c r="J315" i="2"/>
  <c r="K315" i="2"/>
  <c r="B315" i="2"/>
  <c r="L315" i="2"/>
  <c r="C315" i="2"/>
  <c r="M315" i="2"/>
  <c r="E315" i="2"/>
  <c r="W315" i="2" s="1"/>
  <c r="D315" i="2"/>
  <c r="A246" i="6"/>
  <c r="J245" i="6"/>
  <c r="B245" i="6"/>
  <c r="G245" i="6"/>
  <c r="F245" i="6"/>
  <c r="D245" i="6"/>
  <c r="C245" i="6"/>
  <c r="E245" i="6"/>
  <c r="S245" i="6" s="1"/>
  <c r="K246" i="6" l="1"/>
  <c r="L246" i="6"/>
  <c r="W244" i="6"/>
  <c r="U245" i="6"/>
  <c r="V245" i="6"/>
  <c r="T245" i="6"/>
  <c r="W245" i="6" s="1"/>
  <c r="A317" i="2"/>
  <c r="D316" i="2"/>
  <c r="E316" i="2"/>
  <c r="W316" i="2" s="1"/>
  <c r="F316" i="2"/>
  <c r="G316" i="2"/>
  <c r="J316" i="2"/>
  <c r="K316" i="2"/>
  <c r="B316" i="2"/>
  <c r="C316" i="2"/>
  <c r="L316" i="2"/>
  <c r="M316" i="2"/>
  <c r="Z314" i="2"/>
  <c r="AD314" i="2" s="1"/>
  <c r="AB315" i="2"/>
  <c r="Y315" i="2"/>
  <c r="X315" i="2"/>
  <c r="Z315" i="2" s="1"/>
  <c r="AC315" i="2"/>
  <c r="AA315" i="2"/>
  <c r="A247" i="6"/>
  <c r="J246" i="6"/>
  <c r="E246" i="6"/>
  <c r="S246" i="6" s="1"/>
  <c r="D246" i="6"/>
  <c r="C246" i="6"/>
  <c r="B246" i="6"/>
  <c r="G246" i="6"/>
  <c r="F246" i="6"/>
  <c r="K247" i="6" l="1"/>
  <c r="L247" i="6"/>
  <c r="T246" i="6"/>
  <c r="V246" i="6"/>
  <c r="U246" i="6"/>
  <c r="AD315" i="2"/>
  <c r="AA316" i="2"/>
  <c r="Y316" i="2"/>
  <c r="X316" i="2"/>
  <c r="AB316" i="2"/>
  <c r="AC316" i="2"/>
  <c r="A318" i="2"/>
  <c r="K317" i="2"/>
  <c r="B317" i="2"/>
  <c r="L317" i="2"/>
  <c r="C317" i="2"/>
  <c r="M317" i="2"/>
  <c r="D317" i="2"/>
  <c r="E317" i="2"/>
  <c r="W317" i="2" s="1"/>
  <c r="F317" i="2"/>
  <c r="G317" i="2"/>
  <c r="J317" i="2"/>
  <c r="A248" i="6"/>
  <c r="J247" i="6"/>
  <c r="E247" i="6"/>
  <c r="S247" i="6" s="1"/>
  <c r="G247" i="6"/>
  <c r="F247" i="6"/>
  <c r="D247" i="6"/>
  <c r="C247" i="6"/>
  <c r="B247" i="6"/>
  <c r="Z316" i="2" l="1"/>
  <c r="W246" i="6"/>
  <c r="K248" i="6"/>
  <c r="L248" i="6"/>
  <c r="V247" i="6"/>
  <c r="T247" i="6"/>
  <c r="U247" i="6"/>
  <c r="A319" i="2"/>
  <c r="E318" i="2"/>
  <c r="W318" i="2" s="1"/>
  <c r="F318" i="2"/>
  <c r="G318" i="2"/>
  <c r="J318" i="2"/>
  <c r="K318" i="2"/>
  <c r="B318" i="2"/>
  <c r="L318" i="2"/>
  <c r="C318" i="2"/>
  <c r="D318" i="2"/>
  <c r="M318" i="2"/>
  <c r="Y317" i="2"/>
  <c r="X317" i="2"/>
  <c r="Z317" i="2" s="1"/>
  <c r="AB317" i="2"/>
  <c r="AA317" i="2"/>
  <c r="AC317" i="2"/>
  <c r="AD316" i="2"/>
  <c r="A249" i="6"/>
  <c r="J248" i="6"/>
  <c r="E248" i="6"/>
  <c r="S248" i="6" s="1"/>
  <c r="B248" i="6"/>
  <c r="G248" i="6"/>
  <c r="D248" i="6"/>
  <c r="C248" i="6"/>
  <c r="F248" i="6"/>
  <c r="W247" i="6" l="1"/>
  <c r="L249" i="6"/>
  <c r="K249" i="6"/>
  <c r="T248" i="6"/>
  <c r="U248" i="6"/>
  <c r="V248" i="6"/>
  <c r="AD317" i="2"/>
  <c r="AB318" i="2"/>
  <c r="Y318" i="2"/>
  <c r="X318" i="2"/>
  <c r="Z318" i="2" s="1"/>
  <c r="AA318" i="2"/>
  <c r="AC318" i="2"/>
  <c r="A320" i="2"/>
  <c r="D319" i="2"/>
  <c r="E319" i="2"/>
  <c r="W319" i="2" s="1"/>
  <c r="F319" i="2"/>
  <c r="G319" i="2"/>
  <c r="J319" i="2"/>
  <c r="K319" i="2"/>
  <c r="B319" i="2"/>
  <c r="C319" i="2"/>
  <c r="L319" i="2"/>
  <c r="M319" i="2"/>
  <c r="A250" i="6"/>
  <c r="J249" i="6"/>
  <c r="E249" i="6"/>
  <c r="S249" i="6" s="1"/>
  <c r="F249" i="6"/>
  <c r="D249" i="6"/>
  <c r="C249" i="6"/>
  <c r="B249" i="6"/>
  <c r="G249" i="6"/>
  <c r="K250" i="6" l="1"/>
  <c r="L250" i="6"/>
  <c r="T249" i="6"/>
  <c r="U249" i="6"/>
  <c r="V249" i="6"/>
  <c r="W248" i="6"/>
  <c r="A321" i="2"/>
  <c r="K320" i="2"/>
  <c r="B320" i="2"/>
  <c r="L320" i="2"/>
  <c r="C320" i="2"/>
  <c r="M320" i="2"/>
  <c r="D320" i="2"/>
  <c r="E320" i="2"/>
  <c r="W320" i="2" s="1"/>
  <c r="F320" i="2"/>
  <c r="G320" i="2"/>
  <c r="J320" i="2"/>
  <c r="AD318" i="2"/>
  <c r="X319" i="2"/>
  <c r="AB319" i="2"/>
  <c r="AA319" i="2"/>
  <c r="AC319" i="2"/>
  <c r="Y319" i="2"/>
  <c r="A251" i="6"/>
  <c r="J250" i="6"/>
  <c r="E250" i="6"/>
  <c r="S250" i="6" s="1"/>
  <c r="G250" i="6"/>
  <c r="F250" i="6"/>
  <c r="D250" i="6"/>
  <c r="B250" i="6"/>
  <c r="C250" i="6"/>
  <c r="K251" i="6" l="1"/>
  <c r="L251" i="6"/>
  <c r="T250" i="6"/>
  <c r="U250" i="6"/>
  <c r="V250" i="6"/>
  <c r="W249" i="6"/>
  <c r="X320" i="2"/>
  <c r="AA320" i="2"/>
  <c r="Y320" i="2"/>
  <c r="AB320" i="2"/>
  <c r="AC320" i="2"/>
  <c r="Z319" i="2"/>
  <c r="AD319" i="2" s="1"/>
  <c r="A322" i="2"/>
  <c r="F321" i="2"/>
  <c r="G321" i="2"/>
  <c r="J321" i="2"/>
  <c r="K321" i="2"/>
  <c r="B321" i="2"/>
  <c r="L321" i="2"/>
  <c r="C321" i="2"/>
  <c r="M321" i="2"/>
  <c r="D321" i="2"/>
  <c r="E321" i="2"/>
  <c r="W321" i="2" s="1"/>
  <c r="A252" i="6"/>
  <c r="J251" i="6"/>
  <c r="E251" i="6"/>
  <c r="S251" i="6" s="1"/>
  <c r="C251" i="6"/>
  <c r="D251" i="6"/>
  <c r="B251" i="6"/>
  <c r="G251" i="6"/>
  <c r="F251" i="6"/>
  <c r="Z320" i="2" l="1"/>
  <c r="L252" i="6"/>
  <c r="K252" i="6"/>
  <c r="AD320" i="2"/>
  <c r="T251" i="6"/>
  <c r="V251" i="6"/>
  <c r="U251" i="6"/>
  <c r="W251" i="6" s="1"/>
  <c r="W250" i="6"/>
  <c r="A323" i="2"/>
  <c r="K322" i="2"/>
  <c r="B322" i="2"/>
  <c r="L322" i="2"/>
  <c r="C322" i="2"/>
  <c r="M322" i="2"/>
  <c r="D322" i="2"/>
  <c r="E322" i="2"/>
  <c r="W322" i="2" s="1"/>
  <c r="F322" i="2"/>
  <c r="G322" i="2"/>
  <c r="J322" i="2"/>
  <c r="Y321" i="2"/>
  <c r="X321" i="2"/>
  <c r="AA321" i="2"/>
  <c r="AB321" i="2"/>
  <c r="AC321" i="2"/>
  <c r="A253" i="6"/>
  <c r="J252" i="6"/>
  <c r="E252" i="6"/>
  <c r="S252" i="6" s="1"/>
  <c r="C252" i="6"/>
  <c r="G252" i="6"/>
  <c r="F252" i="6"/>
  <c r="D252" i="6"/>
  <c r="B252" i="6"/>
  <c r="Z321" i="2" l="1"/>
  <c r="K253" i="6"/>
  <c r="L253" i="6"/>
  <c r="T252" i="6"/>
  <c r="V252" i="6"/>
  <c r="U252" i="6"/>
  <c r="AD321" i="2"/>
  <c r="AA322" i="2"/>
  <c r="AC322" i="2"/>
  <c r="X322" i="2"/>
  <c r="Y322" i="2"/>
  <c r="Z322" i="2" s="1"/>
  <c r="AB322" i="2"/>
  <c r="A324" i="2"/>
  <c r="D323" i="2"/>
  <c r="E323" i="2"/>
  <c r="W323" i="2" s="1"/>
  <c r="F323" i="2"/>
  <c r="G323" i="2"/>
  <c r="J323" i="2"/>
  <c r="K323" i="2"/>
  <c r="B323" i="2"/>
  <c r="C323" i="2"/>
  <c r="L323" i="2"/>
  <c r="M323" i="2"/>
  <c r="A254" i="6"/>
  <c r="J253" i="6"/>
  <c r="E253" i="6"/>
  <c r="S253" i="6" s="1"/>
  <c r="C253" i="6"/>
  <c r="D253" i="6"/>
  <c r="B253" i="6"/>
  <c r="G253" i="6"/>
  <c r="F253" i="6"/>
  <c r="AD322" i="2" l="1"/>
  <c r="L254" i="6"/>
  <c r="K254" i="6"/>
  <c r="T253" i="6"/>
  <c r="U253" i="6"/>
  <c r="V253" i="6"/>
  <c r="W252" i="6"/>
  <c r="Y323" i="2"/>
  <c r="X323" i="2"/>
  <c r="AC323" i="2"/>
  <c r="AB323" i="2"/>
  <c r="AA323" i="2"/>
  <c r="A325" i="2"/>
  <c r="J324" i="2"/>
  <c r="K324" i="2"/>
  <c r="B324" i="2"/>
  <c r="L324" i="2"/>
  <c r="C324" i="2"/>
  <c r="M324" i="2"/>
  <c r="D324" i="2"/>
  <c r="E324" i="2"/>
  <c r="W324" i="2" s="1"/>
  <c r="G324" i="2"/>
  <c r="F324" i="2"/>
  <c r="A255" i="6"/>
  <c r="J254" i="6"/>
  <c r="E254" i="6"/>
  <c r="S254" i="6" s="1"/>
  <c r="C254" i="6"/>
  <c r="G254" i="6"/>
  <c r="F254" i="6"/>
  <c r="D254" i="6"/>
  <c r="B254" i="6"/>
  <c r="Z323" i="2" l="1"/>
  <c r="K255" i="6"/>
  <c r="L255" i="6"/>
  <c r="U254" i="6"/>
  <c r="V254" i="6"/>
  <c r="T254" i="6"/>
  <c r="W253" i="6"/>
  <c r="AC324" i="2"/>
  <c r="Y324" i="2"/>
  <c r="AA324" i="2"/>
  <c r="AB324" i="2"/>
  <c r="X324" i="2"/>
  <c r="Z324" i="2" s="1"/>
  <c r="A326" i="2"/>
  <c r="F325" i="2"/>
  <c r="G325" i="2"/>
  <c r="J325" i="2"/>
  <c r="K325" i="2"/>
  <c r="B325" i="2"/>
  <c r="L325" i="2"/>
  <c r="C325" i="2"/>
  <c r="M325" i="2"/>
  <c r="D325" i="2"/>
  <c r="E325" i="2"/>
  <c r="W325" i="2" s="1"/>
  <c r="AD323" i="2"/>
  <c r="A256" i="6"/>
  <c r="J255" i="6"/>
  <c r="E255" i="6"/>
  <c r="S255" i="6" s="1"/>
  <c r="C255" i="6"/>
  <c r="D255" i="6"/>
  <c r="B255" i="6"/>
  <c r="G255" i="6"/>
  <c r="F255" i="6"/>
  <c r="L256" i="6" l="1"/>
  <c r="K256" i="6"/>
  <c r="T255" i="6"/>
  <c r="U255" i="6"/>
  <c r="V255" i="6"/>
  <c r="W254" i="6"/>
  <c r="AD324" i="2"/>
  <c r="A327" i="2"/>
  <c r="E326" i="2"/>
  <c r="W326" i="2" s="1"/>
  <c r="F326" i="2"/>
  <c r="G326" i="2"/>
  <c r="J326" i="2"/>
  <c r="K326" i="2"/>
  <c r="B326" i="2"/>
  <c r="L326" i="2"/>
  <c r="C326" i="2"/>
  <c r="D326" i="2"/>
  <c r="M326" i="2"/>
  <c r="AA325" i="2"/>
  <c r="AC325" i="2"/>
  <c r="X325" i="2"/>
  <c r="Y325" i="2"/>
  <c r="AB325" i="2"/>
  <c r="A257" i="6"/>
  <c r="J256" i="6"/>
  <c r="E256" i="6"/>
  <c r="S256" i="6" s="1"/>
  <c r="C256" i="6"/>
  <c r="G256" i="6"/>
  <c r="F256" i="6"/>
  <c r="D256" i="6"/>
  <c r="B256" i="6"/>
  <c r="L257" i="6" l="1"/>
  <c r="K257" i="6"/>
  <c r="U256" i="6"/>
  <c r="T256" i="6"/>
  <c r="V256" i="6"/>
  <c r="W255" i="6"/>
  <c r="Z325" i="2"/>
  <c r="AD325" i="2" s="1"/>
  <c r="X326" i="2"/>
  <c r="AB326" i="2"/>
  <c r="Y326" i="2"/>
  <c r="AC326" i="2"/>
  <c r="AA326" i="2"/>
  <c r="A328" i="2"/>
  <c r="D327" i="2"/>
  <c r="E327" i="2"/>
  <c r="W327" i="2" s="1"/>
  <c r="F327" i="2"/>
  <c r="G327" i="2"/>
  <c r="J327" i="2"/>
  <c r="K327" i="2"/>
  <c r="B327" i="2"/>
  <c r="C327" i="2"/>
  <c r="L327" i="2"/>
  <c r="M327" i="2"/>
  <c r="A258" i="6"/>
  <c r="J257" i="6"/>
  <c r="E257" i="6"/>
  <c r="S257" i="6" s="1"/>
  <c r="C257" i="6"/>
  <c r="D257" i="6"/>
  <c r="B257" i="6"/>
  <c r="G257" i="6"/>
  <c r="F257" i="6"/>
  <c r="W256" i="6" l="1"/>
  <c r="Z326" i="2"/>
  <c r="L258" i="6"/>
  <c r="K258" i="6"/>
  <c r="T257" i="6"/>
  <c r="U257" i="6"/>
  <c r="V257" i="6"/>
  <c r="A329" i="2"/>
  <c r="K328" i="2"/>
  <c r="B328" i="2"/>
  <c r="L328" i="2"/>
  <c r="C328" i="2"/>
  <c r="M328" i="2"/>
  <c r="D328" i="2"/>
  <c r="E328" i="2"/>
  <c r="W328" i="2" s="1"/>
  <c r="F328" i="2"/>
  <c r="G328" i="2"/>
  <c r="J328" i="2"/>
  <c r="AD326" i="2"/>
  <c r="Y327" i="2"/>
  <c r="X327" i="2"/>
  <c r="AC327" i="2"/>
  <c r="AA327" i="2"/>
  <c r="AB327" i="2"/>
  <c r="A259" i="6"/>
  <c r="J258" i="6"/>
  <c r="E258" i="6"/>
  <c r="S258" i="6" s="1"/>
  <c r="C258" i="6"/>
  <c r="G258" i="6"/>
  <c r="F258" i="6"/>
  <c r="D258" i="6"/>
  <c r="B258" i="6"/>
  <c r="L259" i="6" l="1"/>
  <c r="K259" i="6"/>
  <c r="T258" i="6"/>
  <c r="U258" i="6"/>
  <c r="W258" i="6" s="1"/>
  <c r="V258" i="6"/>
  <c r="Z327" i="2"/>
  <c r="AD327" i="2" s="1"/>
  <c r="W257" i="6"/>
  <c r="AA328" i="2"/>
  <c r="Y328" i="2"/>
  <c r="X328" i="2"/>
  <c r="Z328" i="2" s="1"/>
  <c r="AB328" i="2"/>
  <c r="AC328" i="2"/>
  <c r="A330" i="2"/>
  <c r="F329" i="2"/>
  <c r="G329" i="2"/>
  <c r="J329" i="2"/>
  <c r="K329" i="2"/>
  <c r="B329" i="2"/>
  <c r="L329" i="2"/>
  <c r="C329" i="2"/>
  <c r="M329" i="2"/>
  <c r="D329" i="2"/>
  <c r="E329" i="2"/>
  <c r="W329" i="2" s="1"/>
  <c r="A260" i="6"/>
  <c r="J259" i="6"/>
  <c r="E259" i="6"/>
  <c r="S259" i="6" s="1"/>
  <c r="C259" i="6"/>
  <c r="D259" i="6"/>
  <c r="B259" i="6"/>
  <c r="G259" i="6"/>
  <c r="F259" i="6"/>
  <c r="K260" i="6" l="1"/>
  <c r="L260" i="6"/>
  <c r="T259" i="6"/>
  <c r="V259" i="6"/>
  <c r="U259" i="6"/>
  <c r="A331" i="2"/>
  <c r="D330" i="2"/>
  <c r="E330" i="2"/>
  <c r="W330" i="2" s="1"/>
  <c r="F330" i="2"/>
  <c r="G330" i="2"/>
  <c r="J330" i="2"/>
  <c r="K330" i="2"/>
  <c r="C330" i="2"/>
  <c r="L330" i="2"/>
  <c r="M330" i="2"/>
  <c r="B330" i="2"/>
  <c r="AD328" i="2"/>
  <c r="AB329" i="2"/>
  <c r="AC329" i="2"/>
  <c r="Y329" i="2"/>
  <c r="X329" i="2"/>
  <c r="Z329" i="2" s="1"/>
  <c r="AA329" i="2"/>
  <c r="A261" i="6"/>
  <c r="J260" i="6"/>
  <c r="F260" i="6"/>
  <c r="E260" i="6"/>
  <c r="S260" i="6" s="1"/>
  <c r="C260" i="6"/>
  <c r="G260" i="6"/>
  <c r="D260" i="6"/>
  <c r="B260" i="6"/>
  <c r="L261" i="6" l="1"/>
  <c r="K261" i="6"/>
  <c r="T260" i="6"/>
  <c r="U260" i="6"/>
  <c r="V260" i="6"/>
  <c r="AD329" i="2"/>
  <c r="W259" i="6"/>
  <c r="AC330" i="2"/>
  <c r="Y330" i="2"/>
  <c r="AA330" i="2"/>
  <c r="AB330" i="2"/>
  <c r="X330" i="2"/>
  <c r="A332" i="2"/>
  <c r="F331" i="2"/>
  <c r="G331" i="2"/>
  <c r="J331" i="2"/>
  <c r="K331" i="2"/>
  <c r="B331" i="2"/>
  <c r="L331" i="2"/>
  <c r="C331" i="2"/>
  <c r="M331" i="2"/>
  <c r="D331" i="2"/>
  <c r="E331" i="2"/>
  <c r="W331" i="2" s="1"/>
  <c r="A262" i="6"/>
  <c r="J261" i="6"/>
  <c r="F261" i="6"/>
  <c r="E261" i="6"/>
  <c r="S261" i="6" s="1"/>
  <c r="C261" i="6"/>
  <c r="G261" i="6"/>
  <c r="D261" i="6"/>
  <c r="B261" i="6"/>
  <c r="K262" i="6" l="1"/>
  <c r="L262" i="6"/>
  <c r="W260" i="6"/>
  <c r="Z330" i="2"/>
  <c r="AD330" i="2" s="1"/>
  <c r="T261" i="6"/>
  <c r="U261" i="6"/>
  <c r="V261" i="6"/>
  <c r="A333" i="2"/>
  <c r="C332" i="2"/>
  <c r="M332" i="2"/>
  <c r="D332" i="2"/>
  <c r="E332" i="2"/>
  <c r="W332" i="2" s="1"/>
  <c r="F332" i="2"/>
  <c r="G332" i="2"/>
  <c r="J332" i="2"/>
  <c r="B332" i="2"/>
  <c r="K332" i="2"/>
  <c r="L332" i="2"/>
  <c r="Y331" i="2"/>
  <c r="X331" i="2"/>
  <c r="Z331" i="2" s="1"/>
  <c r="AC331" i="2"/>
  <c r="AA331" i="2"/>
  <c r="AB331" i="2"/>
  <c r="A263" i="6"/>
  <c r="J262" i="6"/>
  <c r="F262" i="6"/>
  <c r="E262" i="6"/>
  <c r="S262" i="6" s="1"/>
  <c r="C262" i="6"/>
  <c r="D262" i="6"/>
  <c r="B262" i="6"/>
  <c r="G262" i="6"/>
  <c r="K263" i="6" l="1"/>
  <c r="L263" i="6"/>
  <c r="T262" i="6"/>
  <c r="U262" i="6"/>
  <c r="V262" i="6"/>
  <c r="W261" i="6"/>
  <c r="AC332" i="2"/>
  <c r="X332" i="2"/>
  <c r="Z332" i="2" s="1"/>
  <c r="Y332" i="2"/>
  <c r="AA332" i="2"/>
  <c r="AB332" i="2"/>
  <c r="AD331" i="2"/>
  <c r="A334" i="2"/>
  <c r="K333" i="2"/>
  <c r="B333" i="2"/>
  <c r="L333" i="2"/>
  <c r="C333" i="2"/>
  <c r="M333" i="2"/>
  <c r="D333" i="2"/>
  <c r="E333" i="2"/>
  <c r="W333" i="2" s="1"/>
  <c r="F333" i="2"/>
  <c r="G333" i="2"/>
  <c r="J333" i="2"/>
  <c r="A264" i="6"/>
  <c r="J263" i="6"/>
  <c r="F263" i="6"/>
  <c r="E263" i="6"/>
  <c r="S263" i="6" s="1"/>
  <c r="C263" i="6"/>
  <c r="G263" i="6"/>
  <c r="D263" i="6"/>
  <c r="B263" i="6"/>
  <c r="K264" i="6" l="1"/>
  <c r="L264" i="6"/>
  <c r="V263" i="6"/>
  <c r="T263" i="6"/>
  <c r="U263" i="6"/>
  <c r="W262" i="6"/>
  <c r="A335" i="2"/>
  <c r="J334" i="2"/>
  <c r="K334" i="2"/>
  <c r="B334" i="2"/>
  <c r="L334" i="2"/>
  <c r="C334" i="2"/>
  <c r="M334" i="2"/>
  <c r="D334" i="2"/>
  <c r="E334" i="2"/>
  <c r="W334" i="2" s="1"/>
  <c r="F334" i="2"/>
  <c r="G334" i="2"/>
  <c r="AA333" i="2"/>
  <c r="AB333" i="2"/>
  <c r="AC333" i="2"/>
  <c r="X333" i="2"/>
  <c r="Y333" i="2"/>
  <c r="AD332" i="2"/>
  <c r="A265" i="6"/>
  <c r="J264" i="6"/>
  <c r="F264" i="6"/>
  <c r="E264" i="6"/>
  <c r="S264" i="6" s="1"/>
  <c r="C264" i="6"/>
  <c r="D264" i="6"/>
  <c r="B264" i="6"/>
  <c r="G264" i="6"/>
  <c r="L265" i="6" l="1"/>
  <c r="K265" i="6"/>
  <c r="Z333" i="2"/>
  <c r="AD333" i="2" s="1"/>
  <c r="W263" i="6"/>
  <c r="T264" i="6"/>
  <c r="U264" i="6"/>
  <c r="V264" i="6"/>
  <c r="X334" i="2"/>
  <c r="Y334" i="2"/>
  <c r="AA334" i="2"/>
  <c r="AB334" i="2"/>
  <c r="AC334" i="2"/>
  <c r="A336" i="2"/>
  <c r="G335" i="2"/>
  <c r="J335" i="2"/>
  <c r="K335" i="2"/>
  <c r="B335" i="2"/>
  <c r="L335" i="2"/>
  <c r="C335" i="2"/>
  <c r="M335" i="2"/>
  <c r="D335" i="2"/>
  <c r="E335" i="2"/>
  <c r="W335" i="2" s="1"/>
  <c r="F335" i="2"/>
  <c r="A266" i="6"/>
  <c r="J265" i="6"/>
  <c r="F265" i="6"/>
  <c r="E265" i="6"/>
  <c r="S265" i="6" s="1"/>
  <c r="C265" i="6"/>
  <c r="G265" i="6"/>
  <c r="B265" i="6"/>
  <c r="D265" i="6"/>
  <c r="K266" i="6" l="1"/>
  <c r="L266" i="6"/>
  <c r="W264" i="6"/>
  <c r="T265" i="6"/>
  <c r="U265" i="6"/>
  <c r="V265" i="6"/>
  <c r="A337" i="2"/>
  <c r="C336" i="2"/>
  <c r="M336" i="2"/>
  <c r="D336" i="2"/>
  <c r="E336" i="2"/>
  <c r="W336" i="2" s="1"/>
  <c r="F336" i="2"/>
  <c r="G336" i="2"/>
  <c r="J336" i="2"/>
  <c r="B336" i="2"/>
  <c r="K336" i="2"/>
  <c r="L336" i="2"/>
  <c r="Y335" i="2"/>
  <c r="AB335" i="2"/>
  <c r="AC335" i="2"/>
  <c r="X335" i="2"/>
  <c r="AA335" i="2"/>
  <c r="Z334" i="2"/>
  <c r="AD334" i="2" s="1"/>
  <c r="A267" i="6"/>
  <c r="J266" i="6"/>
  <c r="F266" i="6"/>
  <c r="E266" i="6"/>
  <c r="S266" i="6" s="1"/>
  <c r="C266" i="6"/>
  <c r="G266" i="6"/>
  <c r="D266" i="6"/>
  <c r="B266" i="6"/>
  <c r="K267" i="6" l="1"/>
  <c r="L267" i="6"/>
  <c r="T266" i="6"/>
  <c r="U266" i="6"/>
  <c r="V266" i="6"/>
  <c r="Z335" i="2"/>
  <c r="AD335" i="2" s="1"/>
  <c r="W265" i="6"/>
  <c r="AA336" i="2"/>
  <c r="Y336" i="2"/>
  <c r="AB336" i="2"/>
  <c r="X336" i="2"/>
  <c r="AC336" i="2"/>
  <c r="A338" i="2"/>
  <c r="K337" i="2"/>
  <c r="B337" i="2"/>
  <c r="L337" i="2"/>
  <c r="C337" i="2"/>
  <c r="M337" i="2"/>
  <c r="D337" i="2"/>
  <c r="E337" i="2"/>
  <c r="W337" i="2" s="1"/>
  <c r="F337" i="2"/>
  <c r="G337" i="2"/>
  <c r="J337" i="2"/>
  <c r="A268" i="6"/>
  <c r="J267" i="6"/>
  <c r="F267" i="6"/>
  <c r="E267" i="6"/>
  <c r="S267" i="6" s="1"/>
  <c r="C267" i="6"/>
  <c r="B267" i="6"/>
  <c r="G267" i="6"/>
  <c r="D267" i="6"/>
  <c r="K268" i="6" l="1"/>
  <c r="L268" i="6"/>
  <c r="U267" i="6"/>
  <c r="T267" i="6"/>
  <c r="V267" i="6"/>
  <c r="Z336" i="2"/>
  <c r="AD336" i="2" s="1"/>
  <c r="W266" i="6"/>
  <c r="A339" i="2"/>
  <c r="G338" i="2"/>
  <c r="J338" i="2"/>
  <c r="K338" i="2"/>
  <c r="B338" i="2"/>
  <c r="L338" i="2"/>
  <c r="C338" i="2"/>
  <c r="M338" i="2"/>
  <c r="D338" i="2"/>
  <c r="F338" i="2"/>
  <c r="E338" i="2"/>
  <c r="W338" i="2" s="1"/>
  <c r="X337" i="2"/>
  <c r="Y337" i="2"/>
  <c r="AA337" i="2"/>
  <c r="AB337" i="2"/>
  <c r="AC337" i="2"/>
  <c r="A269" i="6"/>
  <c r="J268" i="6"/>
  <c r="F268" i="6"/>
  <c r="E268" i="6"/>
  <c r="S268" i="6" s="1"/>
  <c r="C268" i="6"/>
  <c r="G268" i="6"/>
  <c r="D268" i="6"/>
  <c r="B268" i="6"/>
  <c r="K269" i="6" l="1"/>
  <c r="L269" i="6"/>
  <c r="V268" i="6"/>
  <c r="U268" i="6"/>
  <c r="T268" i="6"/>
  <c r="W267" i="6"/>
  <c r="Z337" i="2"/>
  <c r="AD337" i="2" s="1"/>
  <c r="AC338" i="2"/>
  <c r="AB338" i="2"/>
  <c r="AA338" i="2"/>
  <c r="X338" i="2"/>
  <c r="Y338" i="2"/>
  <c r="A340" i="2"/>
  <c r="D339" i="2"/>
  <c r="E339" i="2"/>
  <c r="W339" i="2" s="1"/>
  <c r="F339" i="2"/>
  <c r="G339" i="2"/>
  <c r="J339" i="2"/>
  <c r="K339" i="2"/>
  <c r="B339" i="2"/>
  <c r="C339" i="2"/>
  <c r="L339" i="2"/>
  <c r="M339" i="2"/>
  <c r="A270" i="6"/>
  <c r="J269" i="6"/>
  <c r="F269" i="6"/>
  <c r="E269" i="6"/>
  <c r="S269" i="6" s="1"/>
  <c r="C269" i="6"/>
  <c r="G269" i="6"/>
  <c r="D269" i="6"/>
  <c r="B269" i="6"/>
  <c r="W268" i="6" l="1"/>
  <c r="K270" i="6"/>
  <c r="L270" i="6"/>
  <c r="T269" i="6"/>
  <c r="V269" i="6"/>
  <c r="U269" i="6"/>
  <c r="A341" i="2"/>
  <c r="B340" i="2"/>
  <c r="L340" i="2"/>
  <c r="C340" i="2"/>
  <c r="M340" i="2"/>
  <c r="D340" i="2"/>
  <c r="E340" i="2"/>
  <c r="W340" i="2" s="1"/>
  <c r="F340" i="2"/>
  <c r="G340" i="2"/>
  <c r="J340" i="2"/>
  <c r="K340" i="2"/>
  <c r="Z338" i="2"/>
  <c r="AD338" i="2" s="1"/>
  <c r="Y339" i="2"/>
  <c r="AB339" i="2"/>
  <c r="X339" i="2"/>
  <c r="Z339" i="2" s="1"/>
  <c r="AA339" i="2"/>
  <c r="AC339" i="2"/>
  <c r="A271" i="6"/>
  <c r="J270" i="6"/>
  <c r="F270" i="6"/>
  <c r="E270" i="6"/>
  <c r="S270" i="6" s="1"/>
  <c r="C270" i="6"/>
  <c r="D270" i="6"/>
  <c r="B270" i="6"/>
  <c r="G270" i="6"/>
  <c r="K271" i="6" l="1"/>
  <c r="L271" i="6"/>
  <c r="W269" i="6"/>
  <c r="U270" i="6"/>
  <c r="T270" i="6"/>
  <c r="V270" i="6"/>
  <c r="AD339" i="2"/>
  <c r="AC340" i="2"/>
  <c r="X340" i="2"/>
  <c r="Y340" i="2"/>
  <c r="AA340" i="2"/>
  <c r="AB340" i="2"/>
  <c r="A342" i="2"/>
  <c r="J341" i="2"/>
  <c r="K341" i="2"/>
  <c r="B341" i="2"/>
  <c r="L341" i="2"/>
  <c r="C341" i="2"/>
  <c r="M341" i="2"/>
  <c r="D341" i="2"/>
  <c r="E341" i="2"/>
  <c r="W341" i="2" s="1"/>
  <c r="F341" i="2"/>
  <c r="G341" i="2"/>
  <c r="A272" i="6"/>
  <c r="J271" i="6"/>
  <c r="F271" i="6"/>
  <c r="E271" i="6"/>
  <c r="S271" i="6" s="1"/>
  <c r="C271" i="6"/>
  <c r="G271" i="6"/>
  <c r="D271" i="6"/>
  <c r="B271" i="6"/>
  <c r="L272" i="6" l="1"/>
  <c r="K272" i="6"/>
  <c r="U271" i="6"/>
  <c r="T271" i="6"/>
  <c r="V271" i="6"/>
  <c r="W270" i="6"/>
  <c r="Z340" i="2"/>
  <c r="AD340" i="2" s="1"/>
  <c r="AA341" i="2"/>
  <c r="AB341" i="2"/>
  <c r="AC341" i="2"/>
  <c r="X341" i="2"/>
  <c r="Y341" i="2"/>
  <c r="A343" i="2"/>
  <c r="G342" i="2"/>
  <c r="J342" i="2"/>
  <c r="K342" i="2"/>
  <c r="B342" i="2"/>
  <c r="L342" i="2"/>
  <c r="C342" i="2"/>
  <c r="M342" i="2"/>
  <c r="D342" i="2"/>
  <c r="E342" i="2"/>
  <c r="W342" i="2" s="1"/>
  <c r="F342" i="2"/>
  <c r="A273" i="6"/>
  <c r="J272" i="6"/>
  <c r="F272" i="6"/>
  <c r="E272" i="6"/>
  <c r="S272" i="6" s="1"/>
  <c r="C272" i="6"/>
  <c r="D272" i="6"/>
  <c r="B272" i="6"/>
  <c r="G272" i="6"/>
  <c r="L273" i="6" l="1"/>
  <c r="K273" i="6"/>
  <c r="W271" i="6"/>
  <c r="V272" i="6"/>
  <c r="U272" i="6"/>
  <c r="T272" i="6"/>
  <c r="W272" i="6" s="1"/>
  <c r="A344" i="2"/>
  <c r="F343" i="2"/>
  <c r="G343" i="2"/>
  <c r="J343" i="2"/>
  <c r="K343" i="2"/>
  <c r="B343" i="2"/>
  <c r="L343" i="2"/>
  <c r="C343" i="2"/>
  <c r="M343" i="2"/>
  <c r="D343" i="2"/>
  <c r="E343" i="2"/>
  <c r="W343" i="2" s="1"/>
  <c r="X342" i="2"/>
  <c r="AB342" i="2"/>
  <c r="AC342" i="2"/>
  <c r="Y342" i="2"/>
  <c r="AA342" i="2"/>
  <c r="Z341" i="2"/>
  <c r="AD341" i="2" s="1"/>
  <c r="A274" i="6"/>
  <c r="J273" i="6"/>
  <c r="F273" i="6"/>
  <c r="E273" i="6"/>
  <c r="S273" i="6" s="1"/>
  <c r="C273" i="6"/>
  <c r="G273" i="6"/>
  <c r="B273" i="6"/>
  <c r="D273" i="6"/>
  <c r="Z342" i="2" l="1"/>
  <c r="K274" i="6"/>
  <c r="L274" i="6"/>
  <c r="AD342" i="2"/>
  <c r="T273" i="6"/>
  <c r="U273" i="6"/>
  <c r="V273" i="6"/>
  <c r="A345" i="2"/>
  <c r="D344" i="2"/>
  <c r="E344" i="2"/>
  <c r="W344" i="2" s="1"/>
  <c r="F344" i="2"/>
  <c r="G344" i="2"/>
  <c r="J344" i="2"/>
  <c r="K344" i="2"/>
  <c r="B344" i="2"/>
  <c r="C344" i="2"/>
  <c r="L344" i="2"/>
  <c r="M344" i="2"/>
  <c r="Y343" i="2"/>
  <c r="AC343" i="2"/>
  <c r="X343" i="2"/>
  <c r="AA343" i="2"/>
  <c r="AB343" i="2"/>
  <c r="A275" i="6"/>
  <c r="J274" i="6"/>
  <c r="F274" i="6"/>
  <c r="E274" i="6"/>
  <c r="S274" i="6" s="1"/>
  <c r="C274" i="6"/>
  <c r="G274" i="6"/>
  <c r="D274" i="6"/>
  <c r="B274" i="6"/>
  <c r="L275" i="6" l="1"/>
  <c r="K275" i="6"/>
  <c r="W273" i="6"/>
  <c r="T274" i="6"/>
  <c r="V274" i="6"/>
  <c r="U274" i="6"/>
  <c r="Z343" i="2"/>
  <c r="AD343" i="2" s="1"/>
  <c r="AA344" i="2"/>
  <c r="Y344" i="2"/>
  <c r="AB344" i="2"/>
  <c r="X344" i="2"/>
  <c r="Z344" i="2" s="1"/>
  <c r="AC344" i="2"/>
  <c r="A346" i="2"/>
  <c r="K345" i="2"/>
  <c r="B345" i="2"/>
  <c r="L345" i="2"/>
  <c r="C345" i="2"/>
  <c r="M345" i="2"/>
  <c r="D345" i="2"/>
  <c r="E345" i="2"/>
  <c r="W345" i="2" s="1"/>
  <c r="F345" i="2"/>
  <c r="G345" i="2"/>
  <c r="J345" i="2"/>
  <c r="A276" i="6"/>
  <c r="J275" i="6"/>
  <c r="F275" i="6"/>
  <c r="E275" i="6"/>
  <c r="S275" i="6" s="1"/>
  <c r="C275" i="6"/>
  <c r="B275" i="6"/>
  <c r="G275" i="6"/>
  <c r="D275" i="6"/>
  <c r="L276" i="6" l="1"/>
  <c r="K276" i="6"/>
  <c r="T275" i="6"/>
  <c r="U275" i="6"/>
  <c r="V275" i="6"/>
  <c r="W274" i="6"/>
  <c r="X345" i="2"/>
  <c r="Y345" i="2"/>
  <c r="AA345" i="2"/>
  <c r="AB345" i="2"/>
  <c r="AC345" i="2"/>
  <c r="AD344" i="2"/>
  <c r="A347" i="2"/>
  <c r="G346" i="2"/>
  <c r="J346" i="2"/>
  <c r="K346" i="2"/>
  <c r="B346" i="2"/>
  <c r="L346" i="2"/>
  <c r="C346" i="2"/>
  <c r="M346" i="2"/>
  <c r="D346" i="2"/>
  <c r="E346" i="2"/>
  <c r="W346" i="2" s="1"/>
  <c r="F346" i="2"/>
  <c r="A277" i="6"/>
  <c r="J276" i="6"/>
  <c r="F276" i="6"/>
  <c r="E276" i="6"/>
  <c r="S276" i="6" s="1"/>
  <c r="C276" i="6"/>
  <c r="G276" i="6"/>
  <c r="D276" i="6"/>
  <c r="B276" i="6"/>
  <c r="L277" i="6" l="1"/>
  <c r="K277" i="6"/>
  <c r="W275" i="6"/>
  <c r="T276" i="6"/>
  <c r="U276" i="6"/>
  <c r="V276" i="6"/>
  <c r="A348" i="2"/>
  <c r="B347" i="2"/>
  <c r="L347" i="2"/>
  <c r="C347" i="2"/>
  <c r="M347" i="2"/>
  <c r="D347" i="2"/>
  <c r="E347" i="2"/>
  <c r="W347" i="2" s="1"/>
  <c r="F347" i="2"/>
  <c r="G347" i="2"/>
  <c r="J347" i="2"/>
  <c r="K347" i="2"/>
  <c r="AC346" i="2"/>
  <c r="Y346" i="2"/>
  <c r="AB346" i="2"/>
  <c r="AA346" i="2"/>
  <c r="X346" i="2"/>
  <c r="Z345" i="2"/>
  <c r="AD345" i="2" s="1"/>
  <c r="A278" i="6"/>
  <c r="J277" i="6"/>
  <c r="F277" i="6"/>
  <c r="E277" i="6"/>
  <c r="S277" i="6" s="1"/>
  <c r="C277" i="6"/>
  <c r="G277" i="6"/>
  <c r="D277" i="6"/>
  <c r="B277" i="6"/>
  <c r="K278" i="6" l="1"/>
  <c r="L278" i="6"/>
  <c r="W276" i="6"/>
  <c r="T277" i="6"/>
  <c r="U277" i="6"/>
  <c r="V277" i="6"/>
  <c r="Z346" i="2"/>
  <c r="AD346" i="2" s="1"/>
  <c r="Y347" i="2"/>
  <c r="AC347" i="2"/>
  <c r="AA347" i="2"/>
  <c r="X347" i="2"/>
  <c r="AB347" i="2"/>
  <c r="A349" i="2"/>
  <c r="J348" i="2"/>
  <c r="K348" i="2"/>
  <c r="B348" i="2"/>
  <c r="L348" i="2"/>
  <c r="C348" i="2"/>
  <c r="M348" i="2"/>
  <c r="D348" i="2"/>
  <c r="E348" i="2"/>
  <c r="W348" i="2" s="1"/>
  <c r="F348" i="2"/>
  <c r="G348" i="2"/>
  <c r="A279" i="6"/>
  <c r="J278" i="6"/>
  <c r="F278" i="6"/>
  <c r="E278" i="6"/>
  <c r="S278" i="6" s="1"/>
  <c r="C278" i="6"/>
  <c r="D278" i="6"/>
  <c r="B278" i="6"/>
  <c r="G278" i="6"/>
  <c r="Z347" i="2" l="1"/>
  <c r="L279" i="6"/>
  <c r="K279" i="6"/>
  <c r="T278" i="6"/>
  <c r="U278" i="6"/>
  <c r="V278" i="6"/>
  <c r="W277" i="6"/>
  <c r="AA348" i="2"/>
  <c r="AC348" i="2"/>
  <c r="X348" i="2"/>
  <c r="Y348" i="2"/>
  <c r="AB348" i="2"/>
  <c r="A350" i="2"/>
  <c r="J349" i="2"/>
  <c r="K349" i="2"/>
  <c r="B349" i="2"/>
  <c r="L349" i="2"/>
  <c r="C349" i="2"/>
  <c r="M349" i="2"/>
  <c r="D349" i="2"/>
  <c r="E349" i="2"/>
  <c r="W349" i="2" s="1"/>
  <c r="F349" i="2"/>
  <c r="G349" i="2"/>
  <c r="AD347" i="2"/>
  <c r="A280" i="6"/>
  <c r="J279" i="6"/>
  <c r="F279" i="6"/>
  <c r="E279" i="6"/>
  <c r="S279" i="6" s="1"/>
  <c r="C279" i="6"/>
  <c r="G279" i="6"/>
  <c r="D279" i="6"/>
  <c r="B279" i="6"/>
  <c r="K280" i="6" l="1"/>
  <c r="L280" i="6"/>
  <c r="U279" i="6"/>
  <c r="T279" i="6"/>
  <c r="V279" i="6"/>
  <c r="W279" i="6" s="1"/>
  <c r="W278" i="6"/>
  <c r="Z348" i="2"/>
  <c r="AD348" i="2" s="1"/>
  <c r="AA349" i="2"/>
  <c r="X349" i="2"/>
  <c r="AC349" i="2"/>
  <c r="AB349" i="2"/>
  <c r="Y349" i="2"/>
  <c r="A351" i="2"/>
  <c r="F350" i="2"/>
  <c r="G350" i="2"/>
  <c r="J350" i="2"/>
  <c r="K350" i="2"/>
  <c r="B350" i="2"/>
  <c r="L350" i="2"/>
  <c r="C350" i="2"/>
  <c r="M350" i="2"/>
  <c r="E350" i="2"/>
  <c r="W350" i="2" s="1"/>
  <c r="D350" i="2"/>
  <c r="A281" i="6"/>
  <c r="J280" i="6"/>
  <c r="F280" i="6"/>
  <c r="E280" i="6"/>
  <c r="S280" i="6" s="1"/>
  <c r="C280" i="6"/>
  <c r="D280" i="6"/>
  <c r="B280" i="6"/>
  <c r="G280" i="6"/>
  <c r="K281" i="6" l="1"/>
  <c r="L281" i="6"/>
  <c r="Z349" i="2"/>
  <c r="AD349" i="2" s="1"/>
  <c r="V280" i="6"/>
  <c r="U280" i="6"/>
  <c r="T280" i="6"/>
  <c r="W280" i="6" s="1"/>
  <c r="X350" i="2"/>
  <c r="AC350" i="2"/>
  <c r="Y350" i="2"/>
  <c r="AA350" i="2"/>
  <c r="AB350" i="2"/>
  <c r="A352" i="2"/>
  <c r="E351" i="2"/>
  <c r="W351" i="2" s="1"/>
  <c r="F351" i="2"/>
  <c r="G351" i="2"/>
  <c r="J351" i="2"/>
  <c r="K351" i="2"/>
  <c r="B351" i="2"/>
  <c r="L351" i="2"/>
  <c r="C351" i="2"/>
  <c r="D351" i="2"/>
  <c r="M351" i="2"/>
  <c r="A282" i="6"/>
  <c r="J281" i="6"/>
  <c r="F281" i="6"/>
  <c r="E281" i="6"/>
  <c r="S281" i="6" s="1"/>
  <c r="C281" i="6"/>
  <c r="G281" i="6"/>
  <c r="B281" i="6"/>
  <c r="D281" i="6"/>
  <c r="Z350" i="2" l="1"/>
  <c r="K282" i="6"/>
  <c r="L282" i="6"/>
  <c r="T281" i="6"/>
  <c r="U281" i="6"/>
  <c r="V281" i="6"/>
  <c r="A353" i="2"/>
  <c r="D352" i="2"/>
  <c r="E352" i="2"/>
  <c r="W352" i="2" s="1"/>
  <c r="F352" i="2"/>
  <c r="G352" i="2"/>
  <c r="J352" i="2"/>
  <c r="K352" i="2"/>
  <c r="B352" i="2"/>
  <c r="C352" i="2"/>
  <c r="L352" i="2"/>
  <c r="M352" i="2"/>
  <c r="AD350" i="2"/>
  <c r="Y351" i="2"/>
  <c r="AA351" i="2"/>
  <c r="X351" i="2"/>
  <c r="AB351" i="2"/>
  <c r="AC351" i="2"/>
  <c r="A283" i="6"/>
  <c r="J282" i="6"/>
  <c r="F282" i="6"/>
  <c r="E282" i="6"/>
  <c r="S282" i="6" s="1"/>
  <c r="C282" i="6"/>
  <c r="G282" i="6"/>
  <c r="D282" i="6"/>
  <c r="B282" i="6"/>
  <c r="W281" i="6" l="1"/>
  <c r="K283" i="6"/>
  <c r="L283" i="6"/>
  <c r="T282" i="6"/>
  <c r="V282" i="6"/>
  <c r="U282" i="6"/>
  <c r="Z351" i="2"/>
  <c r="AD351" i="2" s="1"/>
  <c r="Y352" i="2"/>
  <c r="AA352" i="2"/>
  <c r="AB352" i="2"/>
  <c r="AC352" i="2"/>
  <c r="X352" i="2"/>
  <c r="Z352" i="2" s="1"/>
  <c r="A354" i="2"/>
  <c r="K353" i="2"/>
  <c r="B353" i="2"/>
  <c r="L353" i="2"/>
  <c r="C353" i="2"/>
  <c r="M353" i="2"/>
  <c r="D353" i="2"/>
  <c r="E353" i="2"/>
  <c r="W353" i="2" s="1"/>
  <c r="F353" i="2"/>
  <c r="G353" i="2"/>
  <c r="J353" i="2"/>
  <c r="A284" i="6"/>
  <c r="J283" i="6"/>
  <c r="F283" i="6"/>
  <c r="E283" i="6"/>
  <c r="S283" i="6" s="1"/>
  <c r="C283" i="6"/>
  <c r="B283" i="6"/>
  <c r="G283" i="6"/>
  <c r="D283" i="6"/>
  <c r="L284" i="6" l="1"/>
  <c r="K284" i="6"/>
  <c r="W282" i="6"/>
  <c r="AD352" i="2"/>
  <c r="U283" i="6"/>
  <c r="T283" i="6"/>
  <c r="V283" i="6"/>
  <c r="A355" i="2"/>
  <c r="G354" i="2"/>
  <c r="J354" i="2"/>
  <c r="K354" i="2"/>
  <c r="B354" i="2"/>
  <c r="L354" i="2"/>
  <c r="C354" i="2"/>
  <c r="M354" i="2"/>
  <c r="D354" i="2"/>
  <c r="E354" i="2"/>
  <c r="W354" i="2" s="1"/>
  <c r="F354" i="2"/>
  <c r="AA353" i="2"/>
  <c r="AC353" i="2"/>
  <c r="AB353" i="2"/>
  <c r="X353" i="2"/>
  <c r="Y353" i="2"/>
  <c r="A285" i="6"/>
  <c r="J284" i="6"/>
  <c r="F284" i="6"/>
  <c r="E284" i="6"/>
  <c r="S284" i="6" s="1"/>
  <c r="C284" i="6"/>
  <c r="G284" i="6"/>
  <c r="D284" i="6"/>
  <c r="B284" i="6"/>
  <c r="K285" i="6" l="1"/>
  <c r="L285" i="6"/>
  <c r="W283" i="6"/>
  <c r="T284" i="6"/>
  <c r="V284" i="6"/>
  <c r="U284" i="6"/>
  <c r="Z353" i="2"/>
  <c r="AD353" i="2" s="1"/>
  <c r="AC354" i="2"/>
  <c r="Y354" i="2"/>
  <c r="AB354" i="2"/>
  <c r="AA354" i="2"/>
  <c r="X354" i="2"/>
  <c r="A356" i="2"/>
  <c r="B355" i="2"/>
  <c r="L355" i="2"/>
  <c r="C355" i="2"/>
  <c r="M355" i="2"/>
  <c r="D355" i="2"/>
  <c r="E355" i="2"/>
  <c r="W355" i="2" s="1"/>
  <c r="F355" i="2"/>
  <c r="G355" i="2"/>
  <c r="J355" i="2"/>
  <c r="K355" i="2"/>
  <c r="A286" i="6"/>
  <c r="J285" i="6"/>
  <c r="F285" i="6"/>
  <c r="E285" i="6"/>
  <c r="S285" i="6" s="1"/>
  <c r="C285" i="6"/>
  <c r="G285" i="6"/>
  <c r="D285" i="6"/>
  <c r="B285" i="6"/>
  <c r="K286" i="6" l="1"/>
  <c r="L286" i="6"/>
  <c r="T285" i="6"/>
  <c r="U285" i="6"/>
  <c r="V285" i="6"/>
  <c r="Z354" i="2"/>
  <c r="AD354" i="2" s="1"/>
  <c r="W284" i="6"/>
  <c r="A357" i="2"/>
  <c r="J356" i="2"/>
  <c r="K356" i="2"/>
  <c r="B356" i="2"/>
  <c r="L356" i="2"/>
  <c r="C356" i="2"/>
  <c r="M356" i="2"/>
  <c r="D356" i="2"/>
  <c r="E356" i="2"/>
  <c r="W356" i="2" s="1"/>
  <c r="F356" i="2"/>
  <c r="G356" i="2"/>
  <c r="X355" i="2"/>
  <c r="AA355" i="2"/>
  <c r="AB355" i="2"/>
  <c r="AC355" i="2"/>
  <c r="Y355" i="2"/>
  <c r="Z355" i="2" s="1"/>
  <c r="A287" i="6"/>
  <c r="J286" i="6"/>
  <c r="F286" i="6"/>
  <c r="E286" i="6"/>
  <c r="S286" i="6" s="1"/>
  <c r="C286" i="6"/>
  <c r="D286" i="6"/>
  <c r="B286" i="6"/>
  <c r="G286" i="6"/>
  <c r="L287" i="6" l="1"/>
  <c r="K287" i="6"/>
  <c r="W285" i="6"/>
  <c r="AD355" i="2"/>
  <c r="V286" i="6"/>
  <c r="T286" i="6"/>
  <c r="U286" i="6"/>
  <c r="AA356" i="2"/>
  <c r="AC356" i="2"/>
  <c r="X356" i="2"/>
  <c r="Y356" i="2"/>
  <c r="AB356" i="2"/>
  <c r="A358" i="2"/>
  <c r="G357" i="2"/>
  <c r="J357" i="2"/>
  <c r="K357" i="2"/>
  <c r="B357" i="2"/>
  <c r="L357" i="2"/>
  <c r="C357" i="2"/>
  <c r="M357" i="2"/>
  <c r="D357" i="2"/>
  <c r="E357" i="2"/>
  <c r="W357" i="2" s="1"/>
  <c r="F357" i="2"/>
  <c r="A288" i="6"/>
  <c r="J287" i="6"/>
  <c r="F287" i="6"/>
  <c r="E287" i="6"/>
  <c r="S287" i="6" s="1"/>
  <c r="C287" i="6"/>
  <c r="G287" i="6"/>
  <c r="D287" i="6"/>
  <c r="B287" i="6"/>
  <c r="L288" i="6" l="1"/>
  <c r="K288" i="6"/>
  <c r="Z356" i="2"/>
  <c r="W286" i="6"/>
  <c r="U287" i="6"/>
  <c r="T287" i="6"/>
  <c r="V287" i="6"/>
  <c r="A359" i="2"/>
  <c r="F358" i="2"/>
  <c r="G358" i="2"/>
  <c r="J358" i="2"/>
  <c r="K358" i="2"/>
  <c r="B358" i="2"/>
  <c r="L358" i="2"/>
  <c r="C358" i="2"/>
  <c r="M358" i="2"/>
  <c r="D358" i="2"/>
  <c r="E358" i="2"/>
  <c r="W358" i="2" s="1"/>
  <c r="AD356" i="2"/>
  <c r="AB357" i="2"/>
  <c r="AC357" i="2"/>
  <c r="Y357" i="2"/>
  <c r="X357" i="2"/>
  <c r="AA357" i="2"/>
  <c r="A289" i="6"/>
  <c r="J288" i="6"/>
  <c r="F288" i="6"/>
  <c r="E288" i="6"/>
  <c r="S288" i="6" s="1"/>
  <c r="C288" i="6"/>
  <c r="D288" i="6"/>
  <c r="B288" i="6"/>
  <c r="G288" i="6"/>
  <c r="K289" i="6" l="1"/>
  <c r="L289" i="6"/>
  <c r="Z357" i="2"/>
  <c r="AD357" i="2" s="1"/>
  <c r="W287" i="6"/>
  <c r="V288" i="6"/>
  <c r="T288" i="6"/>
  <c r="U288" i="6"/>
  <c r="X358" i="2"/>
  <c r="AA358" i="2"/>
  <c r="Y358" i="2"/>
  <c r="AB358" i="2"/>
  <c r="AC358" i="2"/>
  <c r="A360" i="2"/>
  <c r="E359" i="2"/>
  <c r="W359" i="2" s="1"/>
  <c r="F359" i="2"/>
  <c r="G359" i="2"/>
  <c r="J359" i="2"/>
  <c r="K359" i="2"/>
  <c r="B359" i="2"/>
  <c r="L359" i="2"/>
  <c r="M359" i="2"/>
  <c r="C359" i="2"/>
  <c r="D359" i="2"/>
  <c r="A290" i="6"/>
  <c r="J289" i="6"/>
  <c r="F289" i="6"/>
  <c r="E289" i="6"/>
  <c r="S289" i="6" s="1"/>
  <c r="C289" i="6"/>
  <c r="G289" i="6"/>
  <c r="B289" i="6"/>
  <c r="D289" i="6"/>
  <c r="Z358" i="2" l="1"/>
  <c r="L290" i="6"/>
  <c r="K290" i="6"/>
  <c r="W288" i="6"/>
  <c r="T289" i="6"/>
  <c r="U289" i="6"/>
  <c r="V289" i="6"/>
  <c r="Y359" i="2"/>
  <c r="X359" i="2"/>
  <c r="AA359" i="2"/>
  <c r="AC359" i="2"/>
  <c r="AB359" i="2"/>
  <c r="A361" i="2"/>
  <c r="C360" i="2"/>
  <c r="M360" i="2"/>
  <c r="D360" i="2"/>
  <c r="E360" i="2"/>
  <c r="W360" i="2" s="1"/>
  <c r="F360" i="2"/>
  <c r="G360" i="2"/>
  <c r="J360" i="2"/>
  <c r="K360" i="2"/>
  <c r="L360" i="2"/>
  <c r="B360" i="2"/>
  <c r="AD358" i="2"/>
  <c r="A291" i="6"/>
  <c r="J290" i="6"/>
  <c r="F290" i="6"/>
  <c r="E290" i="6"/>
  <c r="S290" i="6" s="1"/>
  <c r="C290" i="6"/>
  <c r="G290" i="6"/>
  <c r="D290" i="6"/>
  <c r="B290" i="6"/>
  <c r="Z359" i="2" l="1"/>
  <c r="K291" i="6"/>
  <c r="L291" i="6"/>
  <c r="W289" i="6"/>
  <c r="V290" i="6"/>
  <c r="T290" i="6"/>
  <c r="U290" i="6"/>
  <c r="A362" i="2"/>
  <c r="J361" i="2"/>
  <c r="K361" i="2"/>
  <c r="B361" i="2"/>
  <c r="L361" i="2"/>
  <c r="C361" i="2"/>
  <c r="M361" i="2"/>
  <c r="D361" i="2"/>
  <c r="E361" i="2"/>
  <c r="W361" i="2" s="1"/>
  <c r="F361" i="2"/>
  <c r="G361" i="2"/>
  <c r="Y360" i="2"/>
  <c r="X360" i="2"/>
  <c r="AA360" i="2"/>
  <c r="AB360" i="2"/>
  <c r="AC360" i="2"/>
  <c r="AD359" i="2"/>
  <c r="A292" i="6"/>
  <c r="J291" i="6"/>
  <c r="F291" i="6"/>
  <c r="E291" i="6"/>
  <c r="S291" i="6" s="1"/>
  <c r="C291" i="6"/>
  <c r="B291" i="6"/>
  <c r="G291" i="6"/>
  <c r="D291" i="6"/>
  <c r="W290" i="6" l="1"/>
  <c r="K292" i="6"/>
  <c r="L292" i="6"/>
  <c r="T291" i="6"/>
  <c r="U291" i="6"/>
  <c r="V291" i="6"/>
  <c r="Z360" i="2"/>
  <c r="AD360" i="2" s="1"/>
  <c r="AB361" i="2"/>
  <c r="AA361" i="2"/>
  <c r="AC361" i="2"/>
  <c r="X361" i="2"/>
  <c r="Y361" i="2"/>
  <c r="A363" i="2"/>
  <c r="E362" i="2"/>
  <c r="W362" i="2" s="1"/>
  <c r="F362" i="2"/>
  <c r="G362" i="2"/>
  <c r="J362" i="2"/>
  <c r="K362" i="2"/>
  <c r="B362" i="2"/>
  <c r="L362" i="2"/>
  <c r="C362" i="2"/>
  <c r="D362" i="2"/>
  <c r="M362" i="2"/>
  <c r="A293" i="6"/>
  <c r="J292" i="6"/>
  <c r="F292" i="6"/>
  <c r="E292" i="6"/>
  <c r="S292" i="6" s="1"/>
  <c r="C292" i="6"/>
  <c r="G292" i="6"/>
  <c r="D292" i="6"/>
  <c r="B292" i="6"/>
  <c r="Z361" i="2" l="1"/>
  <c r="AD361" i="2" s="1"/>
  <c r="K293" i="6"/>
  <c r="L293" i="6"/>
  <c r="T292" i="6"/>
  <c r="V292" i="6"/>
  <c r="U292" i="6"/>
  <c r="W291" i="6"/>
  <c r="A364" i="2"/>
  <c r="G363" i="2"/>
  <c r="J363" i="2"/>
  <c r="K363" i="2"/>
  <c r="B363" i="2"/>
  <c r="L363" i="2"/>
  <c r="C363" i="2"/>
  <c r="M363" i="2"/>
  <c r="D363" i="2"/>
  <c r="F363" i="2"/>
  <c r="E363" i="2"/>
  <c r="W363" i="2" s="1"/>
  <c r="AC362" i="2"/>
  <c r="Y362" i="2"/>
  <c r="AA362" i="2"/>
  <c r="AB362" i="2"/>
  <c r="X362" i="2"/>
  <c r="Z362" i="2" s="1"/>
  <c r="A294" i="6"/>
  <c r="J293" i="6"/>
  <c r="F293" i="6"/>
  <c r="E293" i="6"/>
  <c r="S293" i="6" s="1"/>
  <c r="C293" i="6"/>
  <c r="G293" i="6"/>
  <c r="D293" i="6"/>
  <c r="B293" i="6"/>
  <c r="K294" i="6" l="1"/>
  <c r="L294" i="6"/>
  <c r="T293" i="6"/>
  <c r="U293" i="6"/>
  <c r="V293" i="6"/>
  <c r="AD362" i="2"/>
  <c r="W292" i="6"/>
  <c r="X363" i="2"/>
  <c r="Y363" i="2"/>
  <c r="AB363" i="2"/>
  <c r="AA363" i="2"/>
  <c r="AC363" i="2"/>
  <c r="A365" i="2"/>
  <c r="D364" i="2"/>
  <c r="E364" i="2"/>
  <c r="W364" i="2" s="1"/>
  <c r="F364" i="2"/>
  <c r="G364" i="2"/>
  <c r="J364" i="2"/>
  <c r="K364" i="2"/>
  <c r="B364" i="2"/>
  <c r="C364" i="2"/>
  <c r="L364" i="2"/>
  <c r="M364" i="2"/>
  <c r="A295" i="6"/>
  <c r="J294" i="6"/>
  <c r="F294" i="6"/>
  <c r="E294" i="6"/>
  <c r="S294" i="6" s="1"/>
  <c r="C294" i="6"/>
  <c r="D294" i="6"/>
  <c r="B294" i="6"/>
  <c r="G294" i="6"/>
  <c r="K295" i="6" l="1"/>
  <c r="L295" i="6"/>
  <c r="T294" i="6"/>
  <c r="U294" i="6"/>
  <c r="V294" i="6"/>
  <c r="W293" i="6"/>
  <c r="A366" i="2"/>
  <c r="J365" i="2"/>
  <c r="K365" i="2"/>
  <c r="B365" i="2"/>
  <c r="L365" i="2"/>
  <c r="C365" i="2"/>
  <c r="M365" i="2"/>
  <c r="D365" i="2"/>
  <c r="E365" i="2"/>
  <c r="W365" i="2" s="1"/>
  <c r="F365" i="2"/>
  <c r="G365" i="2"/>
  <c r="AA364" i="2"/>
  <c r="AC364" i="2"/>
  <c r="X364" i="2"/>
  <c r="Y364" i="2"/>
  <c r="AB364" i="2"/>
  <c r="Z363" i="2"/>
  <c r="AD363" i="2" s="1"/>
  <c r="A296" i="6"/>
  <c r="J295" i="6"/>
  <c r="F295" i="6"/>
  <c r="E295" i="6"/>
  <c r="S295" i="6" s="1"/>
  <c r="C295" i="6"/>
  <c r="G295" i="6"/>
  <c r="D295" i="6"/>
  <c r="B295" i="6"/>
  <c r="L296" i="6" l="1"/>
  <c r="K296" i="6"/>
  <c r="U295" i="6"/>
  <c r="T295" i="6"/>
  <c r="V295" i="6"/>
  <c r="W294" i="6"/>
  <c r="Z364" i="2"/>
  <c r="AD364" i="2" s="1"/>
  <c r="AA365" i="2"/>
  <c r="X365" i="2"/>
  <c r="AC365" i="2"/>
  <c r="AB365" i="2"/>
  <c r="Y365" i="2"/>
  <c r="A367" i="2"/>
  <c r="G366" i="2"/>
  <c r="J366" i="2"/>
  <c r="K366" i="2"/>
  <c r="B366" i="2"/>
  <c r="L366" i="2"/>
  <c r="C366" i="2"/>
  <c r="M366" i="2"/>
  <c r="D366" i="2"/>
  <c r="F366" i="2"/>
  <c r="E366" i="2"/>
  <c r="W366" i="2" s="1"/>
  <c r="A297" i="6"/>
  <c r="J296" i="6"/>
  <c r="F296" i="6"/>
  <c r="E296" i="6"/>
  <c r="S296" i="6" s="1"/>
  <c r="C296" i="6"/>
  <c r="D296" i="6"/>
  <c r="B296" i="6"/>
  <c r="G296" i="6"/>
  <c r="K297" i="6" l="1"/>
  <c r="L297" i="6"/>
  <c r="W295" i="6"/>
  <c r="Z365" i="2"/>
  <c r="AD365" i="2" s="1"/>
  <c r="V296" i="6"/>
  <c r="U296" i="6"/>
  <c r="T296" i="6"/>
  <c r="W296" i="6" s="1"/>
  <c r="A368" i="2"/>
  <c r="F367" i="2"/>
  <c r="G367" i="2"/>
  <c r="J367" i="2"/>
  <c r="K367" i="2"/>
  <c r="B367" i="2"/>
  <c r="L367" i="2"/>
  <c r="C367" i="2"/>
  <c r="M367" i="2"/>
  <c r="D367" i="2"/>
  <c r="E367" i="2"/>
  <c r="W367" i="2" s="1"/>
  <c r="X366" i="2"/>
  <c r="Y366" i="2"/>
  <c r="AC366" i="2"/>
  <c r="AA366" i="2"/>
  <c r="AB366" i="2"/>
  <c r="A298" i="6"/>
  <c r="J297" i="6"/>
  <c r="F297" i="6"/>
  <c r="E297" i="6"/>
  <c r="S297" i="6" s="1"/>
  <c r="C297" i="6"/>
  <c r="G297" i="6"/>
  <c r="B297" i="6"/>
  <c r="D297" i="6"/>
  <c r="L298" i="6" l="1"/>
  <c r="K298" i="6"/>
  <c r="U297" i="6"/>
  <c r="T297" i="6"/>
  <c r="V297" i="6"/>
  <c r="Z366" i="2"/>
  <c r="AD366" i="2" s="1"/>
  <c r="Y367" i="2"/>
  <c r="AB367" i="2"/>
  <c r="AC367" i="2"/>
  <c r="AA367" i="2"/>
  <c r="X367" i="2"/>
  <c r="A369" i="2"/>
  <c r="C368" i="2"/>
  <c r="M368" i="2"/>
  <c r="D368" i="2"/>
  <c r="E368" i="2"/>
  <c r="W368" i="2" s="1"/>
  <c r="F368" i="2"/>
  <c r="G368" i="2"/>
  <c r="J368" i="2"/>
  <c r="B368" i="2"/>
  <c r="K368" i="2"/>
  <c r="L368" i="2"/>
  <c r="A299" i="6"/>
  <c r="J298" i="6"/>
  <c r="F298" i="6"/>
  <c r="E298" i="6"/>
  <c r="S298" i="6" s="1"/>
  <c r="C298" i="6"/>
  <c r="G298" i="6"/>
  <c r="D298" i="6"/>
  <c r="B298" i="6"/>
  <c r="W297" i="6" l="1"/>
  <c r="L299" i="6"/>
  <c r="K299" i="6"/>
  <c r="T298" i="6"/>
  <c r="U298" i="6"/>
  <c r="V298" i="6"/>
  <c r="Z367" i="2"/>
  <c r="A370" i="2"/>
  <c r="K369" i="2"/>
  <c r="B369" i="2"/>
  <c r="L369" i="2"/>
  <c r="C369" i="2"/>
  <c r="M369" i="2"/>
  <c r="D369" i="2"/>
  <c r="E369" i="2"/>
  <c r="W369" i="2" s="1"/>
  <c r="F369" i="2"/>
  <c r="G369" i="2"/>
  <c r="J369" i="2"/>
  <c r="AD367" i="2"/>
  <c r="Y368" i="2"/>
  <c r="AA368" i="2"/>
  <c r="AB368" i="2"/>
  <c r="AC368" i="2"/>
  <c r="X368" i="2"/>
  <c r="Z368" i="2" s="1"/>
  <c r="A300" i="6"/>
  <c r="J299" i="6"/>
  <c r="F299" i="6"/>
  <c r="E299" i="6"/>
  <c r="S299" i="6" s="1"/>
  <c r="C299" i="6"/>
  <c r="B299" i="6"/>
  <c r="G299" i="6"/>
  <c r="D299" i="6"/>
  <c r="L300" i="6" l="1"/>
  <c r="K300" i="6"/>
  <c r="T299" i="6"/>
  <c r="U299" i="6"/>
  <c r="V299" i="6"/>
  <c r="W298" i="6"/>
  <c r="AB369" i="2"/>
  <c r="AC369" i="2"/>
  <c r="Y369" i="2"/>
  <c r="X369" i="2"/>
  <c r="Z369" i="2" s="1"/>
  <c r="AA369" i="2"/>
  <c r="AD368" i="2"/>
  <c r="A371" i="2"/>
  <c r="F370" i="2"/>
  <c r="G370" i="2"/>
  <c r="J370" i="2"/>
  <c r="K370" i="2"/>
  <c r="B370" i="2"/>
  <c r="L370" i="2"/>
  <c r="C370" i="2"/>
  <c r="M370" i="2"/>
  <c r="D370" i="2"/>
  <c r="E370" i="2"/>
  <c r="W370" i="2" s="1"/>
  <c r="A301" i="6"/>
  <c r="J300" i="6"/>
  <c r="F300" i="6"/>
  <c r="E300" i="6"/>
  <c r="S300" i="6" s="1"/>
  <c r="C300" i="6"/>
  <c r="G300" i="6"/>
  <c r="D300" i="6"/>
  <c r="B300" i="6"/>
  <c r="AD369" i="2" l="1"/>
  <c r="K301" i="6"/>
  <c r="L301" i="6"/>
  <c r="U300" i="6"/>
  <c r="T300" i="6"/>
  <c r="V300" i="6"/>
  <c r="W299" i="6"/>
  <c r="A372" i="2"/>
  <c r="C371" i="2"/>
  <c r="M371" i="2"/>
  <c r="D371" i="2"/>
  <c r="E371" i="2"/>
  <c r="W371" i="2" s="1"/>
  <c r="F371" i="2"/>
  <c r="G371" i="2"/>
  <c r="J371" i="2"/>
  <c r="K371" i="2"/>
  <c r="L371" i="2"/>
  <c r="B371" i="2"/>
  <c r="AC370" i="2"/>
  <c r="AA370" i="2"/>
  <c r="Y370" i="2"/>
  <c r="X370" i="2"/>
  <c r="Z370" i="2" s="1"/>
  <c r="AB370" i="2"/>
  <c r="A302" i="6"/>
  <c r="J301" i="6"/>
  <c r="F301" i="6"/>
  <c r="E301" i="6"/>
  <c r="S301" i="6" s="1"/>
  <c r="C301" i="6"/>
  <c r="G301" i="6"/>
  <c r="D301" i="6"/>
  <c r="B301" i="6"/>
  <c r="L302" i="6" l="1"/>
  <c r="K302" i="6"/>
  <c r="T301" i="6"/>
  <c r="V301" i="6"/>
  <c r="U301" i="6"/>
  <c r="W300" i="6"/>
  <c r="X371" i="2"/>
  <c r="Y371" i="2"/>
  <c r="Z371" i="2" s="1"/>
  <c r="AA371" i="2"/>
  <c r="AB371" i="2"/>
  <c r="AC371" i="2"/>
  <c r="AD370" i="2"/>
  <c r="A373" i="2"/>
  <c r="K372" i="2"/>
  <c r="B372" i="2"/>
  <c r="L372" i="2"/>
  <c r="C372" i="2"/>
  <c r="M372" i="2"/>
  <c r="D372" i="2"/>
  <c r="E372" i="2"/>
  <c r="W372" i="2" s="1"/>
  <c r="F372" i="2"/>
  <c r="G372" i="2"/>
  <c r="J372" i="2"/>
  <c r="A303" i="6"/>
  <c r="J302" i="6"/>
  <c r="F302" i="6"/>
  <c r="E302" i="6"/>
  <c r="S302" i="6" s="1"/>
  <c r="C302" i="6"/>
  <c r="D302" i="6"/>
  <c r="B302" i="6"/>
  <c r="G302" i="6"/>
  <c r="K303" i="6" l="1"/>
  <c r="L303" i="6"/>
  <c r="W301" i="6"/>
  <c r="T302" i="6"/>
  <c r="U302" i="6"/>
  <c r="V302" i="6"/>
  <c r="A374" i="2"/>
  <c r="G373" i="2"/>
  <c r="J373" i="2"/>
  <c r="K373" i="2"/>
  <c r="B373" i="2"/>
  <c r="L373" i="2"/>
  <c r="C373" i="2"/>
  <c r="M373" i="2"/>
  <c r="D373" i="2"/>
  <c r="E373" i="2"/>
  <c r="W373" i="2" s="1"/>
  <c r="F373" i="2"/>
  <c r="AA372" i="2"/>
  <c r="AC372" i="2"/>
  <c r="X372" i="2"/>
  <c r="Y372" i="2"/>
  <c r="AB372" i="2"/>
  <c r="AD371" i="2"/>
  <c r="A304" i="6"/>
  <c r="J303" i="6"/>
  <c r="F303" i="6"/>
  <c r="E303" i="6"/>
  <c r="S303" i="6" s="1"/>
  <c r="C303" i="6"/>
  <c r="G303" i="6"/>
  <c r="D303" i="6"/>
  <c r="B303" i="6"/>
  <c r="K304" i="6" l="1"/>
  <c r="L304" i="6"/>
  <c r="U303" i="6"/>
  <c r="T303" i="6"/>
  <c r="V303" i="6"/>
  <c r="Z372" i="2"/>
  <c r="AD372" i="2" s="1"/>
  <c r="W302" i="6"/>
  <c r="AA373" i="2"/>
  <c r="X373" i="2"/>
  <c r="AC373" i="2"/>
  <c r="AB373" i="2"/>
  <c r="Y373" i="2"/>
  <c r="A375" i="2"/>
  <c r="E374" i="2"/>
  <c r="W374" i="2" s="1"/>
  <c r="F374" i="2"/>
  <c r="G374" i="2"/>
  <c r="J374" i="2"/>
  <c r="K374" i="2"/>
  <c r="B374" i="2"/>
  <c r="L374" i="2"/>
  <c r="C374" i="2"/>
  <c r="D374" i="2"/>
  <c r="M374" i="2"/>
  <c r="A305" i="6"/>
  <c r="J304" i="6"/>
  <c r="F304" i="6"/>
  <c r="E304" i="6"/>
  <c r="S304" i="6" s="1"/>
  <c r="C304" i="6"/>
  <c r="D304" i="6"/>
  <c r="B304" i="6"/>
  <c r="G304" i="6"/>
  <c r="K305" i="6" l="1"/>
  <c r="L305" i="6"/>
  <c r="Z373" i="2"/>
  <c r="AD373" i="2" s="1"/>
  <c r="W303" i="6"/>
  <c r="T304" i="6"/>
  <c r="U304" i="6"/>
  <c r="V304" i="6"/>
  <c r="AC374" i="2"/>
  <c r="X374" i="2"/>
  <c r="Y374" i="2"/>
  <c r="Z374" i="2" s="1"/>
  <c r="AA374" i="2"/>
  <c r="AB374" i="2"/>
  <c r="A376" i="2"/>
  <c r="C375" i="2"/>
  <c r="M375" i="2"/>
  <c r="D375" i="2"/>
  <c r="E375" i="2"/>
  <c r="W375" i="2" s="1"/>
  <c r="F375" i="2"/>
  <c r="G375" i="2"/>
  <c r="J375" i="2"/>
  <c r="B375" i="2"/>
  <c r="K375" i="2"/>
  <c r="L375" i="2"/>
  <c r="A306" i="6"/>
  <c r="J305" i="6"/>
  <c r="F305" i="6"/>
  <c r="E305" i="6"/>
  <c r="S305" i="6" s="1"/>
  <c r="C305" i="6"/>
  <c r="G305" i="6"/>
  <c r="B305" i="6"/>
  <c r="D305" i="6"/>
  <c r="L306" i="6" l="1"/>
  <c r="K306" i="6"/>
  <c r="W304" i="6"/>
  <c r="U305" i="6"/>
  <c r="T305" i="6"/>
  <c r="V305" i="6"/>
  <c r="A377" i="2"/>
  <c r="F376" i="2"/>
  <c r="G376" i="2"/>
  <c r="J376" i="2"/>
  <c r="K376" i="2"/>
  <c r="B376" i="2"/>
  <c r="L376" i="2"/>
  <c r="C376" i="2"/>
  <c r="M376" i="2"/>
  <c r="E376" i="2"/>
  <c r="W376" i="2" s="1"/>
  <c r="D376" i="2"/>
  <c r="AD374" i="2"/>
  <c r="Y375" i="2"/>
  <c r="X375" i="2"/>
  <c r="AB375" i="2"/>
  <c r="AC375" i="2"/>
  <c r="AA375" i="2"/>
  <c r="A307" i="6"/>
  <c r="J306" i="6"/>
  <c r="F306" i="6"/>
  <c r="E306" i="6"/>
  <c r="S306" i="6" s="1"/>
  <c r="C306" i="6"/>
  <c r="G306" i="6"/>
  <c r="D306" i="6"/>
  <c r="B306" i="6"/>
  <c r="Z375" i="2" l="1"/>
  <c r="K307" i="6"/>
  <c r="L307" i="6"/>
  <c r="W305" i="6"/>
  <c r="T306" i="6"/>
  <c r="U306" i="6"/>
  <c r="V306" i="6"/>
  <c r="Y376" i="2"/>
  <c r="AC376" i="2"/>
  <c r="X376" i="2"/>
  <c r="AA376" i="2"/>
  <c r="AB376" i="2"/>
  <c r="AD375" i="2"/>
  <c r="A378" i="2"/>
  <c r="D377" i="2"/>
  <c r="E377" i="2"/>
  <c r="W377" i="2" s="1"/>
  <c r="F377" i="2"/>
  <c r="G377" i="2"/>
  <c r="J377" i="2"/>
  <c r="K377" i="2"/>
  <c r="B377" i="2"/>
  <c r="C377" i="2"/>
  <c r="L377" i="2"/>
  <c r="M377" i="2"/>
  <c r="A308" i="6"/>
  <c r="J307" i="6"/>
  <c r="F307" i="6"/>
  <c r="E307" i="6"/>
  <c r="S307" i="6" s="1"/>
  <c r="C307" i="6"/>
  <c r="B307" i="6"/>
  <c r="G307" i="6"/>
  <c r="D307" i="6"/>
  <c r="Z376" i="2" l="1"/>
  <c r="K308" i="6"/>
  <c r="L308" i="6"/>
  <c r="T307" i="6"/>
  <c r="V307" i="6"/>
  <c r="U307" i="6"/>
  <c r="W306" i="6"/>
  <c r="AD376" i="2"/>
  <c r="A379" i="2"/>
  <c r="B378" i="2"/>
  <c r="L378" i="2"/>
  <c r="C378" i="2"/>
  <c r="M378" i="2"/>
  <c r="D378" i="2"/>
  <c r="E378" i="2"/>
  <c r="W378" i="2" s="1"/>
  <c r="F378" i="2"/>
  <c r="G378" i="2"/>
  <c r="J378" i="2"/>
  <c r="K378" i="2"/>
  <c r="AC377" i="2"/>
  <c r="AB377" i="2"/>
  <c r="AA377" i="2"/>
  <c r="Y377" i="2"/>
  <c r="X377" i="2"/>
  <c r="A309" i="6"/>
  <c r="J308" i="6"/>
  <c r="F308" i="6"/>
  <c r="E308" i="6"/>
  <c r="S308" i="6" s="1"/>
  <c r="C308" i="6"/>
  <c r="G308" i="6"/>
  <c r="D308" i="6"/>
  <c r="B308" i="6"/>
  <c r="K309" i="6" l="1"/>
  <c r="L309" i="6"/>
  <c r="W307" i="6"/>
  <c r="U308" i="6"/>
  <c r="T308" i="6"/>
  <c r="V308" i="6"/>
  <c r="AC378" i="2"/>
  <c r="AB378" i="2"/>
  <c r="Y378" i="2"/>
  <c r="X378" i="2"/>
  <c r="Z378" i="2" s="1"/>
  <c r="AA378" i="2"/>
  <c r="A380" i="2"/>
  <c r="F379" i="2"/>
  <c r="G379" i="2"/>
  <c r="J379" i="2"/>
  <c r="K379" i="2"/>
  <c r="B379" i="2"/>
  <c r="L379" i="2"/>
  <c r="C379" i="2"/>
  <c r="M379" i="2"/>
  <c r="E379" i="2"/>
  <c r="W379" i="2" s="1"/>
  <c r="D379" i="2"/>
  <c r="Z377" i="2"/>
  <c r="AD377" i="2" s="1"/>
  <c r="A310" i="6"/>
  <c r="J309" i="6"/>
  <c r="F309" i="6"/>
  <c r="E309" i="6"/>
  <c r="S309" i="6" s="1"/>
  <c r="C309" i="6"/>
  <c r="G309" i="6"/>
  <c r="D309" i="6"/>
  <c r="B309" i="6"/>
  <c r="W308" i="6" l="1"/>
  <c r="K310" i="6"/>
  <c r="L310" i="6"/>
  <c r="T309" i="6"/>
  <c r="V309" i="6"/>
  <c r="U309" i="6"/>
  <c r="A381" i="2"/>
  <c r="D380" i="2"/>
  <c r="E380" i="2"/>
  <c r="W380" i="2" s="1"/>
  <c r="F380" i="2"/>
  <c r="G380" i="2"/>
  <c r="J380" i="2"/>
  <c r="K380" i="2"/>
  <c r="B380" i="2"/>
  <c r="C380" i="2"/>
  <c r="L380" i="2"/>
  <c r="M380" i="2"/>
  <c r="AD378" i="2"/>
  <c r="X379" i="2"/>
  <c r="AA379" i="2"/>
  <c r="AB379" i="2"/>
  <c r="AC379" i="2"/>
  <c r="Y379" i="2"/>
  <c r="A311" i="6"/>
  <c r="J310" i="6"/>
  <c r="F310" i="6"/>
  <c r="E310" i="6"/>
  <c r="S310" i="6" s="1"/>
  <c r="C310" i="6"/>
  <c r="D310" i="6"/>
  <c r="B310" i="6"/>
  <c r="G310" i="6"/>
  <c r="W309" i="6" l="1"/>
  <c r="L311" i="6"/>
  <c r="K311" i="6"/>
  <c r="U310" i="6"/>
  <c r="V310" i="6"/>
  <c r="T310" i="6"/>
  <c r="X380" i="2"/>
  <c r="Y380" i="2"/>
  <c r="AB380" i="2"/>
  <c r="AA380" i="2"/>
  <c r="AC380" i="2"/>
  <c r="Z379" i="2"/>
  <c r="AD379" i="2" s="1"/>
  <c r="A382" i="2"/>
  <c r="C381" i="2"/>
  <c r="M381" i="2"/>
  <c r="D381" i="2"/>
  <c r="E381" i="2"/>
  <c r="W381" i="2" s="1"/>
  <c r="F381" i="2"/>
  <c r="G381" i="2"/>
  <c r="J381" i="2"/>
  <c r="B381" i="2"/>
  <c r="K381" i="2"/>
  <c r="L381" i="2"/>
  <c r="A312" i="6"/>
  <c r="J311" i="6"/>
  <c r="F311" i="6"/>
  <c r="E311" i="6"/>
  <c r="S311" i="6" s="1"/>
  <c r="C311" i="6"/>
  <c r="G311" i="6"/>
  <c r="D311" i="6"/>
  <c r="B311" i="6"/>
  <c r="L312" i="6" l="1"/>
  <c r="K312" i="6"/>
  <c r="W310" i="6"/>
  <c r="U311" i="6"/>
  <c r="T311" i="6"/>
  <c r="V311" i="6"/>
  <c r="Z380" i="2"/>
  <c r="AD380" i="2" s="1"/>
  <c r="A383" i="2"/>
  <c r="B382" i="2"/>
  <c r="L382" i="2"/>
  <c r="C382" i="2"/>
  <c r="M382" i="2"/>
  <c r="D382" i="2"/>
  <c r="E382" i="2"/>
  <c r="W382" i="2" s="1"/>
  <c r="F382" i="2"/>
  <c r="G382" i="2"/>
  <c r="J382" i="2"/>
  <c r="K382" i="2"/>
  <c r="X381" i="2"/>
  <c r="AA381" i="2"/>
  <c r="AB381" i="2"/>
  <c r="AC381" i="2"/>
  <c r="Y381" i="2"/>
  <c r="A313" i="6"/>
  <c r="J312" i="6"/>
  <c r="F312" i="6"/>
  <c r="E312" i="6"/>
  <c r="S312" i="6" s="1"/>
  <c r="C312" i="6"/>
  <c r="D312" i="6"/>
  <c r="B312" i="6"/>
  <c r="G312" i="6"/>
  <c r="W311" i="6" l="1"/>
  <c r="K313" i="6"/>
  <c r="L313" i="6"/>
  <c r="Z381" i="2"/>
  <c r="AD381" i="2" s="1"/>
  <c r="V312" i="6"/>
  <c r="T312" i="6"/>
  <c r="U312" i="6"/>
  <c r="X382" i="2"/>
  <c r="AC382" i="2"/>
  <c r="AA382" i="2"/>
  <c r="Y382" i="2"/>
  <c r="AB382" i="2"/>
  <c r="A384" i="2"/>
  <c r="G383" i="2"/>
  <c r="J383" i="2"/>
  <c r="K383" i="2"/>
  <c r="B383" i="2"/>
  <c r="L383" i="2"/>
  <c r="C383" i="2"/>
  <c r="M383" i="2"/>
  <c r="D383" i="2"/>
  <c r="E383" i="2"/>
  <c r="W383" i="2" s="1"/>
  <c r="F383" i="2"/>
  <c r="A314" i="6"/>
  <c r="J313" i="6"/>
  <c r="F313" i="6"/>
  <c r="E313" i="6"/>
  <c r="S313" i="6" s="1"/>
  <c r="C313" i="6"/>
  <c r="G313" i="6"/>
  <c r="B313" i="6"/>
  <c r="D313" i="6"/>
  <c r="Z382" i="2" l="1"/>
  <c r="L314" i="6"/>
  <c r="K314" i="6"/>
  <c r="W312" i="6"/>
  <c r="V313" i="6"/>
  <c r="T313" i="6"/>
  <c r="U313" i="6"/>
  <c r="A385" i="2"/>
  <c r="E384" i="2"/>
  <c r="W384" i="2" s="1"/>
  <c r="F384" i="2"/>
  <c r="G384" i="2"/>
  <c r="J384" i="2"/>
  <c r="K384" i="2"/>
  <c r="B384" i="2"/>
  <c r="L384" i="2"/>
  <c r="C384" i="2"/>
  <c r="D384" i="2"/>
  <c r="M384" i="2"/>
  <c r="AD382" i="2"/>
  <c r="Y383" i="2"/>
  <c r="AB383" i="2"/>
  <c r="X383" i="2"/>
  <c r="AA383" i="2"/>
  <c r="AC383" i="2"/>
  <c r="A315" i="6"/>
  <c r="B314" i="6"/>
  <c r="G314" i="6"/>
  <c r="F314" i="6"/>
  <c r="D314" i="6"/>
  <c r="J314" i="6"/>
  <c r="E314" i="6"/>
  <c r="S314" i="6" s="1"/>
  <c r="C314" i="6"/>
  <c r="K315" i="6" l="1"/>
  <c r="L315" i="6"/>
  <c r="T314" i="6"/>
  <c r="U314" i="6"/>
  <c r="V314" i="6"/>
  <c r="W313" i="6"/>
  <c r="Z383" i="2"/>
  <c r="AD383" i="2" s="1"/>
  <c r="Y384" i="2"/>
  <c r="AC384" i="2"/>
  <c r="AA384" i="2"/>
  <c r="AB384" i="2"/>
  <c r="X384" i="2"/>
  <c r="A386" i="2"/>
  <c r="C385" i="2"/>
  <c r="M385" i="2"/>
  <c r="D385" i="2"/>
  <c r="E385" i="2"/>
  <c r="W385" i="2" s="1"/>
  <c r="F385" i="2"/>
  <c r="G385" i="2"/>
  <c r="J385" i="2"/>
  <c r="B385" i="2"/>
  <c r="K385" i="2"/>
  <c r="L385" i="2"/>
  <c r="A316" i="6"/>
  <c r="C315" i="6"/>
  <c r="B315" i="6"/>
  <c r="J315" i="6"/>
  <c r="G315" i="6"/>
  <c r="E315" i="6"/>
  <c r="S315" i="6" s="1"/>
  <c r="D315" i="6"/>
  <c r="F315" i="6"/>
  <c r="L316" i="6" l="1"/>
  <c r="K316" i="6"/>
  <c r="T315" i="6"/>
  <c r="U315" i="6"/>
  <c r="V315" i="6"/>
  <c r="Z384" i="2"/>
  <c r="AD384" i="2" s="1"/>
  <c r="W314" i="6"/>
  <c r="A387" i="2"/>
  <c r="J386" i="2"/>
  <c r="K386" i="2"/>
  <c r="B386" i="2"/>
  <c r="L386" i="2"/>
  <c r="C386" i="2"/>
  <c r="M386" i="2"/>
  <c r="D386" i="2"/>
  <c r="E386" i="2"/>
  <c r="W386" i="2" s="1"/>
  <c r="F386" i="2"/>
  <c r="G386" i="2"/>
  <c r="X385" i="2"/>
  <c r="Y385" i="2"/>
  <c r="AA385" i="2"/>
  <c r="AC385" i="2"/>
  <c r="AB385" i="2"/>
  <c r="A317" i="6"/>
  <c r="D316" i="6"/>
  <c r="C316" i="6"/>
  <c r="J316" i="6"/>
  <c r="F316" i="6"/>
  <c r="G316" i="6"/>
  <c r="B316" i="6"/>
  <c r="E316" i="6"/>
  <c r="S316" i="6" s="1"/>
  <c r="K317" i="6" l="1"/>
  <c r="L317" i="6"/>
  <c r="T316" i="6"/>
  <c r="V316" i="6"/>
  <c r="U316" i="6"/>
  <c r="W316" i="6" s="1"/>
  <c r="W315" i="6"/>
  <c r="Z385" i="2"/>
  <c r="AD385" i="2" s="1"/>
  <c r="AC386" i="2"/>
  <c r="X386" i="2"/>
  <c r="AB386" i="2"/>
  <c r="AA386" i="2"/>
  <c r="Y386" i="2"/>
  <c r="A388" i="2"/>
  <c r="E387" i="2"/>
  <c r="W387" i="2" s="1"/>
  <c r="F387" i="2"/>
  <c r="G387" i="2"/>
  <c r="J387" i="2"/>
  <c r="K387" i="2"/>
  <c r="B387" i="2"/>
  <c r="L387" i="2"/>
  <c r="C387" i="2"/>
  <c r="D387" i="2"/>
  <c r="M387" i="2"/>
  <c r="A318" i="6"/>
  <c r="E317" i="6"/>
  <c r="S317" i="6" s="1"/>
  <c r="D317" i="6"/>
  <c r="B317" i="6"/>
  <c r="G317" i="6"/>
  <c r="J317" i="6"/>
  <c r="F317" i="6"/>
  <c r="C317" i="6"/>
  <c r="L318" i="6" l="1"/>
  <c r="K318" i="6"/>
  <c r="T317" i="6"/>
  <c r="V317" i="6"/>
  <c r="U317" i="6"/>
  <c r="X387" i="2"/>
  <c r="AA387" i="2"/>
  <c r="AC387" i="2"/>
  <c r="AB387" i="2"/>
  <c r="Y387" i="2"/>
  <c r="A389" i="2"/>
  <c r="C388" i="2"/>
  <c r="M388" i="2"/>
  <c r="D388" i="2"/>
  <c r="E388" i="2"/>
  <c r="W388" i="2" s="1"/>
  <c r="F388" i="2"/>
  <c r="G388" i="2"/>
  <c r="J388" i="2"/>
  <c r="B388" i="2"/>
  <c r="K388" i="2"/>
  <c r="L388" i="2"/>
  <c r="Z386" i="2"/>
  <c r="AD386" i="2" s="1"/>
  <c r="A319" i="6"/>
  <c r="F318" i="6"/>
  <c r="E318" i="6"/>
  <c r="S318" i="6" s="1"/>
  <c r="C318" i="6"/>
  <c r="B318" i="6"/>
  <c r="J318" i="6"/>
  <c r="D318" i="6"/>
  <c r="G318" i="6"/>
  <c r="Z387" i="2" l="1"/>
  <c r="K319" i="6"/>
  <c r="L319" i="6"/>
  <c r="T318" i="6"/>
  <c r="U318" i="6"/>
  <c r="V318" i="6"/>
  <c r="W317" i="6"/>
  <c r="A390" i="2"/>
  <c r="K389" i="2"/>
  <c r="B389" i="2"/>
  <c r="L389" i="2"/>
  <c r="C389" i="2"/>
  <c r="M389" i="2"/>
  <c r="D389" i="2"/>
  <c r="E389" i="2"/>
  <c r="W389" i="2" s="1"/>
  <c r="F389" i="2"/>
  <c r="G389" i="2"/>
  <c r="J389" i="2"/>
  <c r="AD387" i="2"/>
  <c r="AA388" i="2"/>
  <c r="AC388" i="2"/>
  <c r="X388" i="2"/>
  <c r="AB388" i="2"/>
  <c r="Y388" i="2"/>
  <c r="A320" i="6"/>
  <c r="G319" i="6"/>
  <c r="F319" i="6"/>
  <c r="D319" i="6"/>
  <c r="C319" i="6"/>
  <c r="J319" i="6"/>
  <c r="B319" i="6"/>
  <c r="E319" i="6"/>
  <c r="S319" i="6" s="1"/>
  <c r="L320" i="6" l="1"/>
  <c r="K320" i="6"/>
  <c r="U319" i="6"/>
  <c r="T319" i="6"/>
  <c r="V319" i="6"/>
  <c r="Z388" i="2"/>
  <c r="W318" i="6"/>
  <c r="AA389" i="2"/>
  <c r="AB389" i="2"/>
  <c r="X389" i="2"/>
  <c r="AC389" i="2"/>
  <c r="Y389" i="2"/>
  <c r="AD388" i="2"/>
  <c r="A391" i="2"/>
  <c r="J390" i="2"/>
  <c r="K390" i="2"/>
  <c r="B390" i="2"/>
  <c r="L390" i="2"/>
  <c r="C390" i="2"/>
  <c r="M390" i="2"/>
  <c r="D390" i="2"/>
  <c r="E390" i="2"/>
  <c r="W390" i="2" s="1"/>
  <c r="G390" i="2"/>
  <c r="F390" i="2"/>
  <c r="A321" i="6"/>
  <c r="J320" i="6"/>
  <c r="G320" i="6"/>
  <c r="E320" i="6"/>
  <c r="S320" i="6" s="1"/>
  <c r="D320" i="6"/>
  <c r="B320" i="6"/>
  <c r="F320" i="6"/>
  <c r="C320" i="6"/>
  <c r="W319" i="6" l="1"/>
  <c r="K321" i="6"/>
  <c r="L321" i="6"/>
  <c r="V320" i="6"/>
  <c r="T320" i="6"/>
  <c r="U320" i="6"/>
  <c r="A392" i="2"/>
  <c r="E391" i="2"/>
  <c r="W391" i="2" s="1"/>
  <c r="F391" i="2"/>
  <c r="G391" i="2"/>
  <c r="J391" i="2"/>
  <c r="K391" i="2"/>
  <c r="B391" i="2"/>
  <c r="L391" i="2"/>
  <c r="C391" i="2"/>
  <c r="D391" i="2"/>
  <c r="M391" i="2"/>
  <c r="AA390" i="2"/>
  <c r="X390" i="2"/>
  <c r="AC390" i="2"/>
  <c r="Y390" i="2"/>
  <c r="AB390" i="2"/>
  <c r="Z389" i="2"/>
  <c r="AD389" i="2" s="1"/>
  <c r="A322" i="6"/>
  <c r="J321" i="6"/>
  <c r="F321" i="6"/>
  <c r="E321" i="6"/>
  <c r="S321" i="6" s="1"/>
  <c r="C321" i="6"/>
  <c r="D321" i="6"/>
  <c r="B321" i="6"/>
  <c r="G321" i="6"/>
  <c r="K322" i="6" l="1"/>
  <c r="L322" i="6"/>
  <c r="V321" i="6"/>
  <c r="T321" i="6"/>
  <c r="U321" i="6"/>
  <c r="Z390" i="2"/>
  <c r="W320" i="6"/>
  <c r="AD390" i="2"/>
  <c r="Y391" i="2"/>
  <c r="X391" i="2"/>
  <c r="Z391" i="2" s="1"/>
  <c r="AB391" i="2"/>
  <c r="AC391" i="2"/>
  <c r="AA391" i="2"/>
  <c r="A393" i="2"/>
  <c r="K392" i="2"/>
  <c r="B392" i="2"/>
  <c r="L392" i="2"/>
  <c r="C392" i="2"/>
  <c r="M392" i="2"/>
  <c r="D392" i="2"/>
  <c r="E392" i="2"/>
  <c r="W392" i="2" s="1"/>
  <c r="F392" i="2"/>
  <c r="G392" i="2"/>
  <c r="J392" i="2"/>
  <c r="A323" i="6"/>
  <c r="B322" i="6"/>
  <c r="G322" i="6"/>
  <c r="F322" i="6"/>
  <c r="D322" i="6"/>
  <c r="J322" i="6"/>
  <c r="C322" i="6"/>
  <c r="E322" i="6"/>
  <c r="S322" i="6" s="1"/>
  <c r="K323" i="6" l="1"/>
  <c r="L323" i="6"/>
  <c r="T322" i="6"/>
  <c r="U322" i="6"/>
  <c r="V322" i="6"/>
  <c r="AD391" i="2"/>
  <c r="W321" i="6"/>
  <c r="AC392" i="2"/>
  <c r="Y392" i="2"/>
  <c r="AB392" i="2"/>
  <c r="X392" i="2"/>
  <c r="AA392" i="2"/>
  <c r="A394" i="2"/>
  <c r="E393" i="2"/>
  <c r="W393" i="2" s="1"/>
  <c r="F393" i="2"/>
  <c r="G393" i="2"/>
  <c r="J393" i="2"/>
  <c r="K393" i="2"/>
  <c r="B393" i="2"/>
  <c r="L393" i="2"/>
  <c r="C393" i="2"/>
  <c r="D393" i="2"/>
  <c r="M393" i="2"/>
  <c r="A324" i="6"/>
  <c r="C323" i="6"/>
  <c r="B323" i="6"/>
  <c r="J323" i="6"/>
  <c r="G323" i="6"/>
  <c r="E323" i="6"/>
  <c r="S323" i="6" s="1"/>
  <c r="F323" i="6"/>
  <c r="D323" i="6"/>
  <c r="L324" i="6" l="1"/>
  <c r="K324" i="6"/>
  <c r="T323" i="6"/>
  <c r="V323" i="6"/>
  <c r="U323" i="6"/>
  <c r="Z392" i="2"/>
  <c r="AD392" i="2" s="1"/>
  <c r="W322" i="6"/>
  <c r="A395" i="2"/>
  <c r="C394" i="2"/>
  <c r="M394" i="2"/>
  <c r="D394" i="2"/>
  <c r="E394" i="2"/>
  <c r="W394" i="2" s="1"/>
  <c r="F394" i="2"/>
  <c r="G394" i="2"/>
  <c r="J394" i="2"/>
  <c r="K394" i="2"/>
  <c r="L394" i="2"/>
  <c r="B394" i="2"/>
  <c r="AB393" i="2"/>
  <c r="X393" i="2"/>
  <c r="Z393" i="2" s="1"/>
  <c r="Y393" i="2"/>
  <c r="AA393" i="2"/>
  <c r="AC393" i="2"/>
  <c r="A325" i="6"/>
  <c r="D324" i="6"/>
  <c r="C324" i="6"/>
  <c r="J324" i="6"/>
  <c r="F324" i="6"/>
  <c r="E324" i="6"/>
  <c r="S324" i="6" s="1"/>
  <c r="B324" i="6"/>
  <c r="G324" i="6"/>
  <c r="W323" i="6" l="1"/>
  <c r="K325" i="6"/>
  <c r="L325" i="6"/>
  <c r="T324" i="6"/>
  <c r="U324" i="6"/>
  <c r="V324" i="6"/>
  <c r="AA394" i="2"/>
  <c r="AC394" i="2"/>
  <c r="X394" i="2"/>
  <c r="Y394" i="2"/>
  <c r="AB394" i="2"/>
  <c r="AD393" i="2"/>
  <c r="A396" i="2"/>
  <c r="J395" i="2"/>
  <c r="K395" i="2"/>
  <c r="B395" i="2"/>
  <c r="L395" i="2"/>
  <c r="C395" i="2"/>
  <c r="M395" i="2"/>
  <c r="D395" i="2"/>
  <c r="E395" i="2"/>
  <c r="W395" i="2" s="1"/>
  <c r="F395" i="2"/>
  <c r="G395" i="2"/>
  <c r="A326" i="6"/>
  <c r="E325" i="6"/>
  <c r="S325" i="6" s="1"/>
  <c r="D325" i="6"/>
  <c r="B325" i="6"/>
  <c r="G325" i="6"/>
  <c r="J325" i="6"/>
  <c r="C325" i="6"/>
  <c r="F325" i="6"/>
  <c r="L326" i="6" l="1"/>
  <c r="K326" i="6"/>
  <c r="T325" i="6"/>
  <c r="U325" i="6"/>
  <c r="V325" i="6"/>
  <c r="W324" i="6"/>
  <c r="A397" i="2"/>
  <c r="D396" i="2"/>
  <c r="E396" i="2"/>
  <c r="W396" i="2" s="1"/>
  <c r="F396" i="2"/>
  <c r="G396" i="2"/>
  <c r="J396" i="2"/>
  <c r="K396" i="2"/>
  <c r="L396" i="2"/>
  <c r="M396" i="2"/>
  <c r="B396" i="2"/>
  <c r="C396" i="2"/>
  <c r="Z394" i="2"/>
  <c r="AD394" i="2" s="1"/>
  <c r="X395" i="2"/>
  <c r="Y395" i="2"/>
  <c r="AB395" i="2"/>
  <c r="AA395" i="2"/>
  <c r="AC395" i="2"/>
  <c r="A327" i="6"/>
  <c r="F326" i="6"/>
  <c r="E326" i="6"/>
  <c r="S326" i="6" s="1"/>
  <c r="C326" i="6"/>
  <c r="B326" i="6"/>
  <c r="J326" i="6"/>
  <c r="G326" i="6"/>
  <c r="D326" i="6"/>
  <c r="K327" i="6" l="1"/>
  <c r="L327" i="6"/>
  <c r="U326" i="6"/>
  <c r="V326" i="6"/>
  <c r="T326" i="6"/>
  <c r="W326" i="6" s="1"/>
  <c r="W325" i="6"/>
  <c r="Z395" i="2"/>
  <c r="AD395" i="2" s="1"/>
  <c r="AA396" i="2"/>
  <c r="Y396" i="2"/>
  <c r="X396" i="2"/>
  <c r="AB396" i="2"/>
  <c r="AC396" i="2"/>
  <c r="A398" i="2"/>
  <c r="B397" i="2"/>
  <c r="L397" i="2"/>
  <c r="C397" i="2"/>
  <c r="M397" i="2"/>
  <c r="D397" i="2"/>
  <c r="E397" i="2"/>
  <c r="W397" i="2" s="1"/>
  <c r="F397" i="2"/>
  <c r="G397" i="2"/>
  <c r="J397" i="2"/>
  <c r="K397" i="2"/>
  <c r="A328" i="6"/>
  <c r="G327" i="6"/>
  <c r="F327" i="6"/>
  <c r="D327" i="6"/>
  <c r="C327" i="6"/>
  <c r="E327" i="6"/>
  <c r="S327" i="6" s="1"/>
  <c r="B327" i="6"/>
  <c r="J327" i="6"/>
  <c r="K328" i="6" l="1"/>
  <c r="L328" i="6"/>
  <c r="U327" i="6"/>
  <c r="T327" i="6"/>
  <c r="V327" i="6"/>
  <c r="X397" i="2"/>
  <c r="AA397" i="2"/>
  <c r="AB397" i="2"/>
  <c r="AC397" i="2"/>
  <c r="Y397" i="2"/>
  <c r="Z396" i="2"/>
  <c r="AD396" i="2" s="1"/>
  <c r="A399" i="2"/>
  <c r="J398" i="2"/>
  <c r="K398" i="2"/>
  <c r="B398" i="2"/>
  <c r="L398" i="2"/>
  <c r="C398" i="2"/>
  <c r="M398" i="2"/>
  <c r="D398" i="2"/>
  <c r="E398" i="2"/>
  <c r="W398" i="2" s="1"/>
  <c r="F398" i="2"/>
  <c r="G398" i="2"/>
  <c r="A329" i="6"/>
  <c r="J328" i="6"/>
  <c r="G328" i="6"/>
  <c r="E328" i="6"/>
  <c r="S328" i="6" s="1"/>
  <c r="D328" i="6"/>
  <c r="B328" i="6"/>
  <c r="C328" i="6"/>
  <c r="F328" i="6"/>
  <c r="Z397" i="2" l="1"/>
  <c r="K329" i="6"/>
  <c r="L329" i="6"/>
  <c r="W327" i="6"/>
  <c r="V328" i="6"/>
  <c r="U328" i="6"/>
  <c r="T328" i="6"/>
  <c r="X398" i="2"/>
  <c r="Y398" i="2"/>
  <c r="AC398" i="2"/>
  <c r="AA398" i="2"/>
  <c r="AB398" i="2"/>
  <c r="AD397" i="2"/>
  <c r="A400" i="2"/>
  <c r="G399" i="2"/>
  <c r="J399" i="2"/>
  <c r="K399" i="2"/>
  <c r="B399" i="2"/>
  <c r="L399" i="2"/>
  <c r="C399" i="2"/>
  <c r="M399" i="2"/>
  <c r="D399" i="2"/>
  <c r="E399" i="2"/>
  <c r="W399" i="2" s="1"/>
  <c r="F399" i="2"/>
  <c r="A330" i="6"/>
  <c r="F329" i="6"/>
  <c r="G329" i="6"/>
  <c r="E329" i="6"/>
  <c r="S329" i="6" s="1"/>
  <c r="C329" i="6"/>
  <c r="J329" i="6"/>
  <c r="D329" i="6"/>
  <c r="B329" i="6"/>
  <c r="L330" i="6" l="1"/>
  <c r="K330" i="6"/>
  <c r="Z398" i="2"/>
  <c r="W328" i="6"/>
  <c r="T329" i="6"/>
  <c r="U329" i="6"/>
  <c r="V329" i="6"/>
  <c r="Y399" i="2"/>
  <c r="AC399" i="2"/>
  <c r="X399" i="2"/>
  <c r="AA399" i="2"/>
  <c r="AB399" i="2"/>
  <c r="A401" i="2"/>
  <c r="F400" i="2"/>
  <c r="G400" i="2"/>
  <c r="J400" i="2"/>
  <c r="K400" i="2"/>
  <c r="B400" i="2"/>
  <c r="L400" i="2"/>
  <c r="C400" i="2"/>
  <c r="M400" i="2"/>
  <c r="D400" i="2"/>
  <c r="E400" i="2"/>
  <c r="W400" i="2" s="1"/>
  <c r="AD398" i="2"/>
  <c r="B330" i="6"/>
  <c r="A331" i="6"/>
  <c r="G330" i="6"/>
  <c r="F330" i="6"/>
  <c r="E330" i="6"/>
  <c r="S330" i="6" s="1"/>
  <c r="D330" i="6"/>
  <c r="C330" i="6"/>
  <c r="J330" i="6"/>
  <c r="Z399" i="2" l="1"/>
  <c r="K331" i="6"/>
  <c r="L331" i="6"/>
  <c r="W329" i="6"/>
  <c r="T330" i="6"/>
  <c r="V330" i="6"/>
  <c r="U330" i="6"/>
  <c r="Y400" i="2"/>
  <c r="X400" i="2"/>
  <c r="AC400" i="2"/>
  <c r="AB400" i="2"/>
  <c r="AA400" i="2"/>
  <c r="A402" i="2"/>
  <c r="D401" i="2"/>
  <c r="E401" i="2"/>
  <c r="W401" i="2" s="1"/>
  <c r="F401" i="2"/>
  <c r="G401" i="2"/>
  <c r="J401" i="2"/>
  <c r="K401" i="2"/>
  <c r="L401" i="2"/>
  <c r="M401" i="2"/>
  <c r="B401" i="2"/>
  <c r="C401" i="2"/>
  <c r="AD399" i="2"/>
  <c r="B331" i="6"/>
  <c r="A332" i="6"/>
  <c r="G331" i="6"/>
  <c r="F331" i="6"/>
  <c r="E331" i="6"/>
  <c r="S331" i="6" s="1"/>
  <c r="J331" i="6"/>
  <c r="C331" i="6"/>
  <c r="D331" i="6"/>
  <c r="Z400" i="2" l="1"/>
  <c r="L332" i="6"/>
  <c r="K332" i="6"/>
  <c r="W330" i="6"/>
  <c r="T331" i="6"/>
  <c r="V331" i="6"/>
  <c r="U331" i="6"/>
  <c r="A403" i="2"/>
  <c r="B402" i="2"/>
  <c r="L402" i="2"/>
  <c r="C402" i="2"/>
  <c r="M402" i="2"/>
  <c r="D402" i="2"/>
  <c r="E402" i="2"/>
  <c r="W402" i="2" s="1"/>
  <c r="F402" i="2"/>
  <c r="G402" i="2"/>
  <c r="J402" i="2"/>
  <c r="K402" i="2"/>
  <c r="AA401" i="2"/>
  <c r="AC401" i="2"/>
  <c r="Y401" i="2"/>
  <c r="AB401" i="2"/>
  <c r="X401" i="2"/>
  <c r="Z401" i="2" s="1"/>
  <c r="AD400" i="2"/>
  <c r="B332" i="6"/>
  <c r="A333" i="6"/>
  <c r="J332" i="6"/>
  <c r="G332" i="6"/>
  <c r="F332" i="6"/>
  <c r="E332" i="6"/>
  <c r="S332" i="6" s="1"/>
  <c r="C332" i="6"/>
  <c r="D332" i="6"/>
  <c r="K333" i="6" l="1"/>
  <c r="L333" i="6"/>
  <c r="AD401" i="2"/>
  <c r="W331" i="6"/>
  <c r="V332" i="6"/>
  <c r="T332" i="6"/>
  <c r="U332" i="6"/>
  <c r="Y402" i="2"/>
  <c r="X402" i="2"/>
  <c r="AA402" i="2"/>
  <c r="AB402" i="2"/>
  <c r="AC402" i="2"/>
  <c r="A404" i="2"/>
  <c r="G403" i="2"/>
  <c r="J403" i="2"/>
  <c r="K403" i="2"/>
  <c r="B403" i="2"/>
  <c r="L403" i="2"/>
  <c r="C403" i="2"/>
  <c r="M403" i="2"/>
  <c r="D403" i="2"/>
  <c r="E403" i="2"/>
  <c r="W403" i="2" s="1"/>
  <c r="F403" i="2"/>
  <c r="B333" i="6"/>
  <c r="A334" i="6"/>
  <c r="J333" i="6"/>
  <c r="G333" i="6"/>
  <c r="F333" i="6"/>
  <c r="E333" i="6"/>
  <c r="S333" i="6" s="1"/>
  <c r="D333" i="6"/>
  <c r="C333" i="6"/>
  <c r="K334" i="6" l="1"/>
  <c r="L334" i="6"/>
  <c r="Z402" i="2"/>
  <c r="W332" i="6"/>
  <c r="T333" i="6"/>
  <c r="U333" i="6"/>
  <c r="V333" i="6"/>
  <c r="A405" i="2"/>
  <c r="E404" i="2"/>
  <c r="W404" i="2" s="1"/>
  <c r="F404" i="2"/>
  <c r="G404" i="2"/>
  <c r="J404" i="2"/>
  <c r="K404" i="2"/>
  <c r="B404" i="2"/>
  <c r="L404" i="2"/>
  <c r="M404" i="2"/>
  <c r="C404" i="2"/>
  <c r="D404" i="2"/>
  <c r="AC403" i="2"/>
  <c r="AB403" i="2"/>
  <c r="Y403" i="2"/>
  <c r="AA403" i="2"/>
  <c r="X403" i="2"/>
  <c r="Z403" i="2" s="1"/>
  <c r="AD403" i="2" s="1"/>
  <c r="AD402" i="2"/>
  <c r="B334" i="6"/>
  <c r="A335" i="6"/>
  <c r="J334" i="6"/>
  <c r="G334" i="6"/>
  <c r="F334" i="6"/>
  <c r="E334" i="6"/>
  <c r="S334" i="6" s="1"/>
  <c r="D334" i="6"/>
  <c r="C334" i="6"/>
  <c r="L335" i="6" l="1"/>
  <c r="K335" i="6"/>
  <c r="W333" i="6"/>
  <c r="T334" i="6"/>
  <c r="V334" i="6"/>
  <c r="U334" i="6"/>
  <c r="AB404" i="2"/>
  <c r="X404" i="2"/>
  <c r="Y404" i="2"/>
  <c r="AA404" i="2"/>
  <c r="AC404" i="2"/>
  <c r="A406" i="2"/>
  <c r="B405" i="2"/>
  <c r="L405" i="2"/>
  <c r="C405" i="2"/>
  <c r="M405" i="2"/>
  <c r="D405" i="2"/>
  <c r="E405" i="2"/>
  <c r="W405" i="2" s="1"/>
  <c r="F405" i="2"/>
  <c r="G405" i="2"/>
  <c r="K405" i="2"/>
  <c r="J405" i="2"/>
  <c r="B335" i="6"/>
  <c r="A336" i="6"/>
  <c r="J335" i="6"/>
  <c r="G335" i="6"/>
  <c r="F335" i="6"/>
  <c r="E335" i="6"/>
  <c r="S335" i="6" s="1"/>
  <c r="D335" i="6"/>
  <c r="C335" i="6"/>
  <c r="L336" i="6" l="1"/>
  <c r="K336" i="6"/>
  <c r="W334" i="6"/>
  <c r="V335" i="6"/>
  <c r="U335" i="6"/>
  <c r="T335" i="6"/>
  <c r="W335" i="6" s="1"/>
  <c r="A407" i="2"/>
  <c r="J406" i="2"/>
  <c r="K406" i="2"/>
  <c r="B406" i="2"/>
  <c r="L406" i="2"/>
  <c r="C406" i="2"/>
  <c r="M406" i="2"/>
  <c r="D406" i="2"/>
  <c r="E406" i="2"/>
  <c r="W406" i="2" s="1"/>
  <c r="G406" i="2"/>
  <c r="F406" i="2"/>
  <c r="X405" i="2"/>
  <c r="AA405" i="2"/>
  <c r="AB405" i="2"/>
  <c r="Y405" i="2"/>
  <c r="AC405" i="2"/>
  <c r="Z404" i="2"/>
  <c r="AD404" i="2" s="1"/>
  <c r="B336" i="6"/>
  <c r="A337" i="6"/>
  <c r="J336" i="6"/>
  <c r="G336" i="6"/>
  <c r="F336" i="6"/>
  <c r="E336" i="6"/>
  <c r="S336" i="6" s="1"/>
  <c r="C336" i="6"/>
  <c r="D336" i="6"/>
  <c r="L337" i="6" l="1"/>
  <c r="K337" i="6"/>
  <c r="V336" i="6"/>
  <c r="T336" i="6"/>
  <c r="U336" i="6"/>
  <c r="Z405" i="2"/>
  <c r="AD405" i="2" s="1"/>
  <c r="X406" i="2"/>
  <c r="AC406" i="2"/>
  <c r="Y406" i="2"/>
  <c r="AB406" i="2"/>
  <c r="AA406" i="2"/>
  <c r="A408" i="2"/>
  <c r="F407" i="2"/>
  <c r="G407" i="2"/>
  <c r="J407" i="2"/>
  <c r="K407" i="2"/>
  <c r="B407" i="2"/>
  <c r="L407" i="2"/>
  <c r="C407" i="2"/>
  <c r="M407" i="2"/>
  <c r="D407" i="2"/>
  <c r="E407" i="2"/>
  <c r="W407" i="2" s="1"/>
  <c r="B337" i="6"/>
  <c r="A338" i="6"/>
  <c r="J337" i="6"/>
  <c r="G337" i="6"/>
  <c r="F337" i="6"/>
  <c r="E337" i="6"/>
  <c r="S337" i="6" s="1"/>
  <c r="D337" i="6"/>
  <c r="C337" i="6"/>
  <c r="K338" i="6" l="1"/>
  <c r="L338" i="6"/>
  <c r="Z406" i="2"/>
  <c r="T337" i="6"/>
  <c r="U337" i="6"/>
  <c r="V337" i="6"/>
  <c r="W336" i="6"/>
  <c r="A409" i="2"/>
  <c r="E408" i="2"/>
  <c r="W408" i="2" s="1"/>
  <c r="F408" i="2"/>
  <c r="G408" i="2"/>
  <c r="J408" i="2"/>
  <c r="B408" i="2"/>
  <c r="L408" i="2"/>
  <c r="C408" i="2"/>
  <c r="D408" i="2"/>
  <c r="K408" i="2"/>
  <c r="M408" i="2"/>
  <c r="AD406" i="2"/>
  <c r="AB407" i="2"/>
  <c r="AC407" i="2"/>
  <c r="Y407" i="2"/>
  <c r="AA407" i="2"/>
  <c r="X407" i="2"/>
  <c r="B338" i="6"/>
  <c r="A339" i="6"/>
  <c r="J338" i="6"/>
  <c r="G338" i="6"/>
  <c r="F338" i="6"/>
  <c r="E338" i="6"/>
  <c r="S338" i="6" s="1"/>
  <c r="D338" i="6"/>
  <c r="C338" i="6"/>
  <c r="K339" i="6" l="1"/>
  <c r="L339" i="6"/>
  <c r="T338" i="6"/>
  <c r="U338" i="6"/>
  <c r="V338" i="6"/>
  <c r="W337" i="6"/>
  <c r="Y408" i="2"/>
  <c r="AC408" i="2"/>
  <c r="AB408" i="2"/>
  <c r="AA408" i="2"/>
  <c r="X408" i="2"/>
  <c r="Z407" i="2"/>
  <c r="AD407" i="2" s="1"/>
  <c r="A410" i="2"/>
  <c r="B409" i="2"/>
  <c r="L409" i="2"/>
  <c r="C409" i="2"/>
  <c r="M409" i="2"/>
  <c r="D409" i="2"/>
  <c r="E409" i="2"/>
  <c r="W409" i="2" s="1"/>
  <c r="G409" i="2"/>
  <c r="F409" i="2"/>
  <c r="J409" i="2"/>
  <c r="K409" i="2"/>
  <c r="B339" i="6"/>
  <c r="A340" i="6"/>
  <c r="J339" i="6"/>
  <c r="G339" i="6"/>
  <c r="F339" i="6"/>
  <c r="E339" i="6"/>
  <c r="S339" i="6" s="1"/>
  <c r="D339" i="6"/>
  <c r="C339" i="6"/>
  <c r="W338" i="6" l="1"/>
  <c r="K340" i="6"/>
  <c r="L340" i="6"/>
  <c r="T339" i="6"/>
  <c r="V339" i="6"/>
  <c r="U339" i="6"/>
  <c r="W339" i="6" s="1"/>
  <c r="Z408" i="2"/>
  <c r="AD408" i="2" s="1"/>
  <c r="Y409" i="2"/>
  <c r="X409" i="2"/>
  <c r="AB409" i="2"/>
  <c r="AA409" i="2"/>
  <c r="AC409" i="2"/>
  <c r="A411" i="2"/>
  <c r="G410" i="2"/>
  <c r="B410" i="2"/>
  <c r="D410" i="2"/>
  <c r="C410" i="2"/>
  <c r="E410" i="2"/>
  <c r="W410" i="2" s="1"/>
  <c r="F410" i="2"/>
  <c r="J410" i="2"/>
  <c r="K410" i="2"/>
  <c r="L410" i="2"/>
  <c r="M410" i="2"/>
  <c r="B340" i="6"/>
  <c r="A341" i="6"/>
  <c r="J340" i="6"/>
  <c r="G340" i="6"/>
  <c r="F340" i="6"/>
  <c r="E340" i="6"/>
  <c r="S340" i="6" s="1"/>
  <c r="C340" i="6"/>
  <c r="D340" i="6"/>
  <c r="Z409" i="2" l="1"/>
  <c r="K341" i="6"/>
  <c r="L341" i="6"/>
  <c r="U340" i="6"/>
  <c r="T340" i="6"/>
  <c r="V340" i="6"/>
  <c r="A412" i="2"/>
  <c r="E411" i="2"/>
  <c r="W411" i="2" s="1"/>
  <c r="B411" i="2"/>
  <c r="L411" i="2"/>
  <c r="C411" i="2"/>
  <c r="D411" i="2"/>
  <c r="F411" i="2"/>
  <c r="G411" i="2"/>
  <c r="J411" i="2"/>
  <c r="K411" i="2"/>
  <c r="M411" i="2"/>
  <c r="AB410" i="2"/>
  <c r="AC410" i="2"/>
  <c r="X410" i="2"/>
  <c r="Y410" i="2"/>
  <c r="AA410" i="2"/>
  <c r="AD409" i="2"/>
  <c r="B341" i="6"/>
  <c r="A342" i="6"/>
  <c r="J341" i="6"/>
  <c r="G341" i="6"/>
  <c r="F341" i="6"/>
  <c r="E341" i="6"/>
  <c r="S341" i="6" s="1"/>
  <c r="D341" i="6"/>
  <c r="C341" i="6"/>
  <c r="L342" i="6" l="1"/>
  <c r="K342" i="6"/>
  <c r="T341" i="6"/>
  <c r="U341" i="6"/>
  <c r="V341" i="6"/>
  <c r="W340" i="6"/>
  <c r="Z410" i="2"/>
  <c r="AD410" i="2" s="1"/>
  <c r="AC411" i="2"/>
  <c r="Y411" i="2"/>
  <c r="AA411" i="2"/>
  <c r="X411" i="2"/>
  <c r="AB411" i="2"/>
  <c r="A413" i="2"/>
  <c r="F412" i="2"/>
  <c r="L412" i="2"/>
  <c r="B412" i="2"/>
  <c r="M412" i="2"/>
  <c r="C412" i="2"/>
  <c r="D412" i="2"/>
  <c r="E412" i="2"/>
  <c r="W412" i="2" s="1"/>
  <c r="G412" i="2"/>
  <c r="J412" i="2"/>
  <c r="K412" i="2"/>
  <c r="B342" i="6"/>
  <c r="A343" i="6"/>
  <c r="J342" i="6"/>
  <c r="G342" i="6"/>
  <c r="F342" i="6"/>
  <c r="E342" i="6"/>
  <c r="S342" i="6" s="1"/>
  <c r="D342" i="6"/>
  <c r="C342" i="6"/>
  <c r="L343" i="6" l="1"/>
  <c r="K343" i="6"/>
  <c r="T342" i="6"/>
  <c r="U342" i="6"/>
  <c r="V342" i="6"/>
  <c r="W341" i="6"/>
  <c r="Z411" i="2"/>
  <c r="AD411" i="2" s="1"/>
  <c r="AB412" i="2"/>
  <c r="Y412" i="2"/>
  <c r="AC412" i="2"/>
  <c r="X412" i="2"/>
  <c r="AA412" i="2"/>
  <c r="A414" i="2"/>
  <c r="J413" i="2"/>
  <c r="K413" i="2"/>
  <c r="B413" i="2"/>
  <c r="L413" i="2"/>
  <c r="C413" i="2"/>
  <c r="M413" i="2"/>
  <c r="D413" i="2"/>
  <c r="E413" i="2"/>
  <c r="W413" i="2" s="1"/>
  <c r="F413" i="2"/>
  <c r="G413" i="2"/>
  <c r="B343" i="6"/>
  <c r="A344" i="6"/>
  <c r="J343" i="6"/>
  <c r="G343" i="6"/>
  <c r="F343" i="6"/>
  <c r="E343" i="6"/>
  <c r="S343" i="6" s="1"/>
  <c r="D343" i="6"/>
  <c r="C343" i="6"/>
  <c r="L344" i="6" l="1"/>
  <c r="K344" i="6"/>
  <c r="U343" i="6"/>
  <c r="V343" i="6"/>
  <c r="T343" i="6"/>
  <c r="W343" i="6" s="1"/>
  <c r="Z412" i="2"/>
  <c r="AD412" i="2" s="1"/>
  <c r="W342" i="6"/>
  <c r="A415" i="2"/>
  <c r="G414" i="2"/>
  <c r="J414" i="2"/>
  <c r="K414" i="2"/>
  <c r="B414" i="2"/>
  <c r="L414" i="2"/>
  <c r="C414" i="2"/>
  <c r="M414" i="2"/>
  <c r="D414" i="2"/>
  <c r="E414" i="2"/>
  <c r="W414" i="2" s="1"/>
  <c r="F414" i="2"/>
  <c r="X413" i="2"/>
  <c r="AC413" i="2"/>
  <c r="AB413" i="2"/>
  <c r="AA413" i="2"/>
  <c r="Y413" i="2"/>
  <c r="Z413" i="2" s="1"/>
  <c r="B344" i="6"/>
  <c r="A345" i="6"/>
  <c r="J344" i="6"/>
  <c r="G344" i="6"/>
  <c r="F344" i="6"/>
  <c r="E344" i="6"/>
  <c r="S344" i="6" s="1"/>
  <c r="C344" i="6"/>
  <c r="D344" i="6"/>
  <c r="AD413" i="2" l="1"/>
  <c r="K345" i="6"/>
  <c r="L345" i="6"/>
  <c r="V344" i="6"/>
  <c r="U344" i="6"/>
  <c r="T344" i="6"/>
  <c r="Y414" i="2"/>
  <c r="X414" i="2"/>
  <c r="Z414" i="2" s="1"/>
  <c r="AB414" i="2"/>
  <c r="AA414" i="2"/>
  <c r="AC414" i="2"/>
  <c r="A416" i="2"/>
  <c r="F415" i="2"/>
  <c r="G415" i="2"/>
  <c r="J415" i="2"/>
  <c r="K415" i="2"/>
  <c r="B415" i="2"/>
  <c r="L415" i="2"/>
  <c r="C415" i="2"/>
  <c r="M415" i="2"/>
  <c r="E415" i="2"/>
  <c r="W415" i="2" s="1"/>
  <c r="D415" i="2"/>
  <c r="B345" i="6"/>
  <c r="A346" i="6"/>
  <c r="J345" i="6"/>
  <c r="G345" i="6"/>
  <c r="F345" i="6"/>
  <c r="E345" i="6"/>
  <c r="S345" i="6" s="1"/>
  <c r="D345" i="6"/>
  <c r="C345" i="6"/>
  <c r="K346" i="6" l="1"/>
  <c r="L346" i="6"/>
  <c r="W344" i="6"/>
  <c r="T345" i="6"/>
  <c r="U345" i="6"/>
  <c r="V345" i="6"/>
  <c r="A417" i="2"/>
  <c r="C416" i="2"/>
  <c r="M416" i="2"/>
  <c r="D416" i="2"/>
  <c r="E416" i="2"/>
  <c r="W416" i="2" s="1"/>
  <c r="F416" i="2"/>
  <c r="G416" i="2"/>
  <c r="J416" i="2"/>
  <c r="B416" i="2"/>
  <c r="K416" i="2"/>
  <c r="L416" i="2"/>
  <c r="AC415" i="2"/>
  <c r="X415" i="2"/>
  <c r="AB415" i="2"/>
  <c r="AA415" i="2"/>
  <c r="Y415" i="2"/>
  <c r="AD414" i="2"/>
  <c r="B346" i="6"/>
  <c r="A347" i="6"/>
  <c r="J346" i="6"/>
  <c r="G346" i="6"/>
  <c r="F346" i="6"/>
  <c r="E346" i="6"/>
  <c r="S346" i="6" s="1"/>
  <c r="D346" i="6"/>
  <c r="C346" i="6"/>
  <c r="K347" i="6" l="1"/>
  <c r="L347" i="6"/>
  <c r="Z415" i="2"/>
  <c r="AD415" i="2" s="1"/>
  <c r="T346" i="6"/>
  <c r="U346" i="6"/>
  <c r="V346" i="6"/>
  <c r="W345" i="6"/>
  <c r="AB416" i="2"/>
  <c r="Y416" i="2"/>
  <c r="AC416" i="2"/>
  <c r="AA416" i="2"/>
  <c r="X416" i="2"/>
  <c r="A418" i="2"/>
  <c r="G417" i="2"/>
  <c r="J417" i="2"/>
  <c r="K417" i="2"/>
  <c r="B417" i="2"/>
  <c r="L417" i="2"/>
  <c r="C417" i="2"/>
  <c r="M417" i="2"/>
  <c r="D417" i="2"/>
  <c r="E417" i="2"/>
  <c r="W417" i="2" s="1"/>
  <c r="F417" i="2"/>
  <c r="B347" i="6"/>
  <c r="A348" i="6"/>
  <c r="J347" i="6"/>
  <c r="G347" i="6"/>
  <c r="F347" i="6"/>
  <c r="E347" i="6"/>
  <c r="S347" i="6" s="1"/>
  <c r="D347" i="6"/>
  <c r="C347" i="6"/>
  <c r="K348" i="6" l="1"/>
  <c r="L348" i="6"/>
  <c r="U347" i="6"/>
  <c r="V347" i="6"/>
  <c r="T347" i="6"/>
  <c r="W347" i="6" s="1"/>
  <c r="Z416" i="2"/>
  <c r="AD416" i="2" s="1"/>
  <c r="W346" i="6"/>
  <c r="A419" i="2"/>
  <c r="E418" i="2"/>
  <c r="W418" i="2" s="1"/>
  <c r="F418" i="2"/>
  <c r="G418" i="2"/>
  <c r="J418" i="2"/>
  <c r="K418" i="2"/>
  <c r="B418" i="2"/>
  <c r="L418" i="2"/>
  <c r="C418" i="2"/>
  <c r="D418" i="2"/>
  <c r="M418" i="2"/>
  <c r="AA417" i="2"/>
  <c r="AC417" i="2"/>
  <c r="X417" i="2"/>
  <c r="Y417" i="2"/>
  <c r="AB417" i="2"/>
  <c r="B348" i="6"/>
  <c r="A349" i="6"/>
  <c r="J348" i="6"/>
  <c r="G348" i="6"/>
  <c r="F348" i="6"/>
  <c r="E348" i="6"/>
  <c r="S348" i="6" s="1"/>
  <c r="C348" i="6"/>
  <c r="D348" i="6"/>
  <c r="K349" i="6" l="1"/>
  <c r="L349" i="6"/>
  <c r="V348" i="6"/>
  <c r="U348" i="6"/>
  <c r="T348" i="6"/>
  <c r="W348" i="6" s="1"/>
  <c r="Z417" i="2"/>
  <c r="AD417" i="2" s="1"/>
  <c r="Y418" i="2"/>
  <c r="AB418" i="2"/>
  <c r="AC418" i="2"/>
  <c r="AA418" i="2"/>
  <c r="X418" i="2"/>
  <c r="A420" i="2"/>
  <c r="B419" i="2"/>
  <c r="L419" i="2"/>
  <c r="C419" i="2"/>
  <c r="M419" i="2"/>
  <c r="D419" i="2"/>
  <c r="E419" i="2"/>
  <c r="W419" i="2" s="1"/>
  <c r="F419" i="2"/>
  <c r="G419" i="2"/>
  <c r="K419" i="2"/>
  <c r="J419" i="2"/>
  <c r="B349" i="6"/>
  <c r="A350" i="6"/>
  <c r="J349" i="6"/>
  <c r="G349" i="6"/>
  <c r="F349" i="6"/>
  <c r="E349" i="6"/>
  <c r="S349" i="6" s="1"/>
  <c r="D349" i="6"/>
  <c r="C349" i="6"/>
  <c r="K350" i="6" l="1"/>
  <c r="L350" i="6"/>
  <c r="T349" i="6"/>
  <c r="U349" i="6"/>
  <c r="V349" i="6"/>
  <c r="Z418" i="2"/>
  <c r="AD418" i="2" s="1"/>
  <c r="AC419" i="2"/>
  <c r="Y419" i="2"/>
  <c r="AB419" i="2"/>
  <c r="AA419" i="2"/>
  <c r="X419" i="2"/>
  <c r="A421" i="2"/>
  <c r="F420" i="2"/>
  <c r="G420" i="2"/>
  <c r="J420" i="2"/>
  <c r="K420" i="2"/>
  <c r="B420" i="2"/>
  <c r="L420" i="2"/>
  <c r="C420" i="2"/>
  <c r="M420" i="2"/>
  <c r="D420" i="2"/>
  <c r="E420" i="2"/>
  <c r="W420" i="2" s="1"/>
  <c r="B350" i="6"/>
  <c r="A351" i="6"/>
  <c r="J350" i="6"/>
  <c r="G350" i="6"/>
  <c r="F350" i="6"/>
  <c r="E350" i="6"/>
  <c r="S350" i="6" s="1"/>
  <c r="D350" i="6"/>
  <c r="C350" i="6"/>
  <c r="L351" i="6" l="1"/>
  <c r="K351" i="6"/>
  <c r="U350" i="6"/>
  <c r="T350" i="6"/>
  <c r="V350" i="6"/>
  <c r="W349" i="6"/>
  <c r="Z419" i="2"/>
  <c r="AD419" i="2" s="1"/>
  <c r="A422" i="2"/>
  <c r="D421" i="2"/>
  <c r="E421" i="2"/>
  <c r="W421" i="2" s="1"/>
  <c r="F421" i="2"/>
  <c r="G421" i="2"/>
  <c r="J421" i="2"/>
  <c r="K421" i="2"/>
  <c r="B421" i="2"/>
  <c r="C421" i="2"/>
  <c r="L421" i="2"/>
  <c r="M421" i="2"/>
  <c r="Y420" i="2"/>
  <c r="AB420" i="2"/>
  <c r="AA420" i="2"/>
  <c r="X420" i="2"/>
  <c r="AC420" i="2"/>
  <c r="B351" i="6"/>
  <c r="A352" i="6"/>
  <c r="J351" i="6"/>
  <c r="G351" i="6"/>
  <c r="F351" i="6"/>
  <c r="E351" i="6"/>
  <c r="S351" i="6" s="1"/>
  <c r="D351" i="6"/>
  <c r="C351" i="6"/>
  <c r="K352" i="6" l="1"/>
  <c r="L352" i="6"/>
  <c r="T351" i="6"/>
  <c r="V351" i="6"/>
  <c r="U351" i="6"/>
  <c r="W350" i="6"/>
  <c r="Z420" i="2"/>
  <c r="AD420" i="2" s="1"/>
  <c r="AC421" i="2"/>
  <c r="X421" i="2"/>
  <c r="Y421" i="2"/>
  <c r="AB421" i="2"/>
  <c r="AA421" i="2"/>
  <c r="A423" i="2"/>
  <c r="C422" i="2"/>
  <c r="M422" i="2"/>
  <c r="D422" i="2"/>
  <c r="E422" i="2"/>
  <c r="W422" i="2" s="1"/>
  <c r="F422" i="2"/>
  <c r="G422" i="2"/>
  <c r="J422" i="2"/>
  <c r="L422" i="2"/>
  <c r="B422" i="2"/>
  <c r="K422" i="2"/>
  <c r="B352" i="6"/>
  <c r="A353" i="6"/>
  <c r="J352" i="6"/>
  <c r="G352" i="6"/>
  <c r="F352" i="6"/>
  <c r="E352" i="6"/>
  <c r="S352" i="6" s="1"/>
  <c r="C352" i="6"/>
  <c r="D352" i="6"/>
  <c r="W351" i="6" l="1"/>
  <c r="L353" i="6"/>
  <c r="K353" i="6"/>
  <c r="U352" i="6"/>
  <c r="V352" i="6"/>
  <c r="T352" i="6"/>
  <c r="W352" i="6" s="1"/>
  <c r="A424" i="2"/>
  <c r="B423" i="2"/>
  <c r="L423" i="2"/>
  <c r="C423" i="2"/>
  <c r="M423" i="2"/>
  <c r="D423" i="2"/>
  <c r="E423" i="2"/>
  <c r="W423" i="2" s="1"/>
  <c r="F423" i="2"/>
  <c r="G423" i="2"/>
  <c r="K423" i="2"/>
  <c r="J423" i="2"/>
  <c r="AA422" i="2"/>
  <c r="X422" i="2"/>
  <c r="AC422" i="2"/>
  <c r="Y422" i="2"/>
  <c r="AB422" i="2"/>
  <c r="Z421" i="2"/>
  <c r="AD421" i="2" s="1"/>
  <c r="B353" i="6"/>
  <c r="A354" i="6"/>
  <c r="J353" i="6"/>
  <c r="G353" i="6"/>
  <c r="F353" i="6"/>
  <c r="E353" i="6"/>
  <c r="S353" i="6" s="1"/>
  <c r="D353" i="6"/>
  <c r="C353" i="6"/>
  <c r="L354" i="6" l="1"/>
  <c r="K354" i="6"/>
  <c r="T353" i="6"/>
  <c r="U353" i="6"/>
  <c r="V353" i="6"/>
  <c r="X423" i="2"/>
  <c r="AB423" i="2"/>
  <c r="Y423" i="2"/>
  <c r="AC423" i="2"/>
  <c r="AA423" i="2"/>
  <c r="Z422" i="2"/>
  <c r="AD422" i="2" s="1"/>
  <c r="A425" i="2"/>
  <c r="J424" i="2"/>
  <c r="K424" i="2"/>
  <c r="B424" i="2"/>
  <c r="L424" i="2"/>
  <c r="C424" i="2"/>
  <c r="M424" i="2"/>
  <c r="D424" i="2"/>
  <c r="E424" i="2"/>
  <c r="W424" i="2" s="1"/>
  <c r="G424" i="2"/>
  <c r="F424" i="2"/>
  <c r="B354" i="6"/>
  <c r="A355" i="6"/>
  <c r="J354" i="6"/>
  <c r="G354" i="6"/>
  <c r="F354" i="6"/>
  <c r="E354" i="6"/>
  <c r="S354" i="6" s="1"/>
  <c r="D354" i="6"/>
  <c r="C354" i="6"/>
  <c r="Z423" i="2" l="1"/>
  <c r="L355" i="6"/>
  <c r="K355" i="6"/>
  <c r="U354" i="6"/>
  <c r="T354" i="6"/>
  <c r="V354" i="6"/>
  <c r="W353" i="6"/>
  <c r="A426" i="2"/>
  <c r="F425" i="2"/>
  <c r="G425" i="2"/>
  <c r="J425" i="2"/>
  <c r="K425" i="2"/>
  <c r="B425" i="2"/>
  <c r="L425" i="2"/>
  <c r="C425" i="2"/>
  <c r="M425" i="2"/>
  <c r="D425" i="2"/>
  <c r="E425" i="2"/>
  <c r="W425" i="2" s="1"/>
  <c r="AD423" i="2"/>
  <c r="Y424" i="2"/>
  <c r="AC424" i="2"/>
  <c r="AB424" i="2"/>
  <c r="AA424" i="2"/>
  <c r="X424" i="2"/>
  <c r="B355" i="6"/>
  <c r="A356" i="6"/>
  <c r="J355" i="6"/>
  <c r="G355" i="6"/>
  <c r="F355" i="6"/>
  <c r="E355" i="6"/>
  <c r="S355" i="6" s="1"/>
  <c r="D355" i="6"/>
  <c r="C355" i="6"/>
  <c r="K356" i="6" l="1"/>
  <c r="L356" i="6"/>
  <c r="W354" i="6"/>
  <c r="U355" i="6"/>
  <c r="T355" i="6"/>
  <c r="V355" i="6"/>
  <c r="Y425" i="2"/>
  <c r="X425" i="2"/>
  <c r="AB425" i="2"/>
  <c r="AA425" i="2"/>
  <c r="AC425" i="2"/>
  <c r="Z424" i="2"/>
  <c r="AD424" i="2" s="1"/>
  <c r="A427" i="2"/>
  <c r="C426" i="2"/>
  <c r="M426" i="2"/>
  <c r="D426" i="2"/>
  <c r="E426" i="2"/>
  <c r="W426" i="2" s="1"/>
  <c r="F426" i="2"/>
  <c r="G426" i="2"/>
  <c r="J426" i="2"/>
  <c r="B426" i="2"/>
  <c r="K426" i="2"/>
  <c r="L426" i="2"/>
  <c r="B356" i="6"/>
  <c r="A357" i="6"/>
  <c r="J356" i="6"/>
  <c r="G356" i="6"/>
  <c r="F356" i="6"/>
  <c r="E356" i="6"/>
  <c r="S356" i="6" s="1"/>
  <c r="C356" i="6"/>
  <c r="D356" i="6"/>
  <c r="W355" i="6" l="1"/>
  <c r="L357" i="6"/>
  <c r="K357" i="6"/>
  <c r="T356" i="6"/>
  <c r="U356" i="6"/>
  <c r="V356" i="6"/>
  <c r="A428" i="2"/>
  <c r="K427" i="2"/>
  <c r="B427" i="2"/>
  <c r="L427" i="2"/>
  <c r="C427" i="2"/>
  <c r="M427" i="2"/>
  <c r="D427" i="2"/>
  <c r="E427" i="2"/>
  <c r="W427" i="2" s="1"/>
  <c r="F427" i="2"/>
  <c r="G427" i="2"/>
  <c r="J427" i="2"/>
  <c r="AC426" i="2"/>
  <c r="AB426" i="2"/>
  <c r="X426" i="2"/>
  <c r="Y426" i="2"/>
  <c r="AA426" i="2"/>
  <c r="Z425" i="2"/>
  <c r="AD425" i="2" s="1"/>
  <c r="B357" i="6"/>
  <c r="A358" i="6"/>
  <c r="J357" i="6"/>
  <c r="G357" i="6"/>
  <c r="F357" i="6"/>
  <c r="E357" i="6"/>
  <c r="S357" i="6" s="1"/>
  <c r="D357" i="6"/>
  <c r="C357" i="6"/>
  <c r="L358" i="6" l="1"/>
  <c r="K358" i="6"/>
  <c r="T357" i="6"/>
  <c r="U357" i="6"/>
  <c r="V357" i="6"/>
  <c r="W356" i="6"/>
  <c r="X427" i="2"/>
  <c r="Y427" i="2"/>
  <c r="AA427" i="2"/>
  <c r="AB427" i="2"/>
  <c r="AC427" i="2"/>
  <c r="Z426" i="2"/>
  <c r="AD426" i="2" s="1"/>
  <c r="A429" i="2"/>
  <c r="G428" i="2"/>
  <c r="J428" i="2"/>
  <c r="K428" i="2"/>
  <c r="B428" i="2"/>
  <c r="L428" i="2"/>
  <c r="C428" i="2"/>
  <c r="M428" i="2"/>
  <c r="D428" i="2"/>
  <c r="F428" i="2"/>
  <c r="E428" i="2"/>
  <c r="W428" i="2" s="1"/>
  <c r="B358" i="6"/>
  <c r="A359" i="6"/>
  <c r="J358" i="6"/>
  <c r="G358" i="6"/>
  <c r="F358" i="6"/>
  <c r="E358" i="6"/>
  <c r="S358" i="6" s="1"/>
  <c r="D358" i="6"/>
  <c r="C358" i="6"/>
  <c r="L359" i="6" l="1"/>
  <c r="K359" i="6"/>
  <c r="Z427" i="2"/>
  <c r="U358" i="6"/>
  <c r="V358" i="6"/>
  <c r="T358" i="6"/>
  <c r="W358" i="6" s="1"/>
  <c r="W357" i="6"/>
  <c r="A430" i="2"/>
  <c r="B429" i="2"/>
  <c r="L429" i="2"/>
  <c r="C429" i="2"/>
  <c r="M429" i="2"/>
  <c r="D429" i="2"/>
  <c r="E429" i="2"/>
  <c r="W429" i="2" s="1"/>
  <c r="F429" i="2"/>
  <c r="G429" i="2"/>
  <c r="J429" i="2"/>
  <c r="K429" i="2"/>
  <c r="AB428" i="2"/>
  <c r="AC428" i="2"/>
  <c r="X428" i="2"/>
  <c r="AA428" i="2"/>
  <c r="Y428" i="2"/>
  <c r="AD427" i="2"/>
  <c r="B359" i="6"/>
  <c r="A360" i="6"/>
  <c r="J359" i="6"/>
  <c r="G359" i="6"/>
  <c r="F359" i="6"/>
  <c r="E359" i="6"/>
  <c r="S359" i="6" s="1"/>
  <c r="D359" i="6"/>
  <c r="C359" i="6"/>
  <c r="L360" i="6" l="1"/>
  <c r="K360" i="6"/>
  <c r="T359" i="6"/>
  <c r="V359" i="6"/>
  <c r="U359" i="6"/>
  <c r="Z428" i="2"/>
  <c r="AD428" i="2" s="1"/>
  <c r="AA429" i="2"/>
  <c r="X429" i="2"/>
  <c r="AC429" i="2"/>
  <c r="AB429" i="2"/>
  <c r="Y429" i="2"/>
  <c r="A431" i="2"/>
  <c r="G430" i="2"/>
  <c r="J430" i="2"/>
  <c r="K430" i="2"/>
  <c r="B430" i="2"/>
  <c r="L430" i="2"/>
  <c r="C430" i="2"/>
  <c r="M430" i="2"/>
  <c r="D430" i="2"/>
  <c r="E430" i="2"/>
  <c r="W430" i="2" s="1"/>
  <c r="F430" i="2"/>
  <c r="B360" i="6"/>
  <c r="A361" i="6"/>
  <c r="J360" i="6"/>
  <c r="G360" i="6"/>
  <c r="F360" i="6"/>
  <c r="E360" i="6"/>
  <c r="S360" i="6" s="1"/>
  <c r="C360" i="6"/>
  <c r="D360" i="6"/>
  <c r="L361" i="6" l="1"/>
  <c r="K361" i="6"/>
  <c r="V360" i="6"/>
  <c r="U360" i="6"/>
  <c r="T360" i="6"/>
  <c r="Z429" i="2"/>
  <c r="AD429" i="2" s="1"/>
  <c r="W359" i="6"/>
  <c r="AC430" i="2"/>
  <c r="AA430" i="2"/>
  <c r="X430" i="2"/>
  <c r="Y430" i="2"/>
  <c r="AB430" i="2"/>
  <c r="A432" i="2"/>
  <c r="D431" i="2"/>
  <c r="E431" i="2"/>
  <c r="W431" i="2" s="1"/>
  <c r="F431" i="2"/>
  <c r="G431" i="2"/>
  <c r="J431" i="2"/>
  <c r="K431" i="2"/>
  <c r="L431" i="2"/>
  <c r="M431" i="2"/>
  <c r="B431" i="2"/>
  <c r="C431" i="2"/>
  <c r="B361" i="6"/>
  <c r="A362" i="6"/>
  <c r="J361" i="6"/>
  <c r="G361" i="6"/>
  <c r="F361" i="6"/>
  <c r="E361" i="6"/>
  <c r="S361" i="6" s="1"/>
  <c r="D361" i="6"/>
  <c r="C361" i="6"/>
  <c r="W360" i="6" l="1"/>
  <c r="K362" i="6"/>
  <c r="L362" i="6"/>
  <c r="T361" i="6"/>
  <c r="U361" i="6"/>
  <c r="V361" i="6"/>
  <c r="Z430" i="2"/>
  <c r="AD430" i="2" s="1"/>
  <c r="A433" i="2"/>
  <c r="J432" i="2"/>
  <c r="K432" i="2"/>
  <c r="B432" i="2"/>
  <c r="L432" i="2"/>
  <c r="C432" i="2"/>
  <c r="M432" i="2"/>
  <c r="D432" i="2"/>
  <c r="E432" i="2"/>
  <c r="W432" i="2" s="1"/>
  <c r="F432" i="2"/>
  <c r="G432" i="2"/>
  <c r="X431" i="2"/>
  <c r="AB431" i="2"/>
  <c r="AC431" i="2"/>
  <c r="AA431" i="2"/>
  <c r="Y431" i="2"/>
  <c r="B362" i="6"/>
  <c r="A363" i="6"/>
  <c r="J362" i="6"/>
  <c r="G362" i="6"/>
  <c r="F362" i="6"/>
  <c r="E362" i="6"/>
  <c r="S362" i="6" s="1"/>
  <c r="D362" i="6"/>
  <c r="C362" i="6"/>
  <c r="K363" i="6" l="1"/>
  <c r="L363" i="6"/>
  <c r="Z431" i="2"/>
  <c r="AD431" i="2" s="1"/>
  <c r="T362" i="6"/>
  <c r="U362" i="6"/>
  <c r="V362" i="6"/>
  <c r="W361" i="6"/>
  <c r="Y432" i="2"/>
  <c r="AB432" i="2"/>
  <c r="AA432" i="2"/>
  <c r="X432" i="2"/>
  <c r="AC432" i="2"/>
  <c r="A434" i="2"/>
  <c r="E433" i="2"/>
  <c r="W433" i="2" s="1"/>
  <c r="F433" i="2"/>
  <c r="G433" i="2"/>
  <c r="J433" i="2"/>
  <c r="K433" i="2"/>
  <c r="B433" i="2"/>
  <c r="L433" i="2"/>
  <c r="C433" i="2"/>
  <c r="D433" i="2"/>
  <c r="M433" i="2"/>
  <c r="B363" i="6"/>
  <c r="A364" i="6"/>
  <c r="J363" i="6"/>
  <c r="G363" i="6"/>
  <c r="F363" i="6"/>
  <c r="E363" i="6"/>
  <c r="S363" i="6" s="1"/>
  <c r="D363" i="6"/>
  <c r="C363" i="6"/>
  <c r="L364" i="6" l="1"/>
  <c r="K364" i="6"/>
  <c r="T363" i="6"/>
  <c r="V363" i="6"/>
  <c r="U363" i="6"/>
  <c r="W362" i="6"/>
  <c r="Z432" i="2"/>
  <c r="AD432" i="2" s="1"/>
  <c r="A435" i="2"/>
  <c r="C434" i="2"/>
  <c r="M434" i="2"/>
  <c r="D434" i="2"/>
  <c r="E434" i="2"/>
  <c r="W434" i="2" s="1"/>
  <c r="F434" i="2"/>
  <c r="G434" i="2"/>
  <c r="J434" i="2"/>
  <c r="B434" i="2"/>
  <c r="K434" i="2"/>
  <c r="L434" i="2"/>
  <c r="X433" i="2"/>
  <c r="AC433" i="2"/>
  <c r="Y433" i="2"/>
  <c r="AA433" i="2"/>
  <c r="AB433" i="2"/>
  <c r="B364" i="6"/>
  <c r="A365" i="6"/>
  <c r="J364" i="6"/>
  <c r="G364" i="6"/>
  <c r="F364" i="6"/>
  <c r="E364" i="6"/>
  <c r="S364" i="6" s="1"/>
  <c r="C364" i="6"/>
  <c r="D364" i="6"/>
  <c r="K365" i="6" l="1"/>
  <c r="L365" i="6"/>
  <c r="V364" i="6"/>
  <c r="T364" i="6"/>
  <c r="U364" i="6"/>
  <c r="W363" i="6"/>
  <c r="AC434" i="2"/>
  <c r="X434" i="2"/>
  <c r="Y434" i="2"/>
  <c r="AA434" i="2"/>
  <c r="AB434" i="2"/>
  <c r="Z433" i="2"/>
  <c r="AD433" i="2" s="1"/>
  <c r="A436" i="2"/>
  <c r="B435" i="2"/>
  <c r="L435" i="2"/>
  <c r="C435" i="2"/>
  <c r="M435" i="2"/>
  <c r="D435" i="2"/>
  <c r="E435" i="2"/>
  <c r="W435" i="2" s="1"/>
  <c r="F435" i="2"/>
  <c r="G435" i="2"/>
  <c r="J435" i="2"/>
  <c r="K435" i="2"/>
  <c r="B365" i="6"/>
  <c r="A366" i="6"/>
  <c r="J365" i="6"/>
  <c r="G365" i="6"/>
  <c r="F365" i="6"/>
  <c r="E365" i="6"/>
  <c r="S365" i="6" s="1"/>
  <c r="D365" i="6"/>
  <c r="C365" i="6"/>
  <c r="K366" i="6" l="1"/>
  <c r="L366" i="6"/>
  <c r="T365" i="6"/>
  <c r="V365" i="6"/>
  <c r="U365" i="6"/>
  <c r="W364" i="6"/>
  <c r="A437" i="2"/>
  <c r="K436" i="2"/>
  <c r="B436" i="2"/>
  <c r="L436" i="2"/>
  <c r="C436" i="2"/>
  <c r="M436" i="2"/>
  <c r="D436" i="2"/>
  <c r="E436" i="2"/>
  <c r="W436" i="2" s="1"/>
  <c r="F436" i="2"/>
  <c r="G436" i="2"/>
  <c r="J436" i="2"/>
  <c r="X435" i="2"/>
  <c r="Y435" i="2"/>
  <c r="AC435" i="2"/>
  <c r="AB435" i="2"/>
  <c r="AA435" i="2"/>
  <c r="Z434" i="2"/>
  <c r="AD434" i="2" s="1"/>
  <c r="B366" i="6"/>
  <c r="A367" i="6"/>
  <c r="J366" i="6"/>
  <c r="G366" i="6"/>
  <c r="F366" i="6"/>
  <c r="E366" i="6"/>
  <c r="S366" i="6" s="1"/>
  <c r="D366" i="6"/>
  <c r="C366" i="6"/>
  <c r="W365" i="6" l="1"/>
  <c r="L367" i="6"/>
  <c r="K367" i="6"/>
  <c r="T366" i="6"/>
  <c r="U366" i="6"/>
  <c r="V366" i="6"/>
  <c r="Z435" i="2"/>
  <c r="AD435" i="2" s="1"/>
  <c r="X436" i="2"/>
  <c r="AA436" i="2"/>
  <c r="AB436" i="2"/>
  <c r="Y436" i="2"/>
  <c r="AC436" i="2"/>
  <c r="A438" i="2"/>
  <c r="F437" i="2"/>
  <c r="G437" i="2"/>
  <c r="J437" i="2"/>
  <c r="K437" i="2"/>
  <c r="B437" i="2"/>
  <c r="L437" i="2"/>
  <c r="C437" i="2"/>
  <c r="M437" i="2"/>
  <c r="D437" i="2"/>
  <c r="E437" i="2"/>
  <c r="W437" i="2" s="1"/>
  <c r="B367" i="6"/>
  <c r="A368" i="6"/>
  <c r="J367" i="6"/>
  <c r="G367" i="6"/>
  <c r="F367" i="6"/>
  <c r="E367" i="6"/>
  <c r="S367" i="6" s="1"/>
  <c r="D367" i="6"/>
  <c r="C367" i="6"/>
  <c r="W366" i="6" l="1"/>
  <c r="K368" i="6"/>
  <c r="L368" i="6"/>
  <c r="U367" i="6"/>
  <c r="T367" i="6"/>
  <c r="V367" i="6"/>
  <c r="A439" i="2"/>
  <c r="D438" i="2"/>
  <c r="E438" i="2"/>
  <c r="W438" i="2" s="1"/>
  <c r="F438" i="2"/>
  <c r="G438" i="2"/>
  <c r="J438" i="2"/>
  <c r="K438" i="2"/>
  <c r="B438" i="2"/>
  <c r="C438" i="2"/>
  <c r="L438" i="2"/>
  <c r="M438" i="2"/>
  <c r="X437" i="2"/>
  <c r="AA437" i="2"/>
  <c r="Y437" i="2"/>
  <c r="AC437" i="2"/>
  <c r="AB437" i="2"/>
  <c r="Z436" i="2"/>
  <c r="AD436" i="2" s="1"/>
  <c r="B368" i="6"/>
  <c r="A369" i="6"/>
  <c r="J368" i="6"/>
  <c r="G368" i="6"/>
  <c r="F368" i="6"/>
  <c r="E368" i="6"/>
  <c r="S368" i="6" s="1"/>
  <c r="C368" i="6"/>
  <c r="D368" i="6"/>
  <c r="W367" i="6" l="1"/>
  <c r="L369" i="6"/>
  <c r="K369" i="6"/>
  <c r="V368" i="6"/>
  <c r="T368" i="6"/>
  <c r="U368" i="6"/>
  <c r="Z437" i="2"/>
  <c r="AD437" i="2"/>
  <c r="Y438" i="2"/>
  <c r="AB438" i="2"/>
  <c r="AA438" i="2"/>
  <c r="AC438" i="2"/>
  <c r="X438" i="2"/>
  <c r="A440" i="2"/>
  <c r="B439" i="2"/>
  <c r="L439" i="2"/>
  <c r="C439" i="2"/>
  <c r="M439" i="2"/>
  <c r="D439" i="2"/>
  <c r="E439" i="2"/>
  <c r="W439" i="2" s="1"/>
  <c r="F439" i="2"/>
  <c r="G439" i="2"/>
  <c r="K439" i="2"/>
  <c r="J439" i="2"/>
  <c r="B369" i="6"/>
  <c r="A370" i="6"/>
  <c r="J369" i="6"/>
  <c r="G369" i="6"/>
  <c r="F369" i="6"/>
  <c r="E369" i="6"/>
  <c r="S369" i="6" s="1"/>
  <c r="D369" i="6"/>
  <c r="C369" i="6"/>
  <c r="W368" i="6" l="1"/>
  <c r="K370" i="6"/>
  <c r="L370" i="6"/>
  <c r="T369" i="6"/>
  <c r="U369" i="6"/>
  <c r="V369" i="6"/>
  <c r="Z438" i="2"/>
  <c r="AD438" i="2" s="1"/>
  <c r="Y439" i="2"/>
  <c r="X439" i="2"/>
  <c r="AB439" i="2"/>
  <c r="AC439" i="2"/>
  <c r="AA439" i="2"/>
  <c r="A441" i="2"/>
  <c r="G440" i="2"/>
  <c r="J440" i="2"/>
  <c r="K440" i="2"/>
  <c r="B440" i="2"/>
  <c r="L440" i="2"/>
  <c r="C440" i="2"/>
  <c r="M440" i="2"/>
  <c r="D440" i="2"/>
  <c r="E440" i="2"/>
  <c r="W440" i="2" s="1"/>
  <c r="F440" i="2"/>
  <c r="B370" i="6"/>
  <c r="A371" i="6"/>
  <c r="J370" i="6"/>
  <c r="G370" i="6"/>
  <c r="F370" i="6"/>
  <c r="E370" i="6"/>
  <c r="S370" i="6" s="1"/>
  <c r="D370" i="6"/>
  <c r="C370" i="6"/>
  <c r="Z439" i="2" l="1"/>
  <c r="W369" i="6"/>
  <c r="L371" i="6"/>
  <c r="K371" i="6"/>
  <c r="T370" i="6"/>
  <c r="V370" i="6"/>
  <c r="U370" i="6"/>
  <c r="A442" i="2"/>
  <c r="F441" i="2"/>
  <c r="G441" i="2"/>
  <c r="J441" i="2"/>
  <c r="K441" i="2"/>
  <c r="B441" i="2"/>
  <c r="L441" i="2"/>
  <c r="C441" i="2"/>
  <c r="M441" i="2"/>
  <c r="D441" i="2"/>
  <c r="E441" i="2"/>
  <c r="W441" i="2" s="1"/>
  <c r="AA440" i="2"/>
  <c r="X440" i="2"/>
  <c r="Z440" i="2" s="1"/>
  <c r="Y440" i="2"/>
  <c r="AB440" i="2"/>
  <c r="AC440" i="2"/>
  <c r="AD439" i="2"/>
  <c r="B371" i="6"/>
  <c r="A372" i="6"/>
  <c r="J371" i="6"/>
  <c r="G371" i="6"/>
  <c r="F371" i="6"/>
  <c r="E371" i="6"/>
  <c r="S371" i="6" s="1"/>
  <c r="D371" i="6"/>
  <c r="C371" i="6"/>
  <c r="AD440" i="2" l="1"/>
  <c r="L372" i="6"/>
  <c r="K372" i="6"/>
  <c r="U371" i="6"/>
  <c r="V371" i="6"/>
  <c r="T371" i="6"/>
  <c r="W370" i="6"/>
  <c r="AB441" i="2"/>
  <c r="X441" i="2"/>
  <c r="AA441" i="2"/>
  <c r="AC441" i="2"/>
  <c r="Y441" i="2"/>
  <c r="A443" i="2"/>
  <c r="C442" i="2"/>
  <c r="M442" i="2"/>
  <c r="D442" i="2"/>
  <c r="E442" i="2"/>
  <c r="W442" i="2" s="1"/>
  <c r="F442" i="2"/>
  <c r="G442" i="2"/>
  <c r="J442" i="2"/>
  <c r="B442" i="2"/>
  <c r="K442" i="2"/>
  <c r="L442" i="2"/>
  <c r="A373" i="6"/>
  <c r="B372" i="6"/>
  <c r="J372" i="6"/>
  <c r="G372" i="6"/>
  <c r="F372" i="6"/>
  <c r="E372" i="6"/>
  <c r="S372" i="6" s="1"/>
  <c r="C372" i="6"/>
  <c r="D372" i="6"/>
  <c r="L373" i="6" l="1"/>
  <c r="K373" i="6"/>
  <c r="W371" i="6"/>
  <c r="T372" i="6"/>
  <c r="U372" i="6"/>
  <c r="V372" i="6"/>
  <c r="W372" i="6" s="1"/>
  <c r="Z441" i="2"/>
  <c r="AD441" i="2" s="1"/>
  <c r="A444" i="2"/>
  <c r="K443" i="2"/>
  <c r="B443" i="2"/>
  <c r="L443" i="2"/>
  <c r="C443" i="2"/>
  <c r="M443" i="2"/>
  <c r="D443" i="2"/>
  <c r="E443" i="2"/>
  <c r="W443" i="2" s="1"/>
  <c r="F443" i="2"/>
  <c r="G443" i="2"/>
  <c r="J443" i="2"/>
  <c r="X442" i="2"/>
  <c r="AC442" i="2"/>
  <c r="AA442" i="2"/>
  <c r="AB442" i="2"/>
  <c r="Y442" i="2"/>
  <c r="A374" i="6"/>
  <c r="C373" i="6"/>
  <c r="B373" i="6"/>
  <c r="J373" i="6"/>
  <c r="G373" i="6"/>
  <c r="F373" i="6"/>
  <c r="E373" i="6"/>
  <c r="S373" i="6" s="1"/>
  <c r="D373" i="6"/>
  <c r="K374" i="6" l="1"/>
  <c r="L374" i="6"/>
  <c r="T373" i="6"/>
  <c r="V373" i="6"/>
  <c r="U373" i="6"/>
  <c r="X443" i="2"/>
  <c r="AC443" i="2"/>
  <c r="AB443" i="2"/>
  <c r="Y443" i="2"/>
  <c r="AA443" i="2"/>
  <c r="Z442" i="2"/>
  <c r="AD442" i="2" s="1"/>
  <c r="A445" i="2"/>
  <c r="G444" i="2"/>
  <c r="J444" i="2"/>
  <c r="K444" i="2"/>
  <c r="B444" i="2"/>
  <c r="L444" i="2"/>
  <c r="C444" i="2"/>
  <c r="M444" i="2"/>
  <c r="D444" i="2"/>
  <c r="E444" i="2"/>
  <c r="W444" i="2" s="1"/>
  <c r="F444" i="2"/>
  <c r="A375" i="6"/>
  <c r="D374" i="6"/>
  <c r="C374" i="6"/>
  <c r="B374" i="6"/>
  <c r="J374" i="6"/>
  <c r="G374" i="6"/>
  <c r="F374" i="6"/>
  <c r="E374" i="6"/>
  <c r="S374" i="6" s="1"/>
  <c r="Z443" i="2" l="1"/>
  <c r="L375" i="6"/>
  <c r="K375" i="6"/>
  <c r="V374" i="6"/>
  <c r="T374" i="6"/>
  <c r="U374" i="6"/>
  <c r="AD443" i="2"/>
  <c r="W373" i="6"/>
  <c r="A446" i="2"/>
  <c r="D445" i="2"/>
  <c r="E445" i="2"/>
  <c r="W445" i="2" s="1"/>
  <c r="F445" i="2"/>
  <c r="G445" i="2"/>
  <c r="J445" i="2"/>
  <c r="K445" i="2"/>
  <c r="L445" i="2"/>
  <c r="M445" i="2"/>
  <c r="B445" i="2"/>
  <c r="C445" i="2"/>
  <c r="AA444" i="2"/>
  <c r="AB444" i="2"/>
  <c r="AC444" i="2"/>
  <c r="X444" i="2"/>
  <c r="Y444" i="2"/>
  <c r="A376" i="6"/>
  <c r="G375" i="6"/>
  <c r="E375" i="6"/>
  <c r="S375" i="6" s="1"/>
  <c r="F375" i="6"/>
  <c r="D375" i="6"/>
  <c r="C375" i="6"/>
  <c r="B375" i="6"/>
  <c r="J375" i="6"/>
  <c r="K376" i="6" l="1"/>
  <c r="L376" i="6"/>
  <c r="T375" i="6"/>
  <c r="U375" i="6"/>
  <c r="V375" i="6"/>
  <c r="W374" i="6"/>
  <c r="Z444" i="2"/>
  <c r="AD444" i="2" s="1"/>
  <c r="AB445" i="2"/>
  <c r="X445" i="2"/>
  <c r="Y445" i="2"/>
  <c r="AA445" i="2"/>
  <c r="AC445" i="2"/>
  <c r="A447" i="2"/>
  <c r="K446" i="2"/>
  <c r="B446" i="2"/>
  <c r="L446" i="2"/>
  <c r="C446" i="2"/>
  <c r="M446" i="2"/>
  <c r="D446" i="2"/>
  <c r="E446" i="2"/>
  <c r="W446" i="2" s="1"/>
  <c r="F446" i="2"/>
  <c r="G446" i="2"/>
  <c r="J446" i="2"/>
  <c r="A377" i="6"/>
  <c r="G376" i="6"/>
  <c r="F376" i="6"/>
  <c r="E376" i="6"/>
  <c r="S376" i="6" s="1"/>
  <c r="J376" i="6"/>
  <c r="D376" i="6"/>
  <c r="C376" i="6"/>
  <c r="B376" i="6"/>
  <c r="L377" i="6" l="1"/>
  <c r="K377" i="6"/>
  <c r="W375" i="6"/>
  <c r="V376" i="6"/>
  <c r="U376" i="6"/>
  <c r="T376" i="6"/>
  <c r="W376" i="6" s="1"/>
  <c r="Y446" i="2"/>
  <c r="AC446" i="2"/>
  <c r="AB446" i="2"/>
  <c r="X446" i="2"/>
  <c r="AA446" i="2"/>
  <c r="Z445" i="2"/>
  <c r="AD445" i="2" s="1"/>
  <c r="A448" i="2"/>
  <c r="G447" i="2"/>
  <c r="J447" i="2"/>
  <c r="K447" i="2"/>
  <c r="B447" i="2"/>
  <c r="L447" i="2"/>
  <c r="C447" i="2"/>
  <c r="M447" i="2"/>
  <c r="D447" i="2"/>
  <c r="E447" i="2"/>
  <c r="W447" i="2" s="1"/>
  <c r="F447" i="2"/>
  <c r="A378" i="6"/>
  <c r="G377" i="6"/>
  <c r="F377" i="6"/>
  <c r="E377" i="6"/>
  <c r="S377" i="6" s="1"/>
  <c r="D377" i="6"/>
  <c r="C377" i="6"/>
  <c r="B377" i="6"/>
  <c r="J377" i="6"/>
  <c r="Z446" i="2" l="1"/>
  <c r="K378" i="6"/>
  <c r="L378" i="6"/>
  <c r="T377" i="6"/>
  <c r="U377" i="6"/>
  <c r="V377" i="6"/>
  <c r="AD446" i="2"/>
  <c r="Y447" i="2"/>
  <c r="AA447" i="2"/>
  <c r="AC447" i="2"/>
  <c r="AB447" i="2"/>
  <c r="X447" i="2"/>
  <c r="A449" i="2"/>
  <c r="E448" i="2"/>
  <c r="W448" i="2" s="1"/>
  <c r="F448" i="2"/>
  <c r="G448" i="2"/>
  <c r="J448" i="2"/>
  <c r="K448" i="2"/>
  <c r="B448" i="2"/>
  <c r="L448" i="2"/>
  <c r="C448" i="2"/>
  <c r="D448" i="2"/>
  <c r="M448" i="2"/>
  <c r="A379" i="6"/>
  <c r="G378" i="6"/>
  <c r="F378" i="6"/>
  <c r="E378" i="6"/>
  <c r="S378" i="6" s="1"/>
  <c r="J378" i="6"/>
  <c r="D378" i="6"/>
  <c r="C378" i="6"/>
  <c r="B378" i="6"/>
  <c r="K379" i="6" l="1"/>
  <c r="L379" i="6"/>
  <c r="T378" i="6"/>
  <c r="U378" i="6"/>
  <c r="V378" i="6"/>
  <c r="Z447" i="2"/>
  <c r="W377" i="6"/>
  <c r="AD447" i="2"/>
  <c r="Y448" i="2"/>
  <c r="AB448" i="2"/>
  <c r="AC448" i="2"/>
  <c r="X448" i="2"/>
  <c r="AA448" i="2"/>
  <c r="A450" i="2"/>
  <c r="D449" i="2"/>
  <c r="E449" i="2"/>
  <c r="W449" i="2" s="1"/>
  <c r="F449" i="2"/>
  <c r="G449" i="2"/>
  <c r="J449" i="2"/>
  <c r="K449" i="2"/>
  <c r="C449" i="2"/>
  <c r="L449" i="2"/>
  <c r="M449" i="2"/>
  <c r="B449" i="2"/>
  <c r="A380" i="6"/>
  <c r="G379" i="6"/>
  <c r="F379" i="6"/>
  <c r="E379" i="6"/>
  <c r="S379" i="6" s="1"/>
  <c r="D379" i="6"/>
  <c r="C379" i="6"/>
  <c r="B379" i="6"/>
  <c r="J379" i="6"/>
  <c r="L380" i="6" l="1"/>
  <c r="K380" i="6"/>
  <c r="T379" i="6"/>
  <c r="V379" i="6"/>
  <c r="U379" i="6"/>
  <c r="Z448" i="2"/>
  <c r="W378" i="6"/>
  <c r="AD448" i="2"/>
  <c r="A451" i="2"/>
  <c r="G450" i="2"/>
  <c r="J450" i="2"/>
  <c r="K450" i="2"/>
  <c r="B450" i="2"/>
  <c r="L450" i="2"/>
  <c r="C450" i="2"/>
  <c r="M450" i="2"/>
  <c r="D450" i="2"/>
  <c r="E450" i="2"/>
  <c r="W450" i="2" s="1"/>
  <c r="F450" i="2"/>
  <c r="AB449" i="2"/>
  <c r="X449" i="2"/>
  <c r="Y449" i="2"/>
  <c r="AA449" i="2"/>
  <c r="AC449" i="2"/>
  <c r="A381" i="6"/>
  <c r="G380" i="6"/>
  <c r="F380" i="6"/>
  <c r="E380" i="6"/>
  <c r="S380" i="6" s="1"/>
  <c r="J380" i="6"/>
  <c r="D380" i="6"/>
  <c r="C380" i="6"/>
  <c r="B380" i="6"/>
  <c r="W379" i="6" l="1"/>
  <c r="L381" i="6"/>
  <c r="K381" i="6"/>
  <c r="V380" i="6"/>
  <c r="T380" i="6"/>
  <c r="U380" i="6"/>
  <c r="Z449" i="2"/>
  <c r="AD449" i="2" s="1"/>
  <c r="X450" i="2"/>
  <c r="AC450" i="2"/>
  <c r="AB450" i="2"/>
  <c r="Y450" i="2"/>
  <c r="AA450" i="2"/>
  <c r="A452" i="2"/>
  <c r="E451" i="2"/>
  <c r="W451" i="2" s="1"/>
  <c r="F451" i="2"/>
  <c r="G451" i="2"/>
  <c r="J451" i="2"/>
  <c r="K451" i="2"/>
  <c r="B451" i="2"/>
  <c r="L451" i="2"/>
  <c r="C451" i="2"/>
  <c r="D451" i="2"/>
  <c r="M451" i="2"/>
  <c r="A382" i="6"/>
  <c r="G381" i="6"/>
  <c r="F381" i="6"/>
  <c r="E381" i="6"/>
  <c r="S381" i="6" s="1"/>
  <c r="D381" i="6"/>
  <c r="C381" i="6"/>
  <c r="B381" i="6"/>
  <c r="J381" i="6"/>
  <c r="Z450" i="2" l="1"/>
  <c r="K382" i="6"/>
  <c r="L382" i="6"/>
  <c r="T381" i="6"/>
  <c r="U381" i="6"/>
  <c r="V381" i="6"/>
  <c r="W380" i="6"/>
  <c r="AD450" i="2"/>
  <c r="A453" i="2"/>
  <c r="D452" i="2"/>
  <c r="E452" i="2"/>
  <c r="W452" i="2" s="1"/>
  <c r="F452" i="2"/>
  <c r="G452" i="2"/>
  <c r="J452" i="2"/>
  <c r="K452" i="2"/>
  <c r="B452" i="2"/>
  <c r="C452" i="2"/>
  <c r="L452" i="2"/>
  <c r="M452" i="2"/>
  <c r="AC451" i="2"/>
  <c r="Y451" i="2"/>
  <c r="AA451" i="2"/>
  <c r="AB451" i="2"/>
  <c r="X451" i="2"/>
  <c r="A383" i="6"/>
  <c r="G382" i="6"/>
  <c r="F382" i="6"/>
  <c r="E382" i="6"/>
  <c r="S382" i="6" s="1"/>
  <c r="J382" i="6"/>
  <c r="D382" i="6"/>
  <c r="C382" i="6"/>
  <c r="B382" i="6"/>
  <c r="K383" i="6" l="1"/>
  <c r="L383" i="6"/>
  <c r="W381" i="6"/>
  <c r="U382" i="6"/>
  <c r="V382" i="6"/>
  <c r="T382" i="6"/>
  <c r="X452" i="2"/>
  <c r="AA452" i="2"/>
  <c r="AC452" i="2"/>
  <c r="Y452" i="2"/>
  <c r="AB452" i="2"/>
  <c r="A454" i="2"/>
  <c r="K453" i="2"/>
  <c r="B453" i="2"/>
  <c r="L453" i="2"/>
  <c r="C453" i="2"/>
  <c r="M453" i="2"/>
  <c r="D453" i="2"/>
  <c r="E453" i="2"/>
  <c r="W453" i="2" s="1"/>
  <c r="F453" i="2"/>
  <c r="G453" i="2"/>
  <c r="J453" i="2"/>
  <c r="Z451" i="2"/>
  <c r="AD451" i="2" s="1"/>
  <c r="A384" i="6"/>
  <c r="G383" i="6"/>
  <c r="F383" i="6"/>
  <c r="E383" i="6"/>
  <c r="S383" i="6" s="1"/>
  <c r="D383" i="6"/>
  <c r="J383" i="6"/>
  <c r="C383" i="6"/>
  <c r="B383" i="6"/>
  <c r="Z452" i="2" l="1"/>
  <c r="AD452" i="2" s="1"/>
  <c r="L384" i="6"/>
  <c r="K384" i="6"/>
  <c r="W382" i="6"/>
  <c r="T383" i="6"/>
  <c r="U383" i="6"/>
  <c r="V383" i="6"/>
  <c r="A455" i="2"/>
  <c r="F454" i="2"/>
  <c r="G454" i="2"/>
  <c r="J454" i="2"/>
  <c r="K454" i="2"/>
  <c r="B454" i="2"/>
  <c r="L454" i="2"/>
  <c r="C454" i="2"/>
  <c r="M454" i="2"/>
  <c r="D454" i="2"/>
  <c r="E454" i="2"/>
  <c r="W454" i="2" s="1"/>
  <c r="Y453" i="2"/>
  <c r="AA453" i="2"/>
  <c r="AB453" i="2"/>
  <c r="AC453" i="2"/>
  <c r="X453" i="2"/>
  <c r="A385" i="6"/>
  <c r="J384" i="6"/>
  <c r="G384" i="6"/>
  <c r="F384" i="6"/>
  <c r="E384" i="6"/>
  <c r="S384" i="6" s="1"/>
  <c r="D384" i="6"/>
  <c r="C384" i="6"/>
  <c r="B384" i="6"/>
  <c r="W383" i="6" l="1"/>
  <c r="K385" i="6"/>
  <c r="L385" i="6"/>
  <c r="Z453" i="2"/>
  <c r="AD453" i="2" s="1"/>
  <c r="V384" i="6"/>
  <c r="U384" i="6"/>
  <c r="T384" i="6"/>
  <c r="X454" i="2"/>
  <c r="AC454" i="2"/>
  <c r="AA454" i="2"/>
  <c r="AB454" i="2"/>
  <c r="Y454" i="2"/>
  <c r="A456" i="2"/>
  <c r="D455" i="2"/>
  <c r="E455" i="2"/>
  <c r="W455" i="2" s="1"/>
  <c r="F455" i="2"/>
  <c r="G455" i="2"/>
  <c r="J455" i="2"/>
  <c r="K455" i="2"/>
  <c r="B455" i="2"/>
  <c r="C455" i="2"/>
  <c r="L455" i="2"/>
  <c r="M455" i="2"/>
  <c r="A386" i="6"/>
  <c r="J385" i="6"/>
  <c r="G385" i="6"/>
  <c r="F385" i="6"/>
  <c r="E385" i="6"/>
  <c r="S385" i="6" s="1"/>
  <c r="D385" i="6"/>
  <c r="C385" i="6"/>
  <c r="B385" i="6"/>
  <c r="W384" i="6" l="1"/>
  <c r="K386" i="6"/>
  <c r="L386" i="6"/>
  <c r="V385" i="6"/>
  <c r="T385" i="6"/>
  <c r="U385" i="6"/>
  <c r="Z454" i="2"/>
  <c r="AD454" i="2" s="1"/>
  <c r="A457" i="2"/>
  <c r="B456" i="2"/>
  <c r="L456" i="2"/>
  <c r="C456" i="2"/>
  <c r="M456" i="2"/>
  <c r="D456" i="2"/>
  <c r="E456" i="2"/>
  <c r="W456" i="2" s="1"/>
  <c r="F456" i="2"/>
  <c r="G456" i="2"/>
  <c r="J456" i="2"/>
  <c r="K456" i="2"/>
  <c r="Y455" i="2"/>
  <c r="AC455" i="2"/>
  <c r="AB455" i="2"/>
  <c r="X455" i="2"/>
  <c r="AA455" i="2"/>
  <c r="A387" i="6"/>
  <c r="J386" i="6"/>
  <c r="G386" i="6"/>
  <c r="F386" i="6"/>
  <c r="E386" i="6"/>
  <c r="S386" i="6" s="1"/>
  <c r="D386" i="6"/>
  <c r="C386" i="6"/>
  <c r="B386" i="6"/>
  <c r="L387" i="6" l="1"/>
  <c r="K387" i="6"/>
  <c r="W385" i="6"/>
  <c r="Z455" i="2"/>
  <c r="AD455" i="2" s="1"/>
  <c r="T386" i="6"/>
  <c r="V386" i="6"/>
  <c r="U386" i="6"/>
  <c r="W386" i="6" s="1"/>
  <c r="X456" i="2"/>
  <c r="Y456" i="2"/>
  <c r="AC456" i="2"/>
  <c r="AB456" i="2"/>
  <c r="AA456" i="2"/>
  <c r="A458" i="2"/>
  <c r="K457" i="2"/>
  <c r="B457" i="2"/>
  <c r="L457" i="2"/>
  <c r="C457" i="2"/>
  <c r="M457" i="2"/>
  <c r="D457" i="2"/>
  <c r="E457" i="2"/>
  <c r="W457" i="2" s="1"/>
  <c r="F457" i="2"/>
  <c r="G457" i="2"/>
  <c r="J457" i="2"/>
  <c r="A388" i="6"/>
  <c r="J387" i="6"/>
  <c r="G387" i="6"/>
  <c r="F387" i="6"/>
  <c r="E387" i="6"/>
  <c r="S387" i="6" s="1"/>
  <c r="D387" i="6"/>
  <c r="C387" i="6"/>
  <c r="B387" i="6"/>
  <c r="Z456" i="2" l="1"/>
  <c r="L388" i="6"/>
  <c r="K388" i="6"/>
  <c r="T387" i="6"/>
  <c r="V387" i="6"/>
  <c r="U387" i="6"/>
  <c r="A459" i="2"/>
  <c r="G458" i="2"/>
  <c r="J458" i="2"/>
  <c r="K458" i="2"/>
  <c r="B458" i="2"/>
  <c r="L458" i="2"/>
  <c r="C458" i="2"/>
  <c r="M458" i="2"/>
  <c r="D458" i="2"/>
  <c r="E458" i="2"/>
  <c r="W458" i="2" s="1"/>
  <c r="F458" i="2"/>
  <c r="AB457" i="2"/>
  <c r="Y457" i="2"/>
  <c r="AA457" i="2"/>
  <c r="AC457" i="2"/>
  <c r="X457" i="2"/>
  <c r="AD456" i="2"/>
  <c r="A389" i="6"/>
  <c r="J388" i="6"/>
  <c r="G388" i="6"/>
  <c r="F388" i="6"/>
  <c r="E388" i="6"/>
  <c r="S388" i="6" s="1"/>
  <c r="D388" i="6"/>
  <c r="C388" i="6"/>
  <c r="B388" i="6"/>
  <c r="L389" i="6" l="1"/>
  <c r="K389" i="6"/>
  <c r="W387" i="6"/>
  <c r="Z457" i="2"/>
  <c r="AD457" i="2" s="1"/>
  <c r="V388" i="6"/>
  <c r="T388" i="6"/>
  <c r="U388" i="6"/>
  <c r="W388" i="6" s="1"/>
  <c r="X458" i="2"/>
  <c r="AC458" i="2"/>
  <c r="Y458" i="2"/>
  <c r="AA458" i="2"/>
  <c r="AB458" i="2"/>
  <c r="A460" i="2"/>
  <c r="F459" i="2"/>
  <c r="G459" i="2"/>
  <c r="J459" i="2"/>
  <c r="K459" i="2"/>
  <c r="B459" i="2"/>
  <c r="L459" i="2"/>
  <c r="C459" i="2"/>
  <c r="M459" i="2"/>
  <c r="D459" i="2"/>
  <c r="E459" i="2"/>
  <c r="W459" i="2" s="1"/>
  <c r="A390" i="6"/>
  <c r="J389" i="6"/>
  <c r="G389" i="6"/>
  <c r="F389" i="6"/>
  <c r="E389" i="6"/>
  <c r="S389" i="6" s="1"/>
  <c r="D389" i="6"/>
  <c r="C389" i="6"/>
  <c r="B389" i="6"/>
  <c r="Z458" i="2" l="1"/>
  <c r="K390" i="6"/>
  <c r="L390" i="6"/>
  <c r="T389" i="6"/>
  <c r="U389" i="6"/>
  <c r="V389" i="6"/>
  <c r="A461" i="2"/>
  <c r="C460" i="2"/>
  <c r="M460" i="2"/>
  <c r="D460" i="2"/>
  <c r="E460" i="2"/>
  <c r="W460" i="2" s="1"/>
  <c r="F460" i="2"/>
  <c r="G460" i="2"/>
  <c r="J460" i="2"/>
  <c r="B460" i="2"/>
  <c r="L460" i="2"/>
  <c r="K460" i="2"/>
  <c r="AD458" i="2"/>
  <c r="AA459" i="2"/>
  <c r="AC459" i="2"/>
  <c r="Y459" i="2"/>
  <c r="X459" i="2"/>
  <c r="AB459" i="2"/>
  <c r="A391" i="6"/>
  <c r="J390" i="6"/>
  <c r="G390" i="6"/>
  <c r="F390" i="6"/>
  <c r="E390" i="6"/>
  <c r="S390" i="6" s="1"/>
  <c r="D390" i="6"/>
  <c r="C390" i="6"/>
  <c r="B390" i="6"/>
  <c r="W389" i="6" l="1"/>
  <c r="L391" i="6"/>
  <c r="K391" i="6"/>
  <c r="Z459" i="2"/>
  <c r="AD459" i="2" s="1"/>
  <c r="T390" i="6"/>
  <c r="V390" i="6"/>
  <c r="U390" i="6"/>
  <c r="Y460" i="2"/>
  <c r="AA460" i="2"/>
  <c r="AC460" i="2"/>
  <c r="X460" i="2"/>
  <c r="AB460" i="2"/>
  <c r="A462" i="2"/>
  <c r="K461" i="2"/>
  <c r="B461" i="2"/>
  <c r="L461" i="2"/>
  <c r="C461" i="2"/>
  <c r="M461" i="2"/>
  <c r="D461" i="2"/>
  <c r="E461" i="2"/>
  <c r="W461" i="2" s="1"/>
  <c r="F461" i="2"/>
  <c r="G461" i="2"/>
  <c r="J461" i="2"/>
  <c r="A392" i="6"/>
  <c r="J391" i="6"/>
  <c r="G391" i="6"/>
  <c r="F391" i="6"/>
  <c r="E391" i="6"/>
  <c r="S391" i="6" s="1"/>
  <c r="D391" i="6"/>
  <c r="C391" i="6"/>
  <c r="B391" i="6"/>
  <c r="Z460" i="2" l="1"/>
  <c r="AD460" i="2" s="1"/>
  <c r="L392" i="6"/>
  <c r="K392" i="6"/>
  <c r="U391" i="6"/>
  <c r="T391" i="6"/>
  <c r="V391" i="6"/>
  <c r="W390" i="6"/>
  <c r="A463" i="2"/>
  <c r="G462" i="2"/>
  <c r="J462" i="2"/>
  <c r="K462" i="2"/>
  <c r="B462" i="2"/>
  <c r="L462" i="2"/>
  <c r="C462" i="2"/>
  <c r="M462" i="2"/>
  <c r="D462" i="2"/>
  <c r="E462" i="2"/>
  <c r="W462" i="2" s="1"/>
  <c r="F462" i="2"/>
  <c r="AC461" i="2"/>
  <c r="X461" i="2"/>
  <c r="Z461" i="2" s="1"/>
  <c r="Y461" i="2"/>
  <c r="AA461" i="2"/>
  <c r="AB461" i="2"/>
  <c r="A393" i="6"/>
  <c r="J392" i="6"/>
  <c r="G392" i="6"/>
  <c r="F392" i="6"/>
  <c r="E392" i="6"/>
  <c r="S392" i="6" s="1"/>
  <c r="D392" i="6"/>
  <c r="C392" i="6"/>
  <c r="B392" i="6"/>
  <c r="L393" i="6" l="1"/>
  <c r="K393" i="6"/>
  <c r="W391" i="6"/>
  <c r="V392" i="6"/>
  <c r="U392" i="6"/>
  <c r="T392" i="6"/>
  <c r="AD461" i="2"/>
  <c r="AA462" i="2"/>
  <c r="X462" i="2"/>
  <c r="Y462" i="2"/>
  <c r="AB462" i="2"/>
  <c r="AC462" i="2"/>
  <c r="A464" i="2"/>
  <c r="E463" i="2"/>
  <c r="W463" i="2" s="1"/>
  <c r="F463" i="2"/>
  <c r="G463" i="2"/>
  <c r="J463" i="2"/>
  <c r="K463" i="2"/>
  <c r="B463" i="2"/>
  <c r="L463" i="2"/>
  <c r="C463" i="2"/>
  <c r="D463" i="2"/>
  <c r="M463" i="2"/>
  <c r="A394" i="6"/>
  <c r="J393" i="6"/>
  <c r="G393" i="6"/>
  <c r="F393" i="6"/>
  <c r="E393" i="6"/>
  <c r="S393" i="6" s="1"/>
  <c r="D393" i="6"/>
  <c r="C393" i="6"/>
  <c r="B393" i="6"/>
  <c r="K394" i="6" l="1"/>
  <c r="L394" i="6"/>
  <c r="W392" i="6"/>
  <c r="Z462" i="2"/>
  <c r="V393" i="6"/>
  <c r="U393" i="6"/>
  <c r="T393" i="6"/>
  <c r="A465" i="2"/>
  <c r="E464" i="2"/>
  <c r="W464" i="2" s="1"/>
  <c r="F464" i="2"/>
  <c r="G464" i="2"/>
  <c r="J464" i="2"/>
  <c r="K464" i="2"/>
  <c r="B464" i="2"/>
  <c r="L464" i="2"/>
  <c r="C464" i="2"/>
  <c r="D464" i="2"/>
  <c r="M464" i="2"/>
  <c r="AD462" i="2"/>
  <c r="AB463" i="2"/>
  <c r="X463" i="2"/>
  <c r="Y463" i="2"/>
  <c r="AA463" i="2"/>
  <c r="AC463" i="2"/>
  <c r="A395" i="6"/>
  <c r="J394" i="6"/>
  <c r="G394" i="6"/>
  <c r="F394" i="6"/>
  <c r="E394" i="6"/>
  <c r="S394" i="6" s="1"/>
  <c r="D394" i="6"/>
  <c r="C394" i="6"/>
  <c r="B394" i="6"/>
  <c r="L395" i="6" l="1"/>
  <c r="K395" i="6"/>
  <c r="W393" i="6"/>
  <c r="T394" i="6"/>
  <c r="U394" i="6"/>
  <c r="V394" i="6"/>
  <c r="Z463" i="2"/>
  <c r="AD463" i="2" s="1"/>
  <c r="X464" i="2"/>
  <c r="AB464" i="2"/>
  <c r="AC464" i="2"/>
  <c r="AA464" i="2"/>
  <c r="Y464" i="2"/>
  <c r="A466" i="2"/>
  <c r="K465" i="2"/>
  <c r="B465" i="2"/>
  <c r="L465" i="2"/>
  <c r="C465" i="2"/>
  <c r="M465" i="2"/>
  <c r="D465" i="2"/>
  <c r="E465" i="2"/>
  <c r="W465" i="2" s="1"/>
  <c r="F465" i="2"/>
  <c r="G465" i="2"/>
  <c r="J465" i="2"/>
  <c r="A396" i="6"/>
  <c r="J395" i="6"/>
  <c r="G395" i="6"/>
  <c r="F395" i="6"/>
  <c r="E395" i="6"/>
  <c r="S395" i="6" s="1"/>
  <c r="D395" i="6"/>
  <c r="C395" i="6"/>
  <c r="B395" i="6"/>
  <c r="Z464" i="2" l="1"/>
  <c r="K396" i="6"/>
  <c r="L396" i="6"/>
  <c r="AD464" i="2"/>
  <c r="W394" i="6"/>
  <c r="U395" i="6"/>
  <c r="V395" i="6"/>
  <c r="T395" i="6"/>
  <c r="A467" i="2"/>
  <c r="G466" i="2"/>
  <c r="J466" i="2"/>
  <c r="K466" i="2"/>
  <c r="B466" i="2"/>
  <c r="L466" i="2"/>
  <c r="C466" i="2"/>
  <c r="M466" i="2"/>
  <c r="D466" i="2"/>
  <c r="E466" i="2"/>
  <c r="W466" i="2" s="1"/>
  <c r="F466" i="2"/>
  <c r="X465" i="2"/>
  <c r="AB465" i="2"/>
  <c r="Y465" i="2"/>
  <c r="AA465" i="2"/>
  <c r="AC465" i="2"/>
  <c r="A397" i="6"/>
  <c r="J396" i="6"/>
  <c r="G396" i="6"/>
  <c r="F396" i="6"/>
  <c r="E396" i="6"/>
  <c r="S396" i="6" s="1"/>
  <c r="D396" i="6"/>
  <c r="C396" i="6"/>
  <c r="B396" i="6"/>
  <c r="K397" i="6" l="1"/>
  <c r="L397" i="6"/>
  <c r="W395" i="6"/>
  <c r="T396" i="6"/>
  <c r="U396" i="6"/>
  <c r="V396" i="6"/>
  <c r="Z465" i="2"/>
  <c r="AD465" i="2" s="1"/>
  <c r="X466" i="2"/>
  <c r="AB466" i="2"/>
  <c r="AC466" i="2"/>
  <c r="Y466" i="2"/>
  <c r="AA466" i="2"/>
  <c r="A468" i="2"/>
  <c r="E467" i="2"/>
  <c r="W467" i="2" s="1"/>
  <c r="F467" i="2"/>
  <c r="G467" i="2"/>
  <c r="J467" i="2"/>
  <c r="K467" i="2"/>
  <c r="B467" i="2"/>
  <c r="L467" i="2"/>
  <c r="C467" i="2"/>
  <c r="D467" i="2"/>
  <c r="M467" i="2"/>
  <c r="A398" i="6"/>
  <c r="J397" i="6"/>
  <c r="G397" i="6"/>
  <c r="F397" i="6"/>
  <c r="E397" i="6"/>
  <c r="S397" i="6" s="1"/>
  <c r="D397" i="6"/>
  <c r="C397" i="6"/>
  <c r="B397" i="6"/>
  <c r="W396" i="6" l="1"/>
  <c r="K398" i="6"/>
  <c r="L398" i="6"/>
  <c r="T397" i="6"/>
  <c r="V397" i="6"/>
  <c r="U397" i="6"/>
  <c r="Z466" i="2"/>
  <c r="AD466" i="2" s="1"/>
  <c r="A469" i="2"/>
  <c r="D468" i="2"/>
  <c r="E468" i="2"/>
  <c r="W468" i="2" s="1"/>
  <c r="F468" i="2"/>
  <c r="G468" i="2"/>
  <c r="J468" i="2"/>
  <c r="K468" i="2"/>
  <c r="M468" i="2"/>
  <c r="B468" i="2"/>
  <c r="L468" i="2"/>
  <c r="C468" i="2"/>
  <c r="AC467" i="2"/>
  <c r="X467" i="2"/>
  <c r="Y467" i="2"/>
  <c r="AA467" i="2"/>
  <c r="AB467" i="2"/>
  <c r="A399" i="6"/>
  <c r="J398" i="6"/>
  <c r="G398" i="6"/>
  <c r="F398" i="6"/>
  <c r="E398" i="6"/>
  <c r="S398" i="6" s="1"/>
  <c r="D398" i="6"/>
  <c r="C398" i="6"/>
  <c r="B398" i="6"/>
  <c r="K399" i="6" l="1"/>
  <c r="L399" i="6"/>
  <c r="W397" i="6"/>
  <c r="T398" i="6"/>
  <c r="V398" i="6"/>
  <c r="U398" i="6"/>
  <c r="W398" i="6" s="1"/>
  <c r="Z467" i="2"/>
  <c r="AD467" i="2" s="1"/>
  <c r="AA468" i="2"/>
  <c r="AB468" i="2"/>
  <c r="AC468" i="2"/>
  <c r="X468" i="2"/>
  <c r="Y468" i="2"/>
  <c r="A470" i="2"/>
  <c r="D469" i="2"/>
  <c r="E469" i="2"/>
  <c r="W469" i="2" s="1"/>
  <c r="F469" i="2"/>
  <c r="G469" i="2"/>
  <c r="J469" i="2"/>
  <c r="K469" i="2"/>
  <c r="C469" i="2"/>
  <c r="L469" i="2"/>
  <c r="M469" i="2"/>
  <c r="B469" i="2"/>
  <c r="A400" i="6"/>
  <c r="J399" i="6"/>
  <c r="G399" i="6"/>
  <c r="F399" i="6"/>
  <c r="E399" i="6"/>
  <c r="S399" i="6" s="1"/>
  <c r="D399" i="6"/>
  <c r="C399" i="6"/>
  <c r="B399" i="6"/>
  <c r="K400" i="6" l="1"/>
  <c r="L400" i="6"/>
  <c r="U399" i="6"/>
  <c r="T399" i="6"/>
  <c r="V399" i="6"/>
  <c r="Z468" i="2"/>
  <c r="AD468" i="2" s="1"/>
  <c r="A471" i="2"/>
  <c r="C470" i="2"/>
  <c r="M470" i="2"/>
  <c r="D470" i="2"/>
  <c r="E470" i="2"/>
  <c r="W470" i="2" s="1"/>
  <c r="F470" i="2"/>
  <c r="G470" i="2"/>
  <c r="J470" i="2"/>
  <c r="B470" i="2"/>
  <c r="K470" i="2"/>
  <c r="L470" i="2"/>
  <c r="AC469" i="2"/>
  <c r="X469" i="2"/>
  <c r="AA469" i="2"/>
  <c r="AB469" i="2"/>
  <c r="Y469" i="2"/>
  <c r="A401" i="6"/>
  <c r="J400" i="6"/>
  <c r="G400" i="6"/>
  <c r="F400" i="6"/>
  <c r="E400" i="6"/>
  <c r="S400" i="6" s="1"/>
  <c r="D400" i="6"/>
  <c r="C400" i="6"/>
  <c r="B400" i="6"/>
  <c r="Z469" i="2" l="1"/>
  <c r="AD469" i="2" s="1"/>
  <c r="L401" i="6"/>
  <c r="K401" i="6"/>
  <c r="V400" i="6"/>
  <c r="U400" i="6"/>
  <c r="T400" i="6"/>
  <c r="W399" i="6"/>
  <c r="AC470" i="2"/>
  <c r="AB470" i="2"/>
  <c r="X470" i="2"/>
  <c r="AA470" i="2"/>
  <c r="Y470" i="2"/>
  <c r="A472" i="2"/>
  <c r="K471" i="2"/>
  <c r="B471" i="2"/>
  <c r="L471" i="2"/>
  <c r="C471" i="2"/>
  <c r="M471" i="2"/>
  <c r="D471" i="2"/>
  <c r="E471" i="2"/>
  <c r="W471" i="2" s="1"/>
  <c r="F471" i="2"/>
  <c r="G471" i="2"/>
  <c r="J471" i="2"/>
  <c r="A402" i="6"/>
  <c r="J401" i="6"/>
  <c r="G401" i="6"/>
  <c r="F401" i="6"/>
  <c r="E401" i="6"/>
  <c r="S401" i="6" s="1"/>
  <c r="D401" i="6"/>
  <c r="C401" i="6"/>
  <c r="B401" i="6"/>
  <c r="Z470" i="2" l="1"/>
  <c r="K402" i="6"/>
  <c r="L402" i="6"/>
  <c r="W400" i="6"/>
  <c r="T401" i="6"/>
  <c r="U401" i="6"/>
  <c r="V401" i="6"/>
  <c r="AA471" i="2"/>
  <c r="Y471" i="2"/>
  <c r="AB471" i="2"/>
  <c r="AC471" i="2"/>
  <c r="X471" i="2"/>
  <c r="Z471" i="2" s="1"/>
  <c r="AD470" i="2"/>
  <c r="A473" i="2"/>
  <c r="E472" i="2"/>
  <c r="W472" i="2" s="1"/>
  <c r="F472" i="2"/>
  <c r="G472" i="2"/>
  <c r="J472" i="2"/>
  <c r="K472" i="2"/>
  <c r="B472" i="2"/>
  <c r="L472" i="2"/>
  <c r="C472" i="2"/>
  <c r="D472" i="2"/>
  <c r="M472" i="2"/>
  <c r="A403" i="6"/>
  <c r="J402" i="6"/>
  <c r="G402" i="6"/>
  <c r="F402" i="6"/>
  <c r="E402" i="6"/>
  <c r="S402" i="6" s="1"/>
  <c r="D402" i="6"/>
  <c r="C402" i="6"/>
  <c r="B402" i="6"/>
  <c r="K403" i="6" l="1"/>
  <c r="L403" i="6"/>
  <c r="T402" i="6"/>
  <c r="U402" i="6"/>
  <c r="W402" i="6" s="1"/>
  <c r="V402" i="6"/>
  <c r="W401" i="6"/>
  <c r="AD471" i="2"/>
  <c r="AA472" i="2"/>
  <c r="AB472" i="2"/>
  <c r="AC472" i="2"/>
  <c r="Y472" i="2"/>
  <c r="X472" i="2"/>
  <c r="Z472" i="2" s="1"/>
  <c r="A474" i="2"/>
  <c r="C473" i="2"/>
  <c r="M473" i="2"/>
  <c r="D473" i="2"/>
  <c r="E473" i="2"/>
  <c r="W473" i="2" s="1"/>
  <c r="F473" i="2"/>
  <c r="G473" i="2"/>
  <c r="J473" i="2"/>
  <c r="K473" i="2"/>
  <c r="L473" i="2"/>
  <c r="B473" i="2"/>
  <c r="A404" i="6"/>
  <c r="J403" i="6"/>
  <c r="G403" i="6"/>
  <c r="F403" i="6"/>
  <c r="E403" i="6"/>
  <c r="S403" i="6" s="1"/>
  <c r="D403" i="6"/>
  <c r="C403" i="6"/>
  <c r="B403" i="6"/>
  <c r="L404" i="6" l="1"/>
  <c r="K404" i="6"/>
  <c r="U403" i="6"/>
  <c r="V403" i="6"/>
  <c r="T403" i="6"/>
  <c r="W403" i="6" s="1"/>
  <c r="AD472" i="2"/>
  <c r="A475" i="2"/>
  <c r="K474" i="2"/>
  <c r="B474" i="2"/>
  <c r="L474" i="2"/>
  <c r="C474" i="2"/>
  <c r="M474" i="2"/>
  <c r="D474" i="2"/>
  <c r="E474" i="2"/>
  <c r="W474" i="2" s="1"/>
  <c r="F474" i="2"/>
  <c r="G474" i="2"/>
  <c r="J474" i="2"/>
  <c r="AA473" i="2"/>
  <c r="AB473" i="2"/>
  <c r="AC473" i="2"/>
  <c r="X473" i="2"/>
  <c r="Y473" i="2"/>
  <c r="A405" i="6"/>
  <c r="J404" i="6"/>
  <c r="G404" i="6"/>
  <c r="F404" i="6"/>
  <c r="E404" i="6"/>
  <c r="S404" i="6" s="1"/>
  <c r="D404" i="6"/>
  <c r="C404" i="6"/>
  <c r="B404" i="6"/>
  <c r="K405" i="6" l="1"/>
  <c r="L405" i="6"/>
  <c r="Z473" i="2"/>
  <c r="AD473" i="2" s="1"/>
  <c r="T404" i="6"/>
  <c r="U404" i="6"/>
  <c r="V404" i="6"/>
  <c r="X474" i="2"/>
  <c r="AB474" i="2"/>
  <c r="AC474" i="2"/>
  <c r="Y474" i="2"/>
  <c r="AA474" i="2"/>
  <c r="A476" i="2"/>
  <c r="F475" i="2"/>
  <c r="G475" i="2"/>
  <c r="J475" i="2"/>
  <c r="K475" i="2"/>
  <c r="B475" i="2"/>
  <c r="L475" i="2"/>
  <c r="C475" i="2"/>
  <c r="M475" i="2"/>
  <c r="D475" i="2"/>
  <c r="E475" i="2"/>
  <c r="W475" i="2" s="1"/>
  <c r="A406" i="6"/>
  <c r="J405" i="6"/>
  <c r="G405" i="6"/>
  <c r="F405" i="6"/>
  <c r="E405" i="6"/>
  <c r="S405" i="6" s="1"/>
  <c r="D405" i="6"/>
  <c r="C405" i="6"/>
  <c r="B405" i="6"/>
  <c r="W404" i="6" l="1"/>
  <c r="K406" i="6"/>
  <c r="L406" i="6"/>
  <c r="T405" i="6"/>
  <c r="V405" i="6"/>
  <c r="U405" i="6"/>
  <c r="A477" i="2"/>
  <c r="E476" i="2"/>
  <c r="W476" i="2" s="1"/>
  <c r="F476" i="2"/>
  <c r="G476" i="2"/>
  <c r="J476" i="2"/>
  <c r="K476" i="2"/>
  <c r="B476" i="2"/>
  <c r="L476" i="2"/>
  <c r="C476" i="2"/>
  <c r="D476" i="2"/>
  <c r="M476" i="2"/>
  <c r="AC475" i="2"/>
  <c r="X475" i="2"/>
  <c r="Y475" i="2"/>
  <c r="AA475" i="2"/>
  <c r="AB475" i="2"/>
  <c r="Z474" i="2"/>
  <c r="AD474" i="2" s="1"/>
  <c r="A407" i="6"/>
  <c r="J406" i="6"/>
  <c r="G406" i="6"/>
  <c r="F406" i="6"/>
  <c r="E406" i="6"/>
  <c r="S406" i="6" s="1"/>
  <c r="D406" i="6"/>
  <c r="C406" i="6"/>
  <c r="B406" i="6"/>
  <c r="Z475" i="2" l="1"/>
  <c r="L407" i="6"/>
  <c r="K407" i="6"/>
  <c r="T406" i="6"/>
  <c r="U406" i="6"/>
  <c r="V406" i="6"/>
  <c r="W405" i="6"/>
  <c r="AD475" i="2"/>
  <c r="Y476" i="2"/>
  <c r="X476" i="2"/>
  <c r="Z476" i="2" s="1"/>
  <c r="AA476" i="2"/>
  <c r="AB476" i="2"/>
  <c r="AC476" i="2"/>
  <c r="A478" i="2"/>
  <c r="E477" i="2"/>
  <c r="W477" i="2" s="1"/>
  <c r="F477" i="2"/>
  <c r="G477" i="2"/>
  <c r="J477" i="2"/>
  <c r="K477" i="2"/>
  <c r="B477" i="2"/>
  <c r="L477" i="2"/>
  <c r="M477" i="2"/>
  <c r="C477" i="2"/>
  <c r="D477" i="2"/>
  <c r="A408" i="6"/>
  <c r="J407" i="6"/>
  <c r="G407" i="6"/>
  <c r="F407" i="6"/>
  <c r="E407" i="6"/>
  <c r="S407" i="6" s="1"/>
  <c r="D407" i="6"/>
  <c r="C407" i="6"/>
  <c r="B407" i="6"/>
  <c r="K408" i="6" l="1"/>
  <c r="L408" i="6"/>
  <c r="U407" i="6"/>
  <c r="T407" i="6"/>
  <c r="V407" i="6"/>
  <c r="W406" i="6"/>
  <c r="A479" i="2"/>
  <c r="D478" i="2"/>
  <c r="E478" i="2"/>
  <c r="W478" i="2" s="1"/>
  <c r="F478" i="2"/>
  <c r="G478" i="2"/>
  <c r="J478" i="2"/>
  <c r="K478" i="2"/>
  <c r="C478" i="2"/>
  <c r="L478" i="2"/>
  <c r="M478" i="2"/>
  <c r="B478" i="2"/>
  <c r="AD476" i="2"/>
  <c r="AA477" i="2"/>
  <c r="Y477" i="2"/>
  <c r="AB477" i="2"/>
  <c r="X477" i="2"/>
  <c r="Z477" i="2" s="1"/>
  <c r="AC477" i="2"/>
  <c r="A409" i="6"/>
  <c r="J408" i="6"/>
  <c r="G408" i="6"/>
  <c r="F408" i="6"/>
  <c r="E408" i="6"/>
  <c r="S408" i="6" s="1"/>
  <c r="D408" i="6"/>
  <c r="C408" i="6"/>
  <c r="B408" i="6"/>
  <c r="L409" i="6" l="1"/>
  <c r="K409" i="6"/>
  <c r="AD477" i="2"/>
  <c r="W407" i="6"/>
  <c r="V408" i="6"/>
  <c r="T408" i="6"/>
  <c r="U408" i="6"/>
  <c r="AC478" i="2"/>
  <c r="AB478" i="2"/>
  <c r="AA478" i="2"/>
  <c r="X478" i="2"/>
  <c r="Y478" i="2"/>
  <c r="A480" i="2"/>
  <c r="B479" i="2"/>
  <c r="L479" i="2"/>
  <c r="C479" i="2"/>
  <c r="M479" i="2"/>
  <c r="D479" i="2"/>
  <c r="E479" i="2"/>
  <c r="W479" i="2" s="1"/>
  <c r="F479" i="2"/>
  <c r="G479" i="2"/>
  <c r="J479" i="2"/>
  <c r="K479" i="2"/>
  <c r="A410" i="6"/>
  <c r="J409" i="6"/>
  <c r="G409" i="6"/>
  <c r="F409" i="6"/>
  <c r="E409" i="6"/>
  <c r="S409" i="6" s="1"/>
  <c r="D409" i="6"/>
  <c r="C409" i="6"/>
  <c r="B409" i="6"/>
  <c r="K410" i="6" l="1"/>
  <c r="L410" i="6"/>
  <c r="W408" i="6"/>
  <c r="T409" i="6"/>
  <c r="U409" i="6"/>
  <c r="V409" i="6"/>
  <c r="A481" i="2"/>
  <c r="J480" i="2"/>
  <c r="K480" i="2"/>
  <c r="B480" i="2"/>
  <c r="L480" i="2"/>
  <c r="C480" i="2"/>
  <c r="M480" i="2"/>
  <c r="D480" i="2"/>
  <c r="E480" i="2"/>
  <c r="W480" i="2" s="1"/>
  <c r="F480" i="2"/>
  <c r="G480" i="2"/>
  <c r="AA479" i="2"/>
  <c r="Y479" i="2"/>
  <c r="X479" i="2"/>
  <c r="Z479" i="2" s="1"/>
  <c r="AC479" i="2"/>
  <c r="AB479" i="2"/>
  <c r="Z478" i="2"/>
  <c r="AD478" i="2" s="1"/>
  <c r="A411" i="6"/>
  <c r="J410" i="6"/>
  <c r="G410" i="6"/>
  <c r="F410" i="6"/>
  <c r="E410" i="6"/>
  <c r="S410" i="6" s="1"/>
  <c r="D410" i="6"/>
  <c r="C410" i="6"/>
  <c r="B410" i="6"/>
  <c r="K411" i="6" l="1"/>
  <c r="L411" i="6"/>
  <c r="T410" i="6"/>
  <c r="V410" i="6"/>
  <c r="U410" i="6"/>
  <c r="W410" i="6" s="1"/>
  <c r="AD479" i="2"/>
  <c r="W409" i="6"/>
  <c r="AA480" i="2"/>
  <c r="AB480" i="2"/>
  <c r="AC480" i="2"/>
  <c r="X480" i="2"/>
  <c r="Z480" i="2" s="1"/>
  <c r="Y480" i="2"/>
  <c r="A482" i="2"/>
  <c r="F481" i="2"/>
  <c r="G481" i="2"/>
  <c r="J481" i="2"/>
  <c r="K481" i="2"/>
  <c r="B481" i="2"/>
  <c r="L481" i="2"/>
  <c r="C481" i="2"/>
  <c r="M481" i="2"/>
  <c r="D481" i="2"/>
  <c r="E481" i="2"/>
  <c r="W481" i="2" s="1"/>
  <c r="A412" i="6"/>
  <c r="J411" i="6"/>
  <c r="G411" i="6"/>
  <c r="F411" i="6"/>
  <c r="E411" i="6"/>
  <c r="S411" i="6" s="1"/>
  <c r="D411" i="6"/>
  <c r="C411" i="6"/>
  <c r="B411" i="6"/>
  <c r="K412" i="6" l="1"/>
  <c r="L412" i="6"/>
  <c r="T411" i="6"/>
  <c r="U411" i="6"/>
  <c r="V411" i="6"/>
  <c r="AD480" i="2"/>
  <c r="A483" i="2"/>
  <c r="C482" i="2"/>
  <c r="M482" i="2"/>
  <c r="D482" i="2"/>
  <c r="E482" i="2"/>
  <c r="W482" i="2" s="1"/>
  <c r="F482" i="2"/>
  <c r="G482" i="2"/>
  <c r="J482" i="2"/>
  <c r="L482" i="2"/>
  <c r="B482" i="2"/>
  <c r="K482" i="2"/>
  <c r="AA481" i="2"/>
  <c r="AB481" i="2"/>
  <c r="AC481" i="2"/>
  <c r="X481" i="2"/>
  <c r="Z481" i="2" s="1"/>
  <c r="Y481" i="2"/>
  <c r="A413" i="6"/>
  <c r="J412" i="6"/>
  <c r="G412" i="6"/>
  <c r="F412" i="6"/>
  <c r="E412" i="6"/>
  <c r="S412" i="6" s="1"/>
  <c r="D412" i="6"/>
  <c r="C412" i="6"/>
  <c r="B412" i="6"/>
  <c r="K413" i="6" l="1"/>
  <c r="L413" i="6"/>
  <c r="W411" i="6"/>
  <c r="T412" i="6"/>
  <c r="U412" i="6"/>
  <c r="V412" i="6"/>
  <c r="AD481" i="2"/>
  <c r="X482" i="2"/>
  <c r="AB482" i="2"/>
  <c r="AC482" i="2"/>
  <c r="Y482" i="2"/>
  <c r="AA482" i="2"/>
  <c r="A484" i="2"/>
  <c r="K483" i="2"/>
  <c r="B483" i="2"/>
  <c r="L483" i="2"/>
  <c r="C483" i="2"/>
  <c r="M483" i="2"/>
  <c r="D483" i="2"/>
  <c r="E483" i="2"/>
  <c r="W483" i="2" s="1"/>
  <c r="F483" i="2"/>
  <c r="G483" i="2"/>
  <c r="J483" i="2"/>
  <c r="A414" i="6"/>
  <c r="J413" i="6"/>
  <c r="G413" i="6"/>
  <c r="F413" i="6"/>
  <c r="E413" i="6"/>
  <c r="S413" i="6" s="1"/>
  <c r="D413" i="6"/>
  <c r="C413" i="6"/>
  <c r="B413" i="6"/>
  <c r="Z482" i="2" l="1"/>
  <c r="AD482" i="2" s="1"/>
  <c r="L414" i="6"/>
  <c r="K414" i="6"/>
  <c r="W412" i="6"/>
  <c r="T413" i="6"/>
  <c r="V413" i="6"/>
  <c r="U413" i="6"/>
  <c r="W413" i="6" s="1"/>
  <c r="A485" i="2"/>
  <c r="J484" i="2"/>
  <c r="K484" i="2"/>
  <c r="B484" i="2"/>
  <c r="L484" i="2"/>
  <c r="C484" i="2"/>
  <c r="M484" i="2"/>
  <c r="D484" i="2"/>
  <c r="E484" i="2"/>
  <c r="W484" i="2" s="1"/>
  <c r="F484" i="2"/>
  <c r="G484" i="2"/>
  <c r="AC483" i="2"/>
  <c r="X483" i="2"/>
  <c r="Y483" i="2"/>
  <c r="AA483" i="2"/>
  <c r="AB483" i="2"/>
  <c r="A415" i="6"/>
  <c r="J414" i="6"/>
  <c r="G414" i="6"/>
  <c r="F414" i="6"/>
  <c r="E414" i="6"/>
  <c r="S414" i="6" s="1"/>
  <c r="D414" i="6"/>
  <c r="C414" i="6"/>
  <c r="B414" i="6"/>
  <c r="L415" i="6" l="1"/>
  <c r="K415" i="6"/>
  <c r="U414" i="6"/>
  <c r="T414" i="6"/>
  <c r="V414" i="6"/>
  <c r="Z483" i="2"/>
  <c r="AD483" i="2" s="1"/>
  <c r="AA484" i="2"/>
  <c r="AB484" i="2"/>
  <c r="AC484" i="2"/>
  <c r="X484" i="2"/>
  <c r="Y484" i="2"/>
  <c r="A486" i="2"/>
  <c r="J485" i="2"/>
  <c r="K485" i="2"/>
  <c r="B485" i="2"/>
  <c r="L485" i="2"/>
  <c r="C485" i="2"/>
  <c r="M485" i="2"/>
  <c r="D485" i="2"/>
  <c r="E485" i="2"/>
  <c r="W485" i="2" s="1"/>
  <c r="F485" i="2"/>
  <c r="G485" i="2"/>
  <c r="A416" i="6"/>
  <c r="J415" i="6"/>
  <c r="G415" i="6"/>
  <c r="F415" i="6"/>
  <c r="E415" i="6"/>
  <c r="S415" i="6" s="1"/>
  <c r="D415" i="6"/>
  <c r="C415" i="6"/>
  <c r="B415" i="6"/>
  <c r="K416" i="6" l="1"/>
  <c r="L416" i="6"/>
  <c r="W414" i="6"/>
  <c r="U415" i="6"/>
  <c r="T415" i="6"/>
  <c r="V415" i="6"/>
  <c r="W415" i="6" s="1"/>
  <c r="AB485" i="2"/>
  <c r="AC485" i="2"/>
  <c r="Y485" i="2"/>
  <c r="AA485" i="2"/>
  <c r="X485" i="2"/>
  <c r="Z485" i="2" s="1"/>
  <c r="A487" i="2"/>
  <c r="G486" i="2"/>
  <c r="J486" i="2"/>
  <c r="K486" i="2"/>
  <c r="B486" i="2"/>
  <c r="L486" i="2"/>
  <c r="C486" i="2"/>
  <c r="M486" i="2"/>
  <c r="D486" i="2"/>
  <c r="E486" i="2"/>
  <c r="W486" i="2" s="1"/>
  <c r="F486" i="2"/>
  <c r="Z484" i="2"/>
  <c r="AD484" i="2" s="1"/>
  <c r="A417" i="6"/>
  <c r="J416" i="6"/>
  <c r="G416" i="6"/>
  <c r="F416" i="6"/>
  <c r="E416" i="6"/>
  <c r="S416" i="6" s="1"/>
  <c r="D416" i="6"/>
  <c r="C416" i="6"/>
  <c r="B416" i="6"/>
  <c r="AD485" i="2" l="1"/>
  <c r="L417" i="6"/>
  <c r="K417" i="6"/>
  <c r="V416" i="6"/>
  <c r="U416" i="6"/>
  <c r="T416" i="6"/>
  <c r="W416" i="6" s="1"/>
  <c r="A488" i="2"/>
  <c r="F487" i="2"/>
  <c r="G487" i="2"/>
  <c r="J487" i="2"/>
  <c r="K487" i="2"/>
  <c r="B487" i="2"/>
  <c r="L487" i="2"/>
  <c r="C487" i="2"/>
  <c r="M487" i="2"/>
  <c r="D487" i="2"/>
  <c r="E487" i="2"/>
  <c r="W487" i="2" s="1"/>
  <c r="AC486" i="2"/>
  <c r="Y486" i="2"/>
  <c r="AB486" i="2"/>
  <c r="AA486" i="2"/>
  <c r="X486" i="2"/>
  <c r="A418" i="6"/>
  <c r="B417" i="6"/>
  <c r="J417" i="6"/>
  <c r="G417" i="6"/>
  <c r="F417" i="6"/>
  <c r="E417" i="6"/>
  <c r="S417" i="6" s="1"/>
  <c r="D417" i="6"/>
  <c r="C417" i="6"/>
  <c r="L418" i="6" l="1"/>
  <c r="K418" i="6"/>
  <c r="Z486" i="2"/>
  <c r="U417" i="6"/>
  <c r="T417" i="6"/>
  <c r="V417" i="6"/>
  <c r="W417" i="6" s="1"/>
  <c r="AD486" i="2"/>
  <c r="AA487" i="2"/>
  <c r="Y487" i="2"/>
  <c r="AC487" i="2"/>
  <c r="AB487" i="2"/>
  <c r="X487" i="2"/>
  <c r="A489" i="2"/>
  <c r="B488" i="2"/>
  <c r="L488" i="2"/>
  <c r="C488" i="2"/>
  <c r="M488" i="2"/>
  <c r="D488" i="2"/>
  <c r="E488" i="2"/>
  <c r="W488" i="2" s="1"/>
  <c r="F488" i="2"/>
  <c r="G488" i="2"/>
  <c r="J488" i="2"/>
  <c r="K488" i="2"/>
  <c r="A419" i="6"/>
  <c r="C418" i="6"/>
  <c r="B418" i="6"/>
  <c r="J418" i="6"/>
  <c r="G418" i="6"/>
  <c r="F418" i="6"/>
  <c r="E418" i="6"/>
  <c r="S418" i="6" s="1"/>
  <c r="D418" i="6"/>
  <c r="K419" i="6" l="1"/>
  <c r="L419" i="6"/>
  <c r="T418" i="6"/>
  <c r="V418" i="6"/>
  <c r="U418" i="6"/>
  <c r="Z487" i="2"/>
  <c r="AD487" i="2" s="1"/>
  <c r="A490" i="2"/>
  <c r="J489" i="2"/>
  <c r="K489" i="2"/>
  <c r="B489" i="2"/>
  <c r="L489" i="2"/>
  <c r="C489" i="2"/>
  <c r="M489" i="2"/>
  <c r="D489" i="2"/>
  <c r="E489" i="2"/>
  <c r="W489" i="2" s="1"/>
  <c r="F489" i="2"/>
  <c r="G489" i="2"/>
  <c r="X488" i="2"/>
  <c r="Y488" i="2"/>
  <c r="AA488" i="2"/>
  <c r="AB488" i="2"/>
  <c r="AC488" i="2"/>
  <c r="A420" i="6"/>
  <c r="D419" i="6"/>
  <c r="C419" i="6"/>
  <c r="B419" i="6"/>
  <c r="J419" i="6"/>
  <c r="G419" i="6"/>
  <c r="F419" i="6"/>
  <c r="E419" i="6"/>
  <c r="S419" i="6" s="1"/>
  <c r="L420" i="6" l="1"/>
  <c r="K420" i="6"/>
  <c r="V419" i="6"/>
  <c r="U419" i="6"/>
  <c r="T419" i="6"/>
  <c r="W418" i="6"/>
  <c r="Z488" i="2"/>
  <c r="AD488" i="2" s="1"/>
  <c r="AA489" i="2"/>
  <c r="Y489" i="2"/>
  <c r="AB489" i="2"/>
  <c r="AC489" i="2"/>
  <c r="X489" i="2"/>
  <c r="Z489" i="2" s="1"/>
  <c r="A491" i="2"/>
  <c r="E490" i="2"/>
  <c r="W490" i="2" s="1"/>
  <c r="F490" i="2"/>
  <c r="G490" i="2"/>
  <c r="J490" i="2"/>
  <c r="K490" i="2"/>
  <c r="B490" i="2"/>
  <c r="L490" i="2"/>
  <c r="C490" i="2"/>
  <c r="D490" i="2"/>
  <c r="M490" i="2"/>
  <c r="A421" i="6"/>
  <c r="E420" i="6"/>
  <c r="S420" i="6" s="1"/>
  <c r="D420" i="6"/>
  <c r="C420" i="6"/>
  <c r="B420" i="6"/>
  <c r="J420" i="6"/>
  <c r="G420" i="6"/>
  <c r="F420" i="6"/>
  <c r="L421" i="6" l="1"/>
  <c r="K421" i="6"/>
  <c r="W419" i="6"/>
  <c r="T420" i="6"/>
  <c r="U420" i="6"/>
  <c r="V420" i="6"/>
  <c r="AD489" i="2"/>
  <c r="X490" i="2"/>
  <c r="Y490" i="2"/>
  <c r="AA490" i="2"/>
  <c r="AB490" i="2"/>
  <c r="AC490" i="2"/>
  <c r="A492" i="2"/>
  <c r="B491" i="2"/>
  <c r="L491" i="2"/>
  <c r="C491" i="2"/>
  <c r="M491" i="2"/>
  <c r="D491" i="2"/>
  <c r="E491" i="2"/>
  <c r="W491" i="2" s="1"/>
  <c r="F491" i="2"/>
  <c r="G491" i="2"/>
  <c r="J491" i="2"/>
  <c r="K491" i="2"/>
  <c r="A422" i="6"/>
  <c r="F421" i="6"/>
  <c r="E421" i="6"/>
  <c r="S421" i="6" s="1"/>
  <c r="D421" i="6"/>
  <c r="C421" i="6"/>
  <c r="B421" i="6"/>
  <c r="J421" i="6"/>
  <c r="G421" i="6"/>
  <c r="Z490" i="2" l="1"/>
  <c r="W420" i="6"/>
  <c r="K422" i="6"/>
  <c r="L422" i="6"/>
  <c r="T421" i="6"/>
  <c r="V421" i="6"/>
  <c r="U421" i="6"/>
  <c r="A493" i="2"/>
  <c r="K492" i="2"/>
  <c r="B492" i="2"/>
  <c r="L492" i="2"/>
  <c r="C492" i="2"/>
  <c r="M492" i="2"/>
  <c r="D492" i="2"/>
  <c r="E492" i="2"/>
  <c r="W492" i="2" s="1"/>
  <c r="F492" i="2"/>
  <c r="G492" i="2"/>
  <c r="J492" i="2"/>
  <c r="AC491" i="2"/>
  <c r="X491" i="2"/>
  <c r="Y491" i="2"/>
  <c r="AA491" i="2"/>
  <c r="AB491" i="2"/>
  <c r="AD490" i="2"/>
  <c r="A423" i="6"/>
  <c r="G422" i="6"/>
  <c r="F422" i="6"/>
  <c r="E422" i="6"/>
  <c r="S422" i="6" s="1"/>
  <c r="D422" i="6"/>
  <c r="C422" i="6"/>
  <c r="B422" i="6"/>
  <c r="J422" i="6"/>
  <c r="W421" i="6" l="1"/>
  <c r="K423" i="6"/>
  <c r="L423" i="6"/>
  <c r="T422" i="6"/>
  <c r="U422" i="6"/>
  <c r="V422" i="6"/>
  <c r="AC492" i="2"/>
  <c r="AB492" i="2"/>
  <c r="X492" i="2"/>
  <c r="Y492" i="2"/>
  <c r="AA492" i="2"/>
  <c r="Z491" i="2"/>
  <c r="AD491" i="2" s="1"/>
  <c r="A494" i="2"/>
  <c r="K493" i="2"/>
  <c r="B493" i="2"/>
  <c r="L493" i="2"/>
  <c r="C493" i="2"/>
  <c r="M493" i="2"/>
  <c r="D493" i="2"/>
  <c r="E493" i="2"/>
  <c r="W493" i="2" s="1"/>
  <c r="F493" i="2"/>
  <c r="G493" i="2"/>
  <c r="J493" i="2"/>
  <c r="A424" i="6"/>
  <c r="J423" i="6"/>
  <c r="G423" i="6"/>
  <c r="F423" i="6"/>
  <c r="E423" i="6"/>
  <c r="S423" i="6" s="1"/>
  <c r="D423" i="6"/>
  <c r="C423" i="6"/>
  <c r="B423" i="6"/>
  <c r="K424" i="6" l="1"/>
  <c r="L424" i="6"/>
  <c r="U423" i="6"/>
  <c r="T423" i="6"/>
  <c r="V423" i="6"/>
  <c r="W422" i="6"/>
  <c r="A495" i="2"/>
  <c r="J494" i="2"/>
  <c r="K494" i="2"/>
  <c r="B494" i="2"/>
  <c r="L494" i="2"/>
  <c r="C494" i="2"/>
  <c r="M494" i="2"/>
  <c r="D494" i="2"/>
  <c r="E494" i="2"/>
  <c r="W494" i="2" s="1"/>
  <c r="F494" i="2"/>
  <c r="G494" i="2"/>
  <c r="Y493" i="2"/>
  <c r="AA493" i="2"/>
  <c r="AB493" i="2"/>
  <c r="AC493" i="2"/>
  <c r="X493" i="2"/>
  <c r="Z492" i="2"/>
  <c r="AD492" i="2" s="1"/>
  <c r="A425" i="6"/>
  <c r="J424" i="6"/>
  <c r="G424" i="6"/>
  <c r="F424" i="6"/>
  <c r="E424" i="6"/>
  <c r="S424" i="6" s="1"/>
  <c r="D424" i="6"/>
  <c r="C424" i="6"/>
  <c r="B424" i="6"/>
  <c r="L425" i="6" l="1"/>
  <c r="K425" i="6"/>
  <c r="W423" i="6"/>
  <c r="Z493" i="2"/>
  <c r="AD493" i="2" s="1"/>
  <c r="V424" i="6"/>
  <c r="U424" i="6"/>
  <c r="T424" i="6"/>
  <c r="AC494" i="2"/>
  <c r="AB494" i="2"/>
  <c r="Y494" i="2"/>
  <c r="AA494" i="2"/>
  <c r="X494" i="2"/>
  <c r="Z494" i="2" s="1"/>
  <c r="A496" i="2"/>
  <c r="F495" i="2"/>
  <c r="G495" i="2"/>
  <c r="J495" i="2"/>
  <c r="K495" i="2"/>
  <c r="B495" i="2"/>
  <c r="L495" i="2"/>
  <c r="C495" i="2"/>
  <c r="M495" i="2"/>
  <c r="D495" i="2"/>
  <c r="E495" i="2"/>
  <c r="W495" i="2" s="1"/>
  <c r="A426" i="6"/>
  <c r="B425" i="6"/>
  <c r="J425" i="6"/>
  <c r="G425" i="6"/>
  <c r="F425" i="6"/>
  <c r="E425" i="6"/>
  <c r="S425" i="6" s="1"/>
  <c r="D425" i="6"/>
  <c r="C425" i="6"/>
  <c r="W424" i="6" l="1"/>
  <c r="L426" i="6"/>
  <c r="K426" i="6"/>
  <c r="U425" i="6"/>
  <c r="T425" i="6"/>
  <c r="V425" i="6"/>
  <c r="AD494" i="2"/>
  <c r="A497" i="2"/>
  <c r="D496" i="2"/>
  <c r="E496" i="2"/>
  <c r="W496" i="2" s="1"/>
  <c r="F496" i="2"/>
  <c r="G496" i="2"/>
  <c r="J496" i="2"/>
  <c r="K496" i="2"/>
  <c r="C496" i="2"/>
  <c r="L496" i="2"/>
  <c r="M496" i="2"/>
  <c r="B496" i="2"/>
  <c r="AA495" i="2"/>
  <c r="X495" i="2"/>
  <c r="AB495" i="2"/>
  <c r="Y495" i="2"/>
  <c r="AC495" i="2"/>
  <c r="A427" i="6"/>
  <c r="J426" i="6"/>
  <c r="C426" i="6"/>
  <c r="B426" i="6"/>
  <c r="G426" i="6"/>
  <c r="F426" i="6"/>
  <c r="E426" i="6"/>
  <c r="S426" i="6" s="1"/>
  <c r="D426" i="6"/>
  <c r="L427" i="6" l="1"/>
  <c r="K427" i="6"/>
  <c r="T426" i="6"/>
  <c r="V426" i="6"/>
  <c r="U426" i="6"/>
  <c r="W425" i="6"/>
  <c r="Z495" i="2"/>
  <c r="AD495" i="2" s="1"/>
  <c r="X496" i="2"/>
  <c r="AC496" i="2"/>
  <c r="Y496" i="2"/>
  <c r="AA496" i="2"/>
  <c r="AB496" i="2"/>
  <c r="A498" i="2"/>
  <c r="B497" i="2"/>
  <c r="L497" i="2"/>
  <c r="C497" i="2"/>
  <c r="M497" i="2"/>
  <c r="D497" i="2"/>
  <c r="E497" i="2"/>
  <c r="W497" i="2" s="1"/>
  <c r="F497" i="2"/>
  <c r="G497" i="2"/>
  <c r="J497" i="2"/>
  <c r="K497" i="2"/>
  <c r="A428" i="6"/>
  <c r="J427" i="6"/>
  <c r="E427" i="6"/>
  <c r="S427" i="6" s="1"/>
  <c r="D427" i="6"/>
  <c r="C427" i="6"/>
  <c r="B427" i="6"/>
  <c r="G427" i="6"/>
  <c r="F427" i="6"/>
  <c r="L428" i="6" l="1"/>
  <c r="K428" i="6"/>
  <c r="U427" i="6"/>
  <c r="T427" i="6"/>
  <c r="V427" i="6"/>
  <c r="W426" i="6"/>
  <c r="A499" i="2"/>
  <c r="G498" i="2"/>
  <c r="J498" i="2"/>
  <c r="K498" i="2"/>
  <c r="B498" i="2"/>
  <c r="L498" i="2"/>
  <c r="C498" i="2"/>
  <c r="M498" i="2"/>
  <c r="D498" i="2"/>
  <c r="E498" i="2"/>
  <c r="W498" i="2" s="1"/>
  <c r="F498" i="2"/>
  <c r="AB497" i="2"/>
  <c r="AA497" i="2"/>
  <c r="AC497" i="2"/>
  <c r="X497" i="2"/>
  <c r="Y497" i="2"/>
  <c r="Z496" i="2"/>
  <c r="AD496" i="2" s="1"/>
  <c r="A429" i="6"/>
  <c r="J428" i="6"/>
  <c r="G428" i="6"/>
  <c r="F428" i="6"/>
  <c r="E428" i="6"/>
  <c r="S428" i="6" s="1"/>
  <c r="D428" i="6"/>
  <c r="C428" i="6"/>
  <c r="B428" i="6"/>
  <c r="L429" i="6" l="1"/>
  <c r="K429" i="6"/>
  <c r="Z497" i="2"/>
  <c r="AD497" i="2" s="1"/>
  <c r="T428" i="6"/>
  <c r="U428" i="6"/>
  <c r="V428" i="6"/>
  <c r="W427" i="6"/>
  <c r="X498" i="2"/>
  <c r="AB498" i="2"/>
  <c r="AA498" i="2"/>
  <c r="AC498" i="2"/>
  <c r="Y498" i="2"/>
  <c r="A500" i="2"/>
  <c r="E499" i="2"/>
  <c r="W499" i="2" s="1"/>
  <c r="F499" i="2"/>
  <c r="G499" i="2"/>
  <c r="J499" i="2"/>
  <c r="K499" i="2"/>
  <c r="B499" i="2"/>
  <c r="L499" i="2"/>
  <c r="D499" i="2"/>
  <c r="M499" i="2"/>
  <c r="C499" i="2"/>
  <c r="A430" i="6"/>
  <c r="J429" i="6"/>
  <c r="G429" i="6"/>
  <c r="F429" i="6"/>
  <c r="E429" i="6"/>
  <c r="S429" i="6" s="1"/>
  <c r="D429" i="6"/>
  <c r="C429" i="6"/>
  <c r="B429" i="6"/>
  <c r="L430" i="6" l="1"/>
  <c r="K430" i="6"/>
  <c r="W428" i="6"/>
  <c r="T429" i="6"/>
  <c r="V429" i="6"/>
  <c r="U429" i="6"/>
  <c r="W429" i="6" s="1"/>
  <c r="Z498" i="2"/>
  <c r="AD498" i="2" s="1"/>
  <c r="AC499" i="2"/>
  <c r="X499" i="2"/>
  <c r="Y499" i="2"/>
  <c r="AA499" i="2"/>
  <c r="AB499" i="2"/>
  <c r="A501" i="2"/>
  <c r="D500" i="2"/>
  <c r="E500" i="2"/>
  <c r="W500" i="2" s="1"/>
  <c r="F500" i="2"/>
  <c r="G500" i="2"/>
  <c r="J500" i="2"/>
  <c r="K500" i="2"/>
  <c r="B500" i="2"/>
  <c r="C500" i="2"/>
  <c r="L500" i="2"/>
  <c r="M500" i="2"/>
  <c r="A431" i="6"/>
  <c r="J430" i="6"/>
  <c r="C430" i="6"/>
  <c r="B430" i="6"/>
  <c r="G430" i="6"/>
  <c r="F430" i="6"/>
  <c r="E430" i="6"/>
  <c r="S430" i="6" s="1"/>
  <c r="D430" i="6"/>
  <c r="K431" i="6" l="1"/>
  <c r="L431" i="6"/>
  <c r="T430" i="6"/>
  <c r="U430" i="6"/>
  <c r="V430" i="6"/>
  <c r="AA500" i="2"/>
  <c r="AC500" i="2"/>
  <c r="AB500" i="2"/>
  <c r="X500" i="2"/>
  <c r="Y500" i="2"/>
  <c r="A502" i="2"/>
  <c r="B501" i="2"/>
  <c r="L501" i="2"/>
  <c r="D501" i="2"/>
  <c r="E501" i="2"/>
  <c r="W501" i="2" s="1"/>
  <c r="F501" i="2"/>
  <c r="G501" i="2"/>
  <c r="C501" i="2"/>
  <c r="J501" i="2"/>
  <c r="K501" i="2"/>
  <c r="M501" i="2"/>
  <c r="Z499" i="2"/>
  <c r="AD499" i="2" s="1"/>
  <c r="A432" i="6"/>
  <c r="J431" i="6"/>
  <c r="E431" i="6"/>
  <c r="S431" i="6" s="1"/>
  <c r="D431" i="6"/>
  <c r="C431" i="6"/>
  <c r="B431" i="6"/>
  <c r="G431" i="6"/>
  <c r="F431" i="6"/>
  <c r="L432" i="6" l="1"/>
  <c r="K432" i="6"/>
  <c r="U431" i="6"/>
  <c r="T431" i="6"/>
  <c r="V431" i="6"/>
  <c r="W430" i="6"/>
  <c r="A503" i="2"/>
  <c r="C502" i="2"/>
  <c r="F502" i="2"/>
  <c r="G502" i="2"/>
  <c r="J502" i="2"/>
  <c r="K502" i="2"/>
  <c r="L502" i="2"/>
  <c r="M502" i="2"/>
  <c r="B502" i="2"/>
  <c r="E502" i="2"/>
  <c r="W502" i="2" s="1"/>
  <c r="D502" i="2"/>
  <c r="Z500" i="2"/>
  <c r="AD500" i="2" s="1"/>
  <c r="X501" i="2"/>
  <c r="Y501" i="2"/>
  <c r="Z501" i="2" s="1"/>
  <c r="AA501" i="2"/>
  <c r="AB501" i="2"/>
  <c r="AC501" i="2"/>
  <c r="A433" i="6"/>
  <c r="J432" i="6"/>
  <c r="G432" i="6"/>
  <c r="F432" i="6"/>
  <c r="E432" i="6"/>
  <c r="S432" i="6" s="1"/>
  <c r="D432" i="6"/>
  <c r="C432" i="6"/>
  <c r="B432" i="6"/>
  <c r="K433" i="6" l="1"/>
  <c r="L433" i="6"/>
  <c r="W431" i="6"/>
  <c r="V432" i="6"/>
  <c r="U432" i="6"/>
  <c r="T432" i="6"/>
  <c r="AD501" i="2"/>
  <c r="AB502" i="2"/>
  <c r="AC502" i="2"/>
  <c r="Y502" i="2"/>
  <c r="AA502" i="2"/>
  <c r="X502" i="2"/>
  <c r="Z502" i="2" s="1"/>
  <c r="A504" i="2"/>
  <c r="E503" i="2"/>
  <c r="W503" i="2" s="1"/>
  <c r="F503" i="2"/>
  <c r="G503" i="2"/>
  <c r="J503" i="2"/>
  <c r="K503" i="2"/>
  <c r="B503" i="2"/>
  <c r="L503" i="2"/>
  <c r="D503" i="2"/>
  <c r="M503" i="2"/>
  <c r="C503" i="2"/>
  <c r="A434" i="6"/>
  <c r="J433" i="6"/>
  <c r="G433" i="6"/>
  <c r="F433" i="6"/>
  <c r="E433" i="6"/>
  <c r="S433" i="6" s="1"/>
  <c r="D433" i="6"/>
  <c r="C433" i="6"/>
  <c r="B433" i="6"/>
  <c r="L434" i="6" l="1"/>
  <c r="K434" i="6"/>
  <c r="W432" i="6"/>
  <c r="T433" i="6"/>
  <c r="U433" i="6"/>
  <c r="V433" i="6"/>
  <c r="AD502" i="2"/>
  <c r="AA503" i="2"/>
  <c r="Y503" i="2"/>
  <c r="X503" i="2"/>
  <c r="Z503" i="2" s="1"/>
  <c r="AC503" i="2"/>
  <c r="AB503" i="2"/>
  <c r="A505" i="2"/>
  <c r="B504" i="2"/>
  <c r="L504" i="2"/>
  <c r="C504" i="2"/>
  <c r="M504" i="2"/>
  <c r="D504" i="2"/>
  <c r="E504" i="2"/>
  <c r="W504" i="2" s="1"/>
  <c r="F504" i="2"/>
  <c r="G504" i="2"/>
  <c r="J504" i="2"/>
  <c r="K504" i="2"/>
  <c r="A435" i="6"/>
  <c r="J434" i="6"/>
  <c r="C434" i="6"/>
  <c r="B434" i="6"/>
  <c r="G434" i="6"/>
  <c r="F434" i="6"/>
  <c r="E434" i="6"/>
  <c r="S434" i="6" s="1"/>
  <c r="D434" i="6"/>
  <c r="K435" i="6" l="1"/>
  <c r="L435" i="6"/>
  <c r="T434" i="6"/>
  <c r="U434" i="6"/>
  <c r="V434" i="6"/>
  <c r="W433" i="6"/>
  <c r="A506" i="2"/>
  <c r="F505" i="2"/>
  <c r="G505" i="2"/>
  <c r="J505" i="2"/>
  <c r="K505" i="2"/>
  <c r="B505" i="2"/>
  <c r="L505" i="2"/>
  <c r="C505" i="2"/>
  <c r="M505" i="2"/>
  <c r="D505" i="2"/>
  <c r="E505" i="2"/>
  <c r="W505" i="2" s="1"/>
  <c r="Y504" i="2"/>
  <c r="X504" i="2"/>
  <c r="AA504" i="2"/>
  <c r="AB504" i="2"/>
  <c r="AC504" i="2"/>
  <c r="AD503" i="2"/>
  <c r="A436" i="6"/>
  <c r="J435" i="6"/>
  <c r="E435" i="6"/>
  <c r="S435" i="6" s="1"/>
  <c r="D435" i="6"/>
  <c r="C435" i="6"/>
  <c r="B435" i="6"/>
  <c r="G435" i="6"/>
  <c r="F435" i="6"/>
  <c r="W434" i="6" l="1"/>
  <c r="L436" i="6"/>
  <c r="K436" i="6"/>
  <c r="U435" i="6"/>
  <c r="T435" i="6"/>
  <c r="V435" i="6"/>
  <c r="Z504" i="2"/>
  <c r="AD504" i="2" s="1"/>
  <c r="AA505" i="2"/>
  <c r="AB505" i="2"/>
  <c r="AC505" i="2"/>
  <c r="X505" i="2"/>
  <c r="Y505" i="2"/>
  <c r="A507" i="2"/>
  <c r="D506" i="2"/>
  <c r="E506" i="2"/>
  <c r="W506" i="2" s="1"/>
  <c r="F506" i="2"/>
  <c r="G506" i="2"/>
  <c r="J506" i="2"/>
  <c r="K506" i="2"/>
  <c r="M506" i="2"/>
  <c r="C506" i="2"/>
  <c r="B506" i="2"/>
  <c r="L506" i="2"/>
  <c r="B436" i="6"/>
  <c r="A437" i="6"/>
  <c r="J436" i="6"/>
  <c r="G436" i="6"/>
  <c r="F436" i="6"/>
  <c r="E436" i="6"/>
  <c r="S436" i="6" s="1"/>
  <c r="D436" i="6"/>
  <c r="C436" i="6"/>
  <c r="L437" i="6" l="1"/>
  <c r="K437" i="6"/>
  <c r="T436" i="6"/>
  <c r="U436" i="6"/>
  <c r="V436" i="6"/>
  <c r="W435" i="6"/>
  <c r="A508" i="2"/>
  <c r="B507" i="2"/>
  <c r="L507" i="2"/>
  <c r="C507" i="2"/>
  <c r="M507" i="2"/>
  <c r="D507" i="2"/>
  <c r="E507" i="2"/>
  <c r="W507" i="2" s="1"/>
  <c r="F507" i="2"/>
  <c r="G507" i="2"/>
  <c r="J507" i="2"/>
  <c r="K507" i="2"/>
  <c r="Z505" i="2"/>
  <c r="AD505" i="2" s="1"/>
  <c r="AB506" i="2"/>
  <c r="AC506" i="2"/>
  <c r="X506" i="2"/>
  <c r="Y506" i="2"/>
  <c r="AA506" i="2"/>
  <c r="B437" i="6"/>
  <c r="A438" i="6"/>
  <c r="J437" i="6"/>
  <c r="C437" i="6"/>
  <c r="G437" i="6"/>
  <c r="F437" i="6"/>
  <c r="E437" i="6"/>
  <c r="S437" i="6" s="1"/>
  <c r="D437" i="6"/>
  <c r="Z506" i="2" l="1"/>
  <c r="AD506" i="2" s="1"/>
  <c r="K438" i="6"/>
  <c r="L438" i="6"/>
  <c r="T437" i="6"/>
  <c r="V437" i="6"/>
  <c r="U437" i="6"/>
  <c r="W436" i="6"/>
  <c r="X507" i="2"/>
  <c r="AC507" i="2"/>
  <c r="Y507" i="2"/>
  <c r="AA507" i="2"/>
  <c r="AB507" i="2"/>
  <c r="A509" i="2"/>
  <c r="K508" i="2"/>
  <c r="B508" i="2"/>
  <c r="L508" i="2"/>
  <c r="C508" i="2"/>
  <c r="M508" i="2"/>
  <c r="D508" i="2"/>
  <c r="E508" i="2"/>
  <c r="W508" i="2" s="1"/>
  <c r="F508" i="2"/>
  <c r="G508" i="2"/>
  <c r="J508" i="2"/>
  <c r="B438" i="6"/>
  <c r="A439" i="6"/>
  <c r="J438" i="6"/>
  <c r="F438" i="6"/>
  <c r="E438" i="6"/>
  <c r="S438" i="6" s="1"/>
  <c r="D438" i="6"/>
  <c r="C438" i="6"/>
  <c r="G438" i="6"/>
  <c r="K439" i="6" l="1"/>
  <c r="L439" i="6"/>
  <c r="Z507" i="2"/>
  <c r="AD507" i="2" s="1"/>
  <c r="U438" i="6"/>
  <c r="V438" i="6"/>
  <c r="T438" i="6"/>
  <c r="W437" i="6"/>
  <c r="A510" i="2"/>
  <c r="J509" i="2"/>
  <c r="K509" i="2"/>
  <c r="B509" i="2"/>
  <c r="L509" i="2"/>
  <c r="C509" i="2"/>
  <c r="M509" i="2"/>
  <c r="D509" i="2"/>
  <c r="E509" i="2"/>
  <c r="W509" i="2" s="1"/>
  <c r="F509" i="2"/>
  <c r="G509" i="2"/>
  <c r="AC508" i="2"/>
  <c r="AA508" i="2"/>
  <c r="AB508" i="2"/>
  <c r="X508" i="2"/>
  <c r="Y508" i="2"/>
  <c r="B439" i="6"/>
  <c r="A440" i="6"/>
  <c r="J439" i="6"/>
  <c r="G439" i="6"/>
  <c r="F439" i="6"/>
  <c r="E439" i="6"/>
  <c r="S439" i="6" s="1"/>
  <c r="D439" i="6"/>
  <c r="C439" i="6"/>
  <c r="W438" i="6" l="1"/>
  <c r="K440" i="6"/>
  <c r="L440" i="6"/>
  <c r="U439" i="6"/>
  <c r="T439" i="6"/>
  <c r="V439" i="6"/>
  <c r="Z508" i="2"/>
  <c r="AD508" i="2" s="1"/>
  <c r="X509" i="2"/>
  <c r="Y509" i="2"/>
  <c r="AA509" i="2"/>
  <c r="AC509" i="2"/>
  <c r="AB509" i="2"/>
  <c r="A511" i="2"/>
  <c r="F510" i="2"/>
  <c r="G510" i="2"/>
  <c r="J510" i="2"/>
  <c r="K510" i="2"/>
  <c r="B510" i="2"/>
  <c r="L510" i="2"/>
  <c r="C510" i="2"/>
  <c r="M510" i="2"/>
  <c r="D510" i="2"/>
  <c r="E510" i="2"/>
  <c r="W510" i="2" s="1"/>
  <c r="B440" i="6"/>
  <c r="A441" i="6"/>
  <c r="J440" i="6"/>
  <c r="D440" i="6"/>
  <c r="C440" i="6"/>
  <c r="G440" i="6"/>
  <c r="F440" i="6"/>
  <c r="E440" i="6"/>
  <c r="S440" i="6" s="1"/>
  <c r="Z509" i="2" l="1"/>
  <c r="K441" i="6"/>
  <c r="L441" i="6"/>
  <c r="W439" i="6"/>
  <c r="V440" i="6"/>
  <c r="U440" i="6"/>
  <c r="T440" i="6"/>
  <c r="A512" i="2"/>
  <c r="D511" i="2"/>
  <c r="E511" i="2"/>
  <c r="W511" i="2" s="1"/>
  <c r="F511" i="2"/>
  <c r="G511" i="2"/>
  <c r="J511" i="2"/>
  <c r="K511" i="2"/>
  <c r="L511" i="2"/>
  <c r="B511" i="2"/>
  <c r="C511" i="2"/>
  <c r="M511" i="2"/>
  <c r="AD509" i="2"/>
  <c r="AB510" i="2"/>
  <c r="AC510" i="2"/>
  <c r="X510" i="2"/>
  <c r="Y510" i="2"/>
  <c r="AA510" i="2"/>
  <c r="B441" i="6"/>
  <c r="A442" i="6"/>
  <c r="J441" i="6"/>
  <c r="G441" i="6"/>
  <c r="F441" i="6"/>
  <c r="E441" i="6"/>
  <c r="S441" i="6" s="1"/>
  <c r="D441" i="6"/>
  <c r="C441" i="6"/>
  <c r="K442" i="6" l="1"/>
  <c r="L442" i="6"/>
  <c r="W440" i="6"/>
  <c r="U441" i="6"/>
  <c r="T441" i="6"/>
  <c r="V441" i="6"/>
  <c r="AA511" i="2"/>
  <c r="AB511" i="2"/>
  <c r="AC511" i="2"/>
  <c r="X511" i="2"/>
  <c r="Y511" i="2"/>
  <c r="Z510" i="2"/>
  <c r="AD510" i="2" s="1"/>
  <c r="A513" i="2"/>
  <c r="B512" i="2"/>
  <c r="L512" i="2"/>
  <c r="C512" i="2"/>
  <c r="M512" i="2"/>
  <c r="D512" i="2"/>
  <c r="E512" i="2"/>
  <c r="W512" i="2" s="1"/>
  <c r="F512" i="2"/>
  <c r="G512" i="2"/>
  <c r="K512" i="2"/>
  <c r="J512" i="2"/>
  <c r="B442" i="6"/>
  <c r="A443" i="6"/>
  <c r="J442" i="6"/>
  <c r="G442" i="6"/>
  <c r="F442" i="6"/>
  <c r="E442" i="6"/>
  <c r="S442" i="6" s="1"/>
  <c r="D442" i="6"/>
  <c r="C442" i="6"/>
  <c r="Z511" i="2" l="1"/>
  <c r="AD511" i="2" s="1"/>
  <c r="K443" i="6"/>
  <c r="L443" i="6"/>
  <c r="T442" i="6"/>
  <c r="V442" i="6"/>
  <c r="U442" i="6"/>
  <c r="W441" i="6"/>
  <c r="A514" i="2"/>
  <c r="J513" i="2"/>
  <c r="K513" i="2"/>
  <c r="B513" i="2"/>
  <c r="L513" i="2"/>
  <c r="C513" i="2"/>
  <c r="M513" i="2"/>
  <c r="D513" i="2"/>
  <c r="E513" i="2"/>
  <c r="W513" i="2" s="1"/>
  <c r="F513" i="2"/>
  <c r="G513" i="2"/>
  <c r="X512" i="2"/>
  <c r="AA512" i="2"/>
  <c r="AB512" i="2"/>
  <c r="AC512" i="2"/>
  <c r="Y512" i="2"/>
  <c r="B443" i="6"/>
  <c r="A444" i="6"/>
  <c r="J443" i="6"/>
  <c r="G443" i="6"/>
  <c r="F443" i="6"/>
  <c r="E443" i="6"/>
  <c r="S443" i="6" s="1"/>
  <c r="D443" i="6"/>
  <c r="C443" i="6"/>
  <c r="L444" i="6" l="1"/>
  <c r="K444" i="6"/>
  <c r="U443" i="6"/>
  <c r="T443" i="6"/>
  <c r="V443" i="6"/>
  <c r="W442" i="6"/>
  <c r="Z512" i="2"/>
  <c r="AD512" i="2" s="1"/>
  <c r="AA513" i="2"/>
  <c r="AC513" i="2"/>
  <c r="AB513" i="2"/>
  <c r="X513" i="2"/>
  <c r="Y513" i="2"/>
  <c r="A515" i="2"/>
  <c r="F514" i="2"/>
  <c r="G514" i="2"/>
  <c r="J514" i="2"/>
  <c r="K514" i="2"/>
  <c r="B514" i="2"/>
  <c r="L514" i="2"/>
  <c r="C514" i="2"/>
  <c r="M514" i="2"/>
  <c r="D514" i="2"/>
  <c r="E514" i="2"/>
  <c r="W514" i="2" s="1"/>
  <c r="B444" i="6"/>
  <c r="A445" i="6"/>
  <c r="J444" i="6"/>
  <c r="G444" i="6"/>
  <c r="F444" i="6"/>
  <c r="E444" i="6"/>
  <c r="S444" i="6" s="1"/>
  <c r="D444" i="6"/>
  <c r="C444" i="6"/>
  <c r="K445" i="6" l="1"/>
  <c r="L445" i="6"/>
  <c r="T444" i="6"/>
  <c r="U444" i="6"/>
  <c r="V444" i="6"/>
  <c r="W443" i="6"/>
  <c r="Z513" i="2"/>
  <c r="AD513" i="2" s="1"/>
  <c r="A516" i="2"/>
  <c r="B515" i="2"/>
  <c r="L515" i="2"/>
  <c r="C515" i="2"/>
  <c r="M515" i="2"/>
  <c r="D515" i="2"/>
  <c r="E515" i="2"/>
  <c r="W515" i="2" s="1"/>
  <c r="F515" i="2"/>
  <c r="G515" i="2"/>
  <c r="K515" i="2"/>
  <c r="J515" i="2"/>
  <c r="AC514" i="2"/>
  <c r="AA514" i="2"/>
  <c r="AB514" i="2"/>
  <c r="X514" i="2"/>
  <c r="Y514" i="2"/>
  <c r="B445" i="6"/>
  <c r="A446" i="6"/>
  <c r="J445" i="6"/>
  <c r="G445" i="6"/>
  <c r="F445" i="6"/>
  <c r="E445" i="6"/>
  <c r="S445" i="6" s="1"/>
  <c r="D445" i="6"/>
  <c r="C445" i="6"/>
  <c r="Z514" i="2" l="1"/>
  <c r="AD514" i="2" s="1"/>
  <c r="W444" i="6"/>
  <c r="K446" i="6"/>
  <c r="L446" i="6"/>
  <c r="T445" i="6"/>
  <c r="V445" i="6"/>
  <c r="U445" i="6"/>
  <c r="X515" i="2"/>
  <c r="AC515" i="2"/>
  <c r="Y515" i="2"/>
  <c r="AA515" i="2"/>
  <c r="AB515" i="2"/>
  <c r="A517" i="2"/>
  <c r="G516" i="2"/>
  <c r="J516" i="2"/>
  <c r="K516" i="2"/>
  <c r="B516" i="2"/>
  <c r="L516" i="2"/>
  <c r="C516" i="2"/>
  <c r="M516" i="2"/>
  <c r="D516" i="2"/>
  <c r="E516" i="2"/>
  <c r="W516" i="2" s="1"/>
  <c r="F516" i="2"/>
  <c r="B446" i="6"/>
  <c r="A447" i="6"/>
  <c r="J446" i="6"/>
  <c r="G446" i="6"/>
  <c r="F446" i="6"/>
  <c r="E446" i="6"/>
  <c r="S446" i="6" s="1"/>
  <c r="D446" i="6"/>
  <c r="C446" i="6"/>
  <c r="L447" i="6" l="1"/>
  <c r="K447" i="6"/>
  <c r="W445" i="6"/>
  <c r="T446" i="6"/>
  <c r="U446" i="6"/>
  <c r="V446" i="6"/>
  <c r="AA516" i="2"/>
  <c r="AC516" i="2"/>
  <c r="AB516" i="2"/>
  <c r="X516" i="2"/>
  <c r="Y516" i="2"/>
  <c r="A518" i="2"/>
  <c r="F517" i="2"/>
  <c r="G517" i="2"/>
  <c r="J517" i="2"/>
  <c r="K517" i="2"/>
  <c r="B517" i="2"/>
  <c r="L517" i="2"/>
  <c r="C517" i="2"/>
  <c r="M517" i="2"/>
  <c r="D517" i="2"/>
  <c r="E517" i="2"/>
  <c r="W517" i="2" s="1"/>
  <c r="Z515" i="2"/>
  <c r="AD515" i="2" s="1"/>
  <c r="B447" i="6"/>
  <c r="A448" i="6"/>
  <c r="J447" i="6"/>
  <c r="G447" i="6"/>
  <c r="F447" i="6"/>
  <c r="E447" i="6"/>
  <c r="S447" i="6" s="1"/>
  <c r="D447" i="6"/>
  <c r="C447" i="6"/>
  <c r="L448" i="6" l="1"/>
  <c r="K448" i="6"/>
  <c r="U447" i="6"/>
  <c r="T447" i="6"/>
  <c r="V447" i="6"/>
  <c r="W446" i="6"/>
  <c r="A519" i="2"/>
  <c r="E518" i="2"/>
  <c r="W518" i="2" s="1"/>
  <c r="F518" i="2"/>
  <c r="G518" i="2"/>
  <c r="J518" i="2"/>
  <c r="K518" i="2"/>
  <c r="B518" i="2"/>
  <c r="L518" i="2"/>
  <c r="C518" i="2"/>
  <c r="D518" i="2"/>
  <c r="M518" i="2"/>
  <c r="Z516" i="2"/>
  <c r="AD516" i="2" s="1"/>
  <c r="AA517" i="2"/>
  <c r="Y517" i="2"/>
  <c r="AB517" i="2"/>
  <c r="AC517" i="2"/>
  <c r="X517" i="2"/>
  <c r="B448" i="6"/>
  <c r="A449" i="6"/>
  <c r="J448" i="6"/>
  <c r="G448" i="6"/>
  <c r="F448" i="6"/>
  <c r="E448" i="6"/>
  <c r="S448" i="6" s="1"/>
  <c r="D448" i="6"/>
  <c r="C448" i="6"/>
  <c r="W447" i="6" l="1"/>
  <c r="K449" i="6"/>
  <c r="L449" i="6"/>
  <c r="V448" i="6"/>
  <c r="U448" i="6"/>
  <c r="T448" i="6"/>
  <c r="Z517" i="2"/>
  <c r="AD517" i="2"/>
  <c r="X518" i="2"/>
  <c r="Y518" i="2"/>
  <c r="Z518" i="2" s="1"/>
  <c r="AA518" i="2"/>
  <c r="AB518" i="2"/>
  <c r="AC518" i="2"/>
  <c r="A520" i="2"/>
  <c r="D519" i="2"/>
  <c r="E519" i="2"/>
  <c r="W519" i="2" s="1"/>
  <c r="F519" i="2"/>
  <c r="G519" i="2"/>
  <c r="J519" i="2"/>
  <c r="K519" i="2"/>
  <c r="M519" i="2"/>
  <c r="B519" i="2"/>
  <c r="C519" i="2"/>
  <c r="L519" i="2"/>
  <c r="B449" i="6"/>
  <c r="A450" i="6"/>
  <c r="J449" i="6"/>
  <c r="G449" i="6"/>
  <c r="F449" i="6"/>
  <c r="E449" i="6"/>
  <c r="S449" i="6" s="1"/>
  <c r="D449" i="6"/>
  <c r="C449" i="6"/>
  <c r="W448" i="6" l="1"/>
  <c r="K450" i="6"/>
  <c r="L450" i="6"/>
  <c r="U449" i="6"/>
  <c r="T449" i="6"/>
  <c r="V449" i="6"/>
  <c r="A521" i="2"/>
  <c r="J520" i="2"/>
  <c r="K520" i="2"/>
  <c r="B520" i="2"/>
  <c r="L520" i="2"/>
  <c r="C520" i="2"/>
  <c r="M520" i="2"/>
  <c r="D520" i="2"/>
  <c r="E520" i="2"/>
  <c r="W520" i="2" s="1"/>
  <c r="F520" i="2"/>
  <c r="G520" i="2"/>
  <c r="AD518" i="2"/>
  <c r="AA519" i="2"/>
  <c r="Y519" i="2"/>
  <c r="AB519" i="2"/>
  <c r="X519" i="2"/>
  <c r="Z519" i="2" s="1"/>
  <c r="AC519" i="2"/>
  <c r="B450" i="6"/>
  <c r="A451" i="6"/>
  <c r="J450" i="6"/>
  <c r="G450" i="6"/>
  <c r="F450" i="6"/>
  <c r="E450" i="6"/>
  <c r="S450" i="6" s="1"/>
  <c r="D450" i="6"/>
  <c r="C450" i="6"/>
  <c r="L451" i="6" l="1"/>
  <c r="K451" i="6"/>
  <c r="W449" i="6"/>
  <c r="AD519" i="2"/>
  <c r="T450" i="6"/>
  <c r="V450" i="6"/>
  <c r="U450" i="6"/>
  <c r="Y520" i="2"/>
  <c r="AA520" i="2"/>
  <c r="AB520" i="2"/>
  <c r="AC520" i="2"/>
  <c r="X520" i="2"/>
  <c r="A522" i="2"/>
  <c r="E521" i="2"/>
  <c r="W521" i="2" s="1"/>
  <c r="F521" i="2"/>
  <c r="G521" i="2"/>
  <c r="J521" i="2"/>
  <c r="K521" i="2"/>
  <c r="B521" i="2"/>
  <c r="L521" i="2"/>
  <c r="C521" i="2"/>
  <c r="D521" i="2"/>
  <c r="M521" i="2"/>
  <c r="B451" i="6"/>
  <c r="A452" i="6"/>
  <c r="J451" i="6"/>
  <c r="G451" i="6"/>
  <c r="F451" i="6"/>
  <c r="E451" i="6"/>
  <c r="S451" i="6" s="1"/>
  <c r="D451" i="6"/>
  <c r="C451" i="6"/>
  <c r="K452" i="6" l="1"/>
  <c r="L452" i="6"/>
  <c r="V451" i="6"/>
  <c r="U451" i="6"/>
  <c r="T451" i="6"/>
  <c r="W451" i="6" s="1"/>
  <c r="W450" i="6"/>
  <c r="Z520" i="2"/>
  <c r="AD520" i="2" s="1"/>
  <c r="AB521" i="2"/>
  <c r="AC521" i="2"/>
  <c r="X521" i="2"/>
  <c r="AA521" i="2"/>
  <c r="Y521" i="2"/>
  <c r="A523" i="2"/>
  <c r="C522" i="2"/>
  <c r="M522" i="2"/>
  <c r="D522" i="2"/>
  <c r="E522" i="2"/>
  <c r="W522" i="2" s="1"/>
  <c r="F522" i="2"/>
  <c r="G522" i="2"/>
  <c r="J522" i="2"/>
  <c r="B522" i="2"/>
  <c r="L522" i="2"/>
  <c r="K522" i="2"/>
  <c r="B452" i="6"/>
  <c r="A453" i="6"/>
  <c r="J452" i="6"/>
  <c r="G452" i="6"/>
  <c r="F452" i="6"/>
  <c r="E452" i="6"/>
  <c r="S452" i="6" s="1"/>
  <c r="D452" i="6"/>
  <c r="C452" i="6"/>
  <c r="K453" i="6" l="1"/>
  <c r="L453" i="6"/>
  <c r="T452" i="6"/>
  <c r="U452" i="6"/>
  <c r="V452" i="6"/>
  <c r="A524" i="2"/>
  <c r="K523" i="2"/>
  <c r="B523" i="2"/>
  <c r="L523" i="2"/>
  <c r="C523" i="2"/>
  <c r="M523" i="2"/>
  <c r="D523" i="2"/>
  <c r="E523" i="2"/>
  <c r="W523" i="2" s="1"/>
  <c r="F523" i="2"/>
  <c r="J523" i="2"/>
  <c r="G523" i="2"/>
  <c r="Z521" i="2"/>
  <c r="AD521" i="2" s="1"/>
  <c r="AC522" i="2"/>
  <c r="AA522" i="2"/>
  <c r="X522" i="2"/>
  <c r="Y522" i="2"/>
  <c r="AB522" i="2"/>
  <c r="B453" i="6"/>
  <c r="A454" i="6"/>
  <c r="J453" i="6"/>
  <c r="G453" i="6"/>
  <c r="F453" i="6"/>
  <c r="E453" i="6"/>
  <c r="S453" i="6" s="1"/>
  <c r="D453" i="6"/>
  <c r="C453" i="6"/>
  <c r="K454" i="6" l="1"/>
  <c r="L454" i="6"/>
  <c r="W452" i="6"/>
  <c r="T453" i="6"/>
  <c r="V453" i="6"/>
  <c r="U453" i="6"/>
  <c r="Z522" i="2"/>
  <c r="AD522" i="2" s="1"/>
  <c r="X523" i="2"/>
  <c r="Y523" i="2"/>
  <c r="AC523" i="2"/>
  <c r="AB523" i="2"/>
  <c r="AA523" i="2"/>
  <c r="A525" i="2"/>
  <c r="F524" i="2"/>
  <c r="G524" i="2"/>
  <c r="J524" i="2"/>
  <c r="K524" i="2"/>
  <c r="B524" i="2"/>
  <c r="L524" i="2"/>
  <c r="C524" i="2"/>
  <c r="M524" i="2"/>
  <c r="D524" i="2"/>
  <c r="E524" i="2"/>
  <c r="W524" i="2" s="1"/>
  <c r="B454" i="6"/>
  <c r="A455" i="6"/>
  <c r="J454" i="6"/>
  <c r="G454" i="6"/>
  <c r="F454" i="6"/>
  <c r="E454" i="6"/>
  <c r="S454" i="6" s="1"/>
  <c r="D454" i="6"/>
  <c r="C454" i="6"/>
  <c r="W453" i="6" l="1"/>
  <c r="L455" i="6"/>
  <c r="K455" i="6"/>
  <c r="Z523" i="2"/>
  <c r="T454" i="6"/>
  <c r="U454" i="6"/>
  <c r="V454" i="6"/>
  <c r="AD523" i="2"/>
  <c r="A526" i="2"/>
  <c r="E525" i="2"/>
  <c r="W525" i="2" s="1"/>
  <c r="F525" i="2"/>
  <c r="G525" i="2"/>
  <c r="J525" i="2"/>
  <c r="K525" i="2"/>
  <c r="B525" i="2"/>
  <c r="L525" i="2"/>
  <c r="C525" i="2"/>
  <c r="D525" i="2"/>
  <c r="M525" i="2"/>
  <c r="AA524" i="2"/>
  <c r="AC524" i="2"/>
  <c r="AB524" i="2"/>
  <c r="Y524" i="2"/>
  <c r="X524" i="2"/>
  <c r="J455" i="6"/>
  <c r="B455" i="6"/>
  <c r="A456" i="6"/>
  <c r="G455" i="6"/>
  <c r="F455" i="6"/>
  <c r="E455" i="6"/>
  <c r="S455" i="6" s="1"/>
  <c r="D455" i="6"/>
  <c r="C455" i="6"/>
  <c r="K456" i="6" l="1"/>
  <c r="L456" i="6"/>
  <c r="Z524" i="2"/>
  <c r="AD524" i="2" s="1"/>
  <c r="U455" i="6"/>
  <c r="T455" i="6"/>
  <c r="V455" i="6"/>
  <c r="W454" i="6"/>
  <c r="X525" i="2"/>
  <c r="Y525" i="2"/>
  <c r="AB525" i="2"/>
  <c r="AC525" i="2"/>
  <c r="AA525" i="2"/>
  <c r="A527" i="2"/>
  <c r="D526" i="2"/>
  <c r="E526" i="2"/>
  <c r="W526" i="2" s="1"/>
  <c r="F526" i="2"/>
  <c r="G526" i="2"/>
  <c r="J526" i="2"/>
  <c r="K526" i="2"/>
  <c r="B526" i="2"/>
  <c r="C526" i="2"/>
  <c r="L526" i="2"/>
  <c r="M526" i="2"/>
  <c r="J456" i="6"/>
  <c r="C456" i="6"/>
  <c r="B456" i="6"/>
  <c r="A457" i="6"/>
  <c r="G456" i="6"/>
  <c r="F456" i="6"/>
  <c r="E456" i="6"/>
  <c r="S456" i="6" s="1"/>
  <c r="D456" i="6"/>
  <c r="Z525" i="2" l="1"/>
  <c r="K457" i="6"/>
  <c r="L457" i="6"/>
  <c r="W455" i="6"/>
  <c r="V456" i="6"/>
  <c r="U456" i="6"/>
  <c r="T456" i="6"/>
  <c r="W456" i="6" s="1"/>
  <c r="X526" i="2"/>
  <c r="AB526" i="2"/>
  <c r="Y526" i="2"/>
  <c r="AC526" i="2"/>
  <c r="AA526" i="2"/>
  <c r="A528" i="2"/>
  <c r="C527" i="2"/>
  <c r="M527" i="2"/>
  <c r="D527" i="2"/>
  <c r="E527" i="2"/>
  <c r="W527" i="2" s="1"/>
  <c r="F527" i="2"/>
  <c r="G527" i="2"/>
  <c r="J527" i="2"/>
  <c r="L527" i="2"/>
  <c r="B527" i="2"/>
  <c r="K527" i="2"/>
  <c r="AD525" i="2"/>
  <c r="J457" i="6"/>
  <c r="D457" i="6"/>
  <c r="C457" i="6"/>
  <c r="B457" i="6"/>
  <c r="A458" i="6"/>
  <c r="G457" i="6"/>
  <c r="F457" i="6"/>
  <c r="E457" i="6"/>
  <c r="S457" i="6" s="1"/>
  <c r="Z526" i="2" l="1"/>
  <c r="L458" i="6"/>
  <c r="K458" i="6"/>
  <c r="V457" i="6"/>
  <c r="T457" i="6"/>
  <c r="U457" i="6"/>
  <c r="A529" i="2"/>
  <c r="G528" i="2"/>
  <c r="J528" i="2"/>
  <c r="K528" i="2"/>
  <c r="B528" i="2"/>
  <c r="L528" i="2"/>
  <c r="C528" i="2"/>
  <c r="M528" i="2"/>
  <c r="D528" i="2"/>
  <c r="E528" i="2"/>
  <c r="W528" i="2" s="1"/>
  <c r="F528" i="2"/>
  <c r="AD526" i="2"/>
  <c r="AA527" i="2"/>
  <c r="Y527" i="2"/>
  <c r="AB527" i="2"/>
  <c r="X527" i="2"/>
  <c r="Z527" i="2" s="1"/>
  <c r="AC527" i="2"/>
  <c r="J458" i="6"/>
  <c r="F458" i="6"/>
  <c r="E458" i="6"/>
  <c r="S458" i="6" s="1"/>
  <c r="D458" i="6"/>
  <c r="C458" i="6"/>
  <c r="B458" i="6"/>
  <c r="A459" i="6"/>
  <c r="G458" i="6"/>
  <c r="K459" i="6" l="1"/>
  <c r="L459" i="6"/>
  <c r="T458" i="6"/>
  <c r="V458" i="6"/>
  <c r="U458" i="6"/>
  <c r="AD527" i="2"/>
  <c r="W457" i="6"/>
  <c r="AC528" i="2"/>
  <c r="Y528" i="2"/>
  <c r="AA528" i="2"/>
  <c r="AB528" i="2"/>
  <c r="X528" i="2"/>
  <c r="A530" i="2"/>
  <c r="E529" i="2"/>
  <c r="W529" i="2" s="1"/>
  <c r="F529" i="2"/>
  <c r="G529" i="2"/>
  <c r="J529" i="2"/>
  <c r="K529" i="2"/>
  <c r="B529" i="2"/>
  <c r="L529" i="2"/>
  <c r="C529" i="2"/>
  <c r="D529" i="2"/>
  <c r="M529" i="2"/>
  <c r="J459" i="6"/>
  <c r="F459" i="6"/>
  <c r="A460" i="6"/>
  <c r="G459" i="6"/>
  <c r="E459" i="6"/>
  <c r="S459" i="6" s="1"/>
  <c r="D459" i="6"/>
  <c r="C459" i="6"/>
  <c r="B459" i="6"/>
  <c r="L460" i="6" l="1"/>
  <c r="K460" i="6"/>
  <c r="U459" i="6"/>
  <c r="V459" i="6"/>
  <c r="T459" i="6"/>
  <c r="W459" i="6" s="1"/>
  <c r="Z528" i="2"/>
  <c r="AD528" i="2" s="1"/>
  <c r="W458" i="6"/>
  <c r="AA529" i="2"/>
  <c r="AB529" i="2"/>
  <c r="X529" i="2"/>
  <c r="Z529" i="2" s="1"/>
  <c r="Y529" i="2"/>
  <c r="AC529" i="2"/>
  <c r="A531" i="2"/>
  <c r="B530" i="2"/>
  <c r="L530" i="2"/>
  <c r="C530" i="2"/>
  <c r="M530" i="2"/>
  <c r="D530" i="2"/>
  <c r="E530" i="2"/>
  <c r="W530" i="2" s="1"/>
  <c r="F530" i="2"/>
  <c r="G530" i="2"/>
  <c r="J530" i="2"/>
  <c r="K530" i="2"/>
  <c r="J460" i="6"/>
  <c r="F460" i="6"/>
  <c r="A461" i="6"/>
  <c r="G460" i="6"/>
  <c r="E460" i="6"/>
  <c r="S460" i="6" s="1"/>
  <c r="D460" i="6"/>
  <c r="C460" i="6"/>
  <c r="B460" i="6"/>
  <c r="AD529" i="2" l="1"/>
  <c r="K461" i="6"/>
  <c r="L461" i="6"/>
  <c r="T460" i="6"/>
  <c r="U460" i="6"/>
  <c r="V460" i="6"/>
  <c r="A532" i="2"/>
  <c r="J531" i="2"/>
  <c r="K531" i="2"/>
  <c r="B531" i="2"/>
  <c r="L531" i="2"/>
  <c r="C531" i="2"/>
  <c r="M531" i="2"/>
  <c r="D531" i="2"/>
  <c r="E531" i="2"/>
  <c r="W531" i="2" s="1"/>
  <c r="G531" i="2"/>
  <c r="F531" i="2"/>
  <c r="AC530" i="2"/>
  <c r="AB530" i="2"/>
  <c r="AA530" i="2"/>
  <c r="Y530" i="2"/>
  <c r="X530" i="2"/>
  <c r="J461" i="6"/>
  <c r="F461" i="6"/>
  <c r="C461" i="6"/>
  <c r="B461" i="6"/>
  <c r="A462" i="6"/>
  <c r="G461" i="6"/>
  <c r="E461" i="6"/>
  <c r="S461" i="6" s="1"/>
  <c r="D461" i="6"/>
  <c r="K462" i="6" l="1"/>
  <c r="L462" i="6"/>
  <c r="Z530" i="2"/>
  <c r="AD530" i="2" s="1"/>
  <c r="W460" i="6"/>
  <c r="T461" i="6"/>
  <c r="V461" i="6"/>
  <c r="U461" i="6"/>
  <c r="X531" i="2"/>
  <c r="AC531" i="2"/>
  <c r="Y531" i="2"/>
  <c r="AA531" i="2"/>
  <c r="AB531" i="2"/>
  <c r="A533" i="2"/>
  <c r="F532" i="2"/>
  <c r="G532" i="2"/>
  <c r="J532" i="2"/>
  <c r="K532" i="2"/>
  <c r="B532" i="2"/>
  <c r="L532" i="2"/>
  <c r="C532" i="2"/>
  <c r="M532" i="2"/>
  <c r="E532" i="2"/>
  <c r="W532" i="2" s="1"/>
  <c r="D532" i="2"/>
  <c r="J462" i="6"/>
  <c r="F462" i="6"/>
  <c r="E462" i="6"/>
  <c r="S462" i="6" s="1"/>
  <c r="D462" i="6"/>
  <c r="C462" i="6"/>
  <c r="B462" i="6"/>
  <c r="A463" i="6"/>
  <c r="G462" i="6"/>
  <c r="Z531" i="2" l="1"/>
  <c r="K463" i="6"/>
  <c r="L463" i="6"/>
  <c r="W461" i="6"/>
  <c r="U462" i="6"/>
  <c r="V462" i="6"/>
  <c r="T462" i="6"/>
  <c r="AA532" i="2"/>
  <c r="AC532" i="2"/>
  <c r="Y532" i="2"/>
  <c r="X532" i="2"/>
  <c r="AB532" i="2"/>
  <c r="A534" i="2"/>
  <c r="F533" i="2"/>
  <c r="G533" i="2"/>
  <c r="J533" i="2"/>
  <c r="K533" i="2"/>
  <c r="B533" i="2"/>
  <c r="L533" i="2"/>
  <c r="C533" i="2"/>
  <c r="M533" i="2"/>
  <c r="E533" i="2"/>
  <c r="W533" i="2" s="1"/>
  <c r="D533" i="2"/>
  <c r="AD531" i="2"/>
  <c r="J463" i="6"/>
  <c r="F463" i="6"/>
  <c r="A464" i="6"/>
  <c r="G463" i="6"/>
  <c r="E463" i="6"/>
  <c r="S463" i="6" s="1"/>
  <c r="D463" i="6"/>
  <c r="C463" i="6"/>
  <c r="B463" i="6"/>
  <c r="L464" i="6" l="1"/>
  <c r="K464" i="6"/>
  <c r="Z532" i="2"/>
  <c r="AD532" i="2" s="1"/>
  <c r="W462" i="6"/>
  <c r="U463" i="6"/>
  <c r="T463" i="6"/>
  <c r="V463" i="6"/>
  <c r="Y533" i="2"/>
  <c r="AB533" i="2"/>
  <c r="AC533" i="2"/>
  <c r="X533" i="2"/>
  <c r="AA533" i="2"/>
  <c r="A535" i="2"/>
  <c r="E534" i="2"/>
  <c r="W534" i="2" s="1"/>
  <c r="F534" i="2"/>
  <c r="G534" i="2"/>
  <c r="J534" i="2"/>
  <c r="K534" i="2"/>
  <c r="B534" i="2"/>
  <c r="L534" i="2"/>
  <c r="C534" i="2"/>
  <c r="D534" i="2"/>
  <c r="M534" i="2"/>
  <c r="J464" i="6"/>
  <c r="F464" i="6"/>
  <c r="A465" i="6"/>
  <c r="G464" i="6"/>
  <c r="E464" i="6"/>
  <c r="S464" i="6" s="1"/>
  <c r="D464" i="6"/>
  <c r="C464" i="6"/>
  <c r="B464" i="6"/>
  <c r="W463" i="6" l="1"/>
  <c r="L465" i="6"/>
  <c r="K465" i="6"/>
  <c r="V464" i="6"/>
  <c r="T464" i="6"/>
  <c r="U464" i="6"/>
  <c r="Z533" i="2"/>
  <c r="AD533" i="2" s="1"/>
  <c r="AB534" i="2"/>
  <c r="X534" i="2"/>
  <c r="AC534" i="2"/>
  <c r="Y534" i="2"/>
  <c r="Z534" i="2" s="1"/>
  <c r="AA534" i="2"/>
  <c r="A536" i="2"/>
  <c r="C535" i="2"/>
  <c r="M535" i="2"/>
  <c r="D535" i="2"/>
  <c r="E535" i="2"/>
  <c r="W535" i="2" s="1"/>
  <c r="F535" i="2"/>
  <c r="G535" i="2"/>
  <c r="J535" i="2"/>
  <c r="B535" i="2"/>
  <c r="K535" i="2"/>
  <c r="L535" i="2"/>
  <c r="J465" i="6"/>
  <c r="F465" i="6"/>
  <c r="C465" i="6"/>
  <c r="B465" i="6"/>
  <c r="A466" i="6"/>
  <c r="G465" i="6"/>
  <c r="E465" i="6"/>
  <c r="S465" i="6" s="1"/>
  <c r="D465" i="6"/>
  <c r="AD534" i="2" l="1"/>
  <c r="L466" i="6"/>
  <c r="K466" i="6"/>
  <c r="W464" i="6"/>
  <c r="T465" i="6"/>
  <c r="U465" i="6"/>
  <c r="V465" i="6"/>
  <c r="A537" i="2"/>
  <c r="F536" i="2"/>
  <c r="G536" i="2"/>
  <c r="J536" i="2"/>
  <c r="K536" i="2"/>
  <c r="B536" i="2"/>
  <c r="L536" i="2"/>
  <c r="C536" i="2"/>
  <c r="M536" i="2"/>
  <c r="D536" i="2"/>
  <c r="E536" i="2"/>
  <c r="W536" i="2" s="1"/>
  <c r="AA535" i="2"/>
  <c r="Y535" i="2"/>
  <c r="AB535" i="2"/>
  <c r="AC535" i="2"/>
  <c r="X535" i="2"/>
  <c r="J466" i="6"/>
  <c r="F466" i="6"/>
  <c r="E466" i="6"/>
  <c r="S466" i="6" s="1"/>
  <c r="D466" i="6"/>
  <c r="C466" i="6"/>
  <c r="B466" i="6"/>
  <c r="A467" i="6"/>
  <c r="G466" i="6"/>
  <c r="L467" i="6" l="1"/>
  <c r="K467" i="6"/>
  <c r="T466" i="6"/>
  <c r="U466" i="6"/>
  <c r="V466" i="6"/>
  <c r="Z535" i="2"/>
  <c r="AD535" i="2" s="1"/>
  <c r="W465" i="6"/>
  <c r="Y536" i="2"/>
  <c r="X536" i="2"/>
  <c r="AA536" i="2"/>
  <c r="AC536" i="2"/>
  <c r="AB536" i="2"/>
  <c r="A538" i="2"/>
  <c r="D537" i="2"/>
  <c r="E537" i="2"/>
  <c r="W537" i="2" s="1"/>
  <c r="F537" i="2"/>
  <c r="G537" i="2"/>
  <c r="J537" i="2"/>
  <c r="K537" i="2"/>
  <c r="M537" i="2"/>
  <c r="C537" i="2"/>
  <c r="B537" i="2"/>
  <c r="L537" i="2"/>
  <c r="J467" i="6"/>
  <c r="F467" i="6"/>
  <c r="A468" i="6"/>
  <c r="G467" i="6"/>
  <c r="E467" i="6"/>
  <c r="S467" i="6" s="1"/>
  <c r="D467" i="6"/>
  <c r="C467" i="6"/>
  <c r="B467" i="6"/>
  <c r="Z536" i="2" l="1"/>
  <c r="K468" i="6"/>
  <c r="L468" i="6"/>
  <c r="V467" i="6"/>
  <c r="T467" i="6"/>
  <c r="U467" i="6"/>
  <c r="W466" i="6"/>
  <c r="A539" i="2"/>
  <c r="J538" i="2"/>
  <c r="K538" i="2"/>
  <c r="B538" i="2"/>
  <c r="L538" i="2"/>
  <c r="C538" i="2"/>
  <c r="M538" i="2"/>
  <c r="D538" i="2"/>
  <c r="E538" i="2"/>
  <c r="W538" i="2" s="1"/>
  <c r="F538" i="2"/>
  <c r="G538" i="2"/>
  <c r="AB537" i="2"/>
  <c r="AA537" i="2"/>
  <c r="Y537" i="2"/>
  <c r="AC537" i="2"/>
  <c r="X537" i="2"/>
  <c r="AD536" i="2"/>
  <c r="J468" i="6"/>
  <c r="F468" i="6"/>
  <c r="A469" i="6"/>
  <c r="G468" i="6"/>
  <c r="E468" i="6"/>
  <c r="S468" i="6" s="1"/>
  <c r="D468" i="6"/>
  <c r="C468" i="6"/>
  <c r="B468" i="6"/>
  <c r="L469" i="6" l="1"/>
  <c r="K469" i="6"/>
  <c r="T468" i="6"/>
  <c r="U468" i="6"/>
  <c r="V468" i="6"/>
  <c r="W467" i="6"/>
  <c r="Z537" i="2"/>
  <c r="AD537" i="2" s="1"/>
  <c r="AC538" i="2"/>
  <c r="AB538" i="2"/>
  <c r="X538" i="2"/>
  <c r="AA538" i="2"/>
  <c r="Y538" i="2"/>
  <c r="A540" i="2"/>
  <c r="E539" i="2"/>
  <c r="W539" i="2" s="1"/>
  <c r="F539" i="2"/>
  <c r="G539" i="2"/>
  <c r="J539" i="2"/>
  <c r="K539" i="2"/>
  <c r="B539" i="2"/>
  <c r="L539" i="2"/>
  <c r="C539" i="2"/>
  <c r="M539" i="2"/>
  <c r="D539" i="2"/>
  <c r="J469" i="6"/>
  <c r="F469" i="6"/>
  <c r="D469" i="6"/>
  <c r="C469" i="6"/>
  <c r="B469" i="6"/>
  <c r="A470" i="6"/>
  <c r="G469" i="6"/>
  <c r="E469" i="6"/>
  <c r="S469" i="6" s="1"/>
  <c r="Z538" i="2" l="1"/>
  <c r="AD538" i="2" s="1"/>
  <c r="L470" i="6"/>
  <c r="K470" i="6"/>
  <c r="W468" i="6"/>
  <c r="T469" i="6"/>
  <c r="V469" i="6"/>
  <c r="U469" i="6"/>
  <c r="W469" i="6" s="1"/>
  <c r="Y539" i="2"/>
  <c r="X539" i="2"/>
  <c r="AA539" i="2"/>
  <c r="AB539" i="2"/>
  <c r="AC539" i="2"/>
  <c r="A541" i="2"/>
  <c r="C540" i="2"/>
  <c r="M540" i="2"/>
  <c r="D540" i="2"/>
  <c r="E540" i="2"/>
  <c r="W540" i="2" s="1"/>
  <c r="F540" i="2"/>
  <c r="G540" i="2"/>
  <c r="J540" i="2"/>
  <c r="L540" i="2"/>
  <c r="B540" i="2"/>
  <c r="K540" i="2"/>
  <c r="J470" i="6"/>
  <c r="F470" i="6"/>
  <c r="G470" i="6"/>
  <c r="E470" i="6"/>
  <c r="S470" i="6" s="1"/>
  <c r="D470" i="6"/>
  <c r="C470" i="6"/>
  <c r="B470" i="6"/>
  <c r="A471" i="6"/>
  <c r="Z539" i="2" l="1"/>
  <c r="L471" i="6"/>
  <c r="K471" i="6"/>
  <c r="U470" i="6"/>
  <c r="V470" i="6"/>
  <c r="T470" i="6"/>
  <c r="A542" i="2"/>
  <c r="C541" i="2"/>
  <c r="M541" i="2"/>
  <c r="D541" i="2"/>
  <c r="E541" i="2"/>
  <c r="W541" i="2" s="1"/>
  <c r="F541" i="2"/>
  <c r="G541" i="2"/>
  <c r="J541" i="2"/>
  <c r="K541" i="2"/>
  <c r="L541" i="2"/>
  <c r="B541" i="2"/>
  <c r="X540" i="2"/>
  <c r="AA540" i="2"/>
  <c r="AB540" i="2"/>
  <c r="Y540" i="2"/>
  <c r="AC540" i="2"/>
  <c r="AD539" i="2"/>
  <c r="J471" i="6"/>
  <c r="F471" i="6"/>
  <c r="A472" i="6"/>
  <c r="G471" i="6"/>
  <c r="E471" i="6"/>
  <c r="S471" i="6" s="1"/>
  <c r="D471" i="6"/>
  <c r="C471" i="6"/>
  <c r="B471" i="6"/>
  <c r="K472" i="6" l="1"/>
  <c r="L472" i="6"/>
  <c r="W470" i="6"/>
  <c r="Z540" i="2"/>
  <c r="AD540" i="2" s="1"/>
  <c r="U471" i="6"/>
  <c r="T471" i="6"/>
  <c r="V471" i="6"/>
  <c r="W471" i="6" s="1"/>
  <c r="AA541" i="2"/>
  <c r="Y541" i="2"/>
  <c r="AB541" i="2"/>
  <c r="X541" i="2"/>
  <c r="AC541" i="2"/>
  <c r="A543" i="2"/>
  <c r="B542" i="2"/>
  <c r="L542" i="2"/>
  <c r="C542" i="2"/>
  <c r="M542" i="2"/>
  <c r="D542" i="2"/>
  <c r="E542" i="2"/>
  <c r="W542" i="2" s="1"/>
  <c r="F542" i="2"/>
  <c r="G542" i="2"/>
  <c r="J542" i="2"/>
  <c r="K542" i="2"/>
  <c r="J472" i="6"/>
  <c r="F472" i="6"/>
  <c r="B472" i="6"/>
  <c r="A473" i="6"/>
  <c r="G472" i="6"/>
  <c r="D472" i="6"/>
  <c r="C472" i="6"/>
  <c r="E472" i="6"/>
  <c r="S472" i="6" s="1"/>
  <c r="K473" i="6" l="1"/>
  <c r="L473" i="6"/>
  <c r="U472" i="6"/>
  <c r="T472" i="6"/>
  <c r="V472" i="6"/>
  <c r="Z541" i="2"/>
  <c r="AD541" i="2" s="1"/>
  <c r="A544" i="2"/>
  <c r="K543" i="2"/>
  <c r="B543" i="2"/>
  <c r="L543" i="2"/>
  <c r="C543" i="2"/>
  <c r="M543" i="2"/>
  <c r="D543" i="2"/>
  <c r="E543" i="2"/>
  <c r="W543" i="2" s="1"/>
  <c r="F543" i="2"/>
  <c r="G543" i="2"/>
  <c r="J543" i="2"/>
  <c r="X542" i="2"/>
  <c r="AB542" i="2"/>
  <c r="AC542" i="2"/>
  <c r="Y542" i="2"/>
  <c r="AA542" i="2"/>
  <c r="J473" i="6"/>
  <c r="F473" i="6"/>
  <c r="D473" i="6"/>
  <c r="C473" i="6"/>
  <c r="B473" i="6"/>
  <c r="A474" i="6"/>
  <c r="G473" i="6"/>
  <c r="E473" i="6"/>
  <c r="S473" i="6" s="1"/>
  <c r="L474" i="6" l="1"/>
  <c r="K474" i="6"/>
  <c r="Z542" i="2"/>
  <c r="AD542" i="2" s="1"/>
  <c r="V473" i="6"/>
  <c r="T473" i="6"/>
  <c r="U473" i="6"/>
  <c r="W472" i="6"/>
  <c r="Y543" i="2"/>
  <c r="AC543" i="2"/>
  <c r="AB543" i="2"/>
  <c r="X543" i="2"/>
  <c r="AA543" i="2"/>
  <c r="A545" i="2"/>
  <c r="G544" i="2"/>
  <c r="J544" i="2"/>
  <c r="K544" i="2"/>
  <c r="B544" i="2"/>
  <c r="L544" i="2"/>
  <c r="C544" i="2"/>
  <c r="M544" i="2"/>
  <c r="D544" i="2"/>
  <c r="E544" i="2"/>
  <c r="W544" i="2" s="1"/>
  <c r="F544" i="2"/>
  <c r="J474" i="6"/>
  <c r="F474" i="6"/>
  <c r="G474" i="6"/>
  <c r="E474" i="6"/>
  <c r="S474" i="6" s="1"/>
  <c r="D474" i="6"/>
  <c r="C474" i="6"/>
  <c r="B474" i="6"/>
  <c r="A475" i="6"/>
  <c r="L475" i="6" l="1"/>
  <c r="K475" i="6"/>
  <c r="W473" i="6"/>
  <c r="T474" i="6"/>
  <c r="V474" i="6"/>
  <c r="U474" i="6"/>
  <c r="Z543" i="2"/>
  <c r="A546" i="2"/>
  <c r="E545" i="2"/>
  <c r="W545" i="2" s="1"/>
  <c r="F545" i="2"/>
  <c r="G545" i="2"/>
  <c r="J545" i="2"/>
  <c r="K545" i="2"/>
  <c r="B545" i="2"/>
  <c r="L545" i="2"/>
  <c r="C545" i="2"/>
  <c r="D545" i="2"/>
  <c r="M545" i="2"/>
  <c r="AD543" i="2"/>
  <c r="AC544" i="2"/>
  <c r="Y544" i="2"/>
  <c r="AB544" i="2"/>
  <c r="AA544" i="2"/>
  <c r="X544" i="2"/>
  <c r="J475" i="6"/>
  <c r="F475" i="6"/>
  <c r="A476" i="6"/>
  <c r="G475" i="6"/>
  <c r="E475" i="6"/>
  <c r="S475" i="6" s="1"/>
  <c r="D475" i="6"/>
  <c r="C475" i="6"/>
  <c r="B475" i="6"/>
  <c r="L476" i="6" l="1"/>
  <c r="K476" i="6"/>
  <c r="W474" i="6"/>
  <c r="T475" i="6"/>
  <c r="U475" i="6"/>
  <c r="V475" i="6"/>
  <c r="AC545" i="2"/>
  <c r="X545" i="2"/>
  <c r="Y545" i="2"/>
  <c r="AB545" i="2"/>
  <c r="AA545" i="2"/>
  <c r="Z544" i="2"/>
  <c r="AD544" i="2" s="1"/>
  <c r="A547" i="2"/>
  <c r="B546" i="2"/>
  <c r="L546" i="2"/>
  <c r="C546" i="2"/>
  <c r="M546" i="2"/>
  <c r="D546" i="2"/>
  <c r="E546" i="2"/>
  <c r="W546" i="2" s="1"/>
  <c r="F546" i="2"/>
  <c r="G546" i="2"/>
  <c r="K546" i="2"/>
  <c r="J546" i="2"/>
  <c r="J476" i="6"/>
  <c r="F476" i="6"/>
  <c r="B476" i="6"/>
  <c r="A477" i="6"/>
  <c r="G476" i="6"/>
  <c r="C476" i="6"/>
  <c r="E476" i="6"/>
  <c r="S476" i="6" s="1"/>
  <c r="D476" i="6"/>
  <c r="L477" i="6" l="1"/>
  <c r="K477" i="6"/>
  <c r="Z545" i="2"/>
  <c r="U476" i="6"/>
  <c r="T476" i="6"/>
  <c r="V476" i="6"/>
  <c r="W475" i="6"/>
  <c r="A548" i="2"/>
  <c r="G547" i="2"/>
  <c r="J547" i="2"/>
  <c r="K547" i="2"/>
  <c r="B547" i="2"/>
  <c r="L547" i="2"/>
  <c r="C547" i="2"/>
  <c r="M547" i="2"/>
  <c r="D547" i="2"/>
  <c r="F547" i="2"/>
  <c r="E547" i="2"/>
  <c r="W547" i="2" s="1"/>
  <c r="AC546" i="2"/>
  <c r="Y546" i="2"/>
  <c r="X546" i="2"/>
  <c r="Z546" i="2" s="1"/>
  <c r="AB546" i="2"/>
  <c r="AA546" i="2"/>
  <c r="AD545" i="2"/>
  <c r="J477" i="6"/>
  <c r="F477" i="6"/>
  <c r="D477" i="6"/>
  <c r="C477" i="6"/>
  <c r="B477" i="6"/>
  <c r="A478" i="6"/>
  <c r="G477" i="6"/>
  <c r="E477" i="6"/>
  <c r="S477" i="6" s="1"/>
  <c r="L478" i="6" l="1"/>
  <c r="K478" i="6"/>
  <c r="T477" i="6"/>
  <c r="V477" i="6"/>
  <c r="U477" i="6"/>
  <c r="AD546" i="2"/>
  <c r="W476" i="6"/>
  <c r="AA547" i="2"/>
  <c r="AB547" i="2"/>
  <c r="X547" i="2"/>
  <c r="Y547" i="2"/>
  <c r="AC547" i="2"/>
  <c r="A549" i="2"/>
  <c r="E548" i="2"/>
  <c r="W548" i="2" s="1"/>
  <c r="F548" i="2"/>
  <c r="G548" i="2"/>
  <c r="J548" i="2"/>
  <c r="K548" i="2"/>
  <c r="B548" i="2"/>
  <c r="L548" i="2"/>
  <c r="C548" i="2"/>
  <c r="D548" i="2"/>
  <c r="M548" i="2"/>
  <c r="J478" i="6"/>
  <c r="F478" i="6"/>
  <c r="G478" i="6"/>
  <c r="E478" i="6"/>
  <c r="S478" i="6" s="1"/>
  <c r="D478" i="6"/>
  <c r="C478" i="6"/>
  <c r="B478" i="6"/>
  <c r="A479" i="6"/>
  <c r="W477" i="6" l="1"/>
  <c r="L479" i="6"/>
  <c r="K479" i="6"/>
  <c r="T478" i="6"/>
  <c r="U478" i="6"/>
  <c r="V478" i="6"/>
  <c r="AA548" i="2"/>
  <c r="X548" i="2"/>
  <c r="AC548" i="2"/>
  <c r="AB548" i="2"/>
  <c r="Y548" i="2"/>
  <c r="A550" i="2"/>
  <c r="C549" i="2"/>
  <c r="M549" i="2"/>
  <c r="D549" i="2"/>
  <c r="E549" i="2"/>
  <c r="W549" i="2" s="1"/>
  <c r="F549" i="2"/>
  <c r="G549" i="2"/>
  <c r="J549" i="2"/>
  <c r="L549" i="2"/>
  <c r="B549" i="2"/>
  <c r="K549" i="2"/>
  <c r="Z547" i="2"/>
  <c r="AD547" i="2" s="1"/>
  <c r="J479" i="6"/>
  <c r="F479" i="6"/>
  <c r="A480" i="6"/>
  <c r="G479" i="6"/>
  <c r="E479" i="6"/>
  <c r="S479" i="6" s="1"/>
  <c r="D479" i="6"/>
  <c r="C479" i="6"/>
  <c r="B479" i="6"/>
  <c r="K480" i="6" l="1"/>
  <c r="L480" i="6"/>
  <c r="U479" i="6"/>
  <c r="T479" i="6"/>
  <c r="V479" i="6"/>
  <c r="W479" i="6" s="1"/>
  <c r="W478" i="6"/>
  <c r="A551" i="2"/>
  <c r="G550" i="2"/>
  <c r="J550" i="2"/>
  <c r="K550" i="2"/>
  <c r="B550" i="2"/>
  <c r="L550" i="2"/>
  <c r="C550" i="2"/>
  <c r="M550" i="2"/>
  <c r="D550" i="2"/>
  <c r="F550" i="2"/>
  <c r="E550" i="2"/>
  <c r="W550" i="2" s="1"/>
  <c r="X549" i="2"/>
  <c r="AA549" i="2"/>
  <c r="AC549" i="2"/>
  <c r="Y549" i="2"/>
  <c r="AB549" i="2"/>
  <c r="Z548" i="2"/>
  <c r="AD548" i="2" s="1"/>
  <c r="J480" i="6"/>
  <c r="F480" i="6"/>
  <c r="B480" i="6"/>
  <c r="A481" i="6"/>
  <c r="G480" i="6"/>
  <c r="E480" i="6"/>
  <c r="S480" i="6" s="1"/>
  <c r="D480" i="6"/>
  <c r="C480" i="6"/>
  <c r="K481" i="6" l="1"/>
  <c r="L481" i="6"/>
  <c r="V480" i="6"/>
  <c r="U480" i="6"/>
  <c r="T480" i="6"/>
  <c r="Z549" i="2"/>
  <c r="AD549" i="2" s="1"/>
  <c r="X550" i="2"/>
  <c r="AC550" i="2"/>
  <c r="AB550" i="2"/>
  <c r="Y550" i="2"/>
  <c r="AA550" i="2"/>
  <c r="A552" i="2"/>
  <c r="D551" i="2"/>
  <c r="E551" i="2"/>
  <c r="W551" i="2" s="1"/>
  <c r="F551" i="2"/>
  <c r="G551" i="2"/>
  <c r="J551" i="2"/>
  <c r="K551" i="2"/>
  <c r="C551" i="2"/>
  <c r="L551" i="2"/>
  <c r="M551" i="2"/>
  <c r="B551" i="2"/>
  <c r="J481" i="6"/>
  <c r="F481" i="6"/>
  <c r="D481" i="6"/>
  <c r="C481" i="6"/>
  <c r="B481" i="6"/>
  <c r="A482" i="6"/>
  <c r="G481" i="6"/>
  <c r="E481" i="6"/>
  <c r="S481" i="6" s="1"/>
  <c r="Z550" i="2" l="1"/>
  <c r="K482" i="6"/>
  <c r="L482" i="6"/>
  <c r="U481" i="6"/>
  <c r="T481" i="6"/>
  <c r="V481" i="6"/>
  <c r="W481" i="6" s="1"/>
  <c r="W480" i="6"/>
  <c r="A553" i="2"/>
  <c r="B552" i="2"/>
  <c r="L552" i="2"/>
  <c r="C552" i="2"/>
  <c r="M552" i="2"/>
  <c r="D552" i="2"/>
  <c r="E552" i="2"/>
  <c r="W552" i="2" s="1"/>
  <c r="F552" i="2"/>
  <c r="G552" i="2"/>
  <c r="J552" i="2"/>
  <c r="K552" i="2"/>
  <c r="AD550" i="2"/>
  <c r="AB551" i="2"/>
  <c r="AC551" i="2"/>
  <c r="AA551" i="2"/>
  <c r="X551" i="2"/>
  <c r="Y551" i="2"/>
  <c r="J482" i="6"/>
  <c r="G482" i="6"/>
  <c r="F482" i="6"/>
  <c r="A483" i="6"/>
  <c r="E482" i="6"/>
  <c r="S482" i="6" s="1"/>
  <c r="D482" i="6"/>
  <c r="C482" i="6"/>
  <c r="B482" i="6"/>
  <c r="L483" i="6" l="1"/>
  <c r="K483" i="6"/>
  <c r="Z551" i="2"/>
  <c r="AD551" i="2" s="1"/>
  <c r="T482" i="6"/>
  <c r="U482" i="6"/>
  <c r="V482" i="6"/>
  <c r="AB552" i="2"/>
  <c r="Y552" i="2"/>
  <c r="AC552" i="2"/>
  <c r="X552" i="2"/>
  <c r="AA552" i="2"/>
  <c r="A554" i="2"/>
  <c r="G553" i="2"/>
  <c r="J553" i="2"/>
  <c r="K553" i="2"/>
  <c r="B553" i="2"/>
  <c r="L553" i="2"/>
  <c r="C553" i="2"/>
  <c r="M553" i="2"/>
  <c r="D553" i="2"/>
  <c r="E553" i="2"/>
  <c r="W553" i="2" s="1"/>
  <c r="F553" i="2"/>
  <c r="J483" i="6"/>
  <c r="G483" i="6"/>
  <c r="F483" i="6"/>
  <c r="A484" i="6"/>
  <c r="E483" i="6"/>
  <c r="S483" i="6" s="1"/>
  <c r="C483" i="6"/>
  <c r="B483" i="6"/>
  <c r="D483" i="6"/>
  <c r="Z552" i="2" l="1"/>
  <c r="K484" i="6"/>
  <c r="L484" i="6"/>
  <c r="W482" i="6"/>
  <c r="T483" i="6"/>
  <c r="U483" i="6"/>
  <c r="V483" i="6"/>
  <c r="AD552" i="2"/>
  <c r="Y553" i="2"/>
  <c r="AC553" i="2"/>
  <c r="X553" i="2"/>
  <c r="Z553" i="2" s="1"/>
  <c r="AA553" i="2"/>
  <c r="AB553" i="2"/>
  <c r="A555" i="2"/>
  <c r="E554" i="2"/>
  <c r="W554" i="2" s="1"/>
  <c r="F554" i="2"/>
  <c r="G554" i="2"/>
  <c r="J554" i="2"/>
  <c r="K554" i="2"/>
  <c r="B554" i="2"/>
  <c r="L554" i="2"/>
  <c r="M554" i="2"/>
  <c r="C554" i="2"/>
  <c r="D554" i="2"/>
  <c r="J484" i="6"/>
  <c r="G484" i="6"/>
  <c r="F484" i="6"/>
  <c r="D484" i="6"/>
  <c r="C484" i="6"/>
  <c r="B484" i="6"/>
  <c r="A485" i="6"/>
  <c r="E484" i="6"/>
  <c r="S484" i="6" s="1"/>
  <c r="K485" i="6" l="1"/>
  <c r="L485" i="6"/>
  <c r="W483" i="6"/>
  <c r="T484" i="6"/>
  <c r="U484" i="6"/>
  <c r="V484" i="6"/>
  <c r="A556" i="2"/>
  <c r="C555" i="2"/>
  <c r="M555" i="2"/>
  <c r="D555" i="2"/>
  <c r="E555" i="2"/>
  <c r="W555" i="2" s="1"/>
  <c r="F555" i="2"/>
  <c r="G555" i="2"/>
  <c r="J555" i="2"/>
  <c r="B555" i="2"/>
  <c r="K555" i="2"/>
  <c r="L555" i="2"/>
  <c r="AD553" i="2"/>
  <c r="AA554" i="2"/>
  <c r="X554" i="2"/>
  <c r="AC554" i="2"/>
  <c r="Y554" i="2"/>
  <c r="AB554" i="2"/>
  <c r="J485" i="6"/>
  <c r="G485" i="6"/>
  <c r="F485" i="6"/>
  <c r="A486" i="6"/>
  <c r="E485" i="6"/>
  <c r="S485" i="6" s="1"/>
  <c r="D485" i="6"/>
  <c r="C485" i="6"/>
  <c r="B485" i="6"/>
  <c r="L486" i="6" l="1"/>
  <c r="K486" i="6"/>
  <c r="W484" i="6"/>
  <c r="T485" i="6"/>
  <c r="V485" i="6"/>
  <c r="U485" i="6"/>
  <c r="W485" i="6" s="1"/>
  <c r="AB555" i="2"/>
  <c r="X555" i="2"/>
  <c r="Z555" i="2" s="1"/>
  <c r="Y555" i="2"/>
  <c r="AA555" i="2"/>
  <c r="AC555" i="2"/>
  <c r="Z554" i="2"/>
  <c r="AD554" i="2" s="1"/>
  <c r="A557" i="2"/>
  <c r="E556" i="2"/>
  <c r="W556" i="2" s="1"/>
  <c r="F556" i="2"/>
  <c r="G556" i="2"/>
  <c r="J556" i="2"/>
  <c r="K556" i="2"/>
  <c r="B556" i="2"/>
  <c r="L556" i="2"/>
  <c r="D556" i="2"/>
  <c r="C556" i="2"/>
  <c r="M556" i="2"/>
  <c r="J486" i="6"/>
  <c r="G486" i="6"/>
  <c r="F486" i="6"/>
  <c r="B486" i="6"/>
  <c r="A487" i="6"/>
  <c r="E486" i="6"/>
  <c r="S486" i="6" s="1"/>
  <c r="D486" i="6"/>
  <c r="C486" i="6"/>
  <c r="K487" i="6" l="1"/>
  <c r="L487" i="6"/>
  <c r="V486" i="6"/>
  <c r="T486" i="6"/>
  <c r="U486" i="6"/>
  <c r="A558" i="2"/>
  <c r="J557" i="2"/>
  <c r="K557" i="2"/>
  <c r="B557" i="2"/>
  <c r="L557" i="2"/>
  <c r="C557" i="2"/>
  <c r="M557" i="2"/>
  <c r="D557" i="2"/>
  <c r="E557" i="2"/>
  <c r="W557" i="2" s="1"/>
  <c r="F557" i="2"/>
  <c r="G557" i="2"/>
  <c r="X556" i="2"/>
  <c r="AA556" i="2"/>
  <c r="AC556" i="2"/>
  <c r="AB556" i="2"/>
  <c r="Y556" i="2"/>
  <c r="AD555" i="2"/>
  <c r="J487" i="6"/>
  <c r="G487" i="6"/>
  <c r="F487" i="6"/>
  <c r="D487" i="6"/>
  <c r="A488" i="6"/>
  <c r="E487" i="6"/>
  <c r="S487" i="6" s="1"/>
  <c r="C487" i="6"/>
  <c r="B487" i="6"/>
  <c r="L488" i="6" l="1"/>
  <c r="K488" i="6"/>
  <c r="U487" i="6"/>
  <c r="T487" i="6"/>
  <c r="V487" i="6"/>
  <c r="W486" i="6"/>
  <c r="Z556" i="2"/>
  <c r="AD556" i="2" s="1"/>
  <c r="A559" i="2"/>
  <c r="F558" i="2"/>
  <c r="G558" i="2"/>
  <c r="J558" i="2"/>
  <c r="K558" i="2"/>
  <c r="B558" i="2"/>
  <c r="L558" i="2"/>
  <c r="C558" i="2"/>
  <c r="M558" i="2"/>
  <c r="D558" i="2"/>
  <c r="E558" i="2"/>
  <c r="W558" i="2" s="1"/>
  <c r="AA557" i="2"/>
  <c r="X557" i="2"/>
  <c r="AC557" i="2"/>
  <c r="AB557" i="2"/>
  <c r="Y557" i="2"/>
  <c r="Z557" i="2" s="1"/>
  <c r="J488" i="6"/>
  <c r="G488" i="6"/>
  <c r="F488" i="6"/>
  <c r="D488" i="6"/>
  <c r="A489" i="6"/>
  <c r="B488" i="6"/>
  <c r="E488" i="6"/>
  <c r="S488" i="6" s="1"/>
  <c r="C488" i="6"/>
  <c r="W487" i="6" l="1"/>
  <c r="L489" i="6"/>
  <c r="K489" i="6"/>
  <c r="AD557" i="2"/>
  <c r="V488" i="6"/>
  <c r="U488" i="6"/>
  <c r="T488" i="6"/>
  <c r="W488" i="6" s="1"/>
  <c r="X558" i="2"/>
  <c r="AC558" i="2"/>
  <c r="Y558" i="2"/>
  <c r="AB558" i="2"/>
  <c r="AA558" i="2"/>
  <c r="A560" i="2"/>
  <c r="D559" i="2"/>
  <c r="E559" i="2"/>
  <c r="W559" i="2" s="1"/>
  <c r="F559" i="2"/>
  <c r="G559" i="2"/>
  <c r="J559" i="2"/>
  <c r="K559" i="2"/>
  <c r="B559" i="2"/>
  <c r="C559" i="2"/>
  <c r="L559" i="2"/>
  <c r="M559" i="2"/>
  <c r="J489" i="6"/>
  <c r="G489" i="6"/>
  <c r="F489" i="6"/>
  <c r="D489" i="6"/>
  <c r="A490" i="6"/>
  <c r="E489" i="6"/>
  <c r="S489" i="6" s="1"/>
  <c r="C489" i="6"/>
  <c r="B489" i="6"/>
  <c r="Z558" i="2" l="1"/>
  <c r="K490" i="6"/>
  <c r="L490" i="6"/>
  <c r="AD558" i="2"/>
  <c r="U489" i="6"/>
  <c r="T489" i="6"/>
  <c r="V489" i="6"/>
  <c r="A561" i="2"/>
  <c r="K560" i="2"/>
  <c r="B560" i="2"/>
  <c r="L560" i="2"/>
  <c r="C560" i="2"/>
  <c r="M560" i="2"/>
  <c r="D560" i="2"/>
  <c r="E560" i="2"/>
  <c r="W560" i="2" s="1"/>
  <c r="F560" i="2"/>
  <c r="J560" i="2"/>
  <c r="G560" i="2"/>
  <c r="AB559" i="2"/>
  <c r="Y559" i="2"/>
  <c r="X559" i="2"/>
  <c r="Z559" i="2" s="1"/>
  <c r="AA559" i="2"/>
  <c r="AC559" i="2"/>
  <c r="J490" i="6"/>
  <c r="G490" i="6"/>
  <c r="F490" i="6"/>
  <c r="D490" i="6"/>
  <c r="A491" i="6"/>
  <c r="E490" i="6"/>
  <c r="S490" i="6" s="1"/>
  <c r="C490" i="6"/>
  <c r="B490" i="6"/>
  <c r="L491" i="6" l="1"/>
  <c r="K491" i="6"/>
  <c r="W489" i="6"/>
  <c r="T490" i="6"/>
  <c r="V490" i="6"/>
  <c r="U490" i="6"/>
  <c r="AD559" i="2"/>
  <c r="Y560" i="2"/>
  <c r="X560" i="2"/>
  <c r="AA560" i="2"/>
  <c r="AC560" i="2"/>
  <c r="AB560" i="2"/>
  <c r="A562" i="2"/>
  <c r="G561" i="2"/>
  <c r="J561" i="2"/>
  <c r="K561" i="2"/>
  <c r="B561" i="2"/>
  <c r="L561" i="2"/>
  <c r="C561" i="2"/>
  <c r="M561" i="2"/>
  <c r="D561" i="2"/>
  <c r="F561" i="2"/>
  <c r="E561" i="2"/>
  <c r="W561" i="2" s="1"/>
  <c r="J491" i="6"/>
  <c r="G491" i="6"/>
  <c r="F491" i="6"/>
  <c r="D491" i="6"/>
  <c r="A492" i="6"/>
  <c r="E491" i="6"/>
  <c r="S491" i="6" s="1"/>
  <c r="C491" i="6"/>
  <c r="B491" i="6"/>
  <c r="K492" i="6" l="1"/>
  <c r="L492" i="6"/>
  <c r="Z560" i="2"/>
  <c r="U491" i="6"/>
  <c r="T491" i="6"/>
  <c r="V491" i="6"/>
  <c r="W490" i="6"/>
  <c r="A563" i="2"/>
  <c r="E562" i="2"/>
  <c r="W562" i="2" s="1"/>
  <c r="F562" i="2"/>
  <c r="G562" i="2"/>
  <c r="J562" i="2"/>
  <c r="K562" i="2"/>
  <c r="B562" i="2"/>
  <c r="L562" i="2"/>
  <c r="C562" i="2"/>
  <c r="D562" i="2"/>
  <c r="M562" i="2"/>
  <c r="AA561" i="2"/>
  <c r="X561" i="2"/>
  <c r="Y561" i="2"/>
  <c r="AB561" i="2"/>
  <c r="AC561" i="2"/>
  <c r="AD560" i="2"/>
  <c r="J492" i="6"/>
  <c r="G492" i="6"/>
  <c r="F492" i="6"/>
  <c r="D492" i="6"/>
  <c r="A493" i="6"/>
  <c r="E492" i="6"/>
  <c r="S492" i="6" s="1"/>
  <c r="C492" i="6"/>
  <c r="B492" i="6"/>
  <c r="Z561" i="2" l="1"/>
  <c r="K493" i="6"/>
  <c r="L493" i="6"/>
  <c r="T492" i="6"/>
  <c r="U492" i="6"/>
  <c r="V492" i="6"/>
  <c r="W491" i="6"/>
  <c r="AD561" i="2"/>
  <c r="AC562" i="2"/>
  <c r="X562" i="2"/>
  <c r="Y562" i="2"/>
  <c r="AB562" i="2"/>
  <c r="AA562" i="2"/>
  <c r="A564" i="2"/>
  <c r="J563" i="2"/>
  <c r="K563" i="2"/>
  <c r="B563" i="2"/>
  <c r="L563" i="2"/>
  <c r="C563" i="2"/>
  <c r="M563" i="2"/>
  <c r="D563" i="2"/>
  <c r="E563" i="2"/>
  <c r="W563" i="2" s="1"/>
  <c r="F563" i="2"/>
  <c r="G563" i="2"/>
  <c r="J493" i="6"/>
  <c r="G493" i="6"/>
  <c r="F493" i="6"/>
  <c r="D493" i="6"/>
  <c r="A494" i="6"/>
  <c r="E493" i="6"/>
  <c r="S493" i="6" s="1"/>
  <c r="C493" i="6"/>
  <c r="B493" i="6"/>
  <c r="K494" i="6" l="1"/>
  <c r="L494" i="6"/>
  <c r="W492" i="6"/>
  <c r="T493" i="6"/>
  <c r="V493" i="6"/>
  <c r="U493" i="6"/>
  <c r="A565" i="2"/>
  <c r="C564" i="2"/>
  <c r="M564" i="2"/>
  <c r="D564" i="2"/>
  <c r="E564" i="2"/>
  <c r="W564" i="2" s="1"/>
  <c r="F564" i="2"/>
  <c r="G564" i="2"/>
  <c r="J564" i="2"/>
  <c r="B564" i="2"/>
  <c r="K564" i="2"/>
  <c r="L564" i="2"/>
  <c r="AB563" i="2"/>
  <c r="AA563" i="2"/>
  <c r="AC563" i="2"/>
  <c r="Y563" i="2"/>
  <c r="X563" i="2"/>
  <c r="Z562" i="2"/>
  <c r="AD562" i="2" s="1"/>
  <c r="J494" i="6"/>
  <c r="G494" i="6"/>
  <c r="F494" i="6"/>
  <c r="D494" i="6"/>
  <c r="A495" i="6"/>
  <c r="E494" i="6"/>
  <c r="S494" i="6" s="1"/>
  <c r="C494" i="6"/>
  <c r="B494" i="6"/>
  <c r="Z563" i="2" l="1"/>
  <c r="W493" i="6"/>
  <c r="K495" i="6"/>
  <c r="L495" i="6"/>
  <c r="T494" i="6"/>
  <c r="U494" i="6"/>
  <c r="V494" i="6"/>
  <c r="AD563" i="2"/>
  <c r="X564" i="2"/>
  <c r="AC564" i="2"/>
  <c r="AA564" i="2"/>
  <c r="AB564" i="2"/>
  <c r="Y564" i="2"/>
  <c r="A566" i="2"/>
  <c r="K565" i="2"/>
  <c r="B565" i="2"/>
  <c r="L565" i="2"/>
  <c r="C565" i="2"/>
  <c r="M565" i="2"/>
  <c r="D565" i="2"/>
  <c r="E565" i="2"/>
  <c r="W565" i="2" s="1"/>
  <c r="F565" i="2"/>
  <c r="G565" i="2"/>
  <c r="J565" i="2"/>
  <c r="J495" i="6"/>
  <c r="G495" i="6"/>
  <c r="F495" i="6"/>
  <c r="D495" i="6"/>
  <c r="A496" i="6"/>
  <c r="E495" i="6"/>
  <c r="S495" i="6" s="1"/>
  <c r="C495" i="6"/>
  <c r="B495" i="6"/>
  <c r="K496" i="6" l="1"/>
  <c r="L496" i="6"/>
  <c r="U495" i="6"/>
  <c r="T495" i="6"/>
  <c r="V495" i="6"/>
  <c r="Z564" i="2"/>
  <c r="AD564" i="2" s="1"/>
  <c r="W494" i="6"/>
  <c r="AC565" i="2"/>
  <c r="X565" i="2"/>
  <c r="AA565" i="2"/>
  <c r="Y565" i="2"/>
  <c r="AB565" i="2"/>
  <c r="A567" i="2"/>
  <c r="F566" i="2"/>
  <c r="G566" i="2"/>
  <c r="J566" i="2"/>
  <c r="K566" i="2"/>
  <c r="B566" i="2"/>
  <c r="L566" i="2"/>
  <c r="C566" i="2"/>
  <c r="M566" i="2"/>
  <c r="E566" i="2"/>
  <c r="W566" i="2" s="1"/>
  <c r="D566" i="2"/>
  <c r="J496" i="6"/>
  <c r="G496" i="6"/>
  <c r="F496" i="6"/>
  <c r="D496" i="6"/>
  <c r="A497" i="6"/>
  <c r="E496" i="6"/>
  <c r="S496" i="6" s="1"/>
  <c r="C496" i="6"/>
  <c r="B496" i="6"/>
  <c r="W495" i="6" l="1"/>
  <c r="L497" i="6"/>
  <c r="K497" i="6"/>
  <c r="V496" i="6"/>
  <c r="T496" i="6"/>
  <c r="U496" i="6"/>
  <c r="W496" i="6" s="1"/>
  <c r="Z565" i="2"/>
  <c r="AD565" i="2" s="1"/>
  <c r="A568" i="2"/>
  <c r="E567" i="2"/>
  <c r="W567" i="2" s="1"/>
  <c r="F567" i="2"/>
  <c r="G567" i="2"/>
  <c r="J567" i="2"/>
  <c r="K567" i="2"/>
  <c r="B567" i="2"/>
  <c r="L567" i="2"/>
  <c r="M567" i="2"/>
  <c r="C567" i="2"/>
  <c r="D567" i="2"/>
  <c r="AA566" i="2"/>
  <c r="X566" i="2"/>
  <c r="AB566" i="2"/>
  <c r="AC566" i="2"/>
  <c r="Y566" i="2"/>
  <c r="J497" i="6"/>
  <c r="G497" i="6"/>
  <c r="F497" i="6"/>
  <c r="D497" i="6"/>
  <c r="A498" i="6"/>
  <c r="E497" i="6"/>
  <c r="S497" i="6" s="1"/>
  <c r="C497" i="6"/>
  <c r="B497" i="6"/>
  <c r="K498" i="6" l="1"/>
  <c r="L498" i="6"/>
  <c r="T497" i="6"/>
  <c r="U497" i="6"/>
  <c r="V497" i="6"/>
  <c r="Z566" i="2"/>
  <c r="AD566" i="2" s="1"/>
  <c r="Y567" i="2"/>
  <c r="AA567" i="2"/>
  <c r="X567" i="2"/>
  <c r="AC567" i="2"/>
  <c r="AB567" i="2"/>
  <c r="A569" i="2"/>
  <c r="D568" i="2"/>
  <c r="E568" i="2"/>
  <c r="W568" i="2" s="1"/>
  <c r="F568" i="2"/>
  <c r="G568" i="2"/>
  <c r="J568" i="2"/>
  <c r="K568" i="2"/>
  <c r="C568" i="2"/>
  <c r="L568" i="2"/>
  <c r="M568" i="2"/>
  <c r="B568" i="2"/>
  <c r="J498" i="6"/>
  <c r="G498" i="6"/>
  <c r="F498" i="6"/>
  <c r="D498" i="6"/>
  <c r="A499" i="6"/>
  <c r="C498" i="6"/>
  <c r="B498" i="6"/>
  <c r="E498" i="6"/>
  <c r="S498" i="6" s="1"/>
  <c r="K499" i="6" l="1"/>
  <c r="L499" i="6"/>
  <c r="T498" i="6"/>
  <c r="V498" i="6"/>
  <c r="U498" i="6"/>
  <c r="W498" i="6" s="1"/>
  <c r="Z567" i="2"/>
  <c r="AD567" i="2" s="1"/>
  <c r="W497" i="6"/>
  <c r="Y568" i="2"/>
  <c r="X568" i="2"/>
  <c r="AA568" i="2"/>
  <c r="AB568" i="2"/>
  <c r="AC568" i="2"/>
  <c r="A570" i="2"/>
  <c r="D569" i="2"/>
  <c r="E569" i="2"/>
  <c r="W569" i="2" s="1"/>
  <c r="F569" i="2"/>
  <c r="G569" i="2"/>
  <c r="J569" i="2"/>
  <c r="K569" i="2"/>
  <c r="B569" i="2"/>
  <c r="C569" i="2"/>
  <c r="L569" i="2"/>
  <c r="M569" i="2"/>
  <c r="J499" i="6"/>
  <c r="G499" i="6"/>
  <c r="F499" i="6"/>
  <c r="D499" i="6"/>
  <c r="A500" i="6"/>
  <c r="E499" i="6"/>
  <c r="S499" i="6" s="1"/>
  <c r="C499" i="6"/>
  <c r="B499" i="6"/>
  <c r="Z568" i="2" l="1"/>
  <c r="L500" i="6"/>
  <c r="K500" i="6"/>
  <c r="T499" i="6"/>
  <c r="U499" i="6"/>
  <c r="V499" i="6"/>
  <c r="A571" i="2"/>
  <c r="K570" i="2"/>
  <c r="B570" i="2"/>
  <c r="L570" i="2"/>
  <c r="C570" i="2"/>
  <c r="M570" i="2"/>
  <c r="D570" i="2"/>
  <c r="E570" i="2"/>
  <c r="W570" i="2" s="1"/>
  <c r="F570" i="2"/>
  <c r="J570" i="2"/>
  <c r="G570" i="2"/>
  <c r="AD568" i="2"/>
  <c r="AC569" i="2"/>
  <c r="X569" i="2"/>
  <c r="Y569" i="2"/>
  <c r="AA569" i="2"/>
  <c r="AB569" i="2"/>
  <c r="J500" i="6"/>
  <c r="G500" i="6"/>
  <c r="F500" i="6"/>
  <c r="D500" i="6"/>
  <c r="A501" i="6"/>
  <c r="E500" i="6"/>
  <c r="S500" i="6" s="1"/>
  <c r="C500" i="6"/>
  <c r="B500" i="6"/>
  <c r="K501" i="6" l="1"/>
  <c r="L501" i="6"/>
  <c r="T500" i="6"/>
  <c r="U500" i="6"/>
  <c r="V500" i="6"/>
  <c r="W499" i="6"/>
  <c r="AA570" i="2"/>
  <c r="AB570" i="2"/>
  <c r="Y570" i="2"/>
  <c r="AC570" i="2"/>
  <c r="X570" i="2"/>
  <c r="Z569" i="2"/>
  <c r="AD569" i="2" s="1"/>
  <c r="A572" i="2"/>
  <c r="F571" i="2"/>
  <c r="G571" i="2"/>
  <c r="J571" i="2"/>
  <c r="K571" i="2"/>
  <c r="B571" i="2"/>
  <c r="L571" i="2"/>
  <c r="C571" i="2"/>
  <c r="M571" i="2"/>
  <c r="E571" i="2"/>
  <c r="W571" i="2" s="1"/>
  <c r="D571" i="2"/>
  <c r="A502" i="6"/>
  <c r="J501" i="6"/>
  <c r="G501" i="6"/>
  <c r="F501" i="6"/>
  <c r="D501" i="6"/>
  <c r="E501" i="6"/>
  <c r="S501" i="6" s="1"/>
  <c r="C501" i="6"/>
  <c r="B501" i="6"/>
  <c r="K502" i="6" l="1"/>
  <c r="L502" i="6"/>
  <c r="U501" i="6"/>
  <c r="V501" i="6"/>
  <c r="T501" i="6"/>
  <c r="W501" i="6" s="1"/>
  <c r="W500" i="6"/>
  <c r="Z570" i="2"/>
  <c r="AD570" i="2" s="1"/>
  <c r="A573" i="2"/>
  <c r="E572" i="2"/>
  <c r="W572" i="2" s="1"/>
  <c r="F572" i="2"/>
  <c r="G572" i="2"/>
  <c r="J572" i="2"/>
  <c r="K572" i="2"/>
  <c r="B572" i="2"/>
  <c r="L572" i="2"/>
  <c r="C572" i="2"/>
  <c r="D572" i="2"/>
  <c r="M572" i="2"/>
  <c r="AB571" i="2"/>
  <c r="Y571" i="2"/>
  <c r="AA571" i="2"/>
  <c r="X571" i="2"/>
  <c r="Z571" i="2" s="1"/>
  <c r="AC571" i="2"/>
  <c r="A503" i="6"/>
  <c r="J502" i="6"/>
  <c r="G502" i="6"/>
  <c r="E502" i="6"/>
  <c r="S502" i="6" s="1"/>
  <c r="B502" i="6"/>
  <c r="F502" i="6"/>
  <c r="D502" i="6"/>
  <c r="C502" i="6"/>
  <c r="L503" i="6" l="1"/>
  <c r="K503" i="6"/>
  <c r="AD571" i="2"/>
  <c r="V502" i="6"/>
  <c r="T502" i="6"/>
  <c r="U502" i="6"/>
  <c r="W502" i="6" s="1"/>
  <c r="AC572" i="2"/>
  <c r="Y572" i="2"/>
  <c r="AB572" i="2"/>
  <c r="AA572" i="2"/>
  <c r="X572" i="2"/>
  <c r="A574" i="2"/>
  <c r="K573" i="2"/>
  <c r="B573" i="2"/>
  <c r="L573" i="2"/>
  <c r="C573" i="2"/>
  <c r="M573" i="2"/>
  <c r="D573" i="2"/>
  <c r="E573" i="2"/>
  <c r="W573" i="2" s="1"/>
  <c r="F573" i="2"/>
  <c r="G573" i="2"/>
  <c r="J573" i="2"/>
  <c r="A504" i="6"/>
  <c r="B503" i="6"/>
  <c r="J503" i="6"/>
  <c r="F503" i="6"/>
  <c r="G503" i="6"/>
  <c r="E503" i="6"/>
  <c r="S503" i="6" s="1"/>
  <c r="D503" i="6"/>
  <c r="C503" i="6"/>
  <c r="K504" i="6" l="1"/>
  <c r="L504" i="6"/>
  <c r="T503" i="6"/>
  <c r="U503" i="6"/>
  <c r="V503" i="6"/>
  <c r="Y573" i="2"/>
  <c r="AC573" i="2"/>
  <c r="AB573" i="2"/>
  <c r="X573" i="2"/>
  <c r="AA573" i="2"/>
  <c r="Z572" i="2"/>
  <c r="AD572" i="2" s="1"/>
  <c r="A575" i="2"/>
  <c r="G574" i="2"/>
  <c r="J574" i="2"/>
  <c r="K574" i="2"/>
  <c r="B574" i="2"/>
  <c r="L574" i="2"/>
  <c r="C574" i="2"/>
  <c r="M574" i="2"/>
  <c r="D574" i="2"/>
  <c r="E574" i="2"/>
  <c r="W574" i="2" s="1"/>
  <c r="F574" i="2"/>
  <c r="A505" i="6"/>
  <c r="C504" i="6"/>
  <c r="B504" i="6"/>
  <c r="G504" i="6"/>
  <c r="D504" i="6"/>
  <c r="E504" i="6"/>
  <c r="S504" i="6" s="1"/>
  <c r="J504" i="6"/>
  <c r="F504" i="6"/>
  <c r="Z573" i="2" l="1"/>
  <c r="K505" i="6"/>
  <c r="L505" i="6"/>
  <c r="V504" i="6"/>
  <c r="U504" i="6"/>
  <c r="T504" i="6"/>
  <c r="W503" i="6"/>
  <c r="A576" i="2"/>
  <c r="F575" i="2"/>
  <c r="G575" i="2"/>
  <c r="J575" i="2"/>
  <c r="K575" i="2"/>
  <c r="B575" i="2"/>
  <c r="L575" i="2"/>
  <c r="C575" i="2"/>
  <c r="M575" i="2"/>
  <c r="E575" i="2"/>
  <c r="W575" i="2" s="1"/>
  <c r="D575" i="2"/>
  <c r="AA574" i="2"/>
  <c r="AC574" i="2"/>
  <c r="AB574" i="2"/>
  <c r="X574" i="2"/>
  <c r="Y574" i="2"/>
  <c r="AD573" i="2"/>
  <c r="A506" i="6"/>
  <c r="D505" i="6"/>
  <c r="C505" i="6"/>
  <c r="B505" i="6"/>
  <c r="J505" i="6"/>
  <c r="G505" i="6"/>
  <c r="F505" i="6"/>
  <c r="E505" i="6"/>
  <c r="S505" i="6" s="1"/>
  <c r="K506" i="6" l="1"/>
  <c r="L506" i="6"/>
  <c r="T505" i="6"/>
  <c r="V505" i="6"/>
  <c r="U505" i="6"/>
  <c r="W504" i="6"/>
  <c r="Z574" i="2"/>
  <c r="AD574" i="2" s="1"/>
  <c r="X575" i="2"/>
  <c r="Y575" i="2"/>
  <c r="AB575" i="2"/>
  <c r="AC575" i="2"/>
  <c r="AA575" i="2"/>
  <c r="A577" i="2"/>
  <c r="C576" i="2"/>
  <c r="M576" i="2"/>
  <c r="D576" i="2"/>
  <c r="E576" i="2"/>
  <c r="W576" i="2" s="1"/>
  <c r="F576" i="2"/>
  <c r="G576" i="2"/>
  <c r="J576" i="2"/>
  <c r="K576" i="2"/>
  <c r="L576" i="2"/>
  <c r="B576" i="2"/>
  <c r="A507" i="6"/>
  <c r="E506" i="6"/>
  <c r="S506" i="6" s="1"/>
  <c r="D506" i="6"/>
  <c r="C506" i="6"/>
  <c r="F506" i="6"/>
  <c r="B506" i="6"/>
  <c r="J506" i="6"/>
  <c r="G506" i="6"/>
  <c r="K507" i="6" l="1"/>
  <c r="L507" i="6"/>
  <c r="T506" i="6"/>
  <c r="U506" i="6"/>
  <c r="V506" i="6"/>
  <c r="W505" i="6"/>
  <c r="A578" i="2"/>
  <c r="B577" i="2"/>
  <c r="L577" i="2"/>
  <c r="C577" i="2"/>
  <c r="M577" i="2"/>
  <c r="D577" i="2"/>
  <c r="E577" i="2"/>
  <c r="W577" i="2" s="1"/>
  <c r="F577" i="2"/>
  <c r="G577" i="2"/>
  <c r="J577" i="2"/>
  <c r="K577" i="2"/>
  <c r="X576" i="2"/>
  <c r="AB576" i="2"/>
  <c r="Y576" i="2"/>
  <c r="Z576" i="2" s="1"/>
  <c r="AC576" i="2"/>
  <c r="AA576" i="2"/>
  <c r="Z575" i="2"/>
  <c r="AD575" i="2" s="1"/>
  <c r="D507" i="6"/>
  <c r="A508" i="6"/>
  <c r="G507" i="6"/>
  <c r="F507" i="6"/>
  <c r="E507" i="6"/>
  <c r="S507" i="6" s="1"/>
  <c r="B507" i="6"/>
  <c r="J507" i="6"/>
  <c r="C507" i="6"/>
  <c r="W506" i="6" l="1"/>
  <c r="K508" i="6"/>
  <c r="L508" i="6"/>
  <c r="V507" i="6"/>
  <c r="U507" i="6"/>
  <c r="T507" i="6"/>
  <c r="AD576" i="2"/>
  <c r="AA577" i="2"/>
  <c r="AC577" i="2"/>
  <c r="AB577" i="2"/>
  <c r="X577" i="2"/>
  <c r="Y577" i="2"/>
  <c r="A579" i="2"/>
  <c r="B578" i="2"/>
  <c r="L578" i="2"/>
  <c r="C578" i="2"/>
  <c r="M578" i="2"/>
  <c r="D578" i="2"/>
  <c r="E578" i="2"/>
  <c r="W578" i="2" s="1"/>
  <c r="F578" i="2"/>
  <c r="G578" i="2"/>
  <c r="J578" i="2"/>
  <c r="K578" i="2"/>
  <c r="D508" i="6"/>
  <c r="A509" i="6"/>
  <c r="J508" i="6"/>
  <c r="G508" i="6"/>
  <c r="E508" i="6"/>
  <c r="S508" i="6" s="1"/>
  <c r="F508" i="6"/>
  <c r="C508" i="6"/>
  <c r="B508" i="6"/>
  <c r="L509" i="6" l="1"/>
  <c r="K509" i="6"/>
  <c r="T508" i="6"/>
  <c r="U508" i="6"/>
  <c r="V508" i="6"/>
  <c r="W507" i="6"/>
  <c r="A580" i="2"/>
  <c r="G579" i="2"/>
  <c r="J579" i="2"/>
  <c r="K579" i="2"/>
  <c r="B579" i="2"/>
  <c r="L579" i="2"/>
  <c r="C579" i="2"/>
  <c r="M579" i="2"/>
  <c r="D579" i="2"/>
  <c r="E579" i="2"/>
  <c r="W579" i="2" s="1"/>
  <c r="F579" i="2"/>
  <c r="X578" i="2"/>
  <c r="AC578" i="2"/>
  <c r="AB578" i="2"/>
  <c r="Y578" i="2"/>
  <c r="AA578" i="2"/>
  <c r="Z577" i="2"/>
  <c r="AD577" i="2" s="1"/>
  <c r="F509" i="6"/>
  <c r="D509" i="6"/>
  <c r="A510" i="6"/>
  <c r="B509" i="6"/>
  <c r="J509" i="6"/>
  <c r="C509" i="6"/>
  <c r="G509" i="6"/>
  <c r="E509" i="6"/>
  <c r="S509" i="6" s="1"/>
  <c r="K510" i="6" l="1"/>
  <c r="L510" i="6"/>
  <c r="T509" i="6"/>
  <c r="U509" i="6"/>
  <c r="V509" i="6"/>
  <c r="Z578" i="2"/>
  <c r="AD578" i="2" s="1"/>
  <c r="W508" i="6"/>
  <c r="AB579" i="2"/>
  <c r="AC579" i="2"/>
  <c r="Y579" i="2"/>
  <c r="X579" i="2"/>
  <c r="AA579" i="2"/>
  <c r="A581" i="2"/>
  <c r="F580" i="2"/>
  <c r="G580" i="2"/>
  <c r="J580" i="2"/>
  <c r="K580" i="2"/>
  <c r="B580" i="2"/>
  <c r="L580" i="2"/>
  <c r="C580" i="2"/>
  <c r="M580" i="2"/>
  <c r="D580" i="2"/>
  <c r="E580" i="2"/>
  <c r="W580" i="2" s="1"/>
  <c r="F510" i="6"/>
  <c r="D510" i="6"/>
  <c r="A511" i="6"/>
  <c r="G510" i="6"/>
  <c r="E510" i="6"/>
  <c r="S510" i="6" s="1"/>
  <c r="C510" i="6"/>
  <c r="J510" i="6"/>
  <c r="B510" i="6"/>
  <c r="W509" i="6" l="1"/>
  <c r="K511" i="6"/>
  <c r="L511" i="6"/>
  <c r="T510" i="6"/>
  <c r="U510" i="6"/>
  <c r="V510" i="6"/>
  <c r="Z579" i="2"/>
  <c r="AC580" i="2"/>
  <c r="Y580" i="2"/>
  <c r="AA580" i="2"/>
  <c r="AB580" i="2"/>
  <c r="X580" i="2"/>
  <c r="A582" i="2"/>
  <c r="K581" i="2"/>
  <c r="B581" i="2"/>
  <c r="L581" i="2"/>
  <c r="C581" i="2"/>
  <c r="M581" i="2"/>
  <c r="D581" i="2"/>
  <c r="E581" i="2"/>
  <c r="W581" i="2" s="1"/>
  <c r="F581" i="2"/>
  <c r="J581" i="2"/>
  <c r="G581" i="2"/>
  <c r="AD579" i="2"/>
  <c r="F511" i="6"/>
  <c r="D511" i="6"/>
  <c r="A512" i="6"/>
  <c r="J511" i="6"/>
  <c r="E511" i="6"/>
  <c r="S511" i="6" s="1"/>
  <c r="G511" i="6"/>
  <c r="C511" i="6"/>
  <c r="B511" i="6"/>
  <c r="L512" i="6" l="1"/>
  <c r="K512" i="6"/>
  <c r="T511" i="6"/>
  <c r="V511" i="6"/>
  <c r="U511" i="6"/>
  <c r="Z580" i="2"/>
  <c r="AD580" i="2" s="1"/>
  <c r="W510" i="6"/>
  <c r="Y581" i="2"/>
  <c r="X581" i="2"/>
  <c r="AA581" i="2"/>
  <c r="AB581" i="2"/>
  <c r="AC581" i="2"/>
  <c r="A583" i="2"/>
  <c r="F582" i="2"/>
  <c r="G582" i="2"/>
  <c r="J582" i="2"/>
  <c r="K582" i="2"/>
  <c r="B582" i="2"/>
  <c r="L582" i="2"/>
  <c r="C582" i="2"/>
  <c r="M582" i="2"/>
  <c r="E582" i="2"/>
  <c r="W582" i="2" s="1"/>
  <c r="D582" i="2"/>
  <c r="F512" i="6"/>
  <c r="D512" i="6"/>
  <c r="C512" i="6"/>
  <c r="A513" i="6"/>
  <c r="E512" i="6"/>
  <c r="S512" i="6" s="1"/>
  <c r="B512" i="6"/>
  <c r="G512" i="6"/>
  <c r="J512" i="6"/>
  <c r="L513" i="6" l="1"/>
  <c r="K513" i="6"/>
  <c r="Z581" i="2"/>
  <c r="V512" i="6"/>
  <c r="T512" i="6"/>
  <c r="U512" i="6"/>
  <c r="W511" i="6"/>
  <c r="AB582" i="2"/>
  <c r="AA582" i="2"/>
  <c r="AC582" i="2"/>
  <c r="X582" i="2"/>
  <c r="Y582" i="2"/>
  <c r="A584" i="2"/>
  <c r="E583" i="2"/>
  <c r="W583" i="2" s="1"/>
  <c r="F583" i="2"/>
  <c r="G583" i="2"/>
  <c r="J583" i="2"/>
  <c r="K583" i="2"/>
  <c r="B583" i="2"/>
  <c r="L583" i="2"/>
  <c r="C583" i="2"/>
  <c r="D583" i="2"/>
  <c r="M583" i="2"/>
  <c r="AD581" i="2"/>
  <c r="F513" i="6"/>
  <c r="D513" i="6"/>
  <c r="C513" i="6"/>
  <c r="A514" i="6"/>
  <c r="J513" i="6"/>
  <c r="E513" i="6"/>
  <c r="S513" i="6" s="1"/>
  <c r="G513" i="6"/>
  <c r="B513" i="6"/>
  <c r="L514" i="6" l="1"/>
  <c r="K514" i="6"/>
  <c r="U513" i="6"/>
  <c r="T513" i="6"/>
  <c r="V513" i="6"/>
  <c r="W512" i="6"/>
  <c r="X583" i="2"/>
  <c r="AA583" i="2"/>
  <c r="AB583" i="2"/>
  <c r="Y583" i="2"/>
  <c r="AC583" i="2"/>
  <c r="A585" i="2"/>
  <c r="C584" i="2"/>
  <c r="M584" i="2"/>
  <c r="D584" i="2"/>
  <c r="E584" i="2"/>
  <c r="W584" i="2" s="1"/>
  <c r="F584" i="2"/>
  <c r="G584" i="2"/>
  <c r="J584" i="2"/>
  <c r="B584" i="2"/>
  <c r="K584" i="2"/>
  <c r="L584" i="2"/>
  <c r="Z582" i="2"/>
  <c r="AD582" i="2" s="1"/>
  <c r="F514" i="6"/>
  <c r="D514" i="6"/>
  <c r="C514" i="6"/>
  <c r="A515" i="6"/>
  <c r="E514" i="6"/>
  <c r="S514" i="6" s="1"/>
  <c r="B514" i="6"/>
  <c r="J514" i="6"/>
  <c r="G514" i="6"/>
  <c r="W513" i="6" l="1"/>
  <c r="Z583" i="2"/>
  <c r="AD583" i="2" s="1"/>
  <c r="K515" i="6"/>
  <c r="L515" i="6"/>
  <c r="T514" i="6"/>
  <c r="V514" i="6"/>
  <c r="U514" i="6"/>
  <c r="A586" i="2"/>
  <c r="B585" i="2"/>
  <c r="L585" i="2"/>
  <c r="C585" i="2"/>
  <c r="M585" i="2"/>
  <c r="D585" i="2"/>
  <c r="E585" i="2"/>
  <c r="W585" i="2" s="1"/>
  <c r="F585" i="2"/>
  <c r="G585" i="2"/>
  <c r="K585" i="2"/>
  <c r="J585" i="2"/>
  <c r="X584" i="2"/>
  <c r="AC584" i="2"/>
  <c r="Y584" i="2"/>
  <c r="AB584" i="2"/>
  <c r="AA584" i="2"/>
  <c r="F515" i="6"/>
  <c r="D515" i="6"/>
  <c r="C515" i="6"/>
  <c r="A516" i="6"/>
  <c r="J515" i="6"/>
  <c r="E515" i="6"/>
  <c r="S515" i="6" s="1"/>
  <c r="G515" i="6"/>
  <c r="B515" i="6"/>
  <c r="K516" i="6" l="1"/>
  <c r="L516" i="6"/>
  <c r="V515" i="6"/>
  <c r="U515" i="6"/>
  <c r="T515" i="6"/>
  <c r="Z584" i="2"/>
  <c r="AD584" i="2" s="1"/>
  <c r="W514" i="6"/>
  <c r="AB585" i="2"/>
  <c r="X585" i="2"/>
  <c r="AC585" i="2"/>
  <c r="Y585" i="2"/>
  <c r="AA585" i="2"/>
  <c r="A587" i="2"/>
  <c r="B586" i="2"/>
  <c r="L586" i="2"/>
  <c r="C586" i="2"/>
  <c r="M586" i="2"/>
  <c r="D586" i="2"/>
  <c r="E586" i="2"/>
  <c r="W586" i="2" s="1"/>
  <c r="F586" i="2"/>
  <c r="G586" i="2"/>
  <c r="K586" i="2"/>
  <c r="J586" i="2"/>
  <c r="F516" i="6"/>
  <c r="D516" i="6"/>
  <c r="C516" i="6"/>
  <c r="A517" i="6"/>
  <c r="E516" i="6"/>
  <c r="S516" i="6" s="1"/>
  <c r="B516" i="6"/>
  <c r="G516" i="6"/>
  <c r="J516" i="6"/>
  <c r="K517" i="6" l="1"/>
  <c r="L517" i="6"/>
  <c r="W515" i="6"/>
  <c r="T516" i="6"/>
  <c r="U516" i="6"/>
  <c r="V516" i="6"/>
  <c r="A588" i="2"/>
  <c r="J587" i="2"/>
  <c r="K587" i="2"/>
  <c r="B587" i="2"/>
  <c r="L587" i="2"/>
  <c r="C587" i="2"/>
  <c r="M587" i="2"/>
  <c r="D587" i="2"/>
  <c r="E587" i="2"/>
  <c r="W587" i="2" s="1"/>
  <c r="F587" i="2"/>
  <c r="G587" i="2"/>
  <c r="X586" i="2"/>
  <c r="Y586" i="2"/>
  <c r="AA586" i="2"/>
  <c r="AB586" i="2"/>
  <c r="AC586" i="2"/>
  <c r="Z585" i="2"/>
  <c r="AD585" i="2" s="1"/>
  <c r="F517" i="6"/>
  <c r="D517" i="6"/>
  <c r="C517" i="6"/>
  <c r="A518" i="6"/>
  <c r="J517" i="6"/>
  <c r="E517" i="6"/>
  <c r="S517" i="6" s="1"/>
  <c r="G517" i="6"/>
  <c r="B517" i="6"/>
  <c r="L518" i="6" l="1"/>
  <c r="K518" i="6"/>
  <c r="W516" i="6"/>
  <c r="V517" i="6"/>
  <c r="U517" i="6"/>
  <c r="T517" i="6"/>
  <c r="W517" i="6" s="1"/>
  <c r="Z586" i="2"/>
  <c r="AD586" i="2" s="1"/>
  <c r="AA587" i="2"/>
  <c r="AC587" i="2"/>
  <c r="X587" i="2"/>
  <c r="AB587" i="2"/>
  <c r="Y587" i="2"/>
  <c r="A589" i="2"/>
  <c r="J588" i="2"/>
  <c r="K588" i="2"/>
  <c r="B588" i="2"/>
  <c r="L588" i="2"/>
  <c r="C588" i="2"/>
  <c r="M588" i="2"/>
  <c r="D588" i="2"/>
  <c r="G588" i="2"/>
  <c r="E588" i="2"/>
  <c r="W588" i="2" s="1"/>
  <c r="F588" i="2"/>
  <c r="F518" i="6"/>
  <c r="D518" i="6"/>
  <c r="C518" i="6"/>
  <c r="A519" i="6"/>
  <c r="E518" i="6"/>
  <c r="S518" i="6" s="1"/>
  <c r="B518" i="6"/>
  <c r="J518" i="6"/>
  <c r="G518" i="6"/>
  <c r="L519" i="6" l="1"/>
  <c r="K519" i="6"/>
  <c r="T518" i="6"/>
  <c r="U518" i="6"/>
  <c r="V518" i="6"/>
  <c r="A590" i="2"/>
  <c r="E589" i="2"/>
  <c r="W589" i="2" s="1"/>
  <c r="F589" i="2"/>
  <c r="G589" i="2"/>
  <c r="J589" i="2"/>
  <c r="L589" i="2"/>
  <c r="B589" i="2"/>
  <c r="C589" i="2"/>
  <c r="D589" i="2"/>
  <c r="K589" i="2"/>
  <c r="M589" i="2"/>
  <c r="AC588" i="2"/>
  <c r="AA588" i="2"/>
  <c r="X588" i="2"/>
  <c r="Y588" i="2"/>
  <c r="AB588" i="2"/>
  <c r="Z587" i="2"/>
  <c r="AD587" i="2" s="1"/>
  <c r="F519" i="6"/>
  <c r="D519" i="6"/>
  <c r="C519" i="6"/>
  <c r="A520" i="6"/>
  <c r="J519" i="6"/>
  <c r="G519" i="6"/>
  <c r="E519" i="6"/>
  <c r="S519" i="6" s="1"/>
  <c r="B519" i="6"/>
  <c r="K520" i="6" l="1"/>
  <c r="L520" i="6"/>
  <c r="V519" i="6"/>
  <c r="U519" i="6"/>
  <c r="T519" i="6"/>
  <c r="W518" i="6"/>
  <c r="Z588" i="2"/>
  <c r="AD588" i="2" s="1"/>
  <c r="Y589" i="2"/>
  <c r="X589" i="2"/>
  <c r="AA589" i="2"/>
  <c r="AB589" i="2"/>
  <c r="AC589" i="2"/>
  <c r="A591" i="2"/>
  <c r="B590" i="2"/>
  <c r="L590" i="2"/>
  <c r="D590" i="2"/>
  <c r="E590" i="2"/>
  <c r="W590" i="2" s="1"/>
  <c r="C590" i="2"/>
  <c r="F590" i="2"/>
  <c r="G590" i="2"/>
  <c r="J590" i="2"/>
  <c r="K590" i="2"/>
  <c r="M590" i="2"/>
  <c r="F520" i="6"/>
  <c r="D520" i="6"/>
  <c r="C520" i="6"/>
  <c r="A521" i="6"/>
  <c r="E520" i="6"/>
  <c r="S520" i="6" s="1"/>
  <c r="B520" i="6"/>
  <c r="J520" i="6"/>
  <c r="G520" i="6"/>
  <c r="Z589" i="2" l="1"/>
  <c r="L521" i="6"/>
  <c r="K521" i="6"/>
  <c r="W519" i="6"/>
  <c r="V520" i="6"/>
  <c r="T520" i="6"/>
  <c r="U520" i="6"/>
  <c r="A592" i="2"/>
  <c r="J591" i="2"/>
  <c r="D591" i="2"/>
  <c r="M591" i="2"/>
  <c r="E591" i="2"/>
  <c r="W591" i="2" s="1"/>
  <c r="F591" i="2"/>
  <c r="G591" i="2"/>
  <c r="K591" i="2"/>
  <c r="B591" i="2"/>
  <c r="L591" i="2"/>
  <c r="C591" i="2"/>
  <c r="AA590" i="2"/>
  <c r="AB590" i="2"/>
  <c r="Y590" i="2"/>
  <c r="X590" i="2"/>
  <c r="AC590" i="2"/>
  <c r="AD589" i="2"/>
  <c r="F521" i="6"/>
  <c r="D521" i="6"/>
  <c r="C521" i="6"/>
  <c r="A522" i="6"/>
  <c r="J521" i="6"/>
  <c r="G521" i="6"/>
  <c r="E521" i="6"/>
  <c r="S521" i="6" s="1"/>
  <c r="B521" i="6"/>
  <c r="K522" i="6" l="1"/>
  <c r="L522" i="6"/>
  <c r="U521" i="6"/>
  <c r="T521" i="6"/>
  <c r="V521" i="6"/>
  <c r="Z590" i="2"/>
  <c r="AD590" i="2" s="1"/>
  <c r="W520" i="6"/>
  <c r="X591" i="2"/>
  <c r="AA591" i="2"/>
  <c r="AB591" i="2"/>
  <c r="AC591" i="2"/>
  <c r="Y591" i="2"/>
  <c r="A593" i="2"/>
  <c r="B592" i="2"/>
  <c r="L592" i="2"/>
  <c r="C592" i="2"/>
  <c r="M592" i="2"/>
  <c r="D592" i="2"/>
  <c r="E592" i="2"/>
  <c r="W592" i="2" s="1"/>
  <c r="F592" i="2"/>
  <c r="G592" i="2"/>
  <c r="J592" i="2"/>
  <c r="K592" i="2"/>
  <c r="F522" i="6"/>
  <c r="D522" i="6"/>
  <c r="C522" i="6"/>
  <c r="A523" i="6"/>
  <c r="E522" i="6"/>
  <c r="S522" i="6" s="1"/>
  <c r="B522" i="6"/>
  <c r="G522" i="6"/>
  <c r="J522" i="6"/>
  <c r="W521" i="6" l="1"/>
  <c r="K523" i="6"/>
  <c r="L523" i="6"/>
  <c r="T522" i="6"/>
  <c r="U522" i="6"/>
  <c r="V522" i="6"/>
  <c r="W522" i="6" s="1"/>
  <c r="Z591" i="2"/>
  <c r="AD591" i="2" s="1"/>
  <c r="A594" i="2"/>
  <c r="K593" i="2"/>
  <c r="G593" i="2"/>
  <c r="B593" i="2"/>
  <c r="L593" i="2"/>
  <c r="C593" i="2"/>
  <c r="M593" i="2"/>
  <c r="D593" i="2"/>
  <c r="E593" i="2"/>
  <c r="W593" i="2" s="1"/>
  <c r="F593" i="2"/>
  <c r="J593" i="2"/>
  <c r="AC592" i="2"/>
  <c r="Y592" i="2"/>
  <c r="AA592" i="2"/>
  <c r="AB592" i="2"/>
  <c r="X592" i="2"/>
  <c r="Z592" i="2" s="1"/>
  <c r="F523" i="6"/>
  <c r="D523" i="6"/>
  <c r="C523" i="6"/>
  <c r="A524" i="6"/>
  <c r="J523" i="6"/>
  <c r="G523" i="6"/>
  <c r="E523" i="6"/>
  <c r="S523" i="6" s="1"/>
  <c r="B523" i="6"/>
  <c r="K524" i="6" l="1"/>
  <c r="L524" i="6"/>
  <c r="AD592" i="2"/>
  <c r="U523" i="6"/>
  <c r="T523" i="6"/>
  <c r="V523" i="6"/>
  <c r="W523" i="6" s="1"/>
  <c r="AC593" i="2"/>
  <c r="AA593" i="2"/>
  <c r="AB593" i="2"/>
  <c r="X593" i="2"/>
  <c r="Y593" i="2"/>
  <c r="A595" i="2"/>
  <c r="J594" i="2"/>
  <c r="K594" i="2"/>
  <c r="B594" i="2"/>
  <c r="L594" i="2"/>
  <c r="C594" i="2"/>
  <c r="M594" i="2"/>
  <c r="D594" i="2"/>
  <c r="F594" i="2"/>
  <c r="E594" i="2"/>
  <c r="W594" i="2" s="1"/>
  <c r="G594" i="2"/>
  <c r="F524" i="6"/>
  <c r="D524" i="6"/>
  <c r="C524" i="6"/>
  <c r="A525" i="6"/>
  <c r="E524" i="6"/>
  <c r="S524" i="6" s="1"/>
  <c r="B524" i="6"/>
  <c r="J524" i="6"/>
  <c r="G524" i="6"/>
  <c r="K525" i="6" l="1"/>
  <c r="L525" i="6"/>
  <c r="T524" i="6"/>
  <c r="U524" i="6"/>
  <c r="V524" i="6"/>
  <c r="A596" i="2"/>
  <c r="F595" i="2"/>
  <c r="G595" i="2"/>
  <c r="J595" i="2"/>
  <c r="K595" i="2"/>
  <c r="B595" i="2"/>
  <c r="L595" i="2"/>
  <c r="D595" i="2"/>
  <c r="C595" i="2"/>
  <c r="M595" i="2"/>
  <c r="E595" i="2"/>
  <c r="W595" i="2" s="1"/>
  <c r="X594" i="2"/>
  <c r="Y594" i="2"/>
  <c r="AA594" i="2"/>
  <c r="AB594" i="2"/>
  <c r="AC594" i="2"/>
  <c r="Z593" i="2"/>
  <c r="AD593" i="2" s="1"/>
  <c r="F525" i="6"/>
  <c r="D525" i="6"/>
  <c r="C525" i="6"/>
  <c r="A526" i="6"/>
  <c r="J525" i="6"/>
  <c r="G525" i="6"/>
  <c r="E525" i="6"/>
  <c r="S525" i="6" s="1"/>
  <c r="B525" i="6"/>
  <c r="Z594" i="2" l="1"/>
  <c r="L526" i="6"/>
  <c r="K526" i="6"/>
  <c r="T525" i="6"/>
  <c r="U525" i="6"/>
  <c r="V525" i="6"/>
  <c r="W524" i="6"/>
  <c r="AB595" i="2"/>
  <c r="AC595" i="2"/>
  <c r="X595" i="2"/>
  <c r="Y595" i="2"/>
  <c r="AA595" i="2"/>
  <c r="AD594" i="2"/>
  <c r="A597" i="2"/>
  <c r="C596" i="2"/>
  <c r="M596" i="2"/>
  <c r="K596" i="2"/>
  <c r="D596" i="2"/>
  <c r="E596" i="2"/>
  <c r="W596" i="2" s="1"/>
  <c r="F596" i="2"/>
  <c r="G596" i="2"/>
  <c r="J596" i="2"/>
  <c r="B596" i="2"/>
  <c r="L596" i="2"/>
  <c r="F526" i="6"/>
  <c r="D526" i="6"/>
  <c r="C526" i="6"/>
  <c r="A527" i="6"/>
  <c r="E526" i="6"/>
  <c r="S526" i="6" s="1"/>
  <c r="B526" i="6"/>
  <c r="G526" i="6"/>
  <c r="J526" i="6"/>
  <c r="L527" i="6" l="1"/>
  <c r="K527" i="6"/>
  <c r="Z595" i="2"/>
  <c r="U526" i="6"/>
  <c r="V526" i="6"/>
  <c r="T526" i="6"/>
  <c r="W526" i="6" s="1"/>
  <c r="W525" i="6"/>
  <c r="A598" i="2"/>
  <c r="G597" i="2"/>
  <c r="J597" i="2"/>
  <c r="K597" i="2"/>
  <c r="B597" i="2"/>
  <c r="L597" i="2"/>
  <c r="C597" i="2"/>
  <c r="M597" i="2"/>
  <c r="E597" i="2"/>
  <c r="W597" i="2" s="1"/>
  <c r="D597" i="2"/>
  <c r="F597" i="2"/>
  <c r="AC596" i="2"/>
  <c r="Y596" i="2"/>
  <c r="AA596" i="2"/>
  <c r="X596" i="2"/>
  <c r="Z596" i="2" s="1"/>
  <c r="AB596" i="2"/>
  <c r="AD595" i="2"/>
  <c r="F527" i="6"/>
  <c r="D527" i="6"/>
  <c r="C527" i="6"/>
  <c r="A528" i="6"/>
  <c r="J527" i="6"/>
  <c r="G527" i="6"/>
  <c r="E527" i="6"/>
  <c r="S527" i="6" s="1"/>
  <c r="B527" i="6"/>
  <c r="K528" i="6" l="1"/>
  <c r="L528" i="6"/>
  <c r="T527" i="6"/>
  <c r="U527" i="6"/>
  <c r="V527" i="6"/>
  <c r="AD596" i="2"/>
  <c r="Y597" i="2"/>
  <c r="X597" i="2"/>
  <c r="Z597" i="2" s="1"/>
  <c r="AA597" i="2"/>
  <c r="AB597" i="2"/>
  <c r="AC597" i="2"/>
  <c r="A599" i="2"/>
  <c r="D598" i="2"/>
  <c r="L598" i="2"/>
  <c r="E598" i="2"/>
  <c r="W598" i="2" s="1"/>
  <c r="F598" i="2"/>
  <c r="G598" i="2"/>
  <c r="J598" i="2"/>
  <c r="B598" i="2"/>
  <c r="K598" i="2"/>
  <c r="C598" i="2"/>
  <c r="M598" i="2"/>
  <c r="F528" i="6"/>
  <c r="D528" i="6"/>
  <c r="C528" i="6"/>
  <c r="A529" i="6"/>
  <c r="E528" i="6"/>
  <c r="S528" i="6" s="1"/>
  <c r="B528" i="6"/>
  <c r="J528" i="6"/>
  <c r="G528" i="6"/>
  <c r="W527" i="6" l="1"/>
  <c r="L529" i="6"/>
  <c r="K529" i="6"/>
  <c r="V528" i="6"/>
  <c r="U528" i="6"/>
  <c r="T528" i="6"/>
  <c r="A600" i="2"/>
  <c r="C599" i="2"/>
  <c r="M599" i="2"/>
  <c r="D599" i="2"/>
  <c r="E599" i="2"/>
  <c r="W599" i="2" s="1"/>
  <c r="K599" i="2"/>
  <c r="F599" i="2"/>
  <c r="G599" i="2"/>
  <c r="J599" i="2"/>
  <c r="L599" i="2"/>
  <c r="B599" i="2"/>
  <c r="AD597" i="2"/>
  <c r="AA598" i="2"/>
  <c r="AB598" i="2"/>
  <c r="AC598" i="2"/>
  <c r="X598" i="2"/>
  <c r="Y598" i="2"/>
  <c r="F529" i="6"/>
  <c r="D529" i="6"/>
  <c r="C529" i="6"/>
  <c r="A530" i="6"/>
  <c r="J529" i="6"/>
  <c r="G529" i="6"/>
  <c r="E529" i="6"/>
  <c r="S529" i="6" s="1"/>
  <c r="B529" i="6"/>
  <c r="Z598" i="2" l="1"/>
  <c r="K530" i="6"/>
  <c r="L530" i="6"/>
  <c r="U529" i="6"/>
  <c r="V529" i="6"/>
  <c r="T529" i="6"/>
  <c r="AD598" i="2"/>
  <c r="W528" i="6"/>
  <c r="AB599" i="2"/>
  <c r="Y599" i="2"/>
  <c r="X599" i="2"/>
  <c r="Z599" i="2" s="1"/>
  <c r="AC599" i="2"/>
  <c r="AA599" i="2"/>
  <c r="A601" i="2"/>
  <c r="K600" i="2"/>
  <c r="B600" i="2"/>
  <c r="L600" i="2"/>
  <c r="C600" i="2"/>
  <c r="M600" i="2"/>
  <c r="D600" i="2"/>
  <c r="E600" i="2"/>
  <c r="W600" i="2" s="1"/>
  <c r="G600" i="2"/>
  <c r="F600" i="2"/>
  <c r="J600" i="2"/>
  <c r="F530" i="6"/>
  <c r="D530" i="6"/>
  <c r="C530" i="6"/>
  <c r="A531" i="6"/>
  <c r="E530" i="6"/>
  <c r="S530" i="6" s="1"/>
  <c r="B530" i="6"/>
  <c r="J530" i="6"/>
  <c r="G530" i="6"/>
  <c r="L531" i="6" l="1"/>
  <c r="K531" i="6"/>
  <c r="W529" i="6"/>
  <c r="T530" i="6"/>
  <c r="U530" i="6"/>
  <c r="V530" i="6"/>
  <c r="AC600" i="2"/>
  <c r="X600" i="2"/>
  <c r="AA600" i="2"/>
  <c r="AB600" i="2"/>
  <c r="Y600" i="2"/>
  <c r="AD599" i="2"/>
  <c r="A602" i="2"/>
  <c r="K601" i="2"/>
  <c r="G601" i="2"/>
  <c r="B601" i="2"/>
  <c r="L601" i="2"/>
  <c r="C601" i="2"/>
  <c r="M601" i="2"/>
  <c r="D601" i="2"/>
  <c r="E601" i="2"/>
  <c r="W601" i="2" s="1"/>
  <c r="F601" i="2"/>
  <c r="J601" i="2"/>
  <c r="F531" i="6"/>
  <c r="D531" i="6"/>
  <c r="C531" i="6"/>
  <c r="A532" i="6"/>
  <c r="J531" i="6"/>
  <c r="G531" i="6"/>
  <c r="E531" i="6"/>
  <c r="S531" i="6" s="1"/>
  <c r="B531" i="6"/>
  <c r="K532" i="6" l="1"/>
  <c r="L532" i="6"/>
  <c r="T531" i="6"/>
  <c r="V531" i="6"/>
  <c r="U531" i="6"/>
  <c r="W530" i="6"/>
  <c r="Z600" i="2"/>
  <c r="AD600" i="2" s="1"/>
  <c r="AC601" i="2"/>
  <c r="AA601" i="2"/>
  <c r="AB601" i="2"/>
  <c r="Y601" i="2"/>
  <c r="X601" i="2"/>
  <c r="Z601" i="2" s="1"/>
  <c r="A603" i="2"/>
  <c r="J602" i="2"/>
  <c r="F602" i="2"/>
  <c r="K602" i="2"/>
  <c r="B602" i="2"/>
  <c r="L602" i="2"/>
  <c r="C602" i="2"/>
  <c r="M602" i="2"/>
  <c r="D602" i="2"/>
  <c r="E602" i="2"/>
  <c r="W602" i="2" s="1"/>
  <c r="G602" i="2"/>
  <c r="F532" i="6"/>
  <c r="D532" i="6"/>
  <c r="C532" i="6"/>
  <c r="A533" i="6"/>
  <c r="E532" i="6"/>
  <c r="S532" i="6" s="1"/>
  <c r="B532" i="6"/>
  <c r="J532" i="6"/>
  <c r="G532" i="6"/>
  <c r="L533" i="6" l="1"/>
  <c r="K533" i="6"/>
  <c r="T532" i="6"/>
  <c r="U532" i="6"/>
  <c r="V532" i="6"/>
  <c r="W532" i="6" s="1"/>
  <c r="AD601" i="2"/>
  <c r="W531" i="6"/>
  <c r="A604" i="2"/>
  <c r="F603" i="2"/>
  <c r="G603" i="2"/>
  <c r="J603" i="2"/>
  <c r="K603" i="2"/>
  <c r="B603" i="2"/>
  <c r="L603" i="2"/>
  <c r="D603" i="2"/>
  <c r="C603" i="2"/>
  <c r="M603" i="2"/>
  <c r="E603" i="2"/>
  <c r="W603" i="2" s="1"/>
  <c r="X602" i="2"/>
  <c r="Y602" i="2"/>
  <c r="AA602" i="2"/>
  <c r="AB602" i="2"/>
  <c r="AC602" i="2"/>
  <c r="F533" i="6"/>
  <c r="D533" i="6"/>
  <c r="C533" i="6"/>
  <c r="A534" i="6"/>
  <c r="J533" i="6"/>
  <c r="G533" i="6"/>
  <c r="E533" i="6"/>
  <c r="S533" i="6" s="1"/>
  <c r="B533" i="6"/>
  <c r="Z602" i="2" l="1"/>
  <c r="K534" i="6"/>
  <c r="L534" i="6"/>
  <c r="V533" i="6"/>
  <c r="T533" i="6"/>
  <c r="U533" i="6"/>
  <c r="AD602" i="2"/>
  <c r="AB603" i="2"/>
  <c r="AC603" i="2"/>
  <c r="X603" i="2"/>
  <c r="Y603" i="2"/>
  <c r="AA603" i="2"/>
  <c r="A605" i="2"/>
  <c r="D604" i="2"/>
  <c r="L604" i="2"/>
  <c r="E604" i="2"/>
  <c r="W604" i="2" s="1"/>
  <c r="F604" i="2"/>
  <c r="G604" i="2"/>
  <c r="B604" i="2"/>
  <c r="J604" i="2"/>
  <c r="K604" i="2"/>
  <c r="M604" i="2"/>
  <c r="C604" i="2"/>
  <c r="F534" i="6"/>
  <c r="D534" i="6"/>
  <c r="C534" i="6"/>
  <c r="A535" i="6"/>
  <c r="E534" i="6"/>
  <c r="S534" i="6" s="1"/>
  <c r="B534" i="6"/>
  <c r="J534" i="6"/>
  <c r="G534" i="6"/>
  <c r="K535" i="6" l="1"/>
  <c r="L535" i="6"/>
  <c r="W533" i="6"/>
  <c r="T534" i="6"/>
  <c r="U534" i="6"/>
  <c r="V534" i="6"/>
  <c r="A606" i="2"/>
  <c r="J605" i="2"/>
  <c r="K605" i="2"/>
  <c r="B605" i="2"/>
  <c r="L605" i="2"/>
  <c r="C605" i="2"/>
  <c r="M605" i="2"/>
  <c r="D605" i="2"/>
  <c r="F605" i="2"/>
  <c r="E605" i="2"/>
  <c r="W605" i="2" s="1"/>
  <c r="G605" i="2"/>
  <c r="Z603" i="2"/>
  <c r="AD603" i="2" s="1"/>
  <c r="AC604" i="2"/>
  <c r="Y604" i="2"/>
  <c r="AB604" i="2"/>
  <c r="AA604" i="2"/>
  <c r="X604" i="2"/>
  <c r="F535" i="6"/>
  <c r="D535" i="6"/>
  <c r="C535" i="6"/>
  <c r="A536" i="6"/>
  <c r="J535" i="6"/>
  <c r="G535" i="6"/>
  <c r="E535" i="6"/>
  <c r="S535" i="6" s="1"/>
  <c r="B535" i="6"/>
  <c r="L536" i="6" l="1"/>
  <c r="K536" i="6"/>
  <c r="V535" i="6"/>
  <c r="U535" i="6"/>
  <c r="T535" i="6"/>
  <c r="W534" i="6"/>
  <c r="AB605" i="2"/>
  <c r="AC605" i="2"/>
  <c r="Y605" i="2"/>
  <c r="AA605" i="2"/>
  <c r="X605" i="2"/>
  <c r="Z604" i="2"/>
  <c r="AD604" i="2" s="1"/>
  <c r="A607" i="2"/>
  <c r="F606" i="2"/>
  <c r="D606" i="2"/>
  <c r="G606" i="2"/>
  <c r="J606" i="2"/>
  <c r="K606" i="2"/>
  <c r="B606" i="2"/>
  <c r="L606" i="2"/>
  <c r="C606" i="2"/>
  <c r="M606" i="2"/>
  <c r="E606" i="2"/>
  <c r="W606" i="2" s="1"/>
  <c r="F536" i="6"/>
  <c r="D536" i="6"/>
  <c r="C536" i="6"/>
  <c r="A537" i="6"/>
  <c r="E536" i="6"/>
  <c r="S536" i="6" s="1"/>
  <c r="B536" i="6"/>
  <c r="J536" i="6"/>
  <c r="G536" i="6"/>
  <c r="K537" i="6" l="1"/>
  <c r="L537" i="6"/>
  <c r="W535" i="6"/>
  <c r="V536" i="6"/>
  <c r="U536" i="6"/>
  <c r="T536" i="6"/>
  <c r="Z605" i="2"/>
  <c r="AD605" i="2" s="1"/>
  <c r="A608" i="2"/>
  <c r="E607" i="2"/>
  <c r="W607" i="2" s="1"/>
  <c r="C607" i="2"/>
  <c r="F607" i="2"/>
  <c r="G607" i="2"/>
  <c r="J607" i="2"/>
  <c r="K607" i="2"/>
  <c r="M607" i="2"/>
  <c r="B607" i="2"/>
  <c r="L607" i="2"/>
  <c r="D607" i="2"/>
  <c r="AA606" i="2"/>
  <c r="AC606" i="2"/>
  <c r="X606" i="2"/>
  <c r="Y606" i="2"/>
  <c r="AB606" i="2"/>
  <c r="F537" i="6"/>
  <c r="D537" i="6"/>
  <c r="C537" i="6"/>
  <c r="A538" i="6"/>
  <c r="J537" i="6"/>
  <c r="G537" i="6"/>
  <c r="E537" i="6"/>
  <c r="S537" i="6" s="1"/>
  <c r="B537" i="6"/>
  <c r="L538" i="6" l="1"/>
  <c r="K538" i="6"/>
  <c r="U537" i="6"/>
  <c r="T537" i="6"/>
  <c r="V537" i="6"/>
  <c r="W536" i="6"/>
  <c r="Z606" i="2"/>
  <c r="AD606" i="2" s="1"/>
  <c r="X607" i="2"/>
  <c r="AB607" i="2"/>
  <c r="AC607" i="2"/>
  <c r="AA607" i="2"/>
  <c r="Y607" i="2"/>
  <c r="A609" i="2"/>
  <c r="C608" i="2"/>
  <c r="M608" i="2"/>
  <c r="D608" i="2"/>
  <c r="E608" i="2"/>
  <c r="W608" i="2" s="1"/>
  <c r="F608" i="2"/>
  <c r="G608" i="2"/>
  <c r="K608" i="2"/>
  <c r="J608" i="2"/>
  <c r="B608" i="2"/>
  <c r="L608" i="2"/>
  <c r="F538" i="6"/>
  <c r="D538" i="6"/>
  <c r="C538" i="6"/>
  <c r="A539" i="6"/>
  <c r="E538" i="6"/>
  <c r="S538" i="6" s="1"/>
  <c r="B538" i="6"/>
  <c r="G538" i="6"/>
  <c r="J538" i="6"/>
  <c r="W537" i="6" l="1"/>
  <c r="L539" i="6"/>
  <c r="K539" i="6"/>
  <c r="T538" i="6"/>
  <c r="U538" i="6"/>
  <c r="V538" i="6"/>
  <c r="Z607" i="2"/>
  <c r="AD607" i="2" s="1"/>
  <c r="A610" i="2"/>
  <c r="K609" i="2"/>
  <c r="G609" i="2"/>
  <c r="B609" i="2"/>
  <c r="L609" i="2"/>
  <c r="C609" i="2"/>
  <c r="M609" i="2"/>
  <c r="D609" i="2"/>
  <c r="E609" i="2"/>
  <c r="W609" i="2" s="1"/>
  <c r="F609" i="2"/>
  <c r="J609" i="2"/>
  <c r="X608" i="2"/>
  <c r="AC608" i="2"/>
  <c r="AB608" i="2"/>
  <c r="AA608" i="2"/>
  <c r="Y608" i="2"/>
  <c r="Z608" i="2" s="1"/>
  <c r="AD608" i="2" s="1"/>
  <c r="F539" i="6"/>
  <c r="D539" i="6"/>
  <c r="C539" i="6"/>
  <c r="A540" i="6"/>
  <c r="J539" i="6"/>
  <c r="G539" i="6"/>
  <c r="E539" i="6"/>
  <c r="S539" i="6" s="1"/>
  <c r="B539" i="6"/>
  <c r="L540" i="6" l="1"/>
  <c r="K540" i="6"/>
  <c r="V539" i="6"/>
  <c r="T539" i="6"/>
  <c r="U539" i="6"/>
  <c r="W538" i="6"/>
  <c r="AA609" i="2"/>
  <c r="AC609" i="2"/>
  <c r="AB609" i="2"/>
  <c r="X609" i="2"/>
  <c r="Y609" i="2"/>
  <c r="A611" i="2"/>
  <c r="G610" i="2"/>
  <c r="J610" i="2"/>
  <c r="K610" i="2"/>
  <c r="B610" i="2"/>
  <c r="L610" i="2"/>
  <c r="C610" i="2"/>
  <c r="M610" i="2"/>
  <c r="E610" i="2"/>
  <c r="W610" i="2" s="1"/>
  <c r="D610" i="2"/>
  <c r="F610" i="2"/>
  <c r="F540" i="6"/>
  <c r="D540" i="6"/>
  <c r="C540" i="6"/>
  <c r="A541" i="6"/>
  <c r="E540" i="6"/>
  <c r="S540" i="6" s="1"/>
  <c r="B540" i="6"/>
  <c r="J540" i="6"/>
  <c r="G540" i="6"/>
  <c r="L541" i="6" l="1"/>
  <c r="K541" i="6"/>
  <c r="W539" i="6"/>
  <c r="T540" i="6"/>
  <c r="U540" i="6"/>
  <c r="V540" i="6"/>
  <c r="Z609" i="2"/>
  <c r="AD609" i="2" s="1"/>
  <c r="X610" i="2"/>
  <c r="Y610" i="2"/>
  <c r="AA610" i="2"/>
  <c r="AB610" i="2"/>
  <c r="AC610" i="2"/>
  <c r="A612" i="2"/>
  <c r="E611" i="2"/>
  <c r="W611" i="2" s="1"/>
  <c r="F611" i="2"/>
  <c r="G611" i="2"/>
  <c r="J611" i="2"/>
  <c r="K611" i="2"/>
  <c r="C611" i="2"/>
  <c r="B611" i="2"/>
  <c r="L611" i="2"/>
  <c r="M611" i="2"/>
  <c r="D611" i="2"/>
  <c r="F541" i="6"/>
  <c r="D541" i="6"/>
  <c r="C541" i="6"/>
  <c r="A542" i="6"/>
  <c r="J541" i="6"/>
  <c r="G541" i="6"/>
  <c r="E541" i="6"/>
  <c r="S541" i="6" s="1"/>
  <c r="B541" i="6"/>
  <c r="Z610" i="2" l="1"/>
  <c r="L542" i="6"/>
  <c r="K542" i="6"/>
  <c r="T541" i="6"/>
  <c r="V541" i="6"/>
  <c r="U541" i="6"/>
  <c r="W540" i="6"/>
  <c r="AC611" i="2"/>
  <c r="AB611" i="2"/>
  <c r="X611" i="2"/>
  <c r="Y611" i="2"/>
  <c r="AA611" i="2"/>
  <c r="A613" i="2"/>
  <c r="C612" i="2"/>
  <c r="M612" i="2"/>
  <c r="K612" i="2"/>
  <c r="D612" i="2"/>
  <c r="E612" i="2"/>
  <c r="W612" i="2" s="1"/>
  <c r="F612" i="2"/>
  <c r="G612" i="2"/>
  <c r="J612" i="2"/>
  <c r="L612" i="2"/>
  <c r="B612" i="2"/>
  <c r="AD610" i="2"/>
  <c r="F542" i="6"/>
  <c r="D542" i="6"/>
  <c r="C542" i="6"/>
  <c r="A543" i="6"/>
  <c r="E542" i="6"/>
  <c r="S542" i="6" s="1"/>
  <c r="B542" i="6"/>
  <c r="G542" i="6"/>
  <c r="J542" i="6"/>
  <c r="K543" i="6" l="1"/>
  <c r="L543" i="6"/>
  <c r="Z611" i="2"/>
  <c r="AD611" i="2" s="1"/>
  <c r="W541" i="6"/>
  <c r="T542" i="6"/>
  <c r="U542" i="6"/>
  <c r="V542" i="6"/>
  <c r="A614" i="2"/>
  <c r="K613" i="2"/>
  <c r="B613" i="2"/>
  <c r="L613" i="2"/>
  <c r="C613" i="2"/>
  <c r="M613" i="2"/>
  <c r="D613" i="2"/>
  <c r="E613" i="2"/>
  <c r="W613" i="2" s="1"/>
  <c r="G613" i="2"/>
  <c r="F613" i="2"/>
  <c r="J613" i="2"/>
  <c r="AC612" i="2"/>
  <c r="AB612" i="2"/>
  <c r="Y612" i="2"/>
  <c r="AA612" i="2"/>
  <c r="X612" i="2"/>
  <c r="Z612" i="2" s="1"/>
  <c r="F543" i="6"/>
  <c r="D543" i="6"/>
  <c r="C543" i="6"/>
  <c r="A544" i="6"/>
  <c r="J543" i="6"/>
  <c r="G543" i="6"/>
  <c r="E543" i="6"/>
  <c r="S543" i="6" s="1"/>
  <c r="B543" i="6"/>
  <c r="L544" i="6" l="1"/>
  <c r="K544" i="6"/>
  <c r="AD612" i="2"/>
  <c r="W542" i="6"/>
  <c r="U543" i="6"/>
  <c r="T543" i="6"/>
  <c r="V543" i="6"/>
  <c r="X613" i="2"/>
  <c r="AA613" i="2"/>
  <c r="AB613" i="2"/>
  <c r="AC613" i="2"/>
  <c r="Y613" i="2"/>
  <c r="A615" i="2"/>
  <c r="G614" i="2"/>
  <c r="J614" i="2"/>
  <c r="K614" i="2"/>
  <c r="B614" i="2"/>
  <c r="L614" i="2"/>
  <c r="C614" i="2"/>
  <c r="M614" i="2"/>
  <c r="E614" i="2"/>
  <c r="W614" i="2" s="1"/>
  <c r="D614" i="2"/>
  <c r="F614" i="2"/>
  <c r="F544" i="6"/>
  <c r="D544" i="6"/>
  <c r="C544" i="6"/>
  <c r="A545" i="6"/>
  <c r="E544" i="6"/>
  <c r="S544" i="6" s="1"/>
  <c r="B544" i="6"/>
  <c r="J544" i="6"/>
  <c r="G544" i="6"/>
  <c r="K545" i="6" l="1"/>
  <c r="L545" i="6"/>
  <c r="W543" i="6"/>
  <c r="V544" i="6"/>
  <c r="U544" i="6"/>
  <c r="T544" i="6"/>
  <c r="AA614" i="2"/>
  <c r="AB614" i="2"/>
  <c r="AC614" i="2"/>
  <c r="X614" i="2"/>
  <c r="Y614" i="2"/>
  <c r="A616" i="2"/>
  <c r="F615" i="2"/>
  <c r="G615" i="2"/>
  <c r="J615" i="2"/>
  <c r="D615" i="2"/>
  <c r="K615" i="2"/>
  <c r="B615" i="2"/>
  <c r="L615" i="2"/>
  <c r="C615" i="2"/>
  <c r="M615" i="2"/>
  <c r="E615" i="2"/>
  <c r="W615" i="2" s="1"/>
  <c r="Z613" i="2"/>
  <c r="AD613" i="2" s="1"/>
  <c r="F545" i="6"/>
  <c r="D545" i="6"/>
  <c r="C545" i="6"/>
  <c r="A546" i="6"/>
  <c r="J545" i="6"/>
  <c r="G545" i="6"/>
  <c r="E545" i="6"/>
  <c r="S545" i="6" s="1"/>
  <c r="B545" i="6"/>
  <c r="W544" i="6" l="1"/>
  <c r="K546" i="6"/>
  <c r="L546" i="6"/>
  <c r="U545" i="6"/>
  <c r="T545" i="6"/>
  <c r="V545" i="6"/>
  <c r="Z614" i="2"/>
  <c r="AD614" i="2" s="1"/>
  <c r="X615" i="2"/>
  <c r="AA615" i="2"/>
  <c r="Y615" i="2"/>
  <c r="AB615" i="2"/>
  <c r="AC615" i="2"/>
  <c r="A617" i="2"/>
  <c r="D616" i="2"/>
  <c r="L616" i="2"/>
  <c r="E616" i="2"/>
  <c r="W616" i="2" s="1"/>
  <c r="F616" i="2"/>
  <c r="G616" i="2"/>
  <c r="J616" i="2"/>
  <c r="B616" i="2"/>
  <c r="K616" i="2"/>
  <c r="C616" i="2"/>
  <c r="M616" i="2"/>
  <c r="F546" i="6"/>
  <c r="D546" i="6"/>
  <c r="C546" i="6"/>
  <c r="A547" i="6"/>
  <c r="E546" i="6"/>
  <c r="S546" i="6" s="1"/>
  <c r="B546" i="6"/>
  <c r="J546" i="6"/>
  <c r="G546" i="6"/>
  <c r="K547" i="6" l="1"/>
  <c r="L547" i="6"/>
  <c r="Z615" i="2"/>
  <c r="W545" i="6"/>
  <c r="T546" i="6"/>
  <c r="V546" i="6"/>
  <c r="U546" i="6"/>
  <c r="A618" i="2"/>
  <c r="C617" i="2"/>
  <c r="M617" i="2"/>
  <c r="K617" i="2"/>
  <c r="D617" i="2"/>
  <c r="E617" i="2"/>
  <c r="W617" i="2" s="1"/>
  <c r="F617" i="2"/>
  <c r="G617" i="2"/>
  <c r="J617" i="2"/>
  <c r="B617" i="2"/>
  <c r="L617" i="2"/>
  <c r="AD615" i="2"/>
  <c r="AC616" i="2"/>
  <c r="X616" i="2"/>
  <c r="AB616" i="2"/>
  <c r="AA616" i="2"/>
  <c r="Y616" i="2"/>
  <c r="F547" i="6"/>
  <c r="D547" i="6"/>
  <c r="C547" i="6"/>
  <c r="A548" i="6"/>
  <c r="J547" i="6"/>
  <c r="G547" i="6"/>
  <c r="E547" i="6"/>
  <c r="S547" i="6" s="1"/>
  <c r="B547" i="6"/>
  <c r="L548" i="6" l="1"/>
  <c r="K548" i="6"/>
  <c r="U547" i="6"/>
  <c r="T547" i="6"/>
  <c r="V547" i="6"/>
  <c r="W546" i="6"/>
  <c r="AA617" i="2"/>
  <c r="AC617" i="2"/>
  <c r="AB617" i="2"/>
  <c r="X617" i="2"/>
  <c r="Y617" i="2"/>
  <c r="Z616" i="2"/>
  <c r="AD616" i="2" s="1"/>
  <c r="A619" i="2"/>
  <c r="B618" i="2"/>
  <c r="L618" i="2"/>
  <c r="C618" i="2"/>
  <c r="M618" i="2"/>
  <c r="D618" i="2"/>
  <c r="E618" i="2"/>
  <c r="W618" i="2" s="1"/>
  <c r="F618" i="2"/>
  <c r="J618" i="2"/>
  <c r="G618" i="2"/>
  <c r="K618" i="2"/>
  <c r="F548" i="6"/>
  <c r="D548" i="6"/>
  <c r="C548" i="6"/>
  <c r="A549" i="6"/>
  <c r="E548" i="6"/>
  <c r="S548" i="6" s="1"/>
  <c r="B548" i="6"/>
  <c r="J548" i="6"/>
  <c r="G548" i="6"/>
  <c r="W547" i="6" l="1"/>
  <c r="K549" i="6"/>
  <c r="L549" i="6"/>
  <c r="T548" i="6"/>
  <c r="U548" i="6"/>
  <c r="V548" i="6"/>
  <c r="A620" i="2"/>
  <c r="J619" i="2"/>
  <c r="K619" i="2"/>
  <c r="B619" i="2"/>
  <c r="L619" i="2"/>
  <c r="C619" i="2"/>
  <c r="M619" i="2"/>
  <c r="D619" i="2"/>
  <c r="F619" i="2"/>
  <c r="E619" i="2"/>
  <c r="W619" i="2" s="1"/>
  <c r="G619" i="2"/>
  <c r="AC618" i="2"/>
  <c r="AB618" i="2"/>
  <c r="X618" i="2"/>
  <c r="Y618" i="2"/>
  <c r="AA618" i="2"/>
  <c r="Z617" i="2"/>
  <c r="AD617" i="2" s="1"/>
  <c r="F549" i="6"/>
  <c r="D549" i="6"/>
  <c r="C549" i="6"/>
  <c r="A550" i="6"/>
  <c r="J549" i="6"/>
  <c r="G549" i="6"/>
  <c r="E549" i="6"/>
  <c r="S549" i="6" s="1"/>
  <c r="B549" i="6"/>
  <c r="L550" i="6" l="1"/>
  <c r="K550" i="6"/>
  <c r="T549" i="6"/>
  <c r="U549" i="6"/>
  <c r="V549" i="6"/>
  <c r="W548" i="6"/>
  <c r="Z618" i="2"/>
  <c r="AD618" i="2" s="1"/>
  <c r="AB619" i="2"/>
  <c r="AC619" i="2"/>
  <c r="AA619" i="2"/>
  <c r="X619" i="2"/>
  <c r="Y619" i="2"/>
  <c r="A621" i="2"/>
  <c r="G620" i="2"/>
  <c r="E620" i="2"/>
  <c r="W620" i="2" s="1"/>
  <c r="J620" i="2"/>
  <c r="K620" i="2"/>
  <c r="B620" i="2"/>
  <c r="L620" i="2"/>
  <c r="C620" i="2"/>
  <c r="M620" i="2"/>
  <c r="D620" i="2"/>
  <c r="F620" i="2"/>
  <c r="F550" i="6"/>
  <c r="D550" i="6"/>
  <c r="C550" i="6"/>
  <c r="A551" i="6"/>
  <c r="E550" i="6"/>
  <c r="S550" i="6" s="1"/>
  <c r="B550" i="6"/>
  <c r="J550" i="6"/>
  <c r="G550" i="6"/>
  <c r="K551" i="6" l="1"/>
  <c r="L551" i="6"/>
  <c r="W549" i="6"/>
  <c r="T550" i="6"/>
  <c r="U550" i="6"/>
  <c r="V550" i="6"/>
  <c r="A622" i="2"/>
  <c r="C621" i="2"/>
  <c r="M621" i="2"/>
  <c r="K621" i="2"/>
  <c r="D621" i="2"/>
  <c r="E621" i="2"/>
  <c r="W621" i="2" s="1"/>
  <c r="F621" i="2"/>
  <c r="G621" i="2"/>
  <c r="J621" i="2"/>
  <c r="B621" i="2"/>
  <c r="L621" i="2"/>
  <c r="Z619" i="2"/>
  <c r="AD619" i="2" s="1"/>
  <c r="AC620" i="2"/>
  <c r="AB620" i="2"/>
  <c r="Y620" i="2"/>
  <c r="AA620" i="2"/>
  <c r="X620" i="2"/>
  <c r="F551" i="6"/>
  <c r="D551" i="6"/>
  <c r="C551" i="6"/>
  <c r="A552" i="6"/>
  <c r="J551" i="6"/>
  <c r="G551" i="6"/>
  <c r="E551" i="6"/>
  <c r="S551" i="6" s="1"/>
  <c r="B551" i="6"/>
  <c r="L552" i="6" l="1"/>
  <c r="K552" i="6"/>
  <c r="U551" i="6"/>
  <c r="V551" i="6"/>
  <c r="T551" i="6"/>
  <c r="W550" i="6"/>
  <c r="AC621" i="2"/>
  <c r="AB621" i="2"/>
  <c r="AA621" i="2"/>
  <c r="X621" i="2"/>
  <c r="Y621" i="2"/>
  <c r="Z620" i="2"/>
  <c r="AD620" i="2" s="1"/>
  <c r="A623" i="2"/>
  <c r="J622" i="2"/>
  <c r="K622" i="2"/>
  <c r="B622" i="2"/>
  <c r="L622" i="2"/>
  <c r="C622" i="2"/>
  <c r="M622" i="2"/>
  <c r="D622" i="2"/>
  <c r="F622" i="2"/>
  <c r="E622" i="2"/>
  <c r="W622" i="2" s="1"/>
  <c r="G622" i="2"/>
  <c r="F552" i="6"/>
  <c r="D552" i="6"/>
  <c r="C552" i="6"/>
  <c r="A553" i="6"/>
  <c r="E552" i="6"/>
  <c r="S552" i="6" s="1"/>
  <c r="B552" i="6"/>
  <c r="J552" i="6"/>
  <c r="G552" i="6"/>
  <c r="Z621" i="2" l="1"/>
  <c r="K553" i="6"/>
  <c r="L553" i="6"/>
  <c r="AD621" i="2"/>
  <c r="W551" i="6"/>
  <c r="V552" i="6"/>
  <c r="U552" i="6"/>
  <c r="T552" i="6"/>
  <c r="A624" i="2"/>
  <c r="G623" i="2"/>
  <c r="J623" i="2"/>
  <c r="K623" i="2"/>
  <c r="B623" i="2"/>
  <c r="L623" i="2"/>
  <c r="C623" i="2"/>
  <c r="M623" i="2"/>
  <c r="D623" i="2"/>
  <c r="E623" i="2"/>
  <c r="W623" i="2" s="1"/>
  <c r="F623" i="2"/>
  <c r="AA622" i="2"/>
  <c r="AC622" i="2"/>
  <c r="X622" i="2"/>
  <c r="AB622" i="2"/>
  <c r="Y622" i="2"/>
  <c r="F553" i="6"/>
  <c r="D553" i="6"/>
  <c r="C553" i="6"/>
  <c r="A554" i="6"/>
  <c r="J553" i="6"/>
  <c r="G553" i="6"/>
  <c r="E553" i="6"/>
  <c r="S553" i="6" s="1"/>
  <c r="B553" i="6"/>
  <c r="K554" i="6" l="1"/>
  <c r="L554" i="6"/>
  <c r="W552" i="6"/>
  <c r="U553" i="6"/>
  <c r="T553" i="6"/>
  <c r="W553" i="6" s="1"/>
  <c r="V553" i="6"/>
  <c r="Z622" i="2"/>
  <c r="AD622" i="2" s="1"/>
  <c r="AB623" i="2"/>
  <c r="Y623" i="2"/>
  <c r="AC623" i="2"/>
  <c r="AA623" i="2"/>
  <c r="X623" i="2"/>
  <c r="A625" i="2"/>
  <c r="E624" i="2"/>
  <c r="W624" i="2" s="1"/>
  <c r="M624" i="2"/>
  <c r="F624" i="2"/>
  <c r="G624" i="2"/>
  <c r="J624" i="2"/>
  <c r="K624" i="2"/>
  <c r="C624" i="2"/>
  <c r="B624" i="2"/>
  <c r="L624" i="2"/>
  <c r="D624" i="2"/>
  <c r="F554" i="6"/>
  <c r="D554" i="6"/>
  <c r="C554" i="6"/>
  <c r="A555" i="6"/>
  <c r="E554" i="6"/>
  <c r="S554" i="6" s="1"/>
  <c r="B554" i="6"/>
  <c r="G554" i="6"/>
  <c r="J554" i="6"/>
  <c r="K555" i="6" l="1"/>
  <c r="L555" i="6"/>
  <c r="Z623" i="2"/>
  <c r="AD623" i="2" s="1"/>
  <c r="T554" i="6"/>
  <c r="U554" i="6"/>
  <c r="V554" i="6"/>
  <c r="X624" i="2"/>
  <c r="Y624" i="2"/>
  <c r="Z624" i="2" s="1"/>
  <c r="AC624" i="2"/>
  <c r="AA624" i="2"/>
  <c r="AB624" i="2"/>
  <c r="A626" i="2"/>
  <c r="D625" i="2"/>
  <c r="E625" i="2"/>
  <c r="W625" i="2" s="1"/>
  <c r="F625" i="2"/>
  <c r="G625" i="2"/>
  <c r="L625" i="2"/>
  <c r="J625" i="2"/>
  <c r="B625" i="2"/>
  <c r="K625" i="2"/>
  <c r="C625" i="2"/>
  <c r="M625" i="2"/>
  <c r="F555" i="6"/>
  <c r="D555" i="6"/>
  <c r="C555" i="6"/>
  <c r="A556" i="6"/>
  <c r="J555" i="6"/>
  <c r="G555" i="6"/>
  <c r="E555" i="6"/>
  <c r="S555" i="6" s="1"/>
  <c r="B555" i="6"/>
  <c r="L556" i="6" l="1"/>
  <c r="K556" i="6"/>
  <c r="W554" i="6"/>
  <c r="T555" i="6"/>
  <c r="U555" i="6"/>
  <c r="V555" i="6"/>
  <c r="A627" i="2"/>
  <c r="C626" i="2"/>
  <c r="M626" i="2"/>
  <c r="K626" i="2"/>
  <c r="D626" i="2"/>
  <c r="E626" i="2"/>
  <c r="W626" i="2" s="1"/>
  <c r="F626" i="2"/>
  <c r="G626" i="2"/>
  <c r="J626" i="2"/>
  <c r="B626" i="2"/>
  <c r="L626" i="2"/>
  <c r="AD624" i="2"/>
  <c r="AA625" i="2"/>
  <c r="AC625" i="2"/>
  <c r="AB625" i="2"/>
  <c r="X625" i="2"/>
  <c r="Y625" i="2"/>
  <c r="F556" i="6"/>
  <c r="D556" i="6"/>
  <c r="C556" i="6"/>
  <c r="A557" i="6"/>
  <c r="E556" i="6"/>
  <c r="S556" i="6" s="1"/>
  <c r="B556" i="6"/>
  <c r="J556" i="6"/>
  <c r="G556" i="6"/>
  <c r="K557" i="6" l="1"/>
  <c r="L557" i="6"/>
  <c r="T556" i="6"/>
  <c r="U556" i="6"/>
  <c r="V556" i="6"/>
  <c r="W556" i="6" s="1"/>
  <c r="Z625" i="2"/>
  <c r="AD625" i="2" s="1"/>
  <c r="W555" i="6"/>
  <c r="AC626" i="2"/>
  <c r="AB626" i="2"/>
  <c r="Y626" i="2"/>
  <c r="AA626" i="2"/>
  <c r="X626" i="2"/>
  <c r="A628" i="2"/>
  <c r="K627" i="2"/>
  <c r="B627" i="2"/>
  <c r="L627" i="2"/>
  <c r="C627" i="2"/>
  <c r="M627" i="2"/>
  <c r="D627" i="2"/>
  <c r="E627" i="2"/>
  <c r="W627" i="2" s="1"/>
  <c r="G627" i="2"/>
  <c r="F627" i="2"/>
  <c r="J627" i="2"/>
  <c r="F557" i="6"/>
  <c r="D557" i="6"/>
  <c r="C557" i="6"/>
  <c r="A558" i="6"/>
  <c r="J557" i="6"/>
  <c r="G557" i="6"/>
  <c r="E557" i="6"/>
  <c r="S557" i="6" s="1"/>
  <c r="B557" i="6"/>
  <c r="L558" i="6" l="1"/>
  <c r="K558" i="6"/>
  <c r="U557" i="6"/>
  <c r="T557" i="6"/>
  <c r="V557" i="6"/>
  <c r="Z626" i="2"/>
  <c r="A629" i="2"/>
  <c r="J628" i="2"/>
  <c r="F628" i="2"/>
  <c r="K628" i="2"/>
  <c r="B628" i="2"/>
  <c r="L628" i="2"/>
  <c r="C628" i="2"/>
  <c r="M628" i="2"/>
  <c r="D628" i="2"/>
  <c r="E628" i="2"/>
  <c r="W628" i="2" s="1"/>
  <c r="G628" i="2"/>
  <c r="AB627" i="2"/>
  <c r="AA627" i="2"/>
  <c r="Y627" i="2"/>
  <c r="AC627" i="2"/>
  <c r="X627" i="2"/>
  <c r="AD626" i="2"/>
  <c r="F558" i="6"/>
  <c r="D558" i="6"/>
  <c r="C558" i="6"/>
  <c r="A559" i="6"/>
  <c r="E558" i="6"/>
  <c r="S558" i="6" s="1"/>
  <c r="B558" i="6"/>
  <c r="G558" i="6"/>
  <c r="J558" i="6"/>
  <c r="K559" i="6" l="1"/>
  <c r="L559" i="6"/>
  <c r="Z627" i="2"/>
  <c r="AD627" i="2" s="1"/>
  <c r="W557" i="6"/>
  <c r="T558" i="6"/>
  <c r="U558" i="6"/>
  <c r="V558" i="6"/>
  <c r="AC628" i="2"/>
  <c r="Y628" i="2"/>
  <c r="AA628" i="2"/>
  <c r="AB628" i="2"/>
  <c r="X628" i="2"/>
  <c r="A630" i="2"/>
  <c r="D629" i="2"/>
  <c r="E629" i="2"/>
  <c r="W629" i="2" s="1"/>
  <c r="F629" i="2"/>
  <c r="B629" i="2"/>
  <c r="G629" i="2"/>
  <c r="J629" i="2"/>
  <c r="L629" i="2"/>
  <c r="K629" i="2"/>
  <c r="M629" i="2"/>
  <c r="C629" i="2"/>
  <c r="G559" i="6"/>
  <c r="F559" i="6"/>
  <c r="D559" i="6"/>
  <c r="C559" i="6"/>
  <c r="A560" i="6"/>
  <c r="J559" i="6"/>
  <c r="E559" i="6"/>
  <c r="S559" i="6" s="1"/>
  <c r="B559" i="6"/>
  <c r="L560" i="6" l="1"/>
  <c r="K560" i="6"/>
  <c r="W558" i="6"/>
  <c r="U559" i="6"/>
  <c r="T559" i="6"/>
  <c r="V559" i="6"/>
  <c r="Z628" i="2"/>
  <c r="AD628" i="2" s="1"/>
  <c r="A631" i="2"/>
  <c r="B630" i="2"/>
  <c r="L630" i="2"/>
  <c r="C630" i="2"/>
  <c r="M630" i="2"/>
  <c r="J630" i="2"/>
  <c r="D630" i="2"/>
  <c r="E630" i="2"/>
  <c r="W630" i="2" s="1"/>
  <c r="F630" i="2"/>
  <c r="G630" i="2"/>
  <c r="K630" i="2"/>
  <c r="AA629" i="2"/>
  <c r="Y629" i="2"/>
  <c r="AB629" i="2"/>
  <c r="AC629" i="2"/>
  <c r="X629" i="2"/>
  <c r="Z629" i="2" s="1"/>
  <c r="G560" i="6"/>
  <c r="F560" i="6"/>
  <c r="D560" i="6"/>
  <c r="C560" i="6"/>
  <c r="A561" i="6"/>
  <c r="J560" i="6"/>
  <c r="E560" i="6"/>
  <c r="S560" i="6" s="1"/>
  <c r="B560" i="6"/>
  <c r="W559" i="6" l="1"/>
  <c r="K561" i="6"/>
  <c r="L561" i="6"/>
  <c r="V560" i="6"/>
  <c r="U560" i="6"/>
  <c r="T560" i="6"/>
  <c r="AD629" i="2"/>
  <c r="AB630" i="2"/>
  <c r="AA630" i="2"/>
  <c r="X630" i="2"/>
  <c r="AC630" i="2"/>
  <c r="Y630" i="2"/>
  <c r="A632" i="2"/>
  <c r="K631" i="2"/>
  <c r="B631" i="2"/>
  <c r="L631" i="2"/>
  <c r="C631" i="2"/>
  <c r="M631" i="2"/>
  <c r="D631" i="2"/>
  <c r="E631" i="2"/>
  <c r="W631" i="2" s="1"/>
  <c r="G631" i="2"/>
  <c r="F631" i="2"/>
  <c r="J631" i="2"/>
  <c r="G561" i="6"/>
  <c r="F561" i="6"/>
  <c r="D561" i="6"/>
  <c r="C561" i="6"/>
  <c r="A562" i="6"/>
  <c r="J561" i="6"/>
  <c r="E561" i="6"/>
  <c r="S561" i="6" s="1"/>
  <c r="B561" i="6"/>
  <c r="L562" i="6" l="1"/>
  <c r="K562" i="6"/>
  <c r="U561" i="6"/>
  <c r="T561" i="6"/>
  <c r="V561" i="6"/>
  <c r="W560" i="6"/>
  <c r="A633" i="2"/>
  <c r="F632" i="2"/>
  <c r="G632" i="2"/>
  <c r="J632" i="2"/>
  <c r="K632" i="2"/>
  <c r="D632" i="2"/>
  <c r="B632" i="2"/>
  <c r="L632" i="2"/>
  <c r="C632" i="2"/>
  <c r="M632" i="2"/>
  <c r="E632" i="2"/>
  <c r="W632" i="2" s="1"/>
  <c r="Y631" i="2"/>
  <c r="X631" i="2"/>
  <c r="Z631" i="2" s="1"/>
  <c r="AA631" i="2"/>
  <c r="AB631" i="2"/>
  <c r="AC631" i="2"/>
  <c r="Z630" i="2"/>
  <c r="AD630" i="2" s="1"/>
  <c r="G562" i="6"/>
  <c r="F562" i="6"/>
  <c r="D562" i="6"/>
  <c r="C562" i="6"/>
  <c r="A563" i="6"/>
  <c r="J562" i="6"/>
  <c r="E562" i="6"/>
  <c r="S562" i="6" s="1"/>
  <c r="B562" i="6"/>
  <c r="K563" i="6" l="1"/>
  <c r="L563" i="6"/>
  <c r="T562" i="6"/>
  <c r="U562" i="6"/>
  <c r="V562" i="6"/>
  <c r="W561" i="6"/>
  <c r="X632" i="2"/>
  <c r="Y632" i="2"/>
  <c r="AA632" i="2"/>
  <c r="AC632" i="2"/>
  <c r="AB632" i="2"/>
  <c r="AD631" i="2"/>
  <c r="A634" i="2"/>
  <c r="E633" i="2"/>
  <c r="W633" i="2" s="1"/>
  <c r="F633" i="2"/>
  <c r="G633" i="2"/>
  <c r="C633" i="2"/>
  <c r="J633" i="2"/>
  <c r="K633" i="2"/>
  <c r="B633" i="2"/>
  <c r="L633" i="2"/>
  <c r="M633" i="2"/>
  <c r="D633" i="2"/>
  <c r="G563" i="6"/>
  <c r="F563" i="6"/>
  <c r="D563" i="6"/>
  <c r="C563" i="6"/>
  <c r="A564" i="6"/>
  <c r="E563" i="6"/>
  <c r="S563" i="6" s="1"/>
  <c r="B563" i="6"/>
  <c r="J563" i="6"/>
  <c r="L564" i="6" l="1"/>
  <c r="K564" i="6"/>
  <c r="W562" i="6"/>
  <c r="U563" i="6"/>
  <c r="V563" i="6"/>
  <c r="T563" i="6"/>
  <c r="W563" i="6" s="1"/>
  <c r="A635" i="2"/>
  <c r="E634" i="2"/>
  <c r="W634" i="2" s="1"/>
  <c r="M634" i="2"/>
  <c r="F634" i="2"/>
  <c r="G634" i="2"/>
  <c r="J634" i="2"/>
  <c r="K634" i="2"/>
  <c r="C634" i="2"/>
  <c r="B634" i="2"/>
  <c r="L634" i="2"/>
  <c r="D634" i="2"/>
  <c r="AA633" i="2"/>
  <c r="AC633" i="2"/>
  <c r="AB633" i="2"/>
  <c r="X633" i="2"/>
  <c r="Y633" i="2"/>
  <c r="Z632" i="2"/>
  <c r="AD632" i="2" s="1"/>
  <c r="G564" i="6"/>
  <c r="F564" i="6"/>
  <c r="D564" i="6"/>
  <c r="C564" i="6"/>
  <c r="A565" i="6"/>
  <c r="J564" i="6"/>
  <c r="E564" i="6"/>
  <c r="S564" i="6" s="1"/>
  <c r="B564" i="6"/>
  <c r="L565" i="6" l="1"/>
  <c r="K565" i="6"/>
  <c r="T564" i="6"/>
  <c r="U564" i="6"/>
  <c r="V564" i="6"/>
  <c r="X634" i="2"/>
  <c r="AC634" i="2"/>
  <c r="AB634" i="2"/>
  <c r="Y634" i="2"/>
  <c r="AA634" i="2"/>
  <c r="Z633" i="2"/>
  <c r="AD633" i="2" s="1"/>
  <c r="A636" i="2"/>
  <c r="C635" i="2"/>
  <c r="M635" i="2"/>
  <c r="D635" i="2"/>
  <c r="E635" i="2"/>
  <c r="W635" i="2" s="1"/>
  <c r="F635" i="2"/>
  <c r="K635" i="2"/>
  <c r="G635" i="2"/>
  <c r="J635" i="2"/>
  <c r="B635" i="2"/>
  <c r="L635" i="2"/>
  <c r="G565" i="6"/>
  <c r="F565" i="6"/>
  <c r="D565" i="6"/>
  <c r="C565" i="6"/>
  <c r="A566" i="6"/>
  <c r="J565" i="6"/>
  <c r="E565" i="6"/>
  <c r="S565" i="6" s="1"/>
  <c r="B565" i="6"/>
  <c r="L566" i="6" l="1"/>
  <c r="K566" i="6"/>
  <c r="U565" i="6"/>
  <c r="T565" i="6"/>
  <c r="V565" i="6"/>
  <c r="W565" i="6" s="1"/>
  <c r="W564" i="6"/>
  <c r="A637" i="2"/>
  <c r="B636" i="2"/>
  <c r="L636" i="2"/>
  <c r="C636" i="2"/>
  <c r="M636" i="2"/>
  <c r="D636" i="2"/>
  <c r="E636" i="2"/>
  <c r="W636" i="2" s="1"/>
  <c r="F636" i="2"/>
  <c r="J636" i="2"/>
  <c r="G636" i="2"/>
  <c r="K636" i="2"/>
  <c r="Z634" i="2"/>
  <c r="AD634" i="2" s="1"/>
  <c r="Y635" i="2"/>
  <c r="AA635" i="2"/>
  <c r="AC635" i="2"/>
  <c r="AB635" i="2"/>
  <c r="X635" i="2"/>
  <c r="G566" i="6"/>
  <c r="F566" i="6"/>
  <c r="E566" i="6"/>
  <c r="S566" i="6" s="1"/>
  <c r="D566" i="6"/>
  <c r="C566" i="6"/>
  <c r="A567" i="6"/>
  <c r="B566" i="6"/>
  <c r="J566" i="6"/>
  <c r="L567" i="6" l="1"/>
  <c r="K567" i="6"/>
  <c r="U566" i="6"/>
  <c r="V566" i="6"/>
  <c r="T566" i="6"/>
  <c r="AC636" i="2"/>
  <c r="Y636" i="2"/>
  <c r="AA636" i="2"/>
  <c r="X636" i="2"/>
  <c r="AB636" i="2"/>
  <c r="Z635" i="2"/>
  <c r="AD635" i="2" s="1"/>
  <c r="A638" i="2"/>
  <c r="F637" i="2"/>
  <c r="G637" i="2"/>
  <c r="D637" i="2"/>
  <c r="J637" i="2"/>
  <c r="K637" i="2"/>
  <c r="B637" i="2"/>
  <c r="L637" i="2"/>
  <c r="C637" i="2"/>
  <c r="M637" i="2"/>
  <c r="E637" i="2"/>
  <c r="W637" i="2" s="1"/>
  <c r="G567" i="6"/>
  <c r="F567" i="6"/>
  <c r="E567" i="6"/>
  <c r="S567" i="6" s="1"/>
  <c r="D567" i="6"/>
  <c r="C567" i="6"/>
  <c r="A568" i="6"/>
  <c r="J567" i="6"/>
  <c r="B567" i="6"/>
  <c r="L568" i="6" l="1"/>
  <c r="K568" i="6"/>
  <c r="T567" i="6"/>
  <c r="U567" i="6"/>
  <c r="V567" i="6"/>
  <c r="Z636" i="2"/>
  <c r="AD636" i="2" s="1"/>
  <c r="W566" i="6"/>
  <c r="A639" i="2"/>
  <c r="C638" i="2"/>
  <c r="M638" i="2"/>
  <c r="D638" i="2"/>
  <c r="E638" i="2"/>
  <c r="W638" i="2" s="1"/>
  <c r="F638" i="2"/>
  <c r="G638" i="2"/>
  <c r="J638" i="2"/>
  <c r="B638" i="2"/>
  <c r="K638" i="2"/>
  <c r="L638" i="2"/>
  <c r="AA637" i="2"/>
  <c r="AC637" i="2"/>
  <c r="AB637" i="2"/>
  <c r="X637" i="2"/>
  <c r="Y637" i="2"/>
  <c r="A569" i="6"/>
  <c r="G568" i="6"/>
  <c r="F568" i="6"/>
  <c r="E568" i="6"/>
  <c r="S568" i="6" s="1"/>
  <c r="D568" i="6"/>
  <c r="C568" i="6"/>
  <c r="J568" i="6"/>
  <c r="B568" i="6"/>
  <c r="W567" i="6" l="1"/>
  <c r="K569" i="6"/>
  <c r="L569" i="6"/>
  <c r="V568" i="6"/>
  <c r="U568" i="6"/>
  <c r="T568" i="6"/>
  <c r="Z637" i="2"/>
  <c r="AD637" i="2" s="1"/>
  <c r="X638" i="2"/>
  <c r="AA638" i="2"/>
  <c r="Y638" i="2"/>
  <c r="AB638" i="2"/>
  <c r="AC638" i="2"/>
  <c r="A640" i="2"/>
  <c r="J639" i="2"/>
  <c r="K639" i="2"/>
  <c r="B639" i="2"/>
  <c r="L639" i="2"/>
  <c r="C639" i="2"/>
  <c r="M639" i="2"/>
  <c r="D639" i="2"/>
  <c r="E639" i="2"/>
  <c r="W639" i="2" s="1"/>
  <c r="F639" i="2"/>
  <c r="G639" i="2"/>
  <c r="A570" i="6"/>
  <c r="J569" i="6"/>
  <c r="G569" i="6"/>
  <c r="F569" i="6"/>
  <c r="E569" i="6"/>
  <c r="S569" i="6" s="1"/>
  <c r="D569" i="6"/>
  <c r="B569" i="6"/>
  <c r="C569" i="6"/>
  <c r="Z638" i="2" l="1"/>
  <c r="K570" i="6"/>
  <c r="L570" i="6"/>
  <c r="W568" i="6"/>
  <c r="U569" i="6"/>
  <c r="T569" i="6"/>
  <c r="V569" i="6"/>
  <c r="A641" i="2"/>
  <c r="E640" i="2"/>
  <c r="W640" i="2" s="1"/>
  <c r="F640" i="2"/>
  <c r="G640" i="2"/>
  <c r="J640" i="2"/>
  <c r="K640" i="2"/>
  <c r="B640" i="2"/>
  <c r="L640" i="2"/>
  <c r="M640" i="2"/>
  <c r="C640" i="2"/>
  <c r="D640" i="2"/>
  <c r="AD638" i="2"/>
  <c r="X639" i="2"/>
  <c r="Y639" i="2"/>
  <c r="AA639" i="2"/>
  <c r="AB639" i="2"/>
  <c r="AC639" i="2"/>
  <c r="A571" i="6"/>
  <c r="J570" i="6"/>
  <c r="G570" i="6"/>
  <c r="F570" i="6"/>
  <c r="E570" i="6"/>
  <c r="S570" i="6" s="1"/>
  <c r="C570" i="6"/>
  <c r="D570" i="6"/>
  <c r="B570" i="6"/>
  <c r="K571" i="6" l="1"/>
  <c r="L571" i="6"/>
  <c r="W569" i="6"/>
  <c r="T570" i="6"/>
  <c r="V570" i="6"/>
  <c r="U570" i="6"/>
  <c r="Z639" i="2"/>
  <c r="AD639" i="2" s="1"/>
  <c r="X640" i="2"/>
  <c r="AA640" i="2"/>
  <c r="Y640" i="2"/>
  <c r="AB640" i="2"/>
  <c r="AC640" i="2"/>
  <c r="A642" i="2"/>
  <c r="C641" i="2"/>
  <c r="M641" i="2"/>
  <c r="D641" i="2"/>
  <c r="E641" i="2"/>
  <c r="W641" i="2" s="1"/>
  <c r="F641" i="2"/>
  <c r="G641" i="2"/>
  <c r="J641" i="2"/>
  <c r="K641" i="2"/>
  <c r="L641" i="2"/>
  <c r="B641" i="2"/>
  <c r="A572" i="6"/>
  <c r="B571" i="6"/>
  <c r="J571" i="6"/>
  <c r="G571" i="6"/>
  <c r="F571" i="6"/>
  <c r="D571" i="6"/>
  <c r="E571" i="6"/>
  <c r="S571" i="6" s="1"/>
  <c r="C571" i="6"/>
  <c r="Z640" i="2" l="1"/>
  <c r="K572" i="6"/>
  <c r="L572" i="6"/>
  <c r="U571" i="6"/>
  <c r="V571" i="6"/>
  <c r="T571" i="6"/>
  <c r="W570" i="6"/>
  <c r="A643" i="2"/>
  <c r="K642" i="2"/>
  <c r="B642" i="2"/>
  <c r="L642" i="2"/>
  <c r="C642" i="2"/>
  <c r="M642" i="2"/>
  <c r="D642" i="2"/>
  <c r="E642" i="2"/>
  <c r="W642" i="2" s="1"/>
  <c r="F642" i="2"/>
  <c r="G642" i="2"/>
  <c r="J642" i="2"/>
  <c r="AD640" i="2"/>
  <c r="Y641" i="2"/>
  <c r="X641" i="2"/>
  <c r="AA641" i="2"/>
  <c r="AB641" i="2"/>
  <c r="AC641" i="2"/>
  <c r="A573" i="6"/>
  <c r="C572" i="6"/>
  <c r="B572" i="6"/>
  <c r="J572" i="6"/>
  <c r="G572" i="6"/>
  <c r="E572" i="6"/>
  <c r="S572" i="6" s="1"/>
  <c r="F572" i="6"/>
  <c r="D572" i="6"/>
  <c r="Z641" i="2" l="1"/>
  <c r="AD641" i="2" s="1"/>
  <c r="W571" i="6"/>
  <c r="K573" i="6"/>
  <c r="L573" i="6"/>
  <c r="T572" i="6"/>
  <c r="U572" i="6"/>
  <c r="V572" i="6"/>
  <c r="X642" i="2"/>
  <c r="Y642" i="2"/>
  <c r="AC642" i="2"/>
  <c r="AA642" i="2"/>
  <c r="AB642" i="2"/>
  <c r="A644" i="2"/>
  <c r="D643" i="2"/>
  <c r="E643" i="2"/>
  <c r="W643" i="2" s="1"/>
  <c r="F643" i="2"/>
  <c r="G643" i="2"/>
  <c r="J643" i="2"/>
  <c r="K643" i="2"/>
  <c r="B643" i="2"/>
  <c r="C643" i="2"/>
  <c r="L643" i="2"/>
  <c r="M643" i="2"/>
  <c r="A574" i="6"/>
  <c r="D573" i="6"/>
  <c r="C573" i="6"/>
  <c r="B573" i="6"/>
  <c r="J573" i="6"/>
  <c r="F573" i="6"/>
  <c r="G573" i="6"/>
  <c r="E573" i="6"/>
  <c r="S573" i="6" s="1"/>
  <c r="K574" i="6" l="1"/>
  <c r="L574" i="6"/>
  <c r="Z642" i="2"/>
  <c r="T573" i="6"/>
  <c r="V573" i="6"/>
  <c r="U573" i="6"/>
  <c r="W572" i="6"/>
  <c r="A645" i="2"/>
  <c r="D644" i="2"/>
  <c r="E644" i="2"/>
  <c r="W644" i="2" s="1"/>
  <c r="F644" i="2"/>
  <c r="G644" i="2"/>
  <c r="J644" i="2"/>
  <c r="K644" i="2"/>
  <c r="M644" i="2"/>
  <c r="C644" i="2"/>
  <c r="B644" i="2"/>
  <c r="L644" i="2"/>
  <c r="AD642" i="2"/>
  <c r="X643" i="2"/>
  <c r="Y643" i="2"/>
  <c r="AC643" i="2"/>
  <c r="AA643" i="2"/>
  <c r="AB643" i="2"/>
  <c r="A575" i="6"/>
  <c r="E574" i="6"/>
  <c r="S574" i="6" s="1"/>
  <c r="D574" i="6"/>
  <c r="C574" i="6"/>
  <c r="B574" i="6"/>
  <c r="G574" i="6"/>
  <c r="J574" i="6"/>
  <c r="F574" i="6"/>
  <c r="K575" i="6" l="1"/>
  <c r="L575" i="6"/>
  <c r="W573" i="6"/>
  <c r="T574" i="6"/>
  <c r="U574" i="6"/>
  <c r="V574" i="6"/>
  <c r="Z643" i="2"/>
  <c r="AD643" i="2" s="1"/>
  <c r="AA644" i="2"/>
  <c r="AB644" i="2"/>
  <c r="AC644" i="2"/>
  <c r="X644" i="2"/>
  <c r="Y644" i="2"/>
  <c r="A646" i="2"/>
  <c r="B645" i="2"/>
  <c r="L645" i="2"/>
  <c r="C645" i="2"/>
  <c r="M645" i="2"/>
  <c r="D645" i="2"/>
  <c r="E645" i="2"/>
  <c r="W645" i="2" s="1"/>
  <c r="F645" i="2"/>
  <c r="G645" i="2"/>
  <c r="J645" i="2"/>
  <c r="K645" i="2"/>
  <c r="A576" i="6"/>
  <c r="F575" i="6"/>
  <c r="E575" i="6"/>
  <c r="S575" i="6" s="1"/>
  <c r="D575" i="6"/>
  <c r="C575" i="6"/>
  <c r="B575" i="6"/>
  <c r="J575" i="6"/>
  <c r="G575" i="6"/>
  <c r="K576" i="6" l="1"/>
  <c r="L576" i="6"/>
  <c r="U575" i="6"/>
  <c r="V575" i="6"/>
  <c r="T575" i="6"/>
  <c r="W574" i="6"/>
  <c r="Z644" i="2"/>
  <c r="AD644" i="2" s="1"/>
  <c r="A647" i="2"/>
  <c r="J646" i="2"/>
  <c r="K646" i="2"/>
  <c r="B646" i="2"/>
  <c r="L646" i="2"/>
  <c r="C646" i="2"/>
  <c r="M646" i="2"/>
  <c r="D646" i="2"/>
  <c r="E646" i="2"/>
  <c r="W646" i="2" s="1"/>
  <c r="F646" i="2"/>
  <c r="G646" i="2"/>
  <c r="AB645" i="2"/>
  <c r="X645" i="2"/>
  <c r="Y645" i="2"/>
  <c r="AC645" i="2"/>
  <c r="AA645" i="2"/>
  <c r="A577" i="6"/>
  <c r="G576" i="6"/>
  <c r="F576" i="6"/>
  <c r="E576" i="6"/>
  <c r="S576" i="6" s="1"/>
  <c r="D576" i="6"/>
  <c r="C576" i="6"/>
  <c r="J576" i="6"/>
  <c r="B576" i="6"/>
  <c r="K577" i="6" l="1"/>
  <c r="L577" i="6"/>
  <c r="W575" i="6"/>
  <c r="V576" i="6"/>
  <c r="T576" i="6"/>
  <c r="U576" i="6"/>
  <c r="Z645" i="2"/>
  <c r="AD645" i="2" s="1"/>
  <c r="X646" i="2"/>
  <c r="Y646" i="2"/>
  <c r="AC646" i="2"/>
  <c r="AB646" i="2"/>
  <c r="AA646" i="2"/>
  <c r="A648" i="2"/>
  <c r="F647" i="2"/>
  <c r="G647" i="2"/>
  <c r="J647" i="2"/>
  <c r="K647" i="2"/>
  <c r="B647" i="2"/>
  <c r="L647" i="2"/>
  <c r="C647" i="2"/>
  <c r="M647" i="2"/>
  <c r="D647" i="2"/>
  <c r="E647" i="2"/>
  <c r="W647" i="2" s="1"/>
  <c r="G577" i="6"/>
  <c r="F577" i="6"/>
  <c r="A578" i="6"/>
  <c r="J577" i="6"/>
  <c r="E577" i="6"/>
  <c r="S577" i="6" s="1"/>
  <c r="D577" i="6"/>
  <c r="B577" i="6"/>
  <c r="C577" i="6"/>
  <c r="K578" i="6" l="1"/>
  <c r="L578" i="6"/>
  <c r="W576" i="6"/>
  <c r="U577" i="6"/>
  <c r="T577" i="6"/>
  <c r="V577" i="6"/>
  <c r="A649" i="2"/>
  <c r="B648" i="2"/>
  <c r="L648" i="2"/>
  <c r="C648" i="2"/>
  <c r="M648" i="2"/>
  <c r="D648" i="2"/>
  <c r="E648" i="2"/>
  <c r="W648" i="2" s="1"/>
  <c r="F648" i="2"/>
  <c r="G648" i="2"/>
  <c r="J648" i="2"/>
  <c r="K648" i="2"/>
  <c r="Y647" i="2"/>
  <c r="X647" i="2"/>
  <c r="AA647" i="2"/>
  <c r="AB647" i="2"/>
  <c r="AC647" i="2"/>
  <c r="Z646" i="2"/>
  <c r="AD646" i="2" s="1"/>
  <c r="J578" i="6"/>
  <c r="G578" i="6"/>
  <c r="F578" i="6"/>
  <c r="A579" i="6"/>
  <c r="C578" i="6"/>
  <c r="B578" i="6"/>
  <c r="E578" i="6"/>
  <c r="S578" i="6" s="1"/>
  <c r="D578" i="6"/>
  <c r="L579" i="6" l="1"/>
  <c r="K579" i="6"/>
  <c r="T578" i="6"/>
  <c r="V578" i="6"/>
  <c r="U578" i="6"/>
  <c r="W577" i="6"/>
  <c r="Y648" i="2"/>
  <c r="AB648" i="2"/>
  <c r="X648" i="2"/>
  <c r="AA648" i="2"/>
  <c r="AC648" i="2"/>
  <c r="Z647" i="2"/>
  <c r="AD647" i="2" s="1"/>
  <c r="A650" i="2"/>
  <c r="B649" i="2"/>
  <c r="L649" i="2"/>
  <c r="C649" i="2"/>
  <c r="M649" i="2"/>
  <c r="D649" i="2"/>
  <c r="E649" i="2"/>
  <c r="W649" i="2" s="1"/>
  <c r="F649" i="2"/>
  <c r="G649" i="2"/>
  <c r="K649" i="2"/>
  <c r="J649" i="2"/>
  <c r="J579" i="6"/>
  <c r="G579" i="6"/>
  <c r="F579" i="6"/>
  <c r="A580" i="6"/>
  <c r="E579" i="6"/>
  <c r="S579" i="6" s="1"/>
  <c r="D579" i="6"/>
  <c r="C579" i="6"/>
  <c r="B579" i="6"/>
  <c r="Z648" i="2" l="1"/>
  <c r="K580" i="6"/>
  <c r="L580" i="6"/>
  <c r="U579" i="6"/>
  <c r="T579" i="6"/>
  <c r="V579" i="6"/>
  <c r="W578" i="6"/>
  <c r="Y649" i="2"/>
  <c r="AB649" i="2"/>
  <c r="AA649" i="2"/>
  <c r="X649" i="2"/>
  <c r="AC649" i="2"/>
  <c r="AD648" i="2"/>
  <c r="A651" i="2"/>
  <c r="K650" i="2"/>
  <c r="B650" i="2"/>
  <c r="L650" i="2"/>
  <c r="C650" i="2"/>
  <c r="M650" i="2"/>
  <c r="D650" i="2"/>
  <c r="E650" i="2"/>
  <c r="W650" i="2" s="1"/>
  <c r="F650" i="2"/>
  <c r="G650" i="2"/>
  <c r="J650" i="2"/>
  <c r="J580" i="6"/>
  <c r="G580" i="6"/>
  <c r="F580" i="6"/>
  <c r="E580" i="6"/>
  <c r="S580" i="6" s="1"/>
  <c r="D580" i="6"/>
  <c r="B580" i="6"/>
  <c r="A581" i="6"/>
  <c r="C580" i="6"/>
  <c r="Z649" i="2" l="1"/>
  <c r="AD649" i="2" s="1"/>
  <c r="K581" i="6"/>
  <c r="L581" i="6"/>
  <c r="W579" i="6"/>
  <c r="T580" i="6"/>
  <c r="U580" i="6"/>
  <c r="V580" i="6"/>
  <c r="A652" i="2"/>
  <c r="G651" i="2"/>
  <c r="J651" i="2"/>
  <c r="K651" i="2"/>
  <c r="B651" i="2"/>
  <c r="L651" i="2"/>
  <c r="C651" i="2"/>
  <c r="M651" i="2"/>
  <c r="D651" i="2"/>
  <c r="E651" i="2"/>
  <c r="W651" i="2" s="1"/>
  <c r="F651" i="2"/>
  <c r="X650" i="2"/>
  <c r="AC650" i="2"/>
  <c r="Y650" i="2"/>
  <c r="AA650" i="2"/>
  <c r="AB650" i="2"/>
  <c r="J581" i="6"/>
  <c r="G581" i="6"/>
  <c r="F581" i="6"/>
  <c r="E581" i="6"/>
  <c r="S581" i="6" s="1"/>
  <c r="D581" i="6"/>
  <c r="B581" i="6"/>
  <c r="A582" i="6"/>
  <c r="C581" i="6"/>
  <c r="K582" i="6" l="1"/>
  <c r="L582" i="6"/>
  <c r="T581" i="6"/>
  <c r="U581" i="6"/>
  <c r="V581" i="6"/>
  <c r="W580" i="6"/>
  <c r="Z650" i="2"/>
  <c r="AD650" i="2"/>
  <c r="X651" i="2"/>
  <c r="Y651" i="2"/>
  <c r="AA651" i="2"/>
  <c r="AB651" i="2"/>
  <c r="AC651" i="2"/>
  <c r="A653" i="2"/>
  <c r="F652" i="2"/>
  <c r="G652" i="2"/>
  <c r="J652" i="2"/>
  <c r="K652" i="2"/>
  <c r="B652" i="2"/>
  <c r="L652" i="2"/>
  <c r="C652" i="2"/>
  <c r="M652" i="2"/>
  <c r="E652" i="2"/>
  <c r="W652" i="2" s="1"/>
  <c r="D652" i="2"/>
  <c r="J582" i="6"/>
  <c r="G582" i="6"/>
  <c r="F582" i="6"/>
  <c r="E582" i="6"/>
  <c r="S582" i="6" s="1"/>
  <c r="D582" i="6"/>
  <c r="B582" i="6"/>
  <c r="A583" i="6"/>
  <c r="C582" i="6"/>
  <c r="K583" i="6" l="1"/>
  <c r="L583" i="6"/>
  <c r="T582" i="6"/>
  <c r="U582" i="6"/>
  <c r="V582" i="6"/>
  <c r="W581" i="6"/>
  <c r="C653" i="2"/>
  <c r="M653" i="2"/>
  <c r="D653" i="2"/>
  <c r="E653" i="2"/>
  <c r="W653" i="2" s="1"/>
  <c r="F653" i="2"/>
  <c r="G653" i="2"/>
  <c r="J653" i="2"/>
  <c r="B653" i="2"/>
  <c r="K653" i="2"/>
  <c r="L653" i="2"/>
  <c r="C8" i="4"/>
  <c r="F8" i="4"/>
  <c r="E8" i="4"/>
  <c r="K8" i="4" s="1"/>
  <c r="E10" i="4"/>
  <c r="K10" i="4" s="1"/>
  <c r="E9" i="4"/>
  <c r="K9" i="4" s="1"/>
  <c r="Y652" i="2"/>
  <c r="AB652" i="2"/>
  <c r="AA652" i="2"/>
  <c r="AC652" i="2"/>
  <c r="X652" i="2"/>
  <c r="Z651" i="2"/>
  <c r="AD651" i="2" s="1"/>
  <c r="J583" i="6"/>
  <c r="G583" i="6"/>
  <c r="F583" i="6"/>
  <c r="E583" i="6"/>
  <c r="S583" i="6" s="1"/>
  <c r="D583" i="6"/>
  <c r="B583" i="6"/>
  <c r="A584" i="6"/>
  <c r="C583" i="6"/>
  <c r="Z652" i="2" l="1"/>
  <c r="AD652" i="2" s="1"/>
  <c r="L584" i="6"/>
  <c r="K584" i="6"/>
  <c r="U583" i="6"/>
  <c r="V583" i="6"/>
  <c r="T583" i="6"/>
  <c r="W582" i="6"/>
  <c r="X653" i="2"/>
  <c r="Y653" i="2"/>
  <c r="AB653" i="2"/>
  <c r="AA653" i="2"/>
  <c r="AC653" i="2"/>
  <c r="J584" i="6"/>
  <c r="G584" i="6"/>
  <c r="F584" i="6"/>
  <c r="E584" i="6"/>
  <c r="S584" i="6" s="1"/>
  <c r="D584" i="6"/>
  <c r="B584" i="6"/>
  <c r="A585" i="6"/>
  <c r="C584" i="6"/>
  <c r="Z653" i="2" l="1"/>
  <c r="AD653" i="2" s="1"/>
  <c r="K585" i="6"/>
  <c r="L585" i="6"/>
  <c r="W583" i="6"/>
  <c r="V584" i="6"/>
  <c r="T584" i="6"/>
  <c r="U584" i="6"/>
  <c r="J585" i="6"/>
  <c r="G585" i="6"/>
  <c r="F585" i="6"/>
  <c r="E585" i="6"/>
  <c r="S585" i="6" s="1"/>
  <c r="D585" i="6"/>
  <c r="B585" i="6"/>
  <c r="A586" i="6"/>
  <c r="C585" i="6"/>
  <c r="K586" i="6" l="1"/>
  <c r="L586" i="6"/>
  <c r="W584" i="6"/>
  <c r="U585" i="6"/>
  <c r="V585" i="6"/>
  <c r="T585" i="6"/>
  <c r="J586" i="6"/>
  <c r="G586" i="6"/>
  <c r="F586" i="6"/>
  <c r="E586" i="6"/>
  <c r="S586" i="6" s="1"/>
  <c r="D586" i="6"/>
  <c r="B586" i="6"/>
  <c r="A587" i="6"/>
  <c r="C586" i="6"/>
  <c r="W585" i="6" l="1"/>
  <c r="L587" i="6"/>
  <c r="K587" i="6"/>
  <c r="T586" i="6"/>
  <c r="U586" i="6"/>
  <c r="V586" i="6"/>
  <c r="J587" i="6"/>
  <c r="G587" i="6"/>
  <c r="F587" i="6"/>
  <c r="E587" i="6"/>
  <c r="S587" i="6" s="1"/>
  <c r="D587" i="6"/>
  <c r="B587" i="6"/>
  <c r="A588" i="6"/>
  <c r="C587" i="6"/>
  <c r="W586" i="6" l="1"/>
  <c r="K588" i="6"/>
  <c r="L588" i="6"/>
  <c r="U587" i="6"/>
  <c r="T587" i="6"/>
  <c r="V587" i="6"/>
  <c r="J588" i="6"/>
  <c r="G588" i="6"/>
  <c r="F588" i="6"/>
  <c r="E588" i="6"/>
  <c r="S588" i="6" s="1"/>
  <c r="D588" i="6"/>
  <c r="B588" i="6"/>
  <c r="A589" i="6"/>
  <c r="C588" i="6"/>
  <c r="L589" i="6" l="1"/>
  <c r="K589" i="6"/>
  <c r="W587" i="6"/>
  <c r="T588" i="6"/>
  <c r="U588" i="6"/>
  <c r="V588" i="6"/>
  <c r="J589" i="6"/>
  <c r="G589" i="6"/>
  <c r="F589" i="6"/>
  <c r="E589" i="6"/>
  <c r="S589" i="6" s="1"/>
  <c r="D589" i="6"/>
  <c r="B589" i="6"/>
  <c r="A590" i="6"/>
  <c r="C589" i="6"/>
  <c r="K590" i="6" l="1"/>
  <c r="L590" i="6"/>
  <c r="U589" i="6"/>
  <c r="T589" i="6"/>
  <c r="V589" i="6"/>
  <c r="W588" i="6"/>
  <c r="J590" i="6"/>
  <c r="G590" i="6"/>
  <c r="F590" i="6"/>
  <c r="E590" i="6"/>
  <c r="S590" i="6" s="1"/>
  <c r="D590" i="6"/>
  <c r="B590" i="6"/>
  <c r="A591" i="6"/>
  <c r="C590" i="6"/>
  <c r="K591" i="6" l="1"/>
  <c r="L591" i="6"/>
  <c r="T590" i="6"/>
  <c r="U590" i="6"/>
  <c r="V590" i="6"/>
  <c r="W589" i="6"/>
  <c r="J591" i="6"/>
  <c r="G591" i="6"/>
  <c r="F591" i="6"/>
  <c r="E591" i="6"/>
  <c r="S591" i="6" s="1"/>
  <c r="D591" i="6"/>
  <c r="B591" i="6"/>
  <c r="A592" i="6"/>
  <c r="C591" i="6"/>
  <c r="K592" i="6" l="1"/>
  <c r="L592" i="6"/>
  <c r="U591" i="6"/>
  <c r="T591" i="6"/>
  <c r="V591" i="6"/>
  <c r="W590" i="6"/>
  <c r="J592" i="6"/>
  <c r="G592" i="6"/>
  <c r="F592" i="6"/>
  <c r="E592" i="6"/>
  <c r="S592" i="6" s="1"/>
  <c r="D592" i="6"/>
  <c r="B592" i="6"/>
  <c r="A593" i="6"/>
  <c r="C592" i="6"/>
  <c r="W591" i="6" l="1"/>
  <c r="L593" i="6"/>
  <c r="K593" i="6"/>
  <c r="V592" i="6"/>
  <c r="U592" i="6"/>
  <c r="T592" i="6"/>
  <c r="J593" i="6"/>
  <c r="G593" i="6"/>
  <c r="F593" i="6"/>
  <c r="E593" i="6"/>
  <c r="S593" i="6" s="1"/>
  <c r="D593" i="6"/>
  <c r="B593" i="6"/>
  <c r="A594" i="6"/>
  <c r="C593" i="6"/>
  <c r="W592" i="6" l="1"/>
  <c r="K594" i="6"/>
  <c r="L594" i="6"/>
  <c r="U593" i="6"/>
  <c r="T593" i="6"/>
  <c r="V593" i="6"/>
  <c r="J594" i="6"/>
  <c r="G594" i="6"/>
  <c r="F594" i="6"/>
  <c r="E594" i="6"/>
  <c r="S594" i="6" s="1"/>
  <c r="D594" i="6"/>
  <c r="B594" i="6"/>
  <c r="A595" i="6"/>
  <c r="C594" i="6"/>
  <c r="L595" i="6" l="1"/>
  <c r="K595" i="6"/>
  <c r="W593" i="6"/>
  <c r="T594" i="6"/>
  <c r="U594" i="6"/>
  <c r="V594" i="6"/>
  <c r="J595" i="6"/>
  <c r="G595" i="6"/>
  <c r="F595" i="6"/>
  <c r="E595" i="6"/>
  <c r="S595" i="6" s="1"/>
  <c r="D595" i="6"/>
  <c r="B595" i="6"/>
  <c r="A596" i="6"/>
  <c r="C595" i="6"/>
  <c r="W594" i="6" l="1"/>
  <c r="K596" i="6"/>
  <c r="L596" i="6"/>
  <c r="U595" i="6"/>
  <c r="T595" i="6"/>
  <c r="V595" i="6"/>
  <c r="W595" i="6" s="1"/>
  <c r="J596" i="6"/>
  <c r="G596" i="6"/>
  <c r="F596" i="6"/>
  <c r="E596" i="6"/>
  <c r="S596" i="6" s="1"/>
  <c r="D596" i="6"/>
  <c r="B596" i="6"/>
  <c r="A597" i="6"/>
  <c r="C596" i="6"/>
  <c r="K597" i="6" l="1"/>
  <c r="L597" i="6"/>
  <c r="T596" i="6"/>
  <c r="V596" i="6"/>
  <c r="U596" i="6"/>
  <c r="J597" i="6"/>
  <c r="G597" i="6"/>
  <c r="F597" i="6"/>
  <c r="E597" i="6"/>
  <c r="S597" i="6" s="1"/>
  <c r="D597" i="6"/>
  <c r="B597" i="6"/>
  <c r="A598" i="6"/>
  <c r="C597" i="6"/>
  <c r="L598" i="6" l="1"/>
  <c r="K598" i="6"/>
  <c r="T597" i="6"/>
  <c r="U597" i="6"/>
  <c r="V597" i="6"/>
  <c r="W596" i="6"/>
  <c r="J598" i="6"/>
  <c r="G598" i="6"/>
  <c r="F598" i="6"/>
  <c r="E598" i="6"/>
  <c r="S598" i="6" s="1"/>
  <c r="D598" i="6"/>
  <c r="B598" i="6"/>
  <c r="A599" i="6"/>
  <c r="C598" i="6"/>
  <c r="K599" i="6" l="1"/>
  <c r="L599" i="6"/>
  <c r="T598" i="6"/>
  <c r="U598" i="6"/>
  <c r="V598" i="6"/>
  <c r="W597" i="6"/>
  <c r="J599" i="6"/>
  <c r="G599" i="6"/>
  <c r="F599" i="6"/>
  <c r="E599" i="6"/>
  <c r="S599" i="6" s="1"/>
  <c r="D599" i="6"/>
  <c r="B599" i="6"/>
  <c r="A600" i="6"/>
  <c r="C599" i="6"/>
  <c r="L600" i="6" l="1"/>
  <c r="K600" i="6"/>
  <c r="U599" i="6"/>
  <c r="T599" i="6"/>
  <c r="V599" i="6"/>
  <c r="W598" i="6"/>
  <c r="J600" i="6"/>
  <c r="G600" i="6"/>
  <c r="F600" i="6"/>
  <c r="E600" i="6"/>
  <c r="S600" i="6" s="1"/>
  <c r="D600" i="6"/>
  <c r="B600" i="6"/>
  <c r="A601" i="6"/>
  <c r="C600" i="6"/>
  <c r="L601" i="6" l="1"/>
  <c r="K601" i="6"/>
  <c r="V600" i="6"/>
  <c r="U600" i="6"/>
  <c r="T600" i="6"/>
  <c r="W599" i="6"/>
  <c r="J601" i="6"/>
  <c r="G601" i="6"/>
  <c r="F601" i="6"/>
  <c r="E601" i="6"/>
  <c r="S601" i="6" s="1"/>
  <c r="D601" i="6"/>
  <c r="B601" i="6"/>
  <c r="A602" i="6"/>
  <c r="C601" i="6"/>
  <c r="K602" i="6" l="1"/>
  <c r="L602" i="6"/>
  <c r="W600" i="6"/>
  <c r="U601" i="6"/>
  <c r="V601" i="6"/>
  <c r="T601" i="6"/>
  <c r="J602" i="6"/>
  <c r="G602" i="6"/>
  <c r="F602" i="6"/>
  <c r="E602" i="6"/>
  <c r="S602" i="6" s="1"/>
  <c r="D602" i="6"/>
  <c r="B602" i="6"/>
  <c r="A603" i="6"/>
  <c r="C602" i="6"/>
  <c r="W601" i="6" l="1"/>
  <c r="L603" i="6"/>
  <c r="K603" i="6"/>
  <c r="T602" i="6"/>
  <c r="V602" i="6"/>
  <c r="U602" i="6"/>
  <c r="J603" i="6"/>
  <c r="G603" i="6"/>
  <c r="F603" i="6"/>
  <c r="E603" i="6"/>
  <c r="S603" i="6" s="1"/>
  <c r="D603" i="6"/>
  <c r="B603" i="6"/>
  <c r="A604" i="6"/>
  <c r="C603" i="6"/>
  <c r="L604" i="6" l="1"/>
  <c r="K604" i="6"/>
  <c r="W602" i="6"/>
  <c r="U603" i="6"/>
  <c r="T603" i="6"/>
  <c r="V603" i="6"/>
  <c r="J604" i="6"/>
  <c r="G604" i="6"/>
  <c r="F604" i="6"/>
  <c r="E604" i="6"/>
  <c r="S604" i="6" s="1"/>
  <c r="D604" i="6"/>
  <c r="B604" i="6"/>
  <c r="A605" i="6"/>
  <c r="C604" i="6"/>
  <c r="L605" i="6" l="1"/>
  <c r="K605" i="6"/>
  <c r="W603" i="6"/>
  <c r="T604" i="6"/>
  <c r="V604" i="6"/>
  <c r="U604" i="6"/>
  <c r="J605" i="6"/>
  <c r="G605" i="6"/>
  <c r="F605" i="6"/>
  <c r="E605" i="6"/>
  <c r="S605" i="6" s="1"/>
  <c r="D605" i="6"/>
  <c r="B605" i="6"/>
  <c r="A606" i="6"/>
  <c r="C605" i="6"/>
  <c r="K606" i="6" l="1"/>
  <c r="L606" i="6"/>
  <c r="W604" i="6"/>
  <c r="U605" i="6"/>
  <c r="V605" i="6"/>
  <c r="T605" i="6"/>
  <c r="J606" i="6"/>
  <c r="G606" i="6"/>
  <c r="F606" i="6"/>
  <c r="E606" i="6"/>
  <c r="S606" i="6" s="1"/>
  <c r="D606" i="6"/>
  <c r="B606" i="6"/>
  <c r="A607" i="6"/>
  <c r="C606" i="6"/>
  <c r="W605" i="6" l="1"/>
  <c r="L607" i="6"/>
  <c r="K607" i="6"/>
  <c r="T606" i="6"/>
  <c r="U606" i="6"/>
  <c r="V606" i="6"/>
  <c r="J607" i="6"/>
  <c r="G607" i="6"/>
  <c r="F607" i="6"/>
  <c r="E607" i="6"/>
  <c r="S607" i="6" s="1"/>
  <c r="D607" i="6"/>
  <c r="B607" i="6"/>
  <c r="A608" i="6"/>
  <c r="C607" i="6"/>
  <c r="L608" i="6" l="1"/>
  <c r="K608" i="6"/>
  <c r="T607" i="6"/>
  <c r="V607" i="6"/>
  <c r="U607" i="6"/>
  <c r="W606" i="6"/>
  <c r="J608" i="6"/>
  <c r="G608" i="6"/>
  <c r="F608" i="6"/>
  <c r="E608" i="6"/>
  <c r="S608" i="6" s="1"/>
  <c r="D608" i="6"/>
  <c r="B608" i="6"/>
  <c r="A609" i="6"/>
  <c r="C608" i="6"/>
  <c r="L609" i="6" l="1"/>
  <c r="K609" i="6"/>
  <c r="V608" i="6"/>
  <c r="U608" i="6"/>
  <c r="T608" i="6"/>
  <c r="W607" i="6"/>
  <c r="J609" i="6"/>
  <c r="G609" i="6"/>
  <c r="F609" i="6"/>
  <c r="E609" i="6"/>
  <c r="S609" i="6" s="1"/>
  <c r="D609" i="6"/>
  <c r="B609" i="6"/>
  <c r="A610" i="6"/>
  <c r="C609" i="6"/>
  <c r="L610" i="6" l="1"/>
  <c r="K610" i="6"/>
  <c r="W608" i="6"/>
  <c r="U609" i="6"/>
  <c r="V609" i="6"/>
  <c r="T609" i="6"/>
  <c r="J610" i="6"/>
  <c r="G610" i="6"/>
  <c r="F610" i="6"/>
  <c r="E610" i="6"/>
  <c r="S610" i="6" s="1"/>
  <c r="D610" i="6"/>
  <c r="B610" i="6"/>
  <c r="A611" i="6"/>
  <c r="C610" i="6"/>
  <c r="W609" i="6" l="1"/>
  <c r="K611" i="6"/>
  <c r="L611" i="6"/>
  <c r="T610" i="6"/>
  <c r="U610" i="6"/>
  <c r="V610" i="6"/>
  <c r="J611" i="6"/>
  <c r="G611" i="6"/>
  <c r="F611" i="6"/>
  <c r="E611" i="6"/>
  <c r="S611" i="6" s="1"/>
  <c r="D611" i="6"/>
  <c r="B611" i="6"/>
  <c r="A612" i="6"/>
  <c r="C611" i="6"/>
  <c r="W610" i="6" l="1"/>
  <c r="K612" i="6"/>
  <c r="L612" i="6"/>
  <c r="U611" i="6"/>
  <c r="V611" i="6"/>
  <c r="T611" i="6"/>
  <c r="J612" i="6"/>
  <c r="G612" i="6"/>
  <c r="F612" i="6"/>
  <c r="E612" i="6"/>
  <c r="S612" i="6" s="1"/>
  <c r="D612" i="6"/>
  <c r="B612" i="6"/>
  <c r="A613" i="6"/>
  <c r="C612" i="6"/>
  <c r="K613" i="6" l="1"/>
  <c r="L613" i="6"/>
  <c r="T612" i="6"/>
  <c r="U612" i="6"/>
  <c r="V612" i="6"/>
  <c r="W611" i="6"/>
  <c r="J613" i="6"/>
  <c r="G613" i="6"/>
  <c r="F613" i="6"/>
  <c r="E613" i="6"/>
  <c r="S613" i="6" s="1"/>
  <c r="D613" i="6"/>
  <c r="B613" i="6"/>
  <c r="A614" i="6"/>
  <c r="C613" i="6"/>
  <c r="K614" i="6" l="1"/>
  <c r="L614" i="6"/>
  <c r="W612" i="6"/>
  <c r="U613" i="6"/>
  <c r="V613" i="6"/>
  <c r="T613" i="6"/>
  <c r="J614" i="6"/>
  <c r="G614" i="6"/>
  <c r="F614" i="6"/>
  <c r="E614" i="6"/>
  <c r="S614" i="6" s="1"/>
  <c r="D614" i="6"/>
  <c r="B614" i="6"/>
  <c r="A615" i="6"/>
  <c r="C614" i="6"/>
  <c r="W613" i="6" l="1"/>
  <c r="L615" i="6"/>
  <c r="K615" i="6"/>
  <c r="T614" i="6"/>
  <c r="U614" i="6"/>
  <c r="V614" i="6"/>
  <c r="J615" i="6"/>
  <c r="G615" i="6"/>
  <c r="F615" i="6"/>
  <c r="E615" i="6"/>
  <c r="S615" i="6" s="1"/>
  <c r="D615" i="6"/>
  <c r="B615" i="6"/>
  <c r="A616" i="6"/>
  <c r="C615" i="6"/>
  <c r="K616" i="6" l="1"/>
  <c r="L616" i="6"/>
  <c r="T615" i="6"/>
  <c r="V615" i="6"/>
  <c r="U615" i="6"/>
  <c r="W614" i="6"/>
  <c r="J616" i="6"/>
  <c r="G616" i="6"/>
  <c r="F616" i="6"/>
  <c r="E616" i="6"/>
  <c r="S616" i="6" s="1"/>
  <c r="D616" i="6"/>
  <c r="B616" i="6"/>
  <c r="A617" i="6"/>
  <c r="C616" i="6"/>
  <c r="L617" i="6" l="1"/>
  <c r="K617" i="6"/>
  <c r="V616" i="6"/>
  <c r="U616" i="6"/>
  <c r="T616" i="6"/>
  <c r="W615" i="6"/>
  <c r="J617" i="6"/>
  <c r="G617" i="6"/>
  <c r="F617" i="6"/>
  <c r="E617" i="6"/>
  <c r="S617" i="6" s="1"/>
  <c r="D617" i="6"/>
  <c r="B617" i="6"/>
  <c r="A618" i="6"/>
  <c r="C617" i="6"/>
  <c r="K618" i="6" l="1"/>
  <c r="L618" i="6"/>
  <c r="U617" i="6"/>
  <c r="V617" i="6"/>
  <c r="T617" i="6"/>
  <c r="W616" i="6"/>
  <c r="J618" i="6"/>
  <c r="G618" i="6"/>
  <c r="F618" i="6"/>
  <c r="E618" i="6"/>
  <c r="S618" i="6" s="1"/>
  <c r="D618" i="6"/>
  <c r="B618" i="6"/>
  <c r="A619" i="6"/>
  <c r="C618" i="6"/>
  <c r="K619" i="6" l="1"/>
  <c r="L619" i="6"/>
  <c r="W617" i="6"/>
  <c r="T618" i="6"/>
  <c r="U618" i="6"/>
  <c r="V618" i="6"/>
  <c r="J619" i="6"/>
  <c r="G619" i="6"/>
  <c r="F619" i="6"/>
  <c r="E619" i="6"/>
  <c r="S619" i="6" s="1"/>
  <c r="D619" i="6"/>
  <c r="B619" i="6"/>
  <c r="A620" i="6"/>
  <c r="C619" i="6"/>
  <c r="K620" i="6" l="1"/>
  <c r="L620" i="6"/>
  <c r="U619" i="6"/>
  <c r="V619" i="6"/>
  <c r="T619" i="6"/>
  <c r="W618" i="6"/>
  <c r="J620" i="6"/>
  <c r="G620" i="6"/>
  <c r="F620" i="6"/>
  <c r="E620" i="6"/>
  <c r="S620" i="6" s="1"/>
  <c r="D620" i="6"/>
  <c r="B620" i="6"/>
  <c r="A621" i="6"/>
  <c r="C620" i="6"/>
  <c r="L621" i="6" l="1"/>
  <c r="K621" i="6"/>
  <c r="T620" i="6"/>
  <c r="U620" i="6"/>
  <c r="V620" i="6"/>
  <c r="W619" i="6"/>
  <c r="J621" i="6"/>
  <c r="G621" i="6"/>
  <c r="F621" i="6"/>
  <c r="E621" i="6"/>
  <c r="S621" i="6" s="1"/>
  <c r="D621" i="6"/>
  <c r="B621" i="6"/>
  <c r="A622" i="6"/>
  <c r="C621" i="6"/>
  <c r="K622" i="6" l="1"/>
  <c r="L622" i="6"/>
  <c r="U621" i="6"/>
  <c r="T621" i="6"/>
  <c r="V621" i="6"/>
  <c r="W620" i="6"/>
  <c r="J622" i="6"/>
  <c r="G622" i="6"/>
  <c r="F622" i="6"/>
  <c r="E622" i="6"/>
  <c r="S622" i="6" s="1"/>
  <c r="D622" i="6"/>
  <c r="B622" i="6"/>
  <c r="A623" i="6"/>
  <c r="C622" i="6"/>
  <c r="L623" i="6" l="1"/>
  <c r="K623" i="6"/>
  <c r="U622" i="6"/>
  <c r="V622" i="6"/>
  <c r="T622" i="6"/>
  <c r="W621" i="6"/>
  <c r="J623" i="6"/>
  <c r="G623" i="6"/>
  <c r="F623" i="6"/>
  <c r="E623" i="6"/>
  <c r="S623" i="6" s="1"/>
  <c r="D623" i="6"/>
  <c r="B623" i="6"/>
  <c r="A624" i="6"/>
  <c r="C623" i="6"/>
  <c r="K624" i="6" l="1"/>
  <c r="L624" i="6"/>
  <c r="V623" i="6"/>
  <c r="T623" i="6"/>
  <c r="U623" i="6"/>
  <c r="W622" i="6"/>
  <c r="J624" i="6"/>
  <c r="G624" i="6"/>
  <c r="F624" i="6"/>
  <c r="E624" i="6"/>
  <c r="S624" i="6" s="1"/>
  <c r="D624" i="6"/>
  <c r="B624" i="6"/>
  <c r="A625" i="6"/>
  <c r="C624" i="6"/>
  <c r="K625" i="6" l="1"/>
  <c r="L625" i="6"/>
  <c r="V624" i="6"/>
  <c r="U624" i="6"/>
  <c r="T624" i="6"/>
  <c r="W623" i="6"/>
  <c r="J625" i="6"/>
  <c r="G625" i="6"/>
  <c r="F625" i="6"/>
  <c r="E625" i="6"/>
  <c r="S625" i="6" s="1"/>
  <c r="D625" i="6"/>
  <c r="B625" i="6"/>
  <c r="A626" i="6"/>
  <c r="C625" i="6"/>
  <c r="K626" i="6" l="1"/>
  <c r="L626" i="6"/>
  <c r="U625" i="6"/>
  <c r="T625" i="6"/>
  <c r="V625" i="6"/>
  <c r="W624" i="6"/>
  <c r="J626" i="6"/>
  <c r="G626" i="6"/>
  <c r="F626" i="6"/>
  <c r="E626" i="6"/>
  <c r="S626" i="6" s="1"/>
  <c r="D626" i="6"/>
  <c r="B626" i="6"/>
  <c r="A627" i="6"/>
  <c r="C626" i="6"/>
  <c r="W625" i="6" l="1"/>
  <c r="K627" i="6"/>
  <c r="L627" i="6"/>
  <c r="T626" i="6"/>
  <c r="U626" i="6"/>
  <c r="V626" i="6"/>
  <c r="J627" i="6"/>
  <c r="G627" i="6"/>
  <c r="F627" i="6"/>
  <c r="E627" i="6"/>
  <c r="S627" i="6" s="1"/>
  <c r="D627" i="6"/>
  <c r="B627" i="6"/>
  <c r="A628" i="6"/>
  <c r="C627" i="6"/>
  <c r="K628" i="6" l="1"/>
  <c r="L628" i="6"/>
  <c r="U627" i="6"/>
  <c r="T627" i="6"/>
  <c r="V627" i="6"/>
  <c r="W626" i="6"/>
  <c r="J628" i="6"/>
  <c r="G628" i="6"/>
  <c r="F628" i="6"/>
  <c r="E628" i="6"/>
  <c r="S628" i="6" s="1"/>
  <c r="D628" i="6"/>
  <c r="B628" i="6"/>
  <c r="A629" i="6"/>
  <c r="C628" i="6"/>
  <c r="K629" i="6" l="1"/>
  <c r="L629" i="6"/>
  <c r="U628" i="6"/>
  <c r="V628" i="6"/>
  <c r="T628" i="6"/>
  <c r="W627" i="6"/>
  <c r="J629" i="6"/>
  <c r="G629" i="6"/>
  <c r="F629" i="6"/>
  <c r="E629" i="6"/>
  <c r="S629" i="6" s="1"/>
  <c r="D629" i="6"/>
  <c r="B629" i="6"/>
  <c r="A630" i="6"/>
  <c r="C629" i="6"/>
  <c r="K630" i="6" l="1"/>
  <c r="L630" i="6"/>
  <c r="W628" i="6"/>
  <c r="U629" i="6"/>
  <c r="V629" i="6"/>
  <c r="T629" i="6"/>
  <c r="J630" i="6"/>
  <c r="G630" i="6"/>
  <c r="F630" i="6"/>
  <c r="E630" i="6"/>
  <c r="S630" i="6" s="1"/>
  <c r="D630" i="6"/>
  <c r="B630" i="6"/>
  <c r="A631" i="6"/>
  <c r="C630" i="6"/>
  <c r="W629" i="6" l="1"/>
  <c r="K631" i="6"/>
  <c r="L631" i="6"/>
  <c r="V630" i="6"/>
  <c r="T630" i="6"/>
  <c r="U630" i="6"/>
  <c r="J631" i="6"/>
  <c r="G631" i="6"/>
  <c r="F631" i="6"/>
  <c r="E631" i="6"/>
  <c r="S631" i="6" s="1"/>
  <c r="D631" i="6"/>
  <c r="B631" i="6"/>
  <c r="A632" i="6"/>
  <c r="C631" i="6"/>
  <c r="W630" i="6" l="1"/>
  <c r="K632" i="6"/>
  <c r="L632" i="6"/>
  <c r="T631" i="6"/>
  <c r="U631" i="6"/>
  <c r="V631" i="6"/>
  <c r="J632" i="6"/>
  <c r="G632" i="6"/>
  <c r="F632" i="6"/>
  <c r="E632" i="6"/>
  <c r="S632" i="6" s="1"/>
  <c r="D632" i="6"/>
  <c r="B632" i="6"/>
  <c r="A633" i="6"/>
  <c r="C632" i="6"/>
  <c r="K633" i="6" l="1"/>
  <c r="L633" i="6"/>
  <c r="W631" i="6"/>
  <c r="T632" i="6"/>
  <c r="U632" i="6"/>
  <c r="V632" i="6"/>
  <c r="J633" i="6"/>
  <c r="G633" i="6"/>
  <c r="F633" i="6"/>
  <c r="E633" i="6"/>
  <c r="S633" i="6" s="1"/>
  <c r="D633" i="6"/>
  <c r="B633" i="6"/>
  <c r="A634" i="6"/>
  <c r="C633" i="6"/>
  <c r="W632" i="6" l="1"/>
  <c r="L634" i="6"/>
  <c r="K634" i="6"/>
  <c r="V633" i="6"/>
  <c r="T633" i="6"/>
  <c r="U633" i="6"/>
  <c r="J634" i="6"/>
  <c r="G634" i="6"/>
  <c r="F634" i="6"/>
  <c r="E634" i="6"/>
  <c r="S634" i="6" s="1"/>
  <c r="D634" i="6"/>
  <c r="B634" i="6"/>
  <c r="A635" i="6"/>
  <c r="C634" i="6"/>
  <c r="K635" i="6" l="1"/>
  <c r="L635" i="6"/>
  <c r="U634" i="6"/>
  <c r="T634" i="6"/>
  <c r="W634" i="6" s="1"/>
  <c r="V634" i="6"/>
  <c r="W633" i="6"/>
  <c r="J635" i="6"/>
  <c r="G635" i="6"/>
  <c r="F635" i="6"/>
  <c r="E635" i="6"/>
  <c r="S635" i="6" s="1"/>
  <c r="D635" i="6"/>
  <c r="B635" i="6"/>
  <c r="A636" i="6"/>
  <c r="C635" i="6"/>
  <c r="L636" i="6" l="1"/>
  <c r="K636" i="6"/>
  <c r="T635" i="6"/>
  <c r="U635" i="6"/>
  <c r="V635" i="6"/>
  <c r="J636" i="6"/>
  <c r="G636" i="6"/>
  <c r="F636" i="6"/>
  <c r="E636" i="6"/>
  <c r="S636" i="6" s="1"/>
  <c r="D636" i="6"/>
  <c r="B636" i="6"/>
  <c r="A637" i="6"/>
  <c r="C636" i="6"/>
  <c r="K637" i="6" l="1"/>
  <c r="L637" i="6"/>
  <c r="U636" i="6"/>
  <c r="T636" i="6"/>
  <c r="V636" i="6"/>
  <c r="W635" i="6"/>
  <c r="J637" i="6"/>
  <c r="G637" i="6"/>
  <c r="F637" i="6"/>
  <c r="E637" i="6"/>
  <c r="S637" i="6" s="1"/>
  <c r="D637" i="6"/>
  <c r="B637" i="6"/>
  <c r="A638" i="6"/>
  <c r="C637" i="6"/>
  <c r="L638" i="6" l="1"/>
  <c r="K638" i="6"/>
  <c r="W636" i="6"/>
  <c r="V637" i="6"/>
  <c r="U637" i="6"/>
  <c r="T637" i="6"/>
  <c r="J638" i="6"/>
  <c r="G638" i="6"/>
  <c r="F638" i="6"/>
  <c r="E638" i="6"/>
  <c r="S638" i="6" s="1"/>
  <c r="D638" i="6"/>
  <c r="B638" i="6"/>
  <c r="A639" i="6"/>
  <c r="C638" i="6"/>
  <c r="W637" i="6" l="1"/>
  <c r="L639" i="6"/>
  <c r="K639" i="6"/>
  <c r="T638" i="6"/>
  <c r="V638" i="6"/>
  <c r="U638" i="6"/>
  <c r="J639" i="6"/>
  <c r="G639" i="6"/>
  <c r="F639" i="6"/>
  <c r="E639" i="6"/>
  <c r="S639" i="6" s="1"/>
  <c r="D639" i="6"/>
  <c r="B639" i="6"/>
  <c r="A640" i="6"/>
  <c r="C639" i="6"/>
  <c r="L640" i="6" l="1"/>
  <c r="K640" i="6"/>
  <c r="U639" i="6"/>
  <c r="T639" i="6"/>
  <c r="V639" i="6"/>
  <c r="W638" i="6"/>
  <c r="J640" i="6"/>
  <c r="G640" i="6"/>
  <c r="F640" i="6"/>
  <c r="E640" i="6"/>
  <c r="S640" i="6" s="1"/>
  <c r="D640" i="6"/>
  <c r="B640" i="6"/>
  <c r="A641" i="6"/>
  <c r="C640" i="6"/>
  <c r="K641" i="6" l="1"/>
  <c r="L641" i="6"/>
  <c r="W639" i="6"/>
  <c r="V640" i="6"/>
  <c r="U640" i="6"/>
  <c r="T640" i="6"/>
  <c r="J641" i="6"/>
  <c r="G641" i="6"/>
  <c r="F641" i="6"/>
  <c r="E641" i="6"/>
  <c r="S641" i="6" s="1"/>
  <c r="D641" i="6"/>
  <c r="B641" i="6"/>
  <c r="A642" i="6"/>
  <c r="C641" i="6"/>
  <c r="W640" i="6" l="1"/>
  <c r="L642" i="6"/>
  <c r="K642" i="6"/>
  <c r="T641" i="6"/>
  <c r="U641" i="6"/>
  <c r="V641" i="6"/>
  <c r="J642" i="6"/>
  <c r="G642" i="6"/>
  <c r="F642" i="6"/>
  <c r="E642" i="6"/>
  <c r="S642" i="6" s="1"/>
  <c r="D642" i="6"/>
  <c r="B642" i="6"/>
  <c r="A643" i="6"/>
  <c r="C642" i="6"/>
  <c r="K643" i="6" l="1"/>
  <c r="L643" i="6"/>
  <c r="U642" i="6"/>
  <c r="T642" i="6"/>
  <c r="V642" i="6"/>
  <c r="W641" i="6"/>
  <c r="J643" i="6"/>
  <c r="G643" i="6"/>
  <c r="F643" i="6"/>
  <c r="E643" i="6"/>
  <c r="S643" i="6" s="1"/>
  <c r="D643" i="6"/>
  <c r="B643" i="6"/>
  <c r="A644" i="6"/>
  <c r="C643" i="6"/>
  <c r="K644" i="6" l="1"/>
  <c r="L644" i="6"/>
  <c r="W642" i="6"/>
  <c r="T643" i="6"/>
  <c r="U643" i="6"/>
  <c r="V643" i="6"/>
  <c r="J644" i="6"/>
  <c r="G644" i="6"/>
  <c r="F644" i="6"/>
  <c r="E644" i="6"/>
  <c r="S644" i="6" s="1"/>
  <c r="D644" i="6"/>
  <c r="B644" i="6"/>
  <c r="A645" i="6"/>
  <c r="C644" i="6"/>
  <c r="K645" i="6" l="1"/>
  <c r="L645" i="6"/>
  <c r="U644" i="6"/>
  <c r="T644" i="6"/>
  <c r="V644" i="6"/>
  <c r="W643" i="6"/>
  <c r="J645" i="6"/>
  <c r="G645" i="6"/>
  <c r="F645" i="6"/>
  <c r="E645" i="6"/>
  <c r="S645" i="6" s="1"/>
  <c r="D645" i="6"/>
  <c r="B645" i="6"/>
  <c r="A646" i="6"/>
  <c r="C645" i="6"/>
  <c r="L646" i="6" l="1"/>
  <c r="K646" i="6"/>
  <c r="W644" i="6"/>
  <c r="V645" i="6"/>
  <c r="U645" i="6"/>
  <c r="T645" i="6"/>
  <c r="J646" i="6"/>
  <c r="G646" i="6"/>
  <c r="F646" i="6"/>
  <c r="E646" i="6"/>
  <c r="S646" i="6" s="1"/>
  <c r="D646" i="6"/>
  <c r="B646" i="6"/>
  <c r="A647" i="6"/>
  <c r="C646" i="6"/>
  <c r="W645" i="6" l="1"/>
  <c r="L647" i="6"/>
  <c r="K647" i="6"/>
  <c r="T646" i="6"/>
  <c r="V646" i="6"/>
  <c r="U646" i="6"/>
  <c r="J647" i="6"/>
  <c r="G647" i="6"/>
  <c r="F647" i="6"/>
  <c r="E647" i="6"/>
  <c r="S647" i="6" s="1"/>
  <c r="D647" i="6"/>
  <c r="B647" i="6"/>
  <c r="A648" i="6"/>
  <c r="C647" i="6"/>
  <c r="K648" i="6" l="1"/>
  <c r="L648" i="6"/>
  <c r="U647" i="6"/>
  <c r="T647" i="6"/>
  <c r="V647" i="6"/>
  <c r="W646" i="6"/>
  <c r="J648" i="6"/>
  <c r="G648" i="6"/>
  <c r="F648" i="6"/>
  <c r="E648" i="6"/>
  <c r="S648" i="6" s="1"/>
  <c r="D648" i="6"/>
  <c r="B648" i="6"/>
  <c r="A649" i="6"/>
  <c r="C648" i="6"/>
  <c r="K649" i="6" l="1"/>
  <c r="L649" i="6"/>
  <c r="V648" i="6"/>
  <c r="T648" i="6"/>
  <c r="U648" i="6"/>
  <c r="W647" i="6"/>
  <c r="J649" i="6"/>
  <c r="G649" i="6"/>
  <c r="F649" i="6"/>
  <c r="E649" i="6"/>
  <c r="S649" i="6" s="1"/>
  <c r="D649" i="6"/>
  <c r="B649" i="6"/>
  <c r="A650" i="6"/>
  <c r="C649" i="6"/>
  <c r="K650" i="6" l="1"/>
  <c r="L650" i="6"/>
  <c r="W648" i="6"/>
  <c r="T649" i="6"/>
  <c r="V649" i="6"/>
  <c r="U649" i="6"/>
  <c r="J650" i="6"/>
  <c r="G650" i="6"/>
  <c r="F650" i="6"/>
  <c r="E650" i="6"/>
  <c r="S650" i="6" s="1"/>
  <c r="D650" i="6"/>
  <c r="B650" i="6"/>
  <c r="A651" i="6"/>
  <c r="C650" i="6"/>
  <c r="W649" i="6" l="1"/>
  <c r="L651" i="6"/>
  <c r="K651" i="6"/>
  <c r="T650" i="6"/>
  <c r="U650" i="6"/>
  <c r="V650" i="6"/>
  <c r="J651" i="6"/>
  <c r="G651" i="6"/>
  <c r="F651" i="6"/>
  <c r="E651" i="6"/>
  <c r="S651" i="6" s="1"/>
  <c r="D651" i="6"/>
  <c r="B651" i="6"/>
  <c r="A652" i="6"/>
  <c r="C651" i="6"/>
  <c r="W650" i="6" l="1"/>
  <c r="L652" i="6"/>
  <c r="K652" i="6"/>
  <c r="T651" i="6"/>
  <c r="V651" i="6"/>
  <c r="U651" i="6"/>
  <c r="J652" i="6"/>
  <c r="G652" i="6"/>
  <c r="F652" i="6"/>
  <c r="E652" i="6"/>
  <c r="S652" i="6" s="1"/>
  <c r="D652" i="6"/>
  <c r="B652" i="6"/>
  <c r="A653" i="6"/>
  <c r="C652" i="6"/>
  <c r="W651" i="6" l="1"/>
  <c r="K653" i="6"/>
  <c r="L653" i="6"/>
  <c r="U652" i="6"/>
  <c r="T652" i="6"/>
  <c r="V652" i="6"/>
  <c r="J653" i="6"/>
  <c r="G653" i="6"/>
  <c r="F653" i="6"/>
  <c r="E653" i="6"/>
  <c r="S653" i="6" s="1"/>
  <c r="D653" i="6"/>
  <c r="B653" i="6"/>
  <c r="C653" i="6"/>
  <c r="W652" i="6" l="1"/>
  <c r="V653" i="6"/>
  <c r="T653" i="6"/>
  <c r="U653" i="6"/>
  <c r="W653" i="6" l="1"/>
</calcChain>
</file>

<file path=xl/sharedStrings.xml><?xml version="1.0" encoding="utf-8"?>
<sst xmlns="http://schemas.openxmlformats.org/spreadsheetml/2006/main" count="164" uniqueCount="74">
  <si>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</si>
  <si>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</si>
  <si>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</si>
  <si>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</si>
  <si>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</si>
  <si>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</si>
  <si>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</si>
  <si>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</si>
  <si>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</si>
  <si>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</si>
  <si>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</si>
  <si>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</si>
  <si>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</si>
  <si>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</si>
  <si>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</si>
  <si>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</si>
  <si>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</si>
  <si>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</si>
  <si>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</si>
  <si>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</si>
  <si>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</si>
  <si>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</si>
  <si>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</si>
  <si>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</si>
  <si>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</si>
  <si>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</si>
  <si>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</si>
  <si>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</si>
  <si>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</si>
  <si>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</si>
  <si>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</si>
  <si>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</si>
  <si>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</si>
  <si>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</si>
  <si>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</si>
  <si>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</si>
  <si>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</si>
  <si>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</si>
  <si>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</si>
  <si>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</si>
  <si>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</si>
  <si>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</si>
  <si>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</si>
  <si>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</si>
  <si>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</si>
  <si>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</si>
  <si>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</si>
  <si>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</si>
  <si>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</si>
  <si>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</si>
  <si>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</si>
  <si>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</si>
  <si>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</si>
  <si>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</si>
  <si>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</si>
  <si>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</si>
  <si>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</si>
  <si>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</si>
  <si>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</si>
  <si>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</si>
  <si>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</si>
  <si>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</si>
  <si>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</si>
  <si>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</si>
  <si>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</si>
  <si>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</si>
  <si>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</si>
  <si>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</si>
  <si>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Org B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</si>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</sst>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95">
    <xf numFmtId="0" fontId="0" fillId="0" borderId="0" xfId="0"/>
    <xf numFmtId="0" fontId="3" fillId="7" borderId="0" xfId="0" applyFont="1" applyFill="1"/>
    <xf numFmtId="0" fontId="2" fillId="8" borderId="0" xfId="0" applyFont="1" applyFill="1" applyAlignment="1">
      <alignment horizontal="center"/>
    </xf>
    <xf numFmtId="14" fontId="2" fillId="8" borderId="0" xfId="0" applyNumberFormat="1" applyFont="1" applyFill="1" applyAlignment="1">
      <alignment horizontal="center"/>
    </xf>
    <xf numFmtId="9" fontId="2" fillId="8" borderId="0" xfId="0" applyNumberFormat="1" applyFont="1" applyFill="1" applyAlignment="1">
      <alignment horizontal="center"/>
    </xf>
    <xf numFmtId="164" fontId="2" fillId="8" borderId="0" xfId="0" applyNumberFormat="1" applyFont="1" applyFill="1" applyAlignment="1">
      <alignment horizontal="center"/>
    </xf>
    <xf numFmtId="1" fontId="2" fillId="8" borderId="0" xfId="0" applyNumberFormat="1" applyFont="1" applyFill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1" xfId="0" applyFont="1" applyBorder="1"/>
    <xf numFmtId="0" fontId="4" fillId="0" borderId="1" xfId="0" applyFont="1" applyBorder="1"/>
    <xf numFmtId="0" fontId="7" fillId="0" borderId="0" xfId="0" applyFont="1"/>
    <xf numFmtId="0" fontId="8" fillId="0" borderId="0" xfId="0" applyFont="1"/>
    <xf numFmtId="0" fontId="8" fillId="0" borderId="0" xfId="0" applyFont="1" applyBorder="1"/>
    <xf numFmtId="14" fontId="4" fillId="0" borderId="0" xfId="0" applyNumberFormat="1" applyFont="1"/>
    <xf numFmtId="0" fontId="4" fillId="0" borderId="0" xfId="0" applyFont="1" applyFill="1" applyBorder="1"/>
    <xf numFmtId="0" fontId="14" fillId="0" borderId="1" xfId="0" applyFont="1" applyBorder="1"/>
    <xf numFmtId="0" fontId="11" fillId="0" borderId="1" xfId="0" applyFont="1" applyBorder="1"/>
    <xf numFmtId="0" fontId="14" fillId="0" borderId="1" xfId="0" applyFont="1" applyBorder="1" applyAlignment="1">
      <alignment horizontal="right"/>
    </xf>
    <xf numFmtId="0" fontId="4" fillId="0" borderId="0" xfId="0" applyFont="1" applyBorder="1"/>
    <xf numFmtId="0" fontId="9" fillId="0" borderId="0" xfId="0" applyFont="1" applyFill="1" applyBorder="1" applyAlignment="1">
      <alignment horizontal="center"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15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/>
    <xf numFmtId="0" fontId="18" fillId="0" borderId="0" xfId="0" applyFont="1" applyFill="1"/>
    <xf numFmtId="0" fontId="18" fillId="0" borderId="0" xfId="0" applyFont="1"/>
    <xf numFmtId="0" fontId="17" fillId="6" borderId="2" xfId="1" applyFont="1" applyFill="1" applyBorder="1" applyAlignment="1">
      <alignment horizontal="center" vertical="center"/>
    </xf>
    <xf numFmtId="164" fontId="11" fillId="0" borderId="2" xfId="1" applyNumberFormat="1" applyFont="1" applyBorder="1" applyAlignment="1">
      <alignment horizontal="left" vertical="center" indent="1"/>
    </xf>
    <xf numFmtId="164" fontId="11" fillId="0" borderId="2" xfId="1" applyNumberFormat="1" applyFont="1" applyBorder="1" applyAlignment="1">
      <alignment horizontal="center" vertical="center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/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left" vertical="center"/>
    </xf>
    <xf numFmtId="14" fontId="9" fillId="5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center" vertical="center"/>
    </xf>
    <xf numFmtId="164" fontId="9" fillId="5" borderId="5" xfId="0" applyNumberFormat="1" applyFont="1" applyFill="1" applyBorder="1" applyAlignment="1">
      <alignment horizontal="center" vertical="center"/>
    </xf>
    <xf numFmtId="0" fontId="9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/>
    </xf>
    <xf numFmtId="0" fontId="8" fillId="0" borderId="2" xfId="0" applyFont="1" applyBorder="1"/>
    <xf numFmtId="3" fontId="8" fillId="0" borderId="6" xfId="0" applyNumberFormat="1" applyFont="1" applyBorder="1" applyAlignment="1">
      <alignment horizontal="center" vertical="center"/>
    </xf>
    <xf numFmtId="3" fontId="8" fillId="0" borderId="8" xfId="0" applyNumberFormat="1" applyFont="1" applyBorder="1" applyAlignment="1">
      <alignment horizontal="center" vertical="center"/>
    </xf>
    <xf numFmtId="3" fontId="8" fillId="2" borderId="8" xfId="0" applyNumberFormat="1" applyFont="1" applyFill="1" applyBorder="1" applyAlignment="1">
      <alignment horizontal="center" vertical="center"/>
    </xf>
    <xf numFmtId="0" fontId="8" fillId="0" borderId="7" xfId="0" applyFont="1" applyBorder="1"/>
    <xf numFmtId="164" fontId="8" fillId="9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wrapText="1"/>
    </xf>
    <xf numFmtId="0" fontId="9" fillId="10" borderId="2" xfId="0" applyFont="1" applyFill="1" applyBorder="1" applyAlignment="1">
      <alignment horizontal="center" wrapText="1"/>
    </xf>
    <xf numFmtId="0" fontId="9" fillId="0" borderId="9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3" fontId="8" fillId="0" borderId="9" xfId="0" applyNumberFormat="1" applyFont="1" applyFill="1" applyBorder="1" applyAlignment="1">
      <alignment horizontal="center" vertical="center"/>
    </xf>
    <xf numFmtId="3" fontId="8" fillId="0" borderId="10" xfId="0" applyNumberFormat="1" applyFont="1" applyFill="1" applyBorder="1" applyAlignment="1">
      <alignment horizontal="center" vertical="center"/>
    </xf>
    <xf numFmtId="3" fontId="15" fillId="0" borderId="9" xfId="0" applyNumberFormat="1" applyFont="1" applyFill="1" applyBorder="1" applyAlignment="1">
      <alignment horizontal="center" vertical="center"/>
    </xf>
    <xf numFmtId="3" fontId="15" fillId="0" borderId="10" xfId="0" applyNumberFormat="1" applyFont="1" applyFill="1" applyBorder="1" applyAlignment="1">
      <alignment horizontal="center" vertical="center"/>
    </xf>
    <xf numFmtId="0" fontId="15" fillId="0" borderId="9" xfId="0" applyFont="1" applyFill="1" applyBorder="1"/>
    <xf numFmtId="0" fontId="15" fillId="0" borderId="10" xfId="0" applyFont="1" applyFill="1" applyBorder="1"/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8" fillId="0" borderId="11" xfId="0" applyFont="1" applyFill="1" applyBorder="1"/>
    <xf numFmtId="0" fontId="8" fillId="0" borderId="12" xfId="0" applyFont="1" applyFill="1" applyBorder="1"/>
    <xf numFmtId="0" fontId="8" fillId="0" borderId="13" xfId="0" applyFont="1" applyFill="1" applyBorder="1"/>
    <xf numFmtId="164" fontId="15" fillId="4" borderId="2" xfId="0" applyNumberFormat="1" applyFont="1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8" fillId="0" borderId="11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4" fontId="13" fillId="8" borderId="0" xfId="0" applyNumberFormat="1" applyFont="1" applyFill="1" applyAlignment="1">
      <alignment horizontal="center" vertical="center"/>
    </xf>
    <xf numFmtId="0" fontId="8" fillId="8" borderId="0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vertical="center" wrapText="1"/>
    </xf>
    <xf numFmtId="0" fontId="9" fillId="7" borderId="2" xfId="0" applyFont="1" applyFill="1" applyBorder="1" applyAlignment="1">
      <alignment horizontal="center" wrapText="1"/>
    </xf>
    <xf numFmtId="14" fontId="8" fillId="0" borderId="4" xfId="0" applyNumberFormat="1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164" fontId="8" fillId="0" borderId="4" xfId="0" applyNumberFormat="1" applyFont="1" applyBorder="1" applyAlignment="1">
      <alignment horizontal="left" vertical="center"/>
    </xf>
    <xf numFmtId="3" fontId="8" fillId="0" borderId="4" xfId="0" applyNumberFormat="1" applyFont="1" applyBorder="1" applyAlignment="1">
      <alignment horizontal="center" vertical="center"/>
    </xf>
    <xf numFmtId="164" fontId="8" fillId="8" borderId="4" xfId="0" applyNumberFormat="1" applyFont="1" applyFill="1" applyBorder="1" applyAlignment="1">
      <alignment horizontal="center" vertical="center"/>
    </xf>
    <xf numFmtId="14" fontId="8" fillId="0" borderId="12" xfId="0" applyNumberFormat="1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164" fontId="8" fillId="0" borderId="12" xfId="0" applyNumberFormat="1" applyFont="1" applyBorder="1" applyAlignment="1">
      <alignment horizontal="left" vertical="center"/>
    </xf>
    <xf numFmtId="3" fontId="8" fillId="0" borderId="12" xfId="0" applyNumberFormat="1" applyFont="1" applyBorder="1" applyAlignment="1">
      <alignment horizontal="center" vertical="center"/>
    </xf>
    <xf numFmtId="164" fontId="8" fillId="8" borderId="12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3" fontId="8" fillId="8" borderId="4" xfId="0" applyNumberFormat="1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vertical="center"/>
    </xf>
    <xf numFmtId="164" fontId="8" fillId="2" borderId="12" xfId="0" applyNumberFormat="1" applyFont="1" applyFill="1" applyBorder="1" applyAlignment="1">
      <alignment horizontal="left" vertical="center"/>
    </xf>
    <xf numFmtId="164" fontId="8" fillId="2" borderId="12" xfId="0" applyNumberFormat="1" applyFont="1" applyFill="1" applyBorder="1" applyAlignment="1">
      <alignment horizontal="center" vertical="center"/>
    </xf>
    <xf numFmtId="3" fontId="8" fillId="2" borderId="12" xfId="0" applyNumberFormat="1" applyFont="1" applyFill="1" applyBorder="1" applyAlignment="1">
      <alignment horizontal="center" vertical="center"/>
    </xf>
    <xf numFmtId="3" fontId="8" fillId="8" borderId="12" xfId="0" applyNumberFormat="1" applyFont="1" applyFill="1" applyBorder="1" applyAlignment="1">
      <alignment horizontal="center" vertical="center"/>
    </xf>
    <xf numFmtId="164" fontId="8" fillId="2" borderId="13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1" fontId="9" fillId="5" borderId="5" xfId="0" applyNumberFormat="1" applyFont="1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3" fontId="8" fillId="8" borderId="5" xfId="0" applyNumberFormat="1" applyFont="1" applyFill="1" applyBorder="1" applyAlignment="1">
      <alignment horizontal="center" vertical="center"/>
    </xf>
    <xf numFmtId="3" fontId="8" fillId="8" borderId="11" xfId="0" applyNumberFormat="1" applyFont="1" applyFill="1" applyBorder="1" applyAlignment="1">
      <alignment horizontal="center" vertical="center"/>
    </xf>
    <xf numFmtId="3" fontId="8" fillId="8" borderId="13" xfId="0" applyNumberFormat="1" applyFont="1" applyFill="1" applyBorder="1" applyAlignment="1">
      <alignment horizontal="center" vertical="center"/>
    </xf>
    <xf numFmtId="0" fontId="8" fillId="8" borderId="11" xfId="0" applyFont="1" applyFill="1" applyBorder="1"/>
    <xf numFmtId="0" fontId="8" fillId="8" borderId="12" xfId="0" applyFont="1" applyFill="1" applyBorder="1"/>
    <xf numFmtId="0" fontId="8" fillId="8" borderId="13" xfId="0" applyFont="1" applyFill="1" applyBorder="1"/>
    <xf numFmtId="0" fontId="8" fillId="8" borderId="3" xfId="0" applyFont="1" applyFill="1" applyBorder="1"/>
    <xf numFmtId="0" fontId="8" fillId="8" borderId="5" xfId="0" applyFont="1" applyFill="1" applyBorder="1"/>
    <xf numFmtId="0" fontId="8" fillId="8" borderId="4" xfId="0" applyFont="1" applyFill="1" applyBorder="1"/>
    <xf numFmtId="1" fontId="10" fillId="0" borderId="3" xfId="0" applyNumberFormat="1" applyFont="1" applyBorder="1" applyAlignment="1">
      <alignment horizontal="center" vertical="center"/>
    </xf>
    <xf numFmtId="0" fontId="8" fillId="0" borderId="4" xfId="0" applyFont="1" applyBorder="1"/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2" fontId="8" fillId="8" borderId="4" xfId="0" applyNumberFormat="1" applyFont="1" applyFill="1" applyBorder="1" applyAlignment="1">
      <alignment horizontal="center" vertical="center"/>
    </xf>
    <xf numFmtId="2" fontId="8" fillId="8" borderId="12" xfId="0" applyNumberFormat="1" applyFont="1" applyFill="1" applyBorder="1" applyAlignment="1">
      <alignment horizontal="center" vertical="center"/>
    </xf>
    <xf numFmtId="0" fontId="8" fillId="0" borderId="11" xfId="0" applyFont="1" applyBorder="1"/>
    <xf numFmtId="0" fontId="8" fillId="8" borderId="12" xfId="0" applyFont="1" applyFill="1" applyBorder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164" fontId="8" fillId="8" borderId="11" xfId="0" applyNumberFormat="1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14" fontId="9" fillId="5" borderId="4" xfId="0" applyNumberFormat="1" applyFont="1" applyFill="1" applyBorder="1" applyAlignment="1">
      <alignment vertical="center"/>
    </xf>
    <xf numFmtId="0" fontId="8" fillId="0" borderId="12" xfId="0" applyFont="1" applyBorder="1"/>
    <xf numFmtId="0" fontId="8" fillId="0" borderId="13" xfId="0" applyFont="1" applyBorder="1"/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10" fillId="8" borderId="0" xfId="0" applyFont="1" applyFill="1"/>
    <xf numFmtId="3" fontId="8" fillId="0" borderId="5" xfId="0" applyNumberFormat="1" applyFont="1" applyBorder="1" applyAlignment="1">
      <alignment horizontal="center" vertical="center"/>
    </xf>
    <xf numFmtId="3" fontId="8" fillId="0" borderId="13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3" fontId="8" fillId="2" borderId="13" xfId="0" applyNumberFormat="1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6" borderId="2" xfId="0" applyFont="1" applyFill="1" applyBorder="1"/>
    <xf numFmtId="0" fontId="9" fillId="6" borderId="2" xfId="0" applyFont="1" applyFill="1" applyBorder="1" applyAlignment="1">
      <alignment horizontal="left"/>
    </xf>
    <xf numFmtId="0" fontId="9" fillId="6" borderId="2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 wrapText="1"/>
    </xf>
    <xf numFmtId="1" fontId="10" fillId="0" borderId="3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10" fillId="0" borderId="3" xfId="2" applyFont="1" applyBorder="1" applyAlignment="1" applyProtection="1">
      <alignment vertical="center" wrapText="1"/>
      <protection locked="0"/>
    </xf>
    <xf numFmtId="0" fontId="10" fillId="0" borderId="11" xfId="2" applyFont="1" applyBorder="1" applyAlignment="1" applyProtection="1">
      <alignment vertical="center" wrapText="1"/>
      <protection locked="0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9" fillId="5" borderId="2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9" fillId="11" borderId="2" xfId="0" applyFont="1" applyFill="1" applyBorder="1" applyAlignment="1">
      <alignment horizontal="center" wrapText="1"/>
    </xf>
    <xf numFmtId="164" fontId="8" fillId="0" borderId="0" xfId="0" applyNumberFormat="1" applyFont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vertical="center"/>
    </xf>
    <xf numFmtId="3" fontId="8" fillId="0" borderId="0" xfId="0" applyNumberFormat="1" applyFont="1" applyAlignment="1">
      <alignment horizontal="center" vertical="center"/>
    </xf>
    <xf numFmtId="3" fontId="8" fillId="0" borderId="9" xfId="0" applyNumberFormat="1" applyFont="1" applyBorder="1" applyAlignment="1">
      <alignment horizontal="center" vertical="center"/>
    </xf>
    <xf numFmtId="3" fontId="8" fillId="0" borderId="10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vertical="center"/>
    </xf>
    <xf numFmtId="164" fontId="8" fillId="2" borderId="12" xfId="0" applyNumberFormat="1" applyFont="1" applyFill="1" applyBorder="1" applyAlignment="1">
      <alignment vertical="center"/>
    </xf>
    <xf numFmtId="164" fontId="8" fillId="2" borderId="1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vertical="center"/>
    </xf>
    <xf numFmtId="3" fontId="8" fillId="8" borderId="0" xfId="0" applyNumberFormat="1" applyFont="1" applyFill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0" xfId="0" applyNumberFormat="1" applyFont="1" applyAlignment="1">
      <alignment horizontal="center" vertical="center"/>
    </xf>
    <xf numFmtId="3" fontId="15" fillId="0" borderId="10" xfId="0" applyNumberFormat="1" applyFont="1" applyBorder="1" applyAlignment="1">
      <alignment horizontal="center" vertical="center"/>
    </xf>
    <xf numFmtId="0" fontId="8" fillId="0" borderId="3" xfId="0" applyFont="1" applyBorder="1"/>
    <xf numFmtId="0" fontId="8" fillId="0" borderId="5" xfId="0" applyFont="1" applyBorder="1"/>
    <xf numFmtId="0" fontId="8" fillId="8" borderId="0" xfId="0" applyFont="1" applyFill="1"/>
    <xf numFmtId="0" fontId="15" fillId="0" borderId="9" xfId="0" applyFont="1" applyBorder="1"/>
    <xf numFmtId="0" fontId="15" fillId="0" borderId="10" xfId="0" applyFont="1" applyBorder="1"/>
    <xf numFmtId="164" fontId="9" fillId="5" borderId="3" xfId="0" applyNumberFormat="1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9" fillId="10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11" fillId="0" borderId="2" xfId="1" applyFont="1" applyBorder="1" applyAlignment="1">
      <alignment horizontal="left" vertical="center" wrapText="1" indent="1"/>
    </xf>
    <xf numFmtId="0" fontId="16" fillId="5" borderId="2" xfId="1" applyFont="1" applyFill="1" applyBorder="1" applyAlignment="1">
      <alignment horizontal="center" vertical="center"/>
    </xf>
    <xf numFmtId="0" fontId="17" fillId="6" borderId="2" xfId="1" applyFont="1" applyFill="1" applyBorder="1" applyAlignment="1">
      <alignment horizontal="left" vertical="center" wrapText="1" indent="1"/>
    </xf>
    <xf numFmtId="0" fontId="17" fillId="6" borderId="2" xfId="1" applyFont="1" applyFill="1" applyBorder="1" applyAlignment="1">
      <alignment horizontal="center" vertical="center" wrapText="1"/>
    </xf>
    <xf numFmtId="0" fontId="17" fillId="6" borderId="2" xfId="1" quotePrefix="1" applyFont="1" applyFill="1" applyBorder="1" applyAlignment="1">
      <alignment horizontal="center" vertical="center" wrapText="1"/>
    </xf>
    <xf numFmtId="1" fontId="11" fillId="0" borderId="2" xfId="1" applyNumberFormat="1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6">
          <cell r="C6">
            <v>0.03</v>
          </cell>
        </row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42">
          <cell r="A42">
            <v>100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workbookViewId="0">
      <selection activeCell="E15" sqref="E15"/>
    </sheetView>
  </sheetViews>
  <sheetFormatPr defaultRowHeight="14.5" x14ac:dyDescent="0.35"/>
  <cols>
    <col min="2" max="2" width="23.81640625" bestFit="1" customWidth="1"/>
    <col min="3" max="3" width="19.1796875" bestFit="1" customWidth="1"/>
  </cols>
  <sheetData>
    <row r="4" spans="2:3" x14ac:dyDescent="0.35">
      <c r="B4" s="1" t="s">
        <v>48</v>
      </c>
      <c r="C4" s="2" t="s">
        <v>50</v>
      </c>
    </row>
    <row r="5" spans="2:3" x14ac:dyDescent="0.35">
      <c r="B5" s="1" t="s">
        <v>49</v>
      </c>
      <c r="C5" s="3">
        <v>45292</v>
      </c>
    </row>
    <row r="6" spans="2:3" x14ac:dyDescent="0.35">
      <c r="B6" s="1" t="s">
        <v>58</v>
      </c>
      <c r="C6" s="4">
        <v>0.03</v>
      </c>
    </row>
    <row r="7" spans="2:3" x14ac:dyDescent="0.35">
      <c r="B7" s="1" t="s">
        <v>59</v>
      </c>
      <c r="C7" s="4">
        <v>0.04</v>
      </c>
    </row>
    <row r="9" spans="2:3" x14ac:dyDescent="0.35">
      <c r="B9" s="1" t="s">
        <v>51</v>
      </c>
      <c r="C9" s="2" t="s">
        <v>66</v>
      </c>
    </row>
    <row r="10" spans="2:3" x14ac:dyDescent="0.35">
      <c r="B10" s="1" t="s">
        <v>52</v>
      </c>
      <c r="C10" s="3" t="s">
        <v>65</v>
      </c>
    </row>
    <row r="11" spans="2:3" x14ac:dyDescent="0.35">
      <c r="B11" s="1" t="s">
        <v>53</v>
      </c>
      <c r="C11" s="5">
        <v>999999</v>
      </c>
    </row>
    <row r="12" spans="2:3" x14ac:dyDescent="0.35">
      <c r="B12" s="1" t="s">
        <v>54</v>
      </c>
      <c r="C12" s="5">
        <v>999999</v>
      </c>
    </row>
    <row r="13" spans="2:3" x14ac:dyDescent="0.35">
      <c r="B13" s="1" t="s">
        <v>55</v>
      </c>
      <c r="C13" s="5">
        <v>999999</v>
      </c>
    </row>
    <row r="14" spans="2:3" x14ac:dyDescent="0.35">
      <c r="B14" s="1" t="s">
        <v>56</v>
      </c>
      <c r="C14" s="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661"/>
  <sheetViews>
    <sheetView showGridLines="0" tabSelected="1" topLeftCell="A628" zoomScale="80" zoomScaleNormal="80" workbookViewId="0">
      <selection activeCell="F636" sqref="F636"/>
    </sheetView>
  </sheetViews>
  <sheetFormatPr defaultColWidth="9.1796875" defaultRowHeight="13" outlineLevelRow="1" outlineLevelCol="1" x14ac:dyDescent="0.3"/>
  <cols>
    <col min="1" max="1" width="7.453125" style="12" bestFit="1" customWidth="1"/>
    <col min="2" max="2" width="51.1796875" style="12" customWidth="1"/>
    <col min="3" max="5" width="19" style="12" customWidth="1" outlineLevel="1"/>
    <col min="6" max="7" width="19" style="12" customWidth="1"/>
    <col min="8" max="8" width="19" style="12" customWidth="1" outlineLevel="1"/>
    <col min="9" max="9" width="20" style="12" customWidth="1" outlineLevel="1"/>
    <col min="10" max="10" width="19" style="12" customWidth="1" outlineLevel="1"/>
    <col min="11" max="11" width="19" style="12" customWidth="1"/>
    <col min="12" max="12" width="20" style="12" bestFit="1" customWidth="1"/>
    <col min="13" max="13" width="19" style="12" customWidth="1"/>
    <col min="14" max="14" width="19" style="13" customWidth="1"/>
    <col min="15" max="16384" width="9.1796875" style="12"/>
  </cols>
  <sheetData>
    <row r="1" spans="1:15" hidden="1" x14ac:dyDescent="0.3"/>
    <row r="2" spans="1:15" s="7" customFormat="1" ht="25.5" x14ac:dyDescent="0.55000000000000004">
      <c r="B2" s="27" t="str">
        <f>SETUP!C4</f>
        <v>NFP Organization XYZ</v>
      </c>
    </row>
    <row r="3" spans="1:15" s="7" customFormat="1" ht="18" x14ac:dyDescent="0.4">
      <c r="B3" s="9" t="s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s="7" customFormat="1" ht="14.5" x14ac:dyDescent="0.35">
      <c r="D4" s="11"/>
      <c r="E4" s="11"/>
    </row>
    <row r="5" spans="1:15" ht="36" customHeight="1" x14ac:dyDescent="0.3">
      <c r="A5" s="123" t="s">
        <v>1</v>
      </c>
      <c r="B5" s="33" t="s">
        <v>2</v>
      </c>
      <c r="C5" s="33" t="s">
        <v>3</v>
      </c>
      <c r="D5" s="33" t="s">
        <v>4</v>
      </c>
      <c r="E5" s="33" t="s">
        <v>5</v>
      </c>
      <c r="F5" s="33" t="s">
        <v>6</v>
      </c>
      <c r="G5" s="33" t="s">
        <v>7</v>
      </c>
      <c r="H5" s="34" t="s">
        <v>8</v>
      </c>
      <c r="I5" s="34" t="s">
        <v>64</v>
      </c>
      <c r="J5" s="34" t="s">
        <v>9</v>
      </c>
      <c r="K5" s="34" t="s">
        <v>8</v>
      </c>
      <c r="L5" s="34" t="s">
        <v>64</v>
      </c>
      <c r="M5" s="34" t="s">
        <v>9</v>
      </c>
      <c r="N5" s="34" t="s">
        <v>10</v>
      </c>
      <c r="O5" s="124" t="s">
        <v>11</v>
      </c>
    </row>
    <row r="6" spans="1:15" ht="30" customHeight="1" x14ac:dyDescent="0.3">
      <c r="A6" s="123">
        <v>1</v>
      </c>
      <c r="B6" s="141" t="s">
        <v>67</v>
      </c>
      <c r="C6" s="88"/>
      <c r="D6" s="78">
        <v>44651</v>
      </c>
      <c r="E6" s="78">
        <v>44561</v>
      </c>
      <c r="F6" s="88"/>
      <c r="G6" s="88"/>
      <c r="H6" s="67">
        <v>77362594</v>
      </c>
      <c r="I6" s="67">
        <v>45450752</v>
      </c>
      <c r="J6" s="67">
        <v>40354963</v>
      </c>
      <c r="K6" s="67">
        <f>H6/1000000</f>
        <v>77.362594000000001</v>
      </c>
      <c r="L6" s="67">
        <f>I6/1000000</f>
        <v>45.450752000000001</v>
      </c>
      <c r="M6" s="67">
        <f>J6/1000000</f>
        <v>40.354962999999998</v>
      </c>
      <c r="N6" s="125">
        <v>1</v>
      </c>
      <c r="O6" s="124"/>
    </row>
    <row r="7" spans="1:15" ht="30" customHeight="1" x14ac:dyDescent="0.3">
      <c r="A7" s="123">
        <v>2</v>
      </c>
      <c r="B7" s="142" t="s">
        <v>68</v>
      </c>
      <c r="C7" s="96"/>
      <c r="D7" s="83">
        <v>44561</v>
      </c>
      <c r="E7" s="83">
        <v>44561</v>
      </c>
      <c r="F7" s="96"/>
      <c r="G7" s="96"/>
      <c r="H7" s="70">
        <v>64267240</v>
      </c>
      <c r="I7" s="70">
        <v>35324557</v>
      </c>
      <c r="J7" s="70">
        <v>35660414</v>
      </c>
      <c r="K7" s="70">
        <f t="shared" ref="K7:M19" si="0">H7/1000000</f>
        <v>64.267240000000001</v>
      </c>
      <c r="L7" s="70">
        <f t="shared" si="0"/>
        <v>35.324556999999999</v>
      </c>
      <c r="M7" s="70">
        <f t="shared" si="0"/>
        <v>35.660414000000003</v>
      </c>
      <c r="N7" s="126">
        <v>2</v>
      </c>
      <c r="O7" s="124"/>
    </row>
    <row r="8" spans="1:15" ht="30" customHeight="1" x14ac:dyDescent="0.3">
      <c r="A8" s="123">
        <v>3</v>
      </c>
      <c r="B8" s="142"/>
      <c r="C8" s="96"/>
      <c r="D8" s="83"/>
      <c r="E8" s="83"/>
      <c r="F8" s="96"/>
      <c r="G8" s="96"/>
      <c r="H8" s="70"/>
      <c r="I8" s="70"/>
      <c r="J8" s="70"/>
      <c r="K8" s="70">
        <f t="shared" si="0"/>
        <v>0</v>
      </c>
      <c r="L8" s="70">
        <f t="shared" si="0"/>
        <v>0</v>
      </c>
      <c r="M8" s="70">
        <f t="shared" si="0"/>
        <v>0</v>
      </c>
      <c r="N8" s="126"/>
      <c r="O8" s="124"/>
    </row>
    <row r="9" spans="1:15" ht="30" customHeight="1" x14ac:dyDescent="0.3">
      <c r="A9" s="123">
        <v>4</v>
      </c>
      <c r="B9" s="142"/>
      <c r="C9" s="96"/>
      <c r="D9" s="83"/>
      <c r="E9" s="83"/>
      <c r="F9" s="96"/>
      <c r="G9" s="96"/>
      <c r="H9" s="70"/>
      <c r="I9" s="70"/>
      <c r="J9" s="70"/>
      <c r="K9" s="70">
        <f t="shared" si="0"/>
        <v>0</v>
      </c>
      <c r="L9" s="70">
        <f t="shared" si="0"/>
        <v>0</v>
      </c>
      <c r="M9" s="70">
        <f t="shared" si="0"/>
        <v>0</v>
      </c>
      <c r="N9" s="126"/>
      <c r="O9" s="124"/>
    </row>
    <row r="10" spans="1:15" ht="30" customHeight="1" x14ac:dyDescent="0.3">
      <c r="A10" s="123">
        <v>5</v>
      </c>
      <c r="B10" s="142"/>
      <c r="C10" s="96"/>
      <c r="D10" s="83"/>
      <c r="E10" s="83"/>
      <c r="F10" s="96"/>
      <c r="G10" s="96"/>
      <c r="H10" s="70"/>
      <c r="I10" s="70"/>
      <c r="J10" s="70"/>
      <c r="K10" s="70">
        <f t="shared" si="0"/>
        <v>0</v>
      </c>
      <c r="L10" s="70">
        <f t="shared" si="0"/>
        <v>0</v>
      </c>
      <c r="M10" s="70">
        <f t="shared" si="0"/>
        <v>0</v>
      </c>
      <c r="N10" s="126"/>
      <c r="O10" s="124"/>
    </row>
    <row r="11" spans="1:15" ht="30" customHeight="1" x14ac:dyDescent="0.3">
      <c r="A11" s="123">
        <v>6</v>
      </c>
      <c r="B11" s="142"/>
      <c r="C11" s="96"/>
      <c r="D11" s="83"/>
      <c r="E11" s="83"/>
      <c r="F11" s="96"/>
      <c r="G11" s="96"/>
      <c r="H11" s="70"/>
      <c r="I11" s="70"/>
      <c r="J11" s="70"/>
      <c r="K11" s="70">
        <f t="shared" si="0"/>
        <v>0</v>
      </c>
      <c r="L11" s="70">
        <f t="shared" si="0"/>
        <v>0</v>
      </c>
      <c r="M11" s="70">
        <f t="shared" si="0"/>
        <v>0</v>
      </c>
      <c r="N11" s="126"/>
      <c r="O11" s="124"/>
    </row>
    <row r="12" spans="1:15" ht="30" customHeight="1" x14ac:dyDescent="0.3">
      <c r="A12" s="123">
        <v>7</v>
      </c>
      <c r="B12" s="142"/>
      <c r="C12" s="96"/>
      <c r="D12" s="83"/>
      <c r="E12" s="83"/>
      <c r="F12" s="96"/>
      <c r="G12" s="96"/>
      <c r="H12" s="70"/>
      <c r="I12" s="70"/>
      <c r="J12" s="70"/>
      <c r="K12" s="70">
        <f t="shared" si="0"/>
        <v>0</v>
      </c>
      <c r="L12" s="70">
        <f t="shared" si="0"/>
        <v>0</v>
      </c>
      <c r="M12" s="70">
        <f t="shared" si="0"/>
        <v>0</v>
      </c>
      <c r="N12" s="126"/>
      <c r="O12" s="124"/>
    </row>
    <row r="13" spans="1:15" ht="30" customHeight="1" x14ac:dyDescent="0.3">
      <c r="A13" s="123">
        <v>8</v>
      </c>
      <c r="B13" s="142"/>
      <c r="C13" s="96"/>
      <c r="D13" s="83"/>
      <c r="E13" s="83"/>
      <c r="F13" s="96"/>
      <c r="G13" s="96"/>
      <c r="H13" s="70"/>
      <c r="I13" s="70"/>
      <c r="J13" s="70"/>
      <c r="K13" s="70">
        <f t="shared" si="0"/>
        <v>0</v>
      </c>
      <c r="L13" s="70">
        <f t="shared" si="0"/>
        <v>0</v>
      </c>
      <c r="M13" s="70">
        <f t="shared" si="0"/>
        <v>0</v>
      </c>
      <c r="N13" s="126"/>
      <c r="O13" s="124"/>
    </row>
    <row r="14" spans="1:15" ht="30" customHeight="1" x14ac:dyDescent="0.3">
      <c r="A14" s="123">
        <v>9</v>
      </c>
      <c r="B14" s="142"/>
      <c r="C14" s="96"/>
      <c r="D14" s="83"/>
      <c r="E14" s="83"/>
      <c r="F14" s="96"/>
      <c r="G14" s="96"/>
      <c r="H14" s="70"/>
      <c r="I14" s="70"/>
      <c r="J14" s="70"/>
      <c r="K14" s="70">
        <f t="shared" si="0"/>
        <v>0</v>
      </c>
      <c r="L14" s="70">
        <f t="shared" si="0"/>
        <v>0</v>
      </c>
      <c r="M14" s="70">
        <f t="shared" si="0"/>
        <v>0</v>
      </c>
      <c r="N14" s="126"/>
      <c r="O14" s="124"/>
    </row>
    <row r="15" spans="1:15" ht="30" customHeight="1" x14ac:dyDescent="0.3">
      <c r="A15" s="123">
        <v>10</v>
      </c>
      <c r="B15" s="142"/>
      <c r="C15" s="96"/>
      <c r="D15" s="83"/>
      <c r="E15" s="83"/>
      <c r="F15" s="96"/>
      <c r="G15" s="96"/>
      <c r="H15" s="70"/>
      <c r="I15" s="70"/>
      <c r="J15" s="70"/>
      <c r="K15" s="70">
        <f t="shared" si="0"/>
        <v>0</v>
      </c>
      <c r="L15" s="70">
        <f t="shared" si="0"/>
        <v>0</v>
      </c>
      <c r="M15" s="70">
        <f t="shared" si="0"/>
        <v>0</v>
      </c>
      <c r="N15" s="126"/>
      <c r="O15" s="124"/>
    </row>
    <row r="16" spans="1:15" ht="30" customHeight="1" x14ac:dyDescent="0.3">
      <c r="A16" s="123">
        <v>11</v>
      </c>
      <c r="B16" s="142"/>
      <c r="C16" s="96"/>
      <c r="D16" s="83"/>
      <c r="E16" s="83"/>
      <c r="F16" s="96"/>
      <c r="G16" s="96"/>
      <c r="H16" s="70"/>
      <c r="I16" s="70"/>
      <c r="J16" s="70"/>
      <c r="K16" s="70">
        <f t="shared" si="0"/>
        <v>0</v>
      </c>
      <c r="L16" s="70">
        <f t="shared" si="0"/>
        <v>0</v>
      </c>
      <c r="M16" s="70">
        <f t="shared" si="0"/>
        <v>0</v>
      </c>
      <c r="N16" s="126"/>
      <c r="O16" s="124"/>
    </row>
    <row r="17" spans="1:15" ht="30" customHeight="1" x14ac:dyDescent="0.3">
      <c r="A17" s="123">
        <v>12</v>
      </c>
      <c r="B17" s="127"/>
      <c r="C17" s="96"/>
      <c r="D17" s="83"/>
      <c r="E17" s="83"/>
      <c r="F17" s="96"/>
      <c r="G17" s="96"/>
      <c r="H17" s="70"/>
      <c r="I17" s="70"/>
      <c r="J17" s="70"/>
      <c r="K17" s="70">
        <f t="shared" si="0"/>
        <v>0</v>
      </c>
      <c r="L17" s="70">
        <f t="shared" si="0"/>
        <v>0</v>
      </c>
      <c r="M17" s="70">
        <f t="shared" si="0"/>
        <v>0</v>
      </c>
      <c r="N17" s="126"/>
      <c r="O17" s="124"/>
    </row>
    <row r="18" spans="1:15" ht="30" customHeight="1" x14ac:dyDescent="0.3">
      <c r="A18" s="123">
        <v>13</v>
      </c>
      <c r="B18" s="127"/>
      <c r="C18" s="96"/>
      <c r="D18" s="83"/>
      <c r="E18" s="83"/>
      <c r="F18" s="96"/>
      <c r="G18" s="96"/>
      <c r="H18" s="70"/>
      <c r="I18" s="70"/>
      <c r="J18" s="70"/>
      <c r="K18" s="70">
        <f t="shared" si="0"/>
        <v>0</v>
      </c>
      <c r="L18" s="70">
        <f t="shared" si="0"/>
        <v>0</v>
      </c>
      <c r="M18" s="70">
        <f t="shared" si="0"/>
        <v>0</v>
      </c>
      <c r="N18" s="126"/>
      <c r="O18" s="124"/>
    </row>
    <row r="19" spans="1:15" ht="30" customHeight="1" x14ac:dyDescent="0.3">
      <c r="A19" s="123">
        <f>A18+1</f>
        <v>14</v>
      </c>
      <c r="B19" s="127"/>
      <c r="C19" s="96"/>
      <c r="D19" s="83"/>
      <c r="E19" s="83"/>
      <c r="F19" s="96"/>
      <c r="G19" s="96"/>
      <c r="H19" s="70"/>
      <c r="I19" s="70"/>
      <c r="J19" s="70"/>
      <c r="K19" s="70">
        <f t="shared" si="0"/>
        <v>0</v>
      </c>
      <c r="L19" s="70">
        <f t="shared" si="0"/>
        <v>0</v>
      </c>
      <c r="M19" s="70">
        <f t="shared" si="0"/>
        <v>0</v>
      </c>
      <c r="N19" s="126"/>
      <c r="O19" s="124"/>
    </row>
    <row r="20" spans="1:15" ht="30" customHeight="1" x14ac:dyDescent="0.3">
      <c r="A20" s="123">
        <f t="shared" ref="A20:A83" si="1">A19+1</f>
        <v>15</v>
      </c>
      <c r="B20" s="127"/>
      <c r="C20" s="96"/>
      <c r="D20" s="83"/>
      <c r="E20" s="83"/>
      <c r="F20" s="96"/>
      <c r="G20" s="96"/>
      <c r="H20" s="70"/>
      <c r="I20" s="70"/>
      <c r="J20" s="70"/>
      <c r="K20" s="70">
        <f t="shared" ref="K20:K83" si="2">H20/1000000</f>
        <v>0</v>
      </c>
      <c r="L20" s="70">
        <f t="shared" ref="L20:L83" si="3">I20/1000000</f>
        <v>0</v>
      </c>
      <c r="M20" s="70">
        <f t="shared" ref="M20:M83" si="4">J20/1000000</f>
        <v>0</v>
      </c>
      <c r="N20" s="126"/>
      <c r="O20" s="124"/>
    </row>
    <row r="21" spans="1:15" ht="30" customHeight="1" x14ac:dyDescent="0.3">
      <c r="A21" s="123">
        <f t="shared" si="1"/>
        <v>16</v>
      </c>
      <c r="B21" s="127"/>
      <c r="C21" s="96"/>
      <c r="D21" s="83"/>
      <c r="E21" s="83"/>
      <c r="F21" s="96"/>
      <c r="G21" s="96"/>
      <c r="H21" s="70"/>
      <c r="I21" s="70"/>
      <c r="J21" s="70"/>
      <c r="K21" s="70">
        <f t="shared" si="2"/>
        <v>0</v>
      </c>
      <c r="L21" s="70">
        <f t="shared" si="3"/>
        <v>0</v>
      </c>
      <c r="M21" s="70">
        <f t="shared" si="4"/>
        <v>0</v>
      </c>
      <c r="N21" s="126"/>
      <c r="O21" s="124"/>
    </row>
    <row r="22" spans="1:15" ht="30" customHeight="1" x14ac:dyDescent="0.3">
      <c r="A22" s="123">
        <f t="shared" si="1"/>
        <v>17</v>
      </c>
      <c r="B22" s="127"/>
      <c r="C22" s="96"/>
      <c r="D22" s="83"/>
      <c r="E22" s="83"/>
      <c r="F22" s="96"/>
      <c r="G22" s="96"/>
      <c r="H22" s="70"/>
      <c r="I22" s="70"/>
      <c r="J22" s="70"/>
      <c r="K22" s="70">
        <f t="shared" si="2"/>
        <v>0</v>
      </c>
      <c r="L22" s="70">
        <f t="shared" si="3"/>
        <v>0</v>
      </c>
      <c r="M22" s="70">
        <f t="shared" si="4"/>
        <v>0</v>
      </c>
      <c r="N22" s="126"/>
      <c r="O22" s="124"/>
    </row>
    <row r="23" spans="1:15" ht="30" customHeight="1" x14ac:dyDescent="0.3">
      <c r="A23" s="123">
        <f t="shared" si="1"/>
        <v>18</v>
      </c>
      <c r="B23" s="127"/>
      <c r="C23" s="96"/>
      <c r="D23" s="83"/>
      <c r="E23" s="83"/>
      <c r="F23" s="96"/>
      <c r="G23" s="96"/>
      <c r="H23" s="70"/>
      <c r="I23" s="70"/>
      <c r="J23" s="70"/>
      <c r="K23" s="70">
        <f t="shared" si="2"/>
        <v>0</v>
      </c>
      <c r="L23" s="70">
        <f t="shared" si="3"/>
        <v>0</v>
      </c>
      <c r="M23" s="70">
        <f t="shared" si="4"/>
        <v>0</v>
      </c>
      <c r="N23" s="126"/>
      <c r="O23" s="124"/>
    </row>
    <row r="24" spans="1:15" ht="30" customHeight="1" x14ac:dyDescent="0.3">
      <c r="A24" s="123">
        <f t="shared" si="1"/>
        <v>19</v>
      </c>
      <c r="B24" s="127"/>
      <c r="C24" s="96"/>
      <c r="D24" s="83"/>
      <c r="E24" s="83"/>
      <c r="F24" s="96"/>
      <c r="G24" s="96"/>
      <c r="H24" s="70"/>
      <c r="I24" s="70"/>
      <c r="J24" s="70"/>
      <c r="K24" s="70">
        <f t="shared" si="2"/>
        <v>0</v>
      </c>
      <c r="L24" s="70">
        <f t="shared" si="3"/>
        <v>0</v>
      </c>
      <c r="M24" s="70">
        <f t="shared" si="4"/>
        <v>0</v>
      </c>
      <c r="N24" s="126"/>
      <c r="O24" s="124"/>
    </row>
    <row r="25" spans="1:15" ht="30" customHeight="1" x14ac:dyDescent="0.3">
      <c r="A25" s="123">
        <f t="shared" si="1"/>
        <v>20</v>
      </c>
      <c r="B25" s="127"/>
      <c r="C25" s="96"/>
      <c r="D25" s="83"/>
      <c r="E25" s="83"/>
      <c r="F25" s="96"/>
      <c r="G25" s="96"/>
      <c r="H25" s="70"/>
      <c r="I25" s="70"/>
      <c r="J25" s="70"/>
      <c r="K25" s="70">
        <f t="shared" si="2"/>
        <v>0</v>
      </c>
      <c r="L25" s="70">
        <f t="shared" si="3"/>
        <v>0</v>
      </c>
      <c r="M25" s="70">
        <f t="shared" si="4"/>
        <v>0</v>
      </c>
      <c r="N25" s="126"/>
      <c r="O25" s="124"/>
    </row>
    <row r="26" spans="1:15" ht="30" customHeight="1" x14ac:dyDescent="0.3">
      <c r="A26" s="123">
        <f t="shared" si="1"/>
        <v>21</v>
      </c>
      <c r="B26" s="127"/>
      <c r="C26" s="96"/>
      <c r="D26" s="83"/>
      <c r="E26" s="83"/>
      <c r="F26" s="96"/>
      <c r="G26" s="96"/>
      <c r="H26" s="70"/>
      <c r="I26" s="70"/>
      <c r="J26" s="70"/>
      <c r="K26" s="70">
        <f t="shared" si="2"/>
        <v>0</v>
      </c>
      <c r="L26" s="70">
        <f t="shared" si="3"/>
        <v>0</v>
      </c>
      <c r="M26" s="70">
        <f t="shared" si="4"/>
        <v>0</v>
      </c>
      <c r="N26" s="126"/>
      <c r="O26" s="124"/>
    </row>
    <row r="27" spans="1:15" ht="30" customHeight="1" x14ac:dyDescent="0.3">
      <c r="A27" s="123">
        <f t="shared" si="1"/>
        <v>22</v>
      </c>
      <c r="B27" s="127"/>
      <c r="C27" s="96"/>
      <c r="D27" s="83"/>
      <c r="E27" s="83"/>
      <c r="F27" s="96"/>
      <c r="G27" s="96"/>
      <c r="H27" s="70"/>
      <c r="I27" s="70"/>
      <c r="J27" s="70"/>
      <c r="K27" s="70">
        <f t="shared" si="2"/>
        <v>0</v>
      </c>
      <c r="L27" s="70">
        <f t="shared" si="3"/>
        <v>0</v>
      </c>
      <c r="M27" s="70">
        <f t="shared" si="4"/>
        <v>0</v>
      </c>
      <c r="N27" s="126"/>
      <c r="O27" s="124"/>
    </row>
    <row r="28" spans="1:15" ht="30" customHeight="1" x14ac:dyDescent="0.3">
      <c r="A28" s="123">
        <f t="shared" si="1"/>
        <v>23</v>
      </c>
      <c r="B28" s="127"/>
      <c r="C28" s="96"/>
      <c r="D28" s="83"/>
      <c r="E28" s="83"/>
      <c r="F28" s="96"/>
      <c r="G28" s="96"/>
      <c r="H28" s="70"/>
      <c r="I28" s="70"/>
      <c r="J28" s="70"/>
      <c r="K28" s="70">
        <f t="shared" si="2"/>
        <v>0</v>
      </c>
      <c r="L28" s="70">
        <f t="shared" si="3"/>
        <v>0</v>
      </c>
      <c r="M28" s="70">
        <f t="shared" si="4"/>
        <v>0</v>
      </c>
      <c r="N28" s="126"/>
      <c r="O28" s="124"/>
    </row>
    <row r="29" spans="1:15" ht="30" customHeight="1" x14ac:dyDescent="0.3">
      <c r="A29" s="123">
        <f t="shared" si="1"/>
        <v>24</v>
      </c>
      <c r="B29" s="127"/>
      <c r="C29" s="96"/>
      <c r="D29" s="83"/>
      <c r="E29" s="83"/>
      <c r="F29" s="96"/>
      <c r="G29" s="96"/>
      <c r="H29" s="70"/>
      <c r="I29" s="70"/>
      <c r="J29" s="70"/>
      <c r="K29" s="70">
        <f t="shared" si="2"/>
        <v>0</v>
      </c>
      <c r="L29" s="70">
        <f t="shared" si="3"/>
        <v>0</v>
      </c>
      <c r="M29" s="70">
        <f t="shared" si="4"/>
        <v>0</v>
      </c>
      <c r="N29" s="126"/>
      <c r="O29" s="124"/>
    </row>
    <row r="30" spans="1:15" ht="30" customHeight="1" x14ac:dyDescent="0.3">
      <c r="A30" s="123">
        <f t="shared" si="1"/>
        <v>25</v>
      </c>
      <c r="B30" s="127"/>
      <c r="C30" s="96"/>
      <c r="D30" s="83"/>
      <c r="E30" s="83"/>
      <c r="F30" s="96"/>
      <c r="G30" s="96"/>
      <c r="H30" s="70"/>
      <c r="I30" s="70"/>
      <c r="J30" s="70"/>
      <c r="K30" s="70">
        <f t="shared" si="2"/>
        <v>0</v>
      </c>
      <c r="L30" s="70">
        <f t="shared" si="3"/>
        <v>0</v>
      </c>
      <c r="M30" s="70">
        <f t="shared" si="4"/>
        <v>0</v>
      </c>
      <c r="N30" s="126"/>
      <c r="O30" s="124"/>
    </row>
    <row r="31" spans="1:15" ht="30" customHeight="1" x14ac:dyDescent="0.3">
      <c r="A31" s="123">
        <f t="shared" si="1"/>
        <v>26</v>
      </c>
      <c r="B31" s="127"/>
      <c r="C31" s="96"/>
      <c r="D31" s="83"/>
      <c r="E31" s="83"/>
      <c r="F31" s="96"/>
      <c r="G31" s="96"/>
      <c r="H31" s="70"/>
      <c r="I31" s="70"/>
      <c r="J31" s="70"/>
      <c r="K31" s="70">
        <f t="shared" si="2"/>
        <v>0</v>
      </c>
      <c r="L31" s="70">
        <f t="shared" si="3"/>
        <v>0</v>
      </c>
      <c r="M31" s="70">
        <f t="shared" si="4"/>
        <v>0</v>
      </c>
      <c r="N31" s="126"/>
      <c r="O31" s="124"/>
    </row>
    <row r="32" spans="1:15" ht="30" customHeight="1" x14ac:dyDescent="0.3">
      <c r="A32" s="123">
        <f t="shared" si="1"/>
        <v>27</v>
      </c>
      <c r="B32" s="127"/>
      <c r="C32" s="96"/>
      <c r="D32" s="83"/>
      <c r="E32" s="83"/>
      <c r="F32" s="96"/>
      <c r="G32" s="96"/>
      <c r="H32" s="70"/>
      <c r="I32" s="70"/>
      <c r="J32" s="70"/>
      <c r="K32" s="70">
        <f t="shared" si="2"/>
        <v>0</v>
      </c>
      <c r="L32" s="70">
        <f t="shared" si="3"/>
        <v>0</v>
      </c>
      <c r="M32" s="70">
        <f t="shared" si="4"/>
        <v>0</v>
      </c>
      <c r="N32" s="126"/>
      <c r="O32" s="124"/>
    </row>
    <row r="33" spans="1:15" ht="30" customHeight="1" x14ac:dyDescent="0.3">
      <c r="A33" s="123">
        <f t="shared" si="1"/>
        <v>28</v>
      </c>
      <c r="B33" s="127"/>
      <c r="C33" s="96"/>
      <c r="D33" s="83"/>
      <c r="E33" s="83"/>
      <c r="F33" s="96"/>
      <c r="G33" s="96"/>
      <c r="H33" s="70"/>
      <c r="I33" s="70"/>
      <c r="J33" s="70"/>
      <c r="K33" s="70">
        <f t="shared" si="2"/>
        <v>0</v>
      </c>
      <c r="L33" s="70">
        <f t="shared" si="3"/>
        <v>0</v>
      </c>
      <c r="M33" s="70">
        <f t="shared" si="4"/>
        <v>0</v>
      </c>
      <c r="N33" s="126"/>
      <c r="O33" s="124"/>
    </row>
    <row r="34" spans="1:15" ht="30" customHeight="1" x14ac:dyDescent="0.3">
      <c r="A34" s="123">
        <f t="shared" si="1"/>
        <v>29</v>
      </c>
      <c r="B34" s="127"/>
      <c r="C34" s="96"/>
      <c r="D34" s="83"/>
      <c r="E34" s="83"/>
      <c r="F34" s="96"/>
      <c r="G34" s="96"/>
      <c r="H34" s="70"/>
      <c r="I34" s="70"/>
      <c r="J34" s="70"/>
      <c r="K34" s="70">
        <f t="shared" si="2"/>
        <v>0</v>
      </c>
      <c r="L34" s="70">
        <f t="shared" si="3"/>
        <v>0</v>
      </c>
      <c r="M34" s="70">
        <f t="shared" si="4"/>
        <v>0</v>
      </c>
      <c r="N34" s="126"/>
      <c r="O34" s="124"/>
    </row>
    <row r="35" spans="1:15" ht="30" customHeight="1" x14ac:dyDescent="0.3">
      <c r="A35" s="123">
        <f t="shared" si="1"/>
        <v>30</v>
      </c>
      <c r="B35" s="127"/>
      <c r="C35" s="96"/>
      <c r="D35" s="83"/>
      <c r="E35" s="83"/>
      <c r="F35" s="96"/>
      <c r="G35" s="96"/>
      <c r="H35" s="70"/>
      <c r="I35" s="70"/>
      <c r="J35" s="70"/>
      <c r="K35" s="70">
        <f t="shared" si="2"/>
        <v>0</v>
      </c>
      <c r="L35" s="70">
        <f t="shared" si="3"/>
        <v>0</v>
      </c>
      <c r="M35" s="70">
        <f t="shared" si="4"/>
        <v>0</v>
      </c>
      <c r="N35" s="126"/>
      <c r="O35" s="124"/>
    </row>
    <row r="36" spans="1:15" ht="30" customHeight="1" outlineLevel="1" x14ac:dyDescent="0.3">
      <c r="A36" s="123">
        <f t="shared" si="1"/>
        <v>31</v>
      </c>
      <c r="B36" s="127"/>
      <c r="C36" s="96"/>
      <c r="D36" s="83"/>
      <c r="E36" s="83"/>
      <c r="F36" s="96"/>
      <c r="G36" s="96"/>
      <c r="H36" s="70"/>
      <c r="I36" s="70"/>
      <c r="J36" s="70"/>
      <c r="K36" s="70">
        <f t="shared" si="2"/>
        <v>0</v>
      </c>
      <c r="L36" s="70">
        <f t="shared" si="3"/>
        <v>0</v>
      </c>
      <c r="M36" s="70">
        <f t="shared" si="4"/>
        <v>0</v>
      </c>
      <c r="N36" s="126"/>
      <c r="O36" s="124"/>
    </row>
    <row r="37" spans="1:15" ht="30" customHeight="1" x14ac:dyDescent="0.3">
      <c r="A37" s="123">
        <f t="shared" si="1"/>
        <v>32</v>
      </c>
      <c r="B37" s="127"/>
      <c r="C37" s="96"/>
      <c r="D37" s="83"/>
      <c r="E37" s="83"/>
      <c r="F37" s="96"/>
      <c r="G37" s="96"/>
      <c r="H37" s="70"/>
      <c r="I37" s="70"/>
      <c r="J37" s="70"/>
      <c r="K37" s="70">
        <f t="shared" si="2"/>
        <v>0</v>
      </c>
      <c r="L37" s="70">
        <f t="shared" si="3"/>
        <v>0</v>
      </c>
      <c r="M37" s="70">
        <f t="shared" si="4"/>
        <v>0</v>
      </c>
      <c r="N37" s="126"/>
      <c r="O37" s="124"/>
    </row>
    <row r="38" spans="1:15" ht="30" customHeight="1" x14ac:dyDescent="0.3">
      <c r="A38" s="123">
        <f t="shared" si="1"/>
        <v>33</v>
      </c>
      <c r="B38" s="127"/>
      <c r="C38" s="96"/>
      <c r="D38" s="83"/>
      <c r="E38" s="83"/>
      <c r="F38" s="96"/>
      <c r="G38" s="96"/>
      <c r="H38" s="70"/>
      <c r="I38" s="70"/>
      <c r="J38" s="70"/>
      <c r="K38" s="70">
        <f t="shared" si="2"/>
        <v>0</v>
      </c>
      <c r="L38" s="70">
        <f t="shared" si="3"/>
        <v>0</v>
      </c>
      <c r="M38" s="70">
        <f t="shared" si="4"/>
        <v>0</v>
      </c>
      <c r="N38" s="126"/>
      <c r="O38" s="124"/>
    </row>
    <row r="39" spans="1:15" ht="30" customHeight="1" x14ac:dyDescent="0.3">
      <c r="A39" s="123">
        <f t="shared" si="1"/>
        <v>34</v>
      </c>
      <c r="B39" s="127"/>
      <c r="C39" s="96"/>
      <c r="D39" s="83"/>
      <c r="E39" s="83"/>
      <c r="F39" s="96"/>
      <c r="G39" s="96"/>
      <c r="H39" s="70"/>
      <c r="I39" s="70"/>
      <c r="J39" s="70"/>
      <c r="K39" s="70">
        <f t="shared" si="2"/>
        <v>0</v>
      </c>
      <c r="L39" s="70">
        <f t="shared" si="3"/>
        <v>0</v>
      </c>
      <c r="M39" s="70">
        <f t="shared" si="4"/>
        <v>0</v>
      </c>
      <c r="N39" s="126"/>
      <c r="O39" s="124"/>
    </row>
    <row r="40" spans="1:15" ht="30" customHeight="1" x14ac:dyDescent="0.3">
      <c r="A40" s="123">
        <f t="shared" si="1"/>
        <v>35</v>
      </c>
      <c r="B40" s="127"/>
      <c r="C40" s="96"/>
      <c r="D40" s="83"/>
      <c r="E40" s="83"/>
      <c r="F40" s="96"/>
      <c r="G40" s="96"/>
      <c r="H40" s="70"/>
      <c r="I40" s="70"/>
      <c r="J40" s="70"/>
      <c r="K40" s="70">
        <f t="shared" si="2"/>
        <v>0</v>
      </c>
      <c r="L40" s="70">
        <f t="shared" si="3"/>
        <v>0</v>
      </c>
      <c r="M40" s="70">
        <f t="shared" si="4"/>
        <v>0</v>
      </c>
      <c r="N40" s="126"/>
      <c r="O40" s="124"/>
    </row>
    <row r="41" spans="1:15" ht="30" customHeight="1" x14ac:dyDescent="0.3">
      <c r="A41" s="123">
        <f t="shared" si="1"/>
        <v>36</v>
      </c>
      <c r="B41" s="127"/>
      <c r="C41" s="96"/>
      <c r="D41" s="83"/>
      <c r="E41" s="83"/>
      <c r="F41" s="96"/>
      <c r="G41" s="96"/>
      <c r="H41" s="70"/>
      <c r="I41" s="70"/>
      <c r="J41" s="70"/>
      <c r="K41" s="70">
        <f t="shared" si="2"/>
        <v>0</v>
      </c>
      <c r="L41" s="70">
        <f t="shared" si="3"/>
        <v>0</v>
      </c>
      <c r="M41" s="70">
        <f t="shared" si="4"/>
        <v>0</v>
      </c>
      <c r="N41" s="126"/>
      <c r="O41" s="124"/>
    </row>
    <row r="42" spans="1:15" ht="30" customHeight="1" x14ac:dyDescent="0.3">
      <c r="A42" s="123">
        <f t="shared" si="1"/>
        <v>37</v>
      </c>
      <c r="B42" s="127"/>
      <c r="C42" s="96"/>
      <c r="D42" s="83"/>
      <c r="E42" s="83"/>
      <c r="F42" s="96"/>
      <c r="G42" s="96"/>
      <c r="H42" s="70"/>
      <c r="I42" s="70"/>
      <c r="J42" s="70"/>
      <c r="K42" s="70">
        <f t="shared" si="2"/>
        <v>0</v>
      </c>
      <c r="L42" s="70">
        <f t="shared" si="3"/>
        <v>0</v>
      </c>
      <c r="M42" s="70">
        <f t="shared" si="4"/>
        <v>0</v>
      </c>
      <c r="N42" s="126"/>
      <c r="O42" s="124"/>
    </row>
    <row r="43" spans="1:15" ht="30" customHeight="1" x14ac:dyDescent="0.3">
      <c r="A43" s="123">
        <f t="shared" si="1"/>
        <v>38</v>
      </c>
      <c r="B43" s="127"/>
      <c r="C43" s="96"/>
      <c r="D43" s="83"/>
      <c r="E43" s="83"/>
      <c r="F43" s="96"/>
      <c r="G43" s="96"/>
      <c r="H43" s="70"/>
      <c r="I43" s="70"/>
      <c r="J43" s="70"/>
      <c r="K43" s="70">
        <f t="shared" si="2"/>
        <v>0</v>
      </c>
      <c r="L43" s="70">
        <f t="shared" si="3"/>
        <v>0</v>
      </c>
      <c r="M43" s="70">
        <f t="shared" si="4"/>
        <v>0</v>
      </c>
      <c r="N43" s="126"/>
      <c r="O43" s="124"/>
    </row>
    <row r="44" spans="1:15" ht="30" customHeight="1" x14ac:dyDescent="0.3">
      <c r="A44" s="123">
        <f t="shared" si="1"/>
        <v>39</v>
      </c>
      <c r="B44" s="127"/>
      <c r="C44" s="96"/>
      <c r="D44" s="83"/>
      <c r="E44" s="83"/>
      <c r="F44" s="96"/>
      <c r="G44" s="96"/>
      <c r="H44" s="70"/>
      <c r="I44" s="70"/>
      <c r="J44" s="70"/>
      <c r="K44" s="70">
        <f t="shared" si="2"/>
        <v>0</v>
      </c>
      <c r="L44" s="70">
        <f t="shared" si="3"/>
        <v>0</v>
      </c>
      <c r="M44" s="70">
        <f t="shared" si="4"/>
        <v>0</v>
      </c>
      <c r="N44" s="126"/>
      <c r="O44" s="124"/>
    </row>
    <row r="45" spans="1:15" ht="30" customHeight="1" x14ac:dyDescent="0.3">
      <c r="A45" s="123">
        <f t="shared" si="1"/>
        <v>40</v>
      </c>
      <c r="B45" s="127"/>
      <c r="C45" s="96"/>
      <c r="D45" s="83"/>
      <c r="E45" s="83"/>
      <c r="F45" s="96"/>
      <c r="G45" s="96"/>
      <c r="H45" s="70"/>
      <c r="I45" s="70"/>
      <c r="J45" s="70"/>
      <c r="K45" s="70">
        <f t="shared" si="2"/>
        <v>0</v>
      </c>
      <c r="L45" s="70">
        <f t="shared" si="3"/>
        <v>0</v>
      </c>
      <c r="M45" s="70">
        <f t="shared" si="4"/>
        <v>0</v>
      </c>
      <c r="N45" s="126"/>
      <c r="O45" s="124"/>
    </row>
    <row r="46" spans="1:15" ht="30" customHeight="1" x14ac:dyDescent="0.3">
      <c r="A46" s="123">
        <f t="shared" si="1"/>
        <v>41</v>
      </c>
      <c r="B46" s="127"/>
      <c r="C46" s="96"/>
      <c r="D46" s="83"/>
      <c r="E46" s="83"/>
      <c r="F46" s="96"/>
      <c r="G46" s="96"/>
      <c r="H46" s="70"/>
      <c r="I46" s="70"/>
      <c r="J46" s="70"/>
      <c r="K46" s="70">
        <f t="shared" si="2"/>
        <v>0</v>
      </c>
      <c r="L46" s="70">
        <f t="shared" si="3"/>
        <v>0</v>
      </c>
      <c r="M46" s="70">
        <f t="shared" si="4"/>
        <v>0</v>
      </c>
      <c r="N46" s="126"/>
      <c r="O46" s="124"/>
    </row>
    <row r="47" spans="1:15" ht="30" customHeight="1" x14ac:dyDescent="0.3">
      <c r="A47" s="123">
        <f t="shared" si="1"/>
        <v>42</v>
      </c>
      <c r="B47" s="127"/>
      <c r="C47" s="96"/>
      <c r="D47" s="83"/>
      <c r="E47" s="83"/>
      <c r="F47" s="96"/>
      <c r="G47" s="96"/>
      <c r="H47" s="70"/>
      <c r="I47" s="70"/>
      <c r="J47" s="70"/>
      <c r="K47" s="70">
        <f t="shared" si="2"/>
        <v>0</v>
      </c>
      <c r="L47" s="70">
        <f t="shared" si="3"/>
        <v>0</v>
      </c>
      <c r="M47" s="70">
        <f t="shared" si="4"/>
        <v>0</v>
      </c>
      <c r="N47" s="126"/>
      <c r="O47" s="124"/>
    </row>
    <row r="48" spans="1:15" ht="30" customHeight="1" x14ac:dyDescent="0.3">
      <c r="A48" s="123">
        <f t="shared" si="1"/>
        <v>43</v>
      </c>
      <c r="B48" s="127"/>
      <c r="C48" s="96"/>
      <c r="D48" s="83"/>
      <c r="E48" s="83"/>
      <c r="F48" s="96"/>
      <c r="G48" s="96"/>
      <c r="H48" s="70"/>
      <c r="I48" s="70"/>
      <c r="J48" s="70"/>
      <c r="K48" s="70">
        <f t="shared" si="2"/>
        <v>0</v>
      </c>
      <c r="L48" s="70">
        <f t="shared" si="3"/>
        <v>0</v>
      </c>
      <c r="M48" s="70">
        <f t="shared" si="4"/>
        <v>0</v>
      </c>
      <c r="N48" s="126"/>
      <c r="O48" s="124"/>
    </row>
    <row r="49" spans="1:15" ht="30" customHeight="1" x14ac:dyDescent="0.3">
      <c r="A49" s="123">
        <f t="shared" si="1"/>
        <v>44</v>
      </c>
      <c r="B49" s="127"/>
      <c r="C49" s="96"/>
      <c r="D49" s="83"/>
      <c r="E49" s="83"/>
      <c r="F49" s="96"/>
      <c r="G49" s="96"/>
      <c r="H49" s="70"/>
      <c r="I49" s="70"/>
      <c r="J49" s="70"/>
      <c r="K49" s="70">
        <f t="shared" si="2"/>
        <v>0</v>
      </c>
      <c r="L49" s="70">
        <f t="shared" si="3"/>
        <v>0</v>
      </c>
      <c r="M49" s="70">
        <f t="shared" si="4"/>
        <v>0</v>
      </c>
      <c r="N49" s="126"/>
      <c r="O49" s="124"/>
    </row>
    <row r="50" spans="1:15" ht="30" customHeight="1" x14ac:dyDescent="0.3">
      <c r="A50" s="123">
        <f t="shared" si="1"/>
        <v>45</v>
      </c>
      <c r="B50" s="127"/>
      <c r="C50" s="96"/>
      <c r="D50" s="83"/>
      <c r="E50" s="83"/>
      <c r="F50" s="96"/>
      <c r="G50" s="96"/>
      <c r="H50" s="70"/>
      <c r="I50" s="70"/>
      <c r="J50" s="70"/>
      <c r="K50" s="70">
        <f t="shared" si="2"/>
        <v>0</v>
      </c>
      <c r="L50" s="70">
        <f t="shared" si="3"/>
        <v>0</v>
      </c>
      <c r="M50" s="70">
        <f t="shared" si="4"/>
        <v>0</v>
      </c>
      <c r="N50" s="126"/>
      <c r="O50" s="124"/>
    </row>
    <row r="51" spans="1:15" ht="30" customHeight="1" x14ac:dyDescent="0.3">
      <c r="A51" s="123">
        <f t="shared" si="1"/>
        <v>46</v>
      </c>
      <c r="B51" s="127"/>
      <c r="C51" s="96"/>
      <c r="D51" s="83"/>
      <c r="E51" s="83"/>
      <c r="F51" s="96"/>
      <c r="G51" s="96"/>
      <c r="H51" s="70"/>
      <c r="I51" s="70"/>
      <c r="J51" s="70"/>
      <c r="K51" s="70">
        <f t="shared" si="2"/>
        <v>0</v>
      </c>
      <c r="L51" s="70">
        <f t="shared" si="3"/>
        <v>0</v>
      </c>
      <c r="M51" s="70">
        <f t="shared" si="4"/>
        <v>0</v>
      </c>
      <c r="N51" s="126"/>
      <c r="O51" s="124"/>
    </row>
    <row r="52" spans="1:15" ht="30" customHeight="1" x14ac:dyDescent="0.3">
      <c r="A52" s="123">
        <f t="shared" si="1"/>
        <v>47</v>
      </c>
      <c r="B52" s="127"/>
      <c r="C52" s="96"/>
      <c r="D52" s="83"/>
      <c r="E52" s="83"/>
      <c r="F52" s="96"/>
      <c r="G52" s="96"/>
      <c r="H52" s="70"/>
      <c r="I52" s="70"/>
      <c r="J52" s="70"/>
      <c r="K52" s="70">
        <f t="shared" si="2"/>
        <v>0</v>
      </c>
      <c r="L52" s="70">
        <f t="shared" si="3"/>
        <v>0</v>
      </c>
      <c r="M52" s="70">
        <f t="shared" si="4"/>
        <v>0</v>
      </c>
      <c r="N52" s="126"/>
      <c r="O52" s="124"/>
    </row>
    <row r="53" spans="1:15" ht="30" customHeight="1" x14ac:dyDescent="0.3">
      <c r="A53" s="123">
        <f t="shared" si="1"/>
        <v>48</v>
      </c>
      <c r="B53" s="127"/>
      <c r="C53" s="96"/>
      <c r="D53" s="83"/>
      <c r="E53" s="83"/>
      <c r="F53" s="96"/>
      <c r="G53" s="96"/>
      <c r="H53" s="70"/>
      <c r="I53" s="70"/>
      <c r="J53" s="70"/>
      <c r="K53" s="70">
        <f t="shared" si="2"/>
        <v>0</v>
      </c>
      <c r="L53" s="70">
        <f t="shared" si="3"/>
        <v>0</v>
      </c>
      <c r="M53" s="70">
        <f t="shared" si="4"/>
        <v>0</v>
      </c>
      <c r="N53" s="126"/>
      <c r="O53" s="124"/>
    </row>
    <row r="54" spans="1:15" ht="30" customHeight="1" x14ac:dyDescent="0.3">
      <c r="A54" s="123">
        <f t="shared" si="1"/>
        <v>49</v>
      </c>
      <c r="B54" s="127"/>
      <c r="C54" s="96"/>
      <c r="D54" s="83"/>
      <c r="E54" s="83"/>
      <c r="F54" s="96"/>
      <c r="G54" s="96"/>
      <c r="H54" s="70"/>
      <c r="I54" s="70"/>
      <c r="J54" s="70"/>
      <c r="K54" s="70">
        <f t="shared" si="2"/>
        <v>0</v>
      </c>
      <c r="L54" s="70">
        <f t="shared" si="3"/>
        <v>0</v>
      </c>
      <c r="M54" s="70">
        <f t="shared" si="4"/>
        <v>0</v>
      </c>
      <c r="N54" s="126"/>
      <c r="O54" s="124"/>
    </row>
    <row r="55" spans="1:15" ht="30" customHeight="1" x14ac:dyDescent="0.3">
      <c r="A55" s="123">
        <f t="shared" si="1"/>
        <v>50</v>
      </c>
      <c r="B55" s="127"/>
      <c r="C55" s="96"/>
      <c r="D55" s="83"/>
      <c r="E55" s="83"/>
      <c r="F55" s="96"/>
      <c r="G55" s="96"/>
      <c r="H55" s="70"/>
      <c r="I55" s="70"/>
      <c r="J55" s="70"/>
      <c r="K55" s="70">
        <f t="shared" si="2"/>
        <v>0</v>
      </c>
      <c r="L55" s="70">
        <f t="shared" si="3"/>
        <v>0</v>
      </c>
      <c r="M55" s="70">
        <f t="shared" si="4"/>
        <v>0</v>
      </c>
      <c r="N55" s="126"/>
      <c r="O55" s="124"/>
    </row>
    <row r="56" spans="1:15" ht="30" customHeight="1" x14ac:dyDescent="0.3">
      <c r="A56" s="123">
        <f t="shared" si="1"/>
        <v>51</v>
      </c>
      <c r="B56" s="127"/>
      <c r="C56" s="96"/>
      <c r="D56" s="83"/>
      <c r="E56" s="83"/>
      <c r="F56" s="96"/>
      <c r="G56" s="96"/>
      <c r="H56" s="70"/>
      <c r="I56" s="70"/>
      <c r="J56" s="70"/>
      <c r="K56" s="70">
        <f t="shared" si="2"/>
        <v>0</v>
      </c>
      <c r="L56" s="70">
        <f t="shared" si="3"/>
        <v>0</v>
      </c>
      <c r="M56" s="70">
        <f t="shared" si="4"/>
        <v>0</v>
      </c>
      <c r="N56" s="126"/>
      <c r="O56" s="124"/>
    </row>
    <row r="57" spans="1:15" ht="30" customHeight="1" x14ac:dyDescent="0.3">
      <c r="A57" s="123">
        <f t="shared" si="1"/>
        <v>52</v>
      </c>
      <c r="B57" s="127"/>
      <c r="C57" s="96"/>
      <c r="D57" s="83"/>
      <c r="E57" s="83"/>
      <c r="F57" s="96"/>
      <c r="G57" s="96"/>
      <c r="H57" s="70"/>
      <c r="I57" s="70"/>
      <c r="J57" s="70"/>
      <c r="K57" s="70">
        <f t="shared" si="2"/>
        <v>0</v>
      </c>
      <c r="L57" s="70">
        <f t="shared" si="3"/>
        <v>0</v>
      </c>
      <c r="M57" s="70">
        <f t="shared" si="4"/>
        <v>0</v>
      </c>
      <c r="N57" s="126"/>
      <c r="O57" s="124"/>
    </row>
    <row r="58" spans="1:15" ht="30" customHeight="1" x14ac:dyDescent="0.3">
      <c r="A58" s="123">
        <f t="shared" si="1"/>
        <v>53</v>
      </c>
      <c r="B58" s="127"/>
      <c r="C58" s="96"/>
      <c r="D58" s="83"/>
      <c r="E58" s="83"/>
      <c r="F58" s="96"/>
      <c r="G58" s="96"/>
      <c r="H58" s="70"/>
      <c r="I58" s="70"/>
      <c r="J58" s="70"/>
      <c r="K58" s="70">
        <f t="shared" si="2"/>
        <v>0</v>
      </c>
      <c r="L58" s="70">
        <f t="shared" si="3"/>
        <v>0</v>
      </c>
      <c r="M58" s="70">
        <f t="shared" si="4"/>
        <v>0</v>
      </c>
      <c r="N58" s="126"/>
      <c r="O58" s="124"/>
    </row>
    <row r="59" spans="1:15" ht="30" customHeight="1" x14ac:dyDescent="0.3">
      <c r="A59" s="123">
        <f t="shared" si="1"/>
        <v>54</v>
      </c>
      <c r="B59" s="127"/>
      <c r="C59" s="96"/>
      <c r="D59" s="83"/>
      <c r="E59" s="83"/>
      <c r="F59" s="96"/>
      <c r="G59" s="96"/>
      <c r="H59" s="70"/>
      <c r="I59" s="70"/>
      <c r="J59" s="70"/>
      <c r="K59" s="70">
        <f t="shared" si="2"/>
        <v>0</v>
      </c>
      <c r="L59" s="70">
        <f t="shared" si="3"/>
        <v>0</v>
      </c>
      <c r="M59" s="70">
        <f t="shared" si="4"/>
        <v>0</v>
      </c>
      <c r="N59" s="126"/>
      <c r="O59" s="124"/>
    </row>
    <row r="60" spans="1:15" ht="30" customHeight="1" x14ac:dyDescent="0.3">
      <c r="A60" s="123">
        <f t="shared" si="1"/>
        <v>55</v>
      </c>
      <c r="B60" s="127"/>
      <c r="C60" s="96"/>
      <c r="D60" s="83"/>
      <c r="E60" s="83"/>
      <c r="F60" s="96"/>
      <c r="G60" s="96"/>
      <c r="H60" s="70"/>
      <c r="I60" s="70"/>
      <c r="J60" s="70"/>
      <c r="K60" s="70">
        <f t="shared" si="2"/>
        <v>0</v>
      </c>
      <c r="L60" s="70">
        <f t="shared" si="3"/>
        <v>0</v>
      </c>
      <c r="M60" s="70">
        <f t="shared" si="4"/>
        <v>0</v>
      </c>
      <c r="N60" s="126"/>
      <c r="O60" s="124"/>
    </row>
    <row r="61" spans="1:15" ht="30" customHeight="1" x14ac:dyDescent="0.3">
      <c r="A61" s="123">
        <f t="shared" si="1"/>
        <v>56</v>
      </c>
      <c r="B61" s="127"/>
      <c r="C61" s="96"/>
      <c r="D61" s="83"/>
      <c r="E61" s="83"/>
      <c r="F61" s="96"/>
      <c r="G61" s="96"/>
      <c r="H61" s="70"/>
      <c r="I61" s="70"/>
      <c r="J61" s="70"/>
      <c r="K61" s="70">
        <f t="shared" si="2"/>
        <v>0</v>
      </c>
      <c r="L61" s="70">
        <f t="shared" si="3"/>
        <v>0</v>
      </c>
      <c r="M61" s="70">
        <f t="shared" si="4"/>
        <v>0</v>
      </c>
      <c r="N61" s="126"/>
      <c r="O61" s="124"/>
    </row>
    <row r="62" spans="1:15" ht="30" customHeight="1" x14ac:dyDescent="0.3">
      <c r="A62" s="123">
        <f t="shared" si="1"/>
        <v>57</v>
      </c>
      <c r="B62" s="127"/>
      <c r="C62" s="96"/>
      <c r="D62" s="83"/>
      <c r="E62" s="83"/>
      <c r="F62" s="96"/>
      <c r="G62" s="96"/>
      <c r="H62" s="70"/>
      <c r="I62" s="70"/>
      <c r="J62" s="70"/>
      <c r="K62" s="70">
        <f t="shared" si="2"/>
        <v>0</v>
      </c>
      <c r="L62" s="70">
        <f t="shared" si="3"/>
        <v>0</v>
      </c>
      <c r="M62" s="70">
        <f t="shared" si="4"/>
        <v>0</v>
      </c>
      <c r="N62" s="126"/>
      <c r="O62" s="124"/>
    </row>
    <row r="63" spans="1:15" ht="30" customHeight="1" x14ac:dyDescent="0.3">
      <c r="A63" s="123">
        <f t="shared" si="1"/>
        <v>58</v>
      </c>
      <c r="B63" s="127"/>
      <c r="C63" s="96"/>
      <c r="D63" s="83"/>
      <c r="E63" s="83"/>
      <c r="F63" s="96"/>
      <c r="G63" s="96"/>
      <c r="H63" s="70"/>
      <c r="I63" s="70"/>
      <c r="J63" s="70"/>
      <c r="K63" s="70">
        <f t="shared" si="2"/>
        <v>0</v>
      </c>
      <c r="L63" s="70">
        <f t="shared" si="3"/>
        <v>0</v>
      </c>
      <c r="M63" s="70">
        <f t="shared" si="4"/>
        <v>0</v>
      </c>
      <c r="N63" s="126"/>
      <c r="O63" s="124"/>
    </row>
    <row r="64" spans="1:15" ht="30" customHeight="1" x14ac:dyDescent="0.3">
      <c r="A64" s="123">
        <f t="shared" si="1"/>
        <v>59</v>
      </c>
      <c r="B64" s="127"/>
      <c r="C64" s="96"/>
      <c r="D64" s="83"/>
      <c r="E64" s="83"/>
      <c r="F64" s="96"/>
      <c r="G64" s="96"/>
      <c r="H64" s="70"/>
      <c r="I64" s="70"/>
      <c r="J64" s="70"/>
      <c r="K64" s="70">
        <f t="shared" si="2"/>
        <v>0</v>
      </c>
      <c r="L64" s="70">
        <f t="shared" si="3"/>
        <v>0</v>
      </c>
      <c r="M64" s="70">
        <f t="shared" si="4"/>
        <v>0</v>
      </c>
      <c r="N64" s="126"/>
      <c r="O64" s="124"/>
    </row>
    <row r="65" spans="1:15" ht="30" customHeight="1" x14ac:dyDescent="0.3">
      <c r="A65" s="123">
        <f t="shared" si="1"/>
        <v>60</v>
      </c>
      <c r="B65" s="127"/>
      <c r="C65" s="96"/>
      <c r="D65" s="83"/>
      <c r="E65" s="83"/>
      <c r="F65" s="96"/>
      <c r="G65" s="96"/>
      <c r="H65" s="70"/>
      <c r="I65" s="70"/>
      <c r="J65" s="70"/>
      <c r="K65" s="70">
        <f t="shared" si="2"/>
        <v>0</v>
      </c>
      <c r="L65" s="70">
        <f t="shared" si="3"/>
        <v>0</v>
      </c>
      <c r="M65" s="70">
        <f t="shared" si="4"/>
        <v>0</v>
      </c>
      <c r="N65" s="126"/>
      <c r="O65" s="124"/>
    </row>
    <row r="66" spans="1:15" ht="30" customHeight="1" x14ac:dyDescent="0.3">
      <c r="A66" s="123">
        <f t="shared" si="1"/>
        <v>61</v>
      </c>
      <c r="B66" s="127"/>
      <c r="C66" s="96"/>
      <c r="D66" s="83"/>
      <c r="E66" s="83"/>
      <c r="F66" s="96"/>
      <c r="G66" s="96"/>
      <c r="H66" s="70"/>
      <c r="I66" s="70"/>
      <c r="J66" s="70"/>
      <c r="K66" s="70">
        <f t="shared" si="2"/>
        <v>0</v>
      </c>
      <c r="L66" s="70">
        <f t="shared" si="3"/>
        <v>0</v>
      </c>
      <c r="M66" s="70">
        <f t="shared" si="4"/>
        <v>0</v>
      </c>
      <c r="N66" s="126"/>
      <c r="O66" s="124"/>
    </row>
    <row r="67" spans="1:15" ht="30" customHeight="1" x14ac:dyDescent="0.3">
      <c r="A67" s="123">
        <f t="shared" si="1"/>
        <v>62</v>
      </c>
      <c r="B67" s="127"/>
      <c r="C67" s="96"/>
      <c r="D67" s="83"/>
      <c r="E67" s="83"/>
      <c r="F67" s="96"/>
      <c r="G67" s="96"/>
      <c r="H67" s="70"/>
      <c r="I67" s="70"/>
      <c r="J67" s="70"/>
      <c r="K67" s="70">
        <f t="shared" si="2"/>
        <v>0</v>
      </c>
      <c r="L67" s="70">
        <f t="shared" si="3"/>
        <v>0</v>
      </c>
      <c r="M67" s="70">
        <f t="shared" si="4"/>
        <v>0</v>
      </c>
      <c r="N67" s="126"/>
      <c r="O67" s="124"/>
    </row>
    <row r="68" spans="1:15" ht="30" customHeight="1" x14ac:dyDescent="0.3">
      <c r="A68" s="123">
        <f t="shared" si="1"/>
        <v>63</v>
      </c>
      <c r="B68" s="127"/>
      <c r="C68" s="96"/>
      <c r="D68" s="83"/>
      <c r="E68" s="83"/>
      <c r="F68" s="96"/>
      <c r="G68" s="96"/>
      <c r="H68" s="70"/>
      <c r="I68" s="70"/>
      <c r="J68" s="70"/>
      <c r="K68" s="70">
        <f t="shared" si="2"/>
        <v>0</v>
      </c>
      <c r="L68" s="70">
        <f t="shared" si="3"/>
        <v>0</v>
      </c>
      <c r="M68" s="70">
        <f t="shared" si="4"/>
        <v>0</v>
      </c>
      <c r="N68" s="126"/>
      <c r="O68" s="124"/>
    </row>
    <row r="69" spans="1:15" ht="30" customHeight="1" x14ac:dyDescent="0.3">
      <c r="A69" s="123">
        <f t="shared" si="1"/>
        <v>64</v>
      </c>
      <c r="B69" s="127"/>
      <c r="C69" s="96"/>
      <c r="D69" s="83"/>
      <c r="E69" s="83"/>
      <c r="F69" s="96"/>
      <c r="G69" s="96"/>
      <c r="H69" s="70"/>
      <c r="I69" s="70"/>
      <c r="J69" s="70"/>
      <c r="K69" s="70">
        <f t="shared" si="2"/>
        <v>0</v>
      </c>
      <c r="L69" s="70">
        <f t="shared" si="3"/>
        <v>0</v>
      </c>
      <c r="M69" s="70">
        <f t="shared" si="4"/>
        <v>0</v>
      </c>
      <c r="N69" s="126"/>
      <c r="O69" s="124"/>
    </row>
    <row r="70" spans="1:15" ht="30" customHeight="1" x14ac:dyDescent="0.3">
      <c r="A70" s="123">
        <f t="shared" si="1"/>
        <v>65</v>
      </c>
      <c r="B70" s="127"/>
      <c r="C70" s="96"/>
      <c r="D70" s="83"/>
      <c r="E70" s="83"/>
      <c r="F70" s="96"/>
      <c r="G70" s="96"/>
      <c r="H70" s="70"/>
      <c r="I70" s="70"/>
      <c r="J70" s="70"/>
      <c r="K70" s="70">
        <f t="shared" si="2"/>
        <v>0</v>
      </c>
      <c r="L70" s="70">
        <f t="shared" si="3"/>
        <v>0</v>
      </c>
      <c r="M70" s="70">
        <f t="shared" si="4"/>
        <v>0</v>
      </c>
      <c r="N70" s="126"/>
      <c r="O70" s="124"/>
    </row>
    <row r="71" spans="1:15" ht="30" customHeight="1" x14ac:dyDescent="0.3">
      <c r="A71" s="123">
        <f t="shared" si="1"/>
        <v>66</v>
      </c>
      <c r="B71" s="127"/>
      <c r="C71" s="96"/>
      <c r="D71" s="83"/>
      <c r="E71" s="83"/>
      <c r="F71" s="96"/>
      <c r="G71" s="96"/>
      <c r="H71" s="70"/>
      <c r="I71" s="70"/>
      <c r="J71" s="70"/>
      <c r="K71" s="70">
        <f t="shared" si="2"/>
        <v>0</v>
      </c>
      <c r="L71" s="70">
        <f t="shared" si="3"/>
        <v>0</v>
      </c>
      <c r="M71" s="70">
        <f t="shared" si="4"/>
        <v>0</v>
      </c>
      <c r="N71" s="126"/>
      <c r="O71" s="124"/>
    </row>
    <row r="72" spans="1:15" ht="30" customHeight="1" x14ac:dyDescent="0.3">
      <c r="A72" s="123">
        <f t="shared" si="1"/>
        <v>67</v>
      </c>
      <c r="B72" s="127"/>
      <c r="C72" s="96"/>
      <c r="D72" s="83"/>
      <c r="E72" s="83"/>
      <c r="F72" s="96"/>
      <c r="G72" s="96"/>
      <c r="H72" s="70"/>
      <c r="I72" s="70"/>
      <c r="J72" s="70"/>
      <c r="K72" s="70">
        <f t="shared" si="2"/>
        <v>0</v>
      </c>
      <c r="L72" s="70">
        <f t="shared" si="3"/>
        <v>0</v>
      </c>
      <c r="M72" s="70">
        <f t="shared" si="4"/>
        <v>0</v>
      </c>
      <c r="N72" s="126"/>
      <c r="O72" s="124"/>
    </row>
    <row r="73" spans="1:15" ht="30" customHeight="1" x14ac:dyDescent="0.3">
      <c r="A73" s="123">
        <f t="shared" si="1"/>
        <v>68</v>
      </c>
      <c r="B73" s="127"/>
      <c r="C73" s="96"/>
      <c r="D73" s="83"/>
      <c r="E73" s="83"/>
      <c r="F73" s="96"/>
      <c r="G73" s="96"/>
      <c r="H73" s="70"/>
      <c r="I73" s="70"/>
      <c r="J73" s="70"/>
      <c r="K73" s="70">
        <f t="shared" si="2"/>
        <v>0</v>
      </c>
      <c r="L73" s="70">
        <f t="shared" si="3"/>
        <v>0</v>
      </c>
      <c r="M73" s="70">
        <f t="shared" si="4"/>
        <v>0</v>
      </c>
      <c r="N73" s="126"/>
      <c r="O73" s="124"/>
    </row>
    <row r="74" spans="1:15" ht="30" customHeight="1" x14ac:dyDescent="0.3">
      <c r="A74" s="123">
        <f t="shared" si="1"/>
        <v>69</v>
      </c>
      <c r="B74" s="127"/>
      <c r="C74" s="96"/>
      <c r="D74" s="83"/>
      <c r="E74" s="83"/>
      <c r="F74" s="96"/>
      <c r="G74" s="96"/>
      <c r="H74" s="70"/>
      <c r="I74" s="70"/>
      <c r="J74" s="70"/>
      <c r="K74" s="70">
        <f t="shared" si="2"/>
        <v>0</v>
      </c>
      <c r="L74" s="70">
        <f t="shared" si="3"/>
        <v>0</v>
      </c>
      <c r="M74" s="70">
        <f t="shared" si="4"/>
        <v>0</v>
      </c>
      <c r="N74" s="126"/>
      <c r="O74" s="124"/>
    </row>
    <row r="75" spans="1:15" ht="30" customHeight="1" x14ac:dyDescent="0.3">
      <c r="A75" s="123">
        <f t="shared" si="1"/>
        <v>70</v>
      </c>
      <c r="B75" s="127"/>
      <c r="C75" s="96"/>
      <c r="D75" s="83"/>
      <c r="E75" s="83"/>
      <c r="F75" s="96"/>
      <c r="G75" s="96"/>
      <c r="H75" s="70"/>
      <c r="I75" s="70"/>
      <c r="J75" s="70"/>
      <c r="K75" s="70">
        <f t="shared" si="2"/>
        <v>0</v>
      </c>
      <c r="L75" s="70">
        <f t="shared" si="3"/>
        <v>0</v>
      </c>
      <c r="M75" s="70">
        <f t="shared" si="4"/>
        <v>0</v>
      </c>
      <c r="N75" s="126"/>
      <c r="O75" s="124"/>
    </row>
    <row r="76" spans="1:15" ht="30" customHeight="1" x14ac:dyDescent="0.3">
      <c r="A76" s="123">
        <f t="shared" si="1"/>
        <v>71</v>
      </c>
      <c r="B76" s="127"/>
      <c r="C76" s="96"/>
      <c r="D76" s="83"/>
      <c r="E76" s="83"/>
      <c r="F76" s="96"/>
      <c r="G76" s="96"/>
      <c r="H76" s="70"/>
      <c r="I76" s="70"/>
      <c r="J76" s="70"/>
      <c r="K76" s="70">
        <f t="shared" si="2"/>
        <v>0</v>
      </c>
      <c r="L76" s="70">
        <f t="shared" si="3"/>
        <v>0</v>
      </c>
      <c r="M76" s="70">
        <f t="shared" si="4"/>
        <v>0</v>
      </c>
      <c r="N76" s="126"/>
      <c r="O76" s="124"/>
    </row>
    <row r="77" spans="1:15" ht="30" customHeight="1" x14ac:dyDescent="0.3">
      <c r="A77" s="123">
        <f t="shared" si="1"/>
        <v>72</v>
      </c>
      <c r="B77" s="127"/>
      <c r="C77" s="96"/>
      <c r="D77" s="83"/>
      <c r="E77" s="83"/>
      <c r="F77" s="96"/>
      <c r="G77" s="96"/>
      <c r="H77" s="70"/>
      <c r="I77" s="70"/>
      <c r="J77" s="70"/>
      <c r="K77" s="70">
        <f t="shared" si="2"/>
        <v>0</v>
      </c>
      <c r="L77" s="70">
        <f t="shared" si="3"/>
        <v>0</v>
      </c>
      <c r="M77" s="70">
        <f t="shared" si="4"/>
        <v>0</v>
      </c>
      <c r="N77" s="126"/>
      <c r="O77" s="124"/>
    </row>
    <row r="78" spans="1:15" ht="30" customHeight="1" x14ac:dyDescent="0.3">
      <c r="A78" s="123">
        <f t="shared" si="1"/>
        <v>73</v>
      </c>
      <c r="B78" s="127"/>
      <c r="C78" s="96"/>
      <c r="D78" s="83"/>
      <c r="E78" s="83"/>
      <c r="F78" s="96"/>
      <c r="G78" s="96"/>
      <c r="H78" s="70"/>
      <c r="I78" s="70"/>
      <c r="J78" s="70"/>
      <c r="K78" s="70">
        <f t="shared" si="2"/>
        <v>0</v>
      </c>
      <c r="L78" s="70">
        <f t="shared" si="3"/>
        <v>0</v>
      </c>
      <c r="M78" s="70">
        <f t="shared" si="4"/>
        <v>0</v>
      </c>
      <c r="N78" s="126"/>
      <c r="O78" s="124"/>
    </row>
    <row r="79" spans="1:15" ht="30" customHeight="1" x14ac:dyDescent="0.3">
      <c r="A79" s="123">
        <f t="shared" si="1"/>
        <v>74</v>
      </c>
      <c r="B79" s="127"/>
      <c r="C79" s="96"/>
      <c r="D79" s="83"/>
      <c r="E79" s="83"/>
      <c r="F79" s="96"/>
      <c r="G79" s="96"/>
      <c r="H79" s="70"/>
      <c r="I79" s="70"/>
      <c r="J79" s="70"/>
      <c r="K79" s="70">
        <f t="shared" si="2"/>
        <v>0</v>
      </c>
      <c r="L79" s="70">
        <f t="shared" si="3"/>
        <v>0</v>
      </c>
      <c r="M79" s="70">
        <f t="shared" si="4"/>
        <v>0</v>
      </c>
      <c r="N79" s="126"/>
      <c r="O79" s="124"/>
    </row>
    <row r="80" spans="1:15" ht="30" customHeight="1" x14ac:dyDescent="0.3">
      <c r="A80" s="123">
        <f t="shared" si="1"/>
        <v>75</v>
      </c>
      <c r="B80" s="127"/>
      <c r="C80" s="96"/>
      <c r="D80" s="83"/>
      <c r="E80" s="83"/>
      <c r="F80" s="96"/>
      <c r="G80" s="96"/>
      <c r="H80" s="70"/>
      <c r="I80" s="70"/>
      <c r="J80" s="70"/>
      <c r="K80" s="70">
        <f t="shared" si="2"/>
        <v>0</v>
      </c>
      <c r="L80" s="70">
        <f t="shared" si="3"/>
        <v>0</v>
      </c>
      <c r="M80" s="70">
        <f t="shared" si="4"/>
        <v>0</v>
      </c>
      <c r="N80" s="126"/>
      <c r="O80" s="124"/>
    </row>
    <row r="81" spans="1:15" ht="30" customHeight="1" x14ac:dyDescent="0.3">
      <c r="A81" s="123">
        <f t="shared" si="1"/>
        <v>76</v>
      </c>
      <c r="B81" s="127"/>
      <c r="C81" s="96"/>
      <c r="D81" s="83"/>
      <c r="E81" s="83"/>
      <c r="F81" s="96"/>
      <c r="G81" s="96"/>
      <c r="H81" s="70"/>
      <c r="I81" s="70"/>
      <c r="J81" s="70"/>
      <c r="K81" s="70">
        <f t="shared" si="2"/>
        <v>0</v>
      </c>
      <c r="L81" s="70">
        <f t="shared" si="3"/>
        <v>0</v>
      </c>
      <c r="M81" s="70">
        <f t="shared" si="4"/>
        <v>0</v>
      </c>
      <c r="N81" s="126"/>
      <c r="O81" s="124"/>
    </row>
    <row r="82" spans="1:15" ht="30" customHeight="1" x14ac:dyDescent="0.3">
      <c r="A82" s="123">
        <f t="shared" si="1"/>
        <v>77</v>
      </c>
      <c r="B82" s="127"/>
      <c r="C82" s="96"/>
      <c r="D82" s="83"/>
      <c r="E82" s="83"/>
      <c r="F82" s="96"/>
      <c r="G82" s="96"/>
      <c r="H82" s="70"/>
      <c r="I82" s="70"/>
      <c r="J82" s="70"/>
      <c r="K82" s="70">
        <f t="shared" si="2"/>
        <v>0</v>
      </c>
      <c r="L82" s="70">
        <f t="shared" si="3"/>
        <v>0</v>
      </c>
      <c r="M82" s="70">
        <f t="shared" si="4"/>
        <v>0</v>
      </c>
      <c r="N82" s="126"/>
      <c r="O82" s="124"/>
    </row>
    <row r="83" spans="1:15" ht="30" customHeight="1" x14ac:dyDescent="0.3">
      <c r="A83" s="123">
        <f t="shared" si="1"/>
        <v>78</v>
      </c>
      <c r="B83" s="127"/>
      <c r="C83" s="96"/>
      <c r="D83" s="83"/>
      <c r="E83" s="83"/>
      <c r="F83" s="96"/>
      <c r="G83" s="96"/>
      <c r="H83" s="70"/>
      <c r="I83" s="70"/>
      <c r="J83" s="70"/>
      <c r="K83" s="70">
        <f t="shared" si="2"/>
        <v>0</v>
      </c>
      <c r="L83" s="70">
        <f t="shared" si="3"/>
        <v>0</v>
      </c>
      <c r="M83" s="70">
        <f t="shared" si="4"/>
        <v>0</v>
      </c>
      <c r="N83" s="126"/>
      <c r="O83" s="124"/>
    </row>
    <row r="84" spans="1:15" ht="30" customHeight="1" x14ac:dyDescent="0.3">
      <c r="A84" s="123">
        <f t="shared" ref="A84:A147" si="5">A83+1</f>
        <v>79</v>
      </c>
      <c r="B84" s="127"/>
      <c r="C84" s="96"/>
      <c r="D84" s="83"/>
      <c r="E84" s="83"/>
      <c r="F84" s="96"/>
      <c r="G84" s="96"/>
      <c r="H84" s="70"/>
      <c r="I84" s="70"/>
      <c r="J84" s="70"/>
      <c r="K84" s="70">
        <f t="shared" ref="K84:K147" si="6">H84/1000000</f>
        <v>0</v>
      </c>
      <c r="L84" s="70">
        <f t="shared" ref="L84:L147" si="7">I84/1000000</f>
        <v>0</v>
      </c>
      <c r="M84" s="70">
        <f t="shared" ref="M84:M147" si="8">J84/1000000</f>
        <v>0</v>
      </c>
      <c r="N84" s="126"/>
      <c r="O84" s="124"/>
    </row>
    <row r="85" spans="1:15" ht="30" customHeight="1" x14ac:dyDescent="0.3">
      <c r="A85" s="123">
        <f t="shared" si="5"/>
        <v>80</v>
      </c>
      <c r="B85" s="127"/>
      <c r="C85" s="96"/>
      <c r="D85" s="83"/>
      <c r="E85" s="83"/>
      <c r="F85" s="96"/>
      <c r="G85" s="96"/>
      <c r="H85" s="70"/>
      <c r="I85" s="70"/>
      <c r="J85" s="70"/>
      <c r="K85" s="70">
        <f t="shared" si="6"/>
        <v>0</v>
      </c>
      <c r="L85" s="70">
        <f t="shared" si="7"/>
        <v>0</v>
      </c>
      <c r="M85" s="70">
        <f t="shared" si="8"/>
        <v>0</v>
      </c>
      <c r="N85" s="126"/>
      <c r="O85" s="124"/>
    </row>
    <row r="86" spans="1:15" ht="30" customHeight="1" x14ac:dyDescent="0.3">
      <c r="A86" s="123">
        <f t="shared" si="5"/>
        <v>81</v>
      </c>
      <c r="B86" s="127"/>
      <c r="C86" s="96"/>
      <c r="D86" s="83"/>
      <c r="E86" s="83"/>
      <c r="F86" s="96"/>
      <c r="G86" s="96"/>
      <c r="H86" s="70"/>
      <c r="I86" s="70"/>
      <c r="J86" s="70"/>
      <c r="K86" s="70">
        <f t="shared" si="6"/>
        <v>0</v>
      </c>
      <c r="L86" s="70">
        <f t="shared" si="7"/>
        <v>0</v>
      </c>
      <c r="M86" s="70">
        <f t="shared" si="8"/>
        <v>0</v>
      </c>
      <c r="N86" s="126"/>
      <c r="O86" s="124"/>
    </row>
    <row r="87" spans="1:15" ht="30" customHeight="1" x14ac:dyDescent="0.3">
      <c r="A87" s="123">
        <f t="shared" si="5"/>
        <v>82</v>
      </c>
      <c r="B87" s="127"/>
      <c r="C87" s="96"/>
      <c r="D87" s="83"/>
      <c r="E87" s="83"/>
      <c r="F87" s="96"/>
      <c r="G87" s="96"/>
      <c r="H87" s="70"/>
      <c r="I87" s="70"/>
      <c r="J87" s="70"/>
      <c r="K87" s="70">
        <f t="shared" si="6"/>
        <v>0</v>
      </c>
      <c r="L87" s="70">
        <f t="shared" si="7"/>
        <v>0</v>
      </c>
      <c r="M87" s="70">
        <f t="shared" si="8"/>
        <v>0</v>
      </c>
      <c r="N87" s="126"/>
      <c r="O87" s="124"/>
    </row>
    <row r="88" spans="1:15" ht="30" customHeight="1" x14ac:dyDescent="0.3">
      <c r="A88" s="123">
        <f t="shared" si="5"/>
        <v>83</v>
      </c>
      <c r="B88" s="127"/>
      <c r="C88" s="96"/>
      <c r="D88" s="83"/>
      <c r="E88" s="83"/>
      <c r="F88" s="96"/>
      <c r="G88" s="96"/>
      <c r="H88" s="70"/>
      <c r="I88" s="70"/>
      <c r="J88" s="70"/>
      <c r="K88" s="70">
        <f t="shared" si="6"/>
        <v>0</v>
      </c>
      <c r="L88" s="70">
        <f t="shared" si="7"/>
        <v>0</v>
      </c>
      <c r="M88" s="70">
        <f t="shared" si="8"/>
        <v>0</v>
      </c>
      <c r="N88" s="126"/>
      <c r="O88" s="124"/>
    </row>
    <row r="89" spans="1:15" ht="30" customHeight="1" x14ac:dyDescent="0.3">
      <c r="A89" s="123">
        <f t="shared" si="5"/>
        <v>84</v>
      </c>
      <c r="B89" s="127"/>
      <c r="C89" s="96"/>
      <c r="D89" s="83"/>
      <c r="E89" s="83"/>
      <c r="F89" s="96"/>
      <c r="G89" s="96"/>
      <c r="H89" s="70"/>
      <c r="I89" s="70"/>
      <c r="J89" s="70"/>
      <c r="K89" s="70">
        <f t="shared" si="6"/>
        <v>0</v>
      </c>
      <c r="L89" s="70">
        <f t="shared" si="7"/>
        <v>0</v>
      </c>
      <c r="M89" s="70">
        <f t="shared" si="8"/>
        <v>0</v>
      </c>
      <c r="N89" s="126"/>
      <c r="O89" s="124"/>
    </row>
    <row r="90" spans="1:15" ht="30" customHeight="1" x14ac:dyDescent="0.3">
      <c r="A90" s="123">
        <f t="shared" si="5"/>
        <v>85</v>
      </c>
      <c r="B90" s="127"/>
      <c r="C90" s="96"/>
      <c r="D90" s="83"/>
      <c r="E90" s="83"/>
      <c r="F90" s="96"/>
      <c r="G90" s="96"/>
      <c r="H90" s="70"/>
      <c r="I90" s="70"/>
      <c r="J90" s="70"/>
      <c r="K90" s="70">
        <f t="shared" si="6"/>
        <v>0</v>
      </c>
      <c r="L90" s="70">
        <f t="shared" si="7"/>
        <v>0</v>
      </c>
      <c r="M90" s="70">
        <f t="shared" si="8"/>
        <v>0</v>
      </c>
      <c r="N90" s="126"/>
      <c r="O90" s="124"/>
    </row>
    <row r="91" spans="1:15" ht="30" customHeight="1" x14ac:dyDescent="0.3">
      <c r="A91" s="123">
        <f t="shared" si="5"/>
        <v>86</v>
      </c>
      <c r="B91" s="127"/>
      <c r="C91" s="96"/>
      <c r="D91" s="83"/>
      <c r="E91" s="83"/>
      <c r="F91" s="96"/>
      <c r="G91" s="96"/>
      <c r="H91" s="70"/>
      <c r="I91" s="70"/>
      <c r="J91" s="70"/>
      <c r="K91" s="70">
        <f t="shared" si="6"/>
        <v>0</v>
      </c>
      <c r="L91" s="70">
        <f t="shared" si="7"/>
        <v>0</v>
      </c>
      <c r="M91" s="70">
        <f t="shared" si="8"/>
        <v>0</v>
      </c>
      <c r="N91" s="126"/>
      <c r="O91" s="124"/>
    </row>
    <row r="92" spans="1:15" ht="30" customHeight="1" x14ac:dyDescent="0.3">
      <c r="A92" s="123">
        <f t="shared" si="5"/>
        <v>87</v>
      </c>
      <c r="B92" s="127"/>
      <c r="C92" s="96"/>
      <c r="D92" s="83"/>
      <c r="E92" s="83"/>
      <c r="F92" s="96"/>
      <c r="G92" s="96"/>
      <c r="H92" s="70"/>
      <c r="I92" s="70"/>
      <c r="J92" s="70"/>
      <c r="K92" s="70">
        <f t="shared" si="6"/>
        <v>0</v>
      </c>
      <c r="L92" s="70">
        <f t="shared" si="7"/>
        <v>0</v>
      </c>
      <c r="M92" s="70">
        <f t="shared" si="8"/>
        <v>0</v>
      </c>
      <c r="N92" s="126"/>
      <c r="O92" s="124"/>
    </row>
    <row r="93" spans="1:15" ht="30" customHeight="1" x14ac:dyDescent="0.3">
      <c r="A93" s="123">
        <f t="shared" si="5"/>
        <v>88</v>
      </c>
      <c r="B93" s="127"/>
      <c r="C93" s="96"/>
      <c r="D93" s="83"/>
      <c r="E93" s="83"/>
      <c r="F93" s="96"/>
      <c r="G93" s="96"/>
      <c r="H93" s="70"/>
      <c r="I93" s="70"/>
      <c r="J93" s="70"/>
      <c r="K93" s="70">
        <f t="shared" si="6"/>
        <v>0</v>
      </c>
      <c r="L93" s="70">
        <f t="shared" si="7"/>
        <v>0</v>
      </c>
      <c r="M93" s="70">
        <f t="shared" si="8"/>
        <v>0</v>
      </c>
      <c r="N93" s="126"/>
      <c r="O93" s="124"/>
    </row>
    <row r="94" spans="1:15" ht="30" customHeight="1" x14ac:dyDescent="0.3">
      <c r="A94" s="123">
        <f t="shared" si="5"/>
        <v>89</v>
      </c>
      <c r="B94" s="127"/>
      <c r="C94" s="96"/>
      <c r="D94" s="83"/>
      <c r="E94" s="83"/>
      <c r="F94" s="96"/>
      <c r="G94" s="96"/>
      <c r="H94" s="70"/>
      <c r="I94" s="70"/>
      <c r="J94" s="70"/>
      <c r="K94" s="70">
        <f t="shared" si="6"/>
        <v>0</v>
      </c>
      <c r="L94" s="70">
        <f t="shared" si="7"/>
        <v>0</v>
      </c>
      <c r="M94" s="70">
        <f t="shared" si="8"/>
        <v>0</v>
      </c>
      <c r="N94" s="126"/>
      <c r="O94" s="124"/>
    </row>
    <row r="95" spans="1:15" ht="30" customHeight="1" x14ac:dyDescent="0.3">
      <c r="A95" s="123">
        <f t="shared" si="5"/>
        <v>90</v>
      </c>
      <c r="B95" s="127"/>
      <c r="C95" s="96"/>
      <c r="D95" s="83"/>
      <c r="E95" s="83"/>
      <c r="F95" s="96"/>
      <c r="G95" s="96"/>
      <c r="H95" s="70"/>
      <c r="I95" s="70"/>
      <c r="J95" s="70"/>
      <c r="K95" s="70">
        <f t="shared" si="6"/>
        <v>0</v>
      </c>
      <c r="L95" s="70">
        <f t="shared" si="7"/>
        <v>0</v>
      </c>
      <c r="M95" s="70">
        <f t="shared" si="8"/>
        <v>0</v>
      </c>
      <c r="N95" s="126"/>
      <c r="O95" s="124"/>
    </row>
    <row r="96" spans="1:15" ht="30" customHeight="1" x14ac:dyDescent="0.3">
      <c r="A96" s="123">
        <f t="shared" si="5"/>
        <v>91</v>
      </c>
      <c r="B96" s="127"/>
      <c r="C96" s="96"/>
      <c r="D96" s="83"/>
      <c r="E96" s="83"/>
      <c r="F96" s="96"/>
      <c r="G96" s="96"/>
      <c r="H96" s="70"/>
      <c r="I96" s="70"/>
      <c r="J96" s="70"/>
      <c r="K96" s="70">
        <f t="shared" si="6"/>
        <v>0</v>
      </c>
      <c r="L96" s="70">
        <f t="shared" si="7"/>
        <v>0</v>
      </c>
      <c r="M96" s="70">
        <f t="shared" si="8"/>
        <v>0</v>
      </c>
      <c r="N96" s="126"/>
      <c r="O96" s="124"/>
    </row>
    <row r="97" spans="1:15" ht="30" customHeight="1" x14ac:dyDescent="0.3">
      <c r="A97" s="123">
        <f t="shared" si="5"/>
        <v>92</v>
      </c>
      <c r="B97" s="127"/>
      <c r="C97" s="96"/>
      <c r="D97" s="83"/>
      <c r="E97" s="83"/>
      <c r="F97" s="96"/>
      <c r="G97" s="96"/>
      <c r="H97" s="70"/>
      <c r="I97" s="70"/>
      <c r="J97" s="70"/>
      <c r="K97" s="70">
        <f t="shared" si="6"/>
        <v>0</v>
      </c>
      <c r="L97" s="70">
        <f t="shared" si="7"/>
        <v>0</v>
      </c>
      <c r="M97" s="70">
        <f t="shared" si="8"/>
        <v>0</v>
      </c>
      <c r="N97" s="126"/>
      <c r="O97" s="124"/>
    </row>
    <row r="98" spans="1:15" ht="30" customHeight="1" x14ac:dyDescent="0.3">
      <c r="A98" s="123">
        <f t="shared" si="5"/>
        <v>93</v>
      </c>
      <c r="B98" s="127"/>
      <c r="C98" s="96"/>
      <c r="D98" s="83"/>
      <c r="E98" s="83"/>
      <c r="F98" s="96"/>
      <c r="G98" s="96"/>
      <c r="H98" s="70"/>
      <c r="I98" s="70"/>
      <c r="J98" s="70"/>
      <c r="K98" s="70">
        <f t="shared" si="6"/>
        <v>0</v>
      </c>
      <c r="L98" s="70">
        <f t="shared" si="7"/>
        <v>0</v>
      </c>
      <c r="M98" s="70">
        <f t="shared" si="8"/>
        <v>0</v>
      </c>
      <c r="N98" s="126"/>
      <c r="O98" s="124"/>
    </row>
    <row r="99" spans="1:15" ht="30" customHeight="1" x14ac:dyDescent="0.3">
      <c r="A99" s="123">
        <f t="shared" si="5"/>
        <v>94</v>
      </c>
      <c r="B99" s="127"/>
      <c r="C99" s="96"/>
      <c r="D99" s="83"/>
      <c r="E99" s="83"/>
      <c r="F99" s="96"/>
      <c r="G99" s="96"/>
      <c r="H99" s="70"/>
      <c r="I99" s="70"/>
      <c r="J99" s="70"/>
      <c r="K99" s="70">
        <f t="shared" si="6"/>
        <v>0</v>
      </c>
      <c r="L99" s="70">
        <f t="shared" si="7"/>
        <v>0</v>
      </c>
      <c r="M99" s="70">
        <f t="shared" si="8"/>
        <v>0</v>
      </c>
      <c r="N99" s="126"/>
      <c r="O99" s="124"/>
    </row>
    <row r="100" spans="1:15" ht="30" customHeight="1" x14ac:dyDescent="0.3">
      <c r="A100" s="123">
        <f t="shared" si="5"/>
        <v>95</v>
      </c>
      <c r="B100" s="127"/>
      <c r="C100" s="96"/>
      <c r="D100" s="83"/>
      <c r="E100" s="83"/>
      <c r="F100" s="96"/>
      <c r="G100" s="96"/>
      <c r="H100" s="70"/>
      <c r="I100" s="70"/>
      <c r="J100" s="70"/>
      <c r="K100" s="70">
        <f t="shared" si="6"/>
        <v>0</v>
      </c>
      <c r="L100" s="70">
        <f t="shared" si="7"/>
        <v>0</v>
      </c>
      <c r="M100" s="70">
        <f t="shared" si="8"/>
        <v>0</v>
      </c>
      <c r="N100" s="126"/>
      <c r="O100" s="124"/>
    </row>
    <row r="101" spans="1:15" ht="30" customHeight="1" x14ac:dyDescent="0.3">
      <c r="A101" s="123">
        <f t="shared" si="5"/>
        <v>96</v>
      </c>
      <c r="B101" s="127"/>
      <c r="C101" s="96"/>
      <c r="D101" s="83"/>
      <c r="E101" s="83"/>
      <c r="F101" s="96"/>
      <c r="G101" s="96"/>
      <c r="H101" s="70"/>
      <c r="I101" s="70"/>
      <c r="J101" s="70"/>
      <c r="K101" s="70">
        <f t="shared" si="6"/>
        <v>0</v>
      </c>
      <c r="L101" s="70">
        <f t="shared" si="7"/>
        <v>0</v>
      </c>
      <c r="M101" s="70">
        <f t="shared" si="8"/>
        <v>0</v>
      </c>
      <c r="N101" s="126"/>
      <c r="O101" s="124"/>
    </row>
    <row r="102" spans="1:15" ht="30" customHeight="1" x14ac:dyDescent="0.3">
      <c r="A102" s="123">
        <f t="shared" si="5"/>
        <v>97</v>
      </c>
      <c r="B102" s="127"/>
      <c r="C102" s="96"/>
      <c r="D102" s="83"/>
      <c r="E102" s="83"/>
      <c r="F102" s="96"/>
      <c r="G102" s="96"/>
      <c r="H102" s="70"/>
      <c r="I102" s="70"/>
      <c r="J102" s="70"/>
      <c r="K102" s="70">
        <f t="shared" si="6"/>
        <v>0</v>
      </c>
      <c r="L102" s="70">
        <f t="shared" si="7"/>
        <v>0</v>
      </c>
      <c r="M102" s="70">
        <f t="shared" si="8"/>
        <v>0</v>
      </c>
      <c r="N102" s="126"/>
      <c r="O102" s="124"/>
    </row>
    <row r="103" spans="1:15" ht="30" customHeight="1" x14ac:dyDescent="0.3">
      <c r="A103" s="123">
        <f t="shared" si="5"/>
        <v>98</v>
      </c>
      <c r="B103" s="127"/>
      <c r="C103" s="96"/>
      <c r="D103" s="83"/>
      <c r="E103" s="83"/>
      <c r="F103" s="96"/>
      <c r="G103" s="96"/>
      <c r="H103" s="70"/>
      <c r="I103" s="70"/>
      <c r="J103" s="70"/>
      <c r="K103" s="70">
        <f t="shared" si="6"/>
        <v>0</v>
      </c>
      <c r="L103" s="70">
        <f t="shared" si="7"/>
        <v>0</v>
      </c>
      <c r="M103" s="70">
        <f t="shared" si="8"/>
        <v>0</v>
      </c>
      <c r="N103" s="126"/>
      <c r="O103" s="124"/>
    </row>
    <row r="104" spans="1:15" ht="30" customHeight="1" x14ac:dyDescent="0.3">
      <c r="A104" s="123">
        <f t="shared" si="5"/>
        <v>99</v>
      </c>
      <c r="B104" s="127"/>
      <c r="C104" s="96"/>
      <c r="D104" s="83"/>
      <c r="E104" s="83"/>
      <c r="F104" s="96"/>
      <c r="G104" s="96"/>
      <c r="H104" s="70"/>
      <c r="I104" s="70"/>
      <c r="J104" s="70"/>
      <c r="K104" s="70">
        <f t="shared" si="6"/>
        <v>0</v>
      </c>
      <c r="L104" s="70">
        <f t="shared" si="7"/>
        <v>0</v>
      </c>
      <c r="M104" s="70">
        <f t="shared" si="8"/>
        <v>0</v>
      </c>
      <c r="N104" s="126"/>
      <c r="O104" s="124"/>
    </row>
    <row r="105" spans="1:15" ht="30" customHeight="1" x14ac:dyDescent="0.3">
      <c r="A105" s="123">
        <v>101</v>
      </c>
      <c r="B105" s="127"/>
      <c r="C105" s="96"/>
      <c r="D105" s="83"/>
      <c r="E105" s="83"/>
      <c r="F105" s="96"/>
      <c r="G105" s="96"/>
      <c r="H105" s="70"/>
      <c r="I105" s="70"/>
      <c r="J105" s="70"/>
      <c r="K105" s="70">
        <f t="shared" si="6"/>
        <v>0</v>
      </c>
      <c r="L105" s="70">
        <f t="shared" si="7"/>
        <v>0</v>
      </c>
      <c r="M105" s="70">
        <f t="shared" si="8"/>
        <v>0</v>
      </c>
      <c r="N105" s="126"/>
      <c r="O105" s="124"/>
    </row>
    <row r="106" spans="1:15" ht="30" customHeight="1" x14ac:dyDescent="0.3">
      <c r="A106" s="123">
        <f t="shared" si="5"/>
        <v>102</v>
      </c>
      <c r="B106" s="127"/>
      <c r="C106" s="96"/>
      <c r="D106" s="83"/>
      <c r="E106" s="83"/>
      <c r="F106" s="96"/>
      <c r="G106" s="96"/>
      <c r="H106" s="70"/>
      <c r="I106" s="70"/>
      <c r="J106" s="70"/>
      <c r="K106" s="70">
        <f t="shared" si="6"/>
        <v>0</v>
      </c>
      <c r="L106" s="70">
        <f t="shared" si="7"/>
        <v>0</v>
      </c>
      <c r="M106" s="70">
        <f t="shared" si="8"/>
        <v>0</v>
      </c>
      <c r="N106" s="126"/>
      <c r="O106" s="124"/>
    </row>
    <row r="107" spans="1:15" ht="30" customHeight="1" x14ac:dyDescent="0.3">
      <c r="A107" s="123">
        <f t="shared" si="5"/>
        <v>103</v>
      </c>
      <c r="B107" s="127"/>
      <c r="C107" s="96"/>
      <c r="D107" s="83"/>
      <c r="E107" s="83"/>
      <c r="F107" s="96"/>
      <c r="G107" s="96"/>
      <c r="H107" s="70"/>
      <c r="I107" s="70"/>
      <c r="J107" s="70"/>
      <c r="K107" s="70">
        <f t="shared" si="6"/>
        <v>0</v>
      </c>
      <c r="L107" s="70">
        <f t="shared" si="7"/>
        <v>0</v>
      </c>
      <c r="M107" s="70">
        <f t="shared" si="8"/>
        <v>0</v>
      </c>
      <c r="N107" s="126"/>
      <c r="O107" s="124"/>
    </row>
    <row r="108" spans="1:15" ht="30" customHeight="1" x14ac:dyDescent="0.3">
      <c r="A108" s="123">
        <f t="shared" si="5"/>
        <v>104</v>
      </c>
      <c r="B108" s="127"/>
      <c r="C108" s="96"/>
      <c r="D108" s="83"/>
      <c r="E108" s="83"/>
      <c r="F108" s="96"/>
      <c r="G108" s="96"/>
      <c r="H108" s="70"/>
      <c r="I108" s="70"/>
      <c r="J108" s="70"/>
      <c r="K108" s="70">
        <f t="shared" si="6"/>
        <v>0</v>
      </c>
      <c r="L108" s="70">
        <f t="shared" si="7"/>
        <v>0</v>
      </c>
      <c r="M108" s="70">
        <f t="shared" si="8"/>
        <v>0</v>
      </c>
      <c r="N108" s="126"/>
      <c r="O108" s="124"/>
    </row>
    <row r="109" spans="1:15" ht="30" customHeight="1" x14ac:dyDescent="0.3">
      <c r="A109" s="123">
        <f t="shared" si="5"/>
        <v>105</v>
      </c>
      <c r="B109" s="127"/>
      <c r="C109" s="96"/>
      <c r="D109" s="83"/>
      <c r="E109" s="83"/>
      <c r="F109" s="96"/>
      <c r="G109" s="96"/>
      <c r="H109" s="70"/>
      <c r="I109" s="70"/>
      <c r="J109" s="70"/>
      <c r="K109" s="70">
        <f t="shared" si="6"/>
        <v>0</v>
      </c>
      <c r="L109" s="70">
        <f t="shared" si="7"/>
        <v>0</v>
      </c>
      <c r="M109" s="70">
        <f t="shared" si="8"/>
        <v>0</v>
      </c>
      <c r="N109" s="126"/>
      <c r="O109" s="124"/>
    </row>
    <row r="110" spans="1:15" ht="30" customHeight="1" x14ac:dyDescent="0.3">
      <c r="A110" s="123">
        <f t="shared" si="5"/>
        <v>106</v>
      </c>
      <c r="B110" s="127"/>
      <c r="C110" s="96"/>
      <c r="D110" s="83"/>
      <c r="E110" s="83"/>
      <c r="F110" s="96"/>
      <c r="G110" s="96"/>
      <c r="H110" s="70"/>
      <c r="I110" s="70"/>
      <c r="J110" s="70"/>
      <c r="K110" s="70">
        <f t="shared" si="6"/>
        <v>0</v>
      </c>
      <c r="L110" s="70">
        <f t="shared" si="7"/>
        <v>0</v>
      </c>
      <c r="M110" s="70">
        <f t="shared" si="8"/>
        <v>0</v>
      </c>
      <c r="N110" s="126"/>
      <c r="O110" s="124"/>
    </row>
    <row r="111" spans="1:15" ht="30" customHeight="1" x14ac:dyDescent="0.3">
      <c r="A111" s="123">
        <f t="shared" si="5"/>
        <v>107</v>
      </c>
      <c r="B111" s="127"/>
      <c r="C111" s="96"/>
      <c r="D111" s="83"/>
      <c r="E111" s="83"/>
      <c r="F111" s="96"/>
      <c r="G111" s="96"/>
      <c r="H111" s="70"/>
      <c r="I111" s="70"/>
      <c r="J111" s="70"/>
      <c r="K111" s="70">
        <f t="shared" si="6"/>
        <v>0</v>
      </c>
      <c r="L111" s="70">
        <f t="shared" si="7"/>
        <v>0</v>
      </c>
      <c r="M111" s="70">
        <f t="shared" si="8"/>
        <v>0</v>
      </c>
      <c r="N111" s="126"/>
      <c r="O111" s="124"/>
    </row>
    <row r="112" spans="1:15" ht="30" customHeight="1" x14ac:dyDescent="0.3">
      <c r="A112" s="123">
        <f t="shared" si="5"/>
        <v>108</v>
      </c>
      <c r="B112" s="127"/>
      <c r="C112" s="96"/>
      <c r="D112" s="83"/>
      <c r="E112" s="83"/>
      <c r="F112" s="96"/>
      <c r="G112" s="96"/>
      <c r="H112" s="70"/>
      <c r="I112" s="70"/>
      <c r="J112" s="70"/>
      <c r="K112" s="70">
        <f t="shared" si="6"/>
        <v>0</v>
      </c>
      <c r="L112" s="70">
        <f t="shared" si="7"/>
        <v>0</v>
      </c>
      <c r="M112" s="70">
        <f t="shared" si="8"/>
        <v>0</v>
      </c>
      <c r="N112" s="126"/>
      <c r="O112" s="124"/>
    </row>
    <row r="113" spans="1:15" ht="30" customHeight="1" x14ac:dyDescent="0.3">
      <c r="A113" s="123">
        <f t="shared" si="5"/>
        <v>109</v>
      </c>
      <c r="B113" s="127"/>
      <c r="C113" s="96"/>
      <c r="D113" s="83"/>
      <c r="E113" s="83"/>
      <c r="F113" s="96"/>
      <c r="G113" s="96"/>
      <c r="H113" s="70"/>
      <c r="I113" s="70"/>
      <c r="J113" s="70"/>
      <c r="K113" s="70">
        <f t="shared" si="6"/>
        <v>0</v>
      </c>
      <c r="L113" s="70">
        <f t="shared" si="7"/>
        <v>0</v>
      </c>
      <c r="M113" s="70">
        <f t="shared" si="8"/>
        <v>0</v>
      </c>
      <c r="N113" s="126"/>
      <c r="O113" s="124"/>
    </row>
    <row r="114" spans="1:15" ht="30" customHeight="1" x14ac:dyDescent="0.3">
      <c r="A114" s="123">
        <f t="shared" si="5"/>
        <v>110</v>
      </c>
      <c r="B114" s="127"/>
      <c r="C114" s="96"/>
      <c r="D114" s="83"/>
      <c r="E114" s="83"/>
      <c r="F114" s="96"/>
      <c r="G114" s="96"/>
      <c r="H114" s="70"/>
      <c r="I114" s="70"/>
      <c r="J114" s="70"/>
      <c r="K114" s="70">
        <f t="shared" si="6"/>
        <v>0</v>
      </c>
      <c r="L114" s="70">
        <f t="shared" si="7"/>
        <v>0</v>
      </c>
      <c r="M114" s="70">
        <f t="shared" si="8"/>
        <v>0</v>
      </c>
      <c r="N114" s="126"/>
      <c r="O114" s="124"/>
    </row>
    <row r="115" spans="1:15" ht="30" customHeight="1" x14ac:dyDescent="0.3">
      <c r="A115" s="123">
        <f t="shared" si="5"/>
        <v>111</v>
      </c>
      <c r="B115" s="127"/>
      <c r="C115" s="96"/>
      <c r="D115" s="83"/>
      <c r="E115" s="83"/>
      <c r="F115" s="96"/>
      <c r="G115" s="96"/>
      <c r="H115" s="70"/>
      <c r="I115" s="70"/>
      <c r="J115" s="70"/>
      <c r="K115" s="70">
        <f t="shared" si="6"/>
        <v>0</v>
      </c>
      <c r="L115" s="70">
        <f t="shared" si="7"/>
        <v>0</v>
      </c>
      <c r="M115" s="70">
        <f t="shared" si="8"/>
        <v>0</v>
      </c>
      <c r="N115" s="126"/>
      <c r="O115" s="124"/>
    </row>
    <row r="116" spans="1:15" ht="30" customHeight="1" x14ac:dyDescent="0.3">
      <c r="A116" s="123">
        <f t="shared" si="5"/>
        <v>112</v>
      </c>
      <c r="B116" s="127"/>
      <c r="C116" s="96"/>
      <c r="D116" s="83"/>
      <c r="E116" s="83"/>
      <c r="F116" s="96"/>
      <c r="G116" s="96"/>
      <c r="H116" s="70"/>
      <c r="I116" s="70"/>
      <c r="J116" s="70"/>
      <c r="K116" s="70">
        <f t="shared" si="6"/>
        <v>0</v>
      </c>
      <c r="L116" s="70">
        <f t="shared" si="7"/>
        <v>0</v>
      </c>
      <c r="M116" s="70">
        <f t="shared" si="8"/>
        <v>0</v>
      </c>
      <c r="N116" s="126"/>
      <c r="O116" s="124"/>
    </row>
    <row r="117" spans="1:15" ht="30" customHeight="1" x14ac:dyDescent="0.3">
      <c r="A117" s="123">
        <f t="shared" si="5"/>
        <v>113</v>
      </c>
      <c r="B117" s="127"/>
      <c r="C117" s="96"/>
      <c r="D117" s="83"/>
      <c r="E117" s="83"/>
      <c r="F117" s="96"/>
      <c r="G117" s="96"/>
      <c r="H117" s="70"/>
      <c r="I117" s="70"/>
      <c r="J117" s="70"/>
      <c r="K117" s="70">
        <f t="shared" si="6"/>
        <v>0</v>
      </c>
      <c r="L117" s="70">
        <f t="shared" si="7"/>
        <v>0</v>
      </c>
      <c r="M117" s="70">
        <f t="shared" si="8"/>
        <v>0</v>
      </c>
      <c r="N117" s="126"/>
      <c r="O117" s="124"/>
    </row>
    <row r="118" spans="1:15" ht="30" customHeight="1" x14ac:dyDescent="0.3">
      <c r="A118" s="123">
        <f t="shared" si="5"/>
        <v>114</v>
      </c>
      <c r="B118" s="127"/>
      <c r="C118" s="96"/>
      <c r="D118" s="83"/>
      <c r="E118" s="83"/>
      <c r="F118" s="96"/>
      <c r="G118" s="96"/>
      <c r="H118" s="70"/>
      <c r="I118" s="70"/>
      <c r="J118" s="70"/>
      <c r="K118" s="70">
        <f t="shared" si="6"/>
        <v>0</v>
      </c>
      <c r="L118" s="70">
        <f t="shared" si="7"/>
        <v>0</v>
      </c>
      <c r="M118" s="70">
        <f t="shared" si="8"/>
        <v>0</v>
      </c>
      <c r="N118" s="126"/>
      <c r="O118" s="124"/>
    </row>
    <row r="119" spans="1:15" ht="30" customHeight="1" x14ac:dyDescent="0.3">
      <c r="A119" s="123">
        <f t="shared" si="5"/>
        <v>115</v>
      </c>
      <c r="B119" s="127"/>
      <c r="C119" s="96"/>
      <c r="D119" s="83"/>
      <c r="E119" s="83"/>
      <c r="F119" s="96"/>
      <c r="G119" s="96"/>
      <c r="H119" s="70"/>
      <c r="I119" s="70"/>
      <c r="J119" s="70"/>
      <c r="K119" s="70">
        <f t="shared" si="6"/>
        <v>0</v>
      </c>
      <c r="L119" s="70">
        <f t="shared" si="7"/>
        <v>0</v>
      </c>
      <c r="M119" s="70">
        <f t="shared" si="8"/>
        <v>0</v>
      </c>
      <c r="N119" s="126"/>
      <c r="O119" s="124"/>
    </row>
    <row r="120" spans="1:15" ht="30" customHeight="1" x14ac:dyDescent="0.3">
      <c r="A120" s="123">
        <f t="shared" si="5"/>
        <v>116</v>
      </c>
      <c r="B120" s="127"/>
      <c r="C120" s="96"/>
      <c r="D120" s="83"/>
      <c r="E120" s="83"/>
      <c r="F120" s="96"/>
      <c r="G120" s="96"/>
      <c r="H120" s="70"/>
      <c r="I120" s="70"/>
      <c r="J120" s="70"/>
      <c r="K120" s="70">
        <f t="shared" si="6"/>
        <v>0</v>
      </c>
      <c r="L120" s="70">
        <f t="shared" si="7"/>
        <v>0</v>
      </c>
      <c r="M120" s="70">
        <f t="shared" si="8"/>
        <v>0</v>
      </c>
      <c r="N120" s="126"/>
      <c r="O120" s="124"/>
    </row>
    <row r="121" spans="1:15" ht="30" customHeight="1" x14ac:dyDescent="0.3">
      <c r="A121" s="123">
        <f t="shared" si="5"/>
        <v>117</v>
      </c>
      <c r="B121" s="127"/>
      <c r="C121" s="96"/>
      <c r="D121" s="83"/>
      <c r="E121" s="83"/>
      <c r="F121" s="96"/>
      <c r="G121" s="96"/>
      <c r="H121" s="70"/>
      <c r="I121" s="70"/>
      <c r="J121" s="70"/>
      <c r="K121" s="70">
        <f t="shared" si="6"/>
        <v>0</v>
      </c>
      <c r="L121" s="70">
        <f t="shared" si="7"/>
        <v>0</v>
      </c>
      <c r="M121" s="70">
        <f t="shared" si="8"/>
        <v>0</v>
      </c>
      <c r="N121" s="126"/>
      <c r="O121" s="124"/>
    </row>
    <row r="122" spans="1:15" ht="30" customHeight="1" x14ac:dyDescent="0.3">
      <c r="A122" s="123">
        <f t="shared" si="5"/>
        <v>118</v>
      </c>
      <c r="B122" s="127"/>
      <c r="C122" s="96"/>
      <c r="D122" s="83"/>
      <c r="E122" s="83"/>
      <c r="F122" s="96"/>
      <c r="G122" s="96"/>
      <c r="H122" s="70"/>
      <c r="I122" s="70"/>
      <c r="J122" s="70"/>
      <c r="K122" s="70">
        <f t="shared" si="6"/>
        <v>0</v>
      </c>
      <c r="L122" s="70">
        <f t="shared" si="7"/>
        <v>0</v>
      </c>
      <c r="M122" s="70">
        <f t="shared" si="8"/>
        <v>0</v>
      </c>
      <c r="N122" s="126"/>
      <c r="O122" s="124"/>
    </row>
    <row r="123" spans="1:15" ht="30" customHeight="1" x14ac:dyDescent="0.3">
      <c r="A123" s="123">
        <f t="shared" si="5"/>
        <v>119</v>
      </c>
      <c r="B123" s="127"/>
      <c r="C123" s="96"/>
      <c r="D123" s="83"/>
      <c r="E123" s="83"/>
      <c r="F123" s="96"/>
      <c r="G123" s="96"/>
      <c r="H123" s="70"/>
      <c r="I123" s="70"/>
      <c r="J123" s="70"/>
      <c r="K123" s="70">
        <f t="shared" si="6"/>
        <v>0</v>
      </c>
      <c r="L123" s="70">
        <f t="shared" si="7"/>
        <v>0</v>
      </c>
      <c r="M123" s="70">
        <f t="shared" si="8"/>
        <v>0</v>
      </c>
      <c r="N123" s="126"/>
      <c r="O123" s="124"/>
    </row>
    <row r="124" spans="1:15" ht="30" customHeight="1" x14ac:dyDescent="0.3">
      <c r="A124" s="123">
        <f t="shared" si="5"/>
        <v>120</v>
      </c>
      <c r="B124" s="127"/>
      <c r="C124" s="96"/>
      <c r="D124" s="83"/>
      <c r="E124" s="83"/>
      <c r="F124" s="96"/>
      <c r="G124" s="96"/>
      <c r="H124" s="70"/>
      <c r="I124" s="70"/>
      <c r="J124" s="70"/>
      <c r="K124" s="70">
        <f t="shared" si="6"/>
        <v>0</v>
      </c>
      <c r="L124" s="70">
        <f t="shared" si="7"/>
        <v>0</v>
      </c>
      <c r="M124" s="70">
        <f t="shared" si="8"/>
        <v>0</v>
      </c>
      <c r="N124" s="126"/>
      <c r="O124" s="124"/>
    </row>
    <row r="125" spans="1:15" ht="30" customHeight="1" x14ac:dyDescent="0.3">
      <c r="A125" s="123">
        <f t="shared" si="5"/>
        <v>121</v>
      </c>
      <c r="B125" s="127"/>
      <c r="C125" s="96"/>
      <c r="D125" s="83"/>
      <c r="E125" s="83"/>
      <c r="F125" s="96"/>
      <c r="G125" s="96"/>
      <c r="H125" s="70"/>
      <c r="I125" s="70"/>
      <c r="J125" s="70"/>
      <c r="K125" s="70">
        <f t="shared" si="6"/>
        <v>0</v>
      </c>
      <c r="L125" s="70">
        <f t="shared" si="7"/>
        <v>0</v>
      </c>
      <c r="M125" s="70">
        <f t="shared" si="8"/>
        <v>0</v>
      </c>
      <c r="N125" s="126"/>
      <c r="O125" s="124"/>
    </row>
    <row r="126" spans="1:15" ht="30" customHeight="1" x14ac:dyDescent="0.3">
      <c r="A126" s="123">
        <f t="shared" si="5"/>
        <v>122</v>
      </c>
      <c r="B126" s="127"/>
      <c r="C126" s="96"/>
      <c r="D126" s="83"/>
      <c r="E126" s="83"/>
      <c r="F126" s="96"/>
      <c r="G126" s="96"/>
      <c r="H126" s="70"/>
      <c r="I126" s="70"/>
      <c r="J126" s="70"/>
      <c r="K126" s="70">
        <f t="shared" si="6"/>
        <v>0</v>
      </c>
      <c r="L126" s="70">
        <f t="shared" si="7"/>
        <v>0</v>
      </c>
      <c r="M126" s="70">
        <f t="shared" si="8"/>
        <v>0</v>
      </c>
      <c r="N126" s="126"/>
      <c r="O126" s="124"/>
    </row>
    <row r="127" spans="1:15" ht="30" customHeight="1" x14ac:dyDescent="0.3">
      <c r="A127" s="123">
        <f t="shared" si="5"/>
        <v>123</v>
      </c>
      <c r="B127" s="127"/>
      <c r="C127" s="96"/>
      <c r="D127" s="83"/>
      <c r="E127" s="83"/>
      <c r="F127" s="96"/>
      <c r="G127" s="96"/>
      <c r="H127" s="70"/>
      <c r="I127" s="70"/>
      <c r="J127" s="70"/>
      <c r="K127" s="70">
        <f t="shared" si="6"/>
        <v>0</v>
      </c>
      <c r="L127" s="70">
        <f t="shared" si="7"/>
        <v>0</v>
      </c>
      <c r="M127" s="70">
        <f t="shared" si="8"/>
        <v>0</v>
      </c>
      <c r="N127" s="126"/>
      <c r="O127" s="124"/>
    </row>
    <row r="128" spans="1:15" ht="30" customHeight="1" x14ac:dyDescent="0.3">
      <c r="A128" s="123">
        <f t="shared" si="5"/>
        <v>124</v>
      </c>
      <c r="B128" s="127"/>
      <c r="C128" s="96"/>
      <c r="D128" s="83"/>
      <c r="E128" s="83"/>
      <c r="F128" s="96"/>
      <c r="G128" s="96"/>
      <c r="H128" s="70"/>
      <c r="I128" s="70"/>
      <c r="J128" s="70"/>
      <c r="K128" s="70">
        <f t="shared" si="6"/>
        <v>0</v>
      </c>
      <c r="L128" s="70">
        <f t="shared" si="7"/>
        <v>0</v>
      </c>
      <c r="M128" s="70">
        <f t="shared" si="8"/>
        <v>0</v>
      </c>
      <c r="N128" s="126"/>
      <c r="O128" s="124"/>
    </row>
    <row r="129" spans="1:15" ht="30" customHeight="1" x14ac:dyDescent="0.3">
      <c r="A129" s="123">
        <f t="shared" si="5"/>
        <v>125</v>
      </c>
      <c r="B129" s="127"/>
      <c r="C129" s="96"/>
      <c r="D129" s="83"/>
      <c r="E129" s="83"/>
      <c r="F129" s="96"/>
      <c r="G129" s="96"/>
      <c r="H129" s="70"/>
      <c r="I129" s="70"/>
      <c r="J129" s="70"/>
      <c r="K129" s="70">
        <f t="shared" si="6"/>
        <v>0</v>
      </c>
      <c r="L129" s="70">
        <f t="shared" si="7"/>
        <v>0</v>
      </c>
      <c r="M129" s="70">
        <f t="shared" si="8"/>
        <v>0</v>
      </c>
      <c r="N129" s="126"/>
      <c r="O129" s="124"/>
    </row>
    <row r="130" spans="1:15" ht="30" customHeight="1" x14ac:dyDescent="0.3">
      <c r="A130" s="123">
        <f t="shared" si="5"/>
        <v>126</v>
      </c>
      <c r="B130" s="127"/>
      <c r="C130" s="96"/>
      <c r="D130" s="83"/>
      <c r="E130" s="83"/>
      <c r="F130" s="96"/>
      <c r="G130" s="96"/>
      <c r="H130" s="70"/>
      <c r="I130" s="70"/>
      <c r="J130" s="70"/>
      <c r="K130" s="70">
        <f t="shared" si="6"/>
        <v>0</v>
      </c>
      <c r="L130" s="70">
        <f t="shared" si="7"/>
        <v>0</v>
      </c>
      <c r="M130" s="70">
        <f t="shared" si="8"/>
        <v>0</v>
      </c>
      <c r="N130" s="126"/>
      <c r="O130" s="124"/>
    </row>
    <row r="131" spans="1:15" ht="30" customHeight="1" x14ac:dyDescent="0.3">
      <c r="A131" s="123">
        <f t="shared" si="5"/>
        <v>127</v>
      </c>
      <c r="B131" s="127"/>
      <c r="C131" s="96"/>
      <c r="D131" s="83"/>
      <c r="E131" s="83"/>
      <c r="F131" s="96"/>
      <c r="G131" s="96"/>
      <c r="H131" s="70"/>
      <c r="I131" s="70"/>
      <c r="J131" s="70"/>
      <c r="K131" s="70">
        <f t="shared" si="6"/>
        <v>0</v>
      </c>
      <c r="L131" s="70">
        <f t="shared" si="7"/>
        <v>0</v>
      </c>
      <c r="M131" s="70">
        <f t="shared" si="8"/>
        <v>0</v>
      </c>
      <c r="N131" s="126"/>
      <c r="O131" s="124"/>
    </row>
    <row r="132" spans="1:15" ht="30" customHeight="1" x14ac:dyDescent="0.3">
      <c r="A132" s="123">
        <f t="shared" si="5"/>
        <v>128</v>
      </c>
      <c r="B132" s="127"/>
      <c r="C132" s="96"/>
      <c r="D132" s="83"/>
      <c r="E132" s="83"/>
      <c r="F132" s="96"/>
      <c r="G132" s="96"/>
      <c r="H132" s="70"/>
      <c r="I132" s="70"/>
      <c r="J132" s="70"/>
      <c r="K132" s="70">
        <f t="shared" si="6"/>
        <v>0</v>
      </c>
      <c r="L132" s="70">
        <f t="shared" si="7"/>
        <v>0</v>
      </c>
      <c r="M132" s="70">
        <f t="shared" si="8"/>
        <v>0</v>
      </c>
      <c r="N132" s="126"/>
      <c r="O132" s="124"/>
    </row>
    <row r="133" spans="1:15" ht="30" customHeight="1" x14ac:dyDescent="0.3">
      <c r="A133" s="123">
        <f t="shared" si="5"/>
        <v>129</v>
      </c>
      <c r="B133" s="127"/>
      <c r="C133" s="96"/>
      <c r="D133" s="83"/>
      <c r="E133" s="83"/>
      <c r="F133" s="96"/>
      <c r="G133" s="96"/>
      <c r="H133" s="70"/>
      <c r="I133" s="70"/>
      <c r="J133" s="70"/>
      <c r="K133" s="70">
        <f t="shared" si="6"/>
        <v>0</v>
      </c>
      <c r="L133" s="70">
        <f t="shared" si="7"/>
        <v>0</v>
      </c>
      <c r="M133" s="70">
        <f t="shared" si="8"/>
        <v>0</v>
      </c>
      <c r="N133" s="126"/>
      <c r="O133" s="124"/>
    </row>
    <row r="134" spans="1:15" ht="30" customHeight="1" x14ac:dyDescent="0.3">
      <c r="A134" s="123">
        <f t="shared" si="5"/>
        <v>130</v>
      </c>
      <c r="B134" s="127"/>
      <c r="C134" s="96"/>
      <c r="D134" s="83"/>
      <c r="E134" s="83"/>
      <c r="F134" s="96"/>
      <c r="G134" s="96"/>
      <c r="H134" s="70"/>
      <c r="I134" s="70"/>
      <c r="J134" s="70"/>
      <c r="K134" s="70">
        <f t="shared" si="6"/>
        <v>0</v>
      </c>
      <c r="L134" s="70">
        <f t="shared" si="7"/>
        <v>0</v>
      </c>
      <c r="M134" s="70">
        <f t="shared" si="8"/>
        <v>0</v>
      </c>
      <c r="N134" s="126"/>
      <c r="O134" s="124"/>
    </row>
    <row r="135" spans="1:15" ht="30" customHeight="1" x14ac:dyDescent="0.3">
      <c r="A135" s="123">
        <f t="shared" si="5"/>
        <v>131</v>
      </c>
      <c r="B135" s="127"/>
      <c r="C135" s="96"/>
      <c r="D135" s="83"/>
      <c r="E135" s="83"/>
      <c r="F135" s="96"/>
      <c r="G135" s="96"/>
      <c r="H135" s="70"/>
      <c r="I135" s="70"/>
      <c r="J135" s="70"/>
      <c r="K135" s="70">
        <f t="shared" si="6"/>
        <v>0</v>
      </c>
      <c r="L135" s="70">
        <f t="shared" si="7"/>
        <v>0</v>
      </c>
      <c r="M135" s="70">
        <f t="shared" si="8"/>
        <v>0</v>
      </c>
      <c r="N135" s="126"/>
      <c r="O135" s="124"/>
    </row>
    <row r="136" spans="1:15" ht="30" customHeight="1" x14ac:dyDescent="0.3">
      <c r="A136" s="123">
        <f t="shared" si="5"/>
        <v>132</v>
      </c>
      <c r="B136" s="127"/>
      <c r="C136" s="96"/>
      <c r="D136" s="83"/>
      <c r="E136" s="83"/>
      <c r="F136" s="96"/>
      <c r="G136" s="96"/>
      <c r="H136" s="70"/>
      <c r="I136" s="70"/>
      <c r="J136" s="70"/>
      <c r="K136" s="70">
        <f t="shared" si="6"/>
        <v>0</v>
      </c>
      <c r="L136" s="70">
        <f t="shared" si="7"/>
        <v>0</v>
      </c>
      <c r="M136" s="70">
        <f t="shared" si="8"/>
        <v>0</v>
      </c>
      <c r="N136" s="126"/>
      <c r="O136" s="124"/>
    </row>
    <row r="137" spans="1:15" ht="30" customHeight="1" x14ac:dyDescent="0.3">
      <c r="A137" s="123">
        <f t="shared" si="5"/>
        <v>133</v>
      </c>
      <c r="B137" s="127"/>
      <c r="C137" s="96"/>
      <c r="D137" s="83"/>
      <c r="E137" s="83"/>
      <c r="F137" s="96"/>
      <c r="G137" s="96"/>
      <c r="H137" s="70"/>
      <c r="I137" s="70"/>
      <c r="J137" s="70"/>
      <c r="K137" s="70">
        <f t="shared" si="6"/>
        <v>0</v>
      </c>
      <c r="L137" s="70">
        <f t="shared" si="7"/>
        <v>0</v>
      </c>
      <c r="M137" s="70">
        <f t="shared" si="8"/>
        <v>0</v>
      </c>
      <c r="N137" s="126"/>
      <c r="O137" s="124"/>
    </row>
    <row r="138" spans="1:15" ht="30" customHeight="1" x14ac:dyDescent="0.3">
      <c r="A138" s="123">
        <f t="shared" si="5"/>
        <v>134</v>
      </c>
      <c r="B138" s="127"/>
      <c r="C138" s="96"/>
      <c r="D138" s="83"/>
      <c r="E138" s="83"/>
      <c r="F138" s="96"/>
      <c r="G138" s="96"/>
      <c r="H138" s="70"/>
      <c r="I138" s="70"/>
      <c r="J138" s="70"/>
      <c r="K138" s="70">
        <f t="shared" si="6"/>
        <v>0</v>
      </c>
      <c r="L138" s="70">
        <f t="shared" si="7"/>
        <v>0</v>
      </c>
      <c r="M138" s="70">
        <f t="shared" si="8"/>
        <v>0</v>
      </c>
      <c r="N138" s="126"/>
      <c r="O138" s="124"/>
    </row>
    <row r="139" spans="1:15" ht="30" customHeight="1" x14ac:dyDescent="0.3">
      <c r="A139" s="123">
        <f t="shared" si="5"/>
        <v>135</v>
      </c>
      <c r="B139" s="127"/>
      <c r="C139" s="96"/>
      <c r="D139" s="83"/>
      <c r="E139" s="83"/>
      <c r="F139" s="96"/>
      <c r="G139" s="96"/>
      <c r="H139" s="70"/>
      <c r="I139" s="70"/>
      <c r="J139" s="70"/>
      <c r="K139" s="70">
        <f t="shared" si="6"/>
        <v>0</v>
      </c>
      <c r="L139" s="70">
        <f t="shared" si="7"/>
        <v>0</v>
      </c>
      <c r="M139" s="70">
        <f t="shared" si="8"/>
        <v>0</v>
      </c>
      <c r="N139" s="126"/>
      <c r="O139" s="124"/>
    </row>
    <row r="140" spans="1:15" ht="30" customHeight="1" x14ac:dyDescent="0.3">
      <c r="A140" s="123">
        <f t="shared" si="5"/>
        <v>136</v>
      </c>
      <c r="B140" s="127"/>
      <c r="C140" s="96"/>
      <c r="D140" s="83"/>
      <c r="E140" s="83"/>
      <c r="F140" s="96"/>
      <c r="G140" s="96"/>
      <c r="H140" s="70"/>
      <c r="I140" s="70"/>
      <c r="J140" s="70"/>
      <c r="K140" s="70">
        <f t="shared" si="6"/>
        <v>0</v>
      </c>
      <c r="L140" s="70">
        <f t="shared" si="7"/>
        <v>0</v>
      </c>
      <c r="M140" s="70">
        <f t="shared" si="8"/>
        <v>0</v>
      </c>
      <c r="N140" s="126"/>
      <c r="O140" s="124"/>
    </row>
    <row r="141" spans="1:15" ht="30" customHeight="1" x14ac:dyDescent="0.3">
      <c r="A141" s="123">
        <f t="shared" si="5"/>
        <v>137</v>
      </c>
      <c r="B141" s="127"/>
      <c r="C141" s="96"/>
      <c r="D141" s="83"/>
      <c r="E141" s="83"/>
      <c r="F141" s="96"/>
      <c r="G141" s="96"/>
      <c r="H141" s="70"/>
      <c r="I141" s="70"/>
      <c r="J141" s="70"/>
      <c r="K141" s="70">
        <f t="shared" si="6"/>
        <v>0</v>
      </c>
      <c r="L141" s="70">
        <f t="shared" si="7"/>
        <v>0</v>
      </c>
      <c r="M141" s="70">
        <f t="shared" si="8"/>
        <v>0</v>
      </c>
      <c r="N141" s="126"/>
      <c r="O141" s="124"/>
    </row>
    <row r="142" spans="1:15" ht="30" customHeight="1" x14ac:dyDescent="0.3">
      <c r="A142" s="123">
        <f t="shared" si="5"/>
        <v>138</v>
      </c>
      <c r="B142" s="127"/>
      <c r="C142" s="96"/>
      <c r="D142" s="83"/>
      <c r="E142" s="83"/>
      <c r="F142" s="96"/>
      <c r="G142" s="96"/>
      <c r="H142" s="70"/>
      <c r="I142" s="70"/>
      <c r="J142" s="70"/>
      <c r="K142" s="70">
        <f t="shared" si="6"/>
        <v>0</v>
      </c>
      <c r="L142" s="70">
        <f t="shared" si="7"/>
        <v>0</v>
      </c>
      <c r="M142" s="70">
        <f t="shared" si="8"/>
        <v>0</v>
      </c>
      <c r="N142" s="126"/>
      <c r="O142" s="124"/>
    </row>
    <row r="143" spans="1:15" ht="30" customHeight="1" x14ac:dyDescent="0.3">
      <c r="A143" s="123">
        <f t="shared" si="5"/>
        <v>139</v>
      </c>
      <c r="B143" s="127"/>
      <c r="C143" s="96"/>
      <c r="D143" s="83"/>
      <c r="E143" s="83"/>
      <c r="F143" s="96"/>
      <c r="G143" s="96"/>
      <c r="H143" s="70"/>
      <c r="I143" s="70"/>
      <c r="J143" s="70"/>
      <c r="K143" s="70">
        <f t="shared" si="6"/>
        <v>0</v>
      </c>
      <c r="L143" s="70">
        <f t="shared" si="7"/>
        <v>0</v>
      </c>
      <c r="M143" s="70">
        <f t="shared" si="8"/>
        <v>0</v>
      </c>
      <c r="N143" s="126"/>
      <c r="O143" s="124"/>
    </row>
    <row r="144" spans="1:15" ht="30" customHeight="1" x14ac:dyDescent="0.3">
      <c r="A144" s="123">
        <f t="shared" si="5"/>
        <v>140</v>
      </c>
      <c r="B144" s="127"/>
      <c r="C144" s="96"/>
      <c r="D144" s="83"/>
      <c r="E144" s="83"/>
      <c r="F144" s="96"/>
      <c r="G144" s="96"/>
      <c r="H144" s="70"/>
      <c r="I144" s="70"/>
      <c r="J144" s="70"/>
      <c r="K144" s="70">
        <f t="shared" si="6"/>
        <v>0</v>
      </c>
      <c r="L144" s="70">
        <f t="shared" si="7"/>
        <v>0</v>
      </c>
      <c r="M144" s="70">
        <f t="shared" si="8"/>
        <v>0</v>
      </c>
      <c r="N144" s="126"/>
      <c r="O144" s="124"/>
    </row>
    <row r="145" spans="1:15" ht="30" customHeight="1" x14ac:dyDescent="0.3">
      <c r="A145" s="123">
        <f t="shared" si="5"/>
        <v>141</v>
      </c>
      <c r="B145" s="127"/>
      <c r="C145" s="96"/>
      <c r="D145" s="83"/>
      <c r="E145" s="83"/>
      <c r="F145" s="96"/>
      <c r="G145" s="96"/>
      <c r="H145" s="70"/>
      <c r="I145" s="70"/>
      <c r="J145" s="70"/>
      <c r="K145" s="70">
        <f t="shared" si="6"/>
        <v>0</v>
      </c>
      <c r="L145" s="70">
        <f t="shared" si="7"/>
        <v>0</v>
      </c>
      <c r="M145" s="70">
        <f t="shared" si="8"/>
        <v>0</v>
      </c>
      <c r="N145" s="126"/>
      <c r="O145" s="124"/>
    </row>
    <row r="146" spans="1:15" ht="30" customHeight="1" x14ac:dyDescent="0.3">
      <c r="A146" s="123">
        <f t="shared" si="5"/>
        <v>142</v>
      </c>
      <c r="B146" s="127"/>
      <c r="C146" s="96"/>
      <c r="D146" s="83"/>
      <c r="E146" s="83"/>
      <c r="F146" s="96"/>
      <c r="G146" s="96"/>
      <c r="H146" s="70"/>
      <c r="I146" s="70"/>
      <c r="J146" s="70"/>
      <c r="K146" s="70">
        <f t="shared" si="6"/>
        <v>0</v>
      </c>
      <c r="L146" s="70">
        <f t="shared" si="7"/>
        <v>0</v>
      </c>
      <c r="M146" s="70">
        <f t="shared" si="8"/>
        <v>0</v>
      </c>
      <c r="N146" s="126"/>
      <c r="O146" s="124"/>
    </row>
    <row r="147" spans="1:15" ht="30" customHeight="1" x14ac:dyDescent="0.3">
      <c r="A147" s="123">
        <f t="shared" si="5"/>
        <v>143</v>
      </c>
      <c r="B147" s="127"/>
      <c r="C147" s="96"/>
      <c r="D147" s="83"/>
      <c r="E147" s="83"/>
      <c r="F147" s="96"/>
      <c r="G147" s="96"/>
      <c r="H147" s="70"/>
      <c r="I147" s="70"/>
      <c r="J147" s="70"/>
      <c r="K147" s="70">
        <f t="shared" si="6"/>
        <v>0</v>
      </c>
      <c r="L147" s="70">
        <f t="shared" si="7"/>
        <v>0</v>
      </c>
      <c r="M147" s="70">
        <f t="shared" si="8"/>
        <v>0</v>
      </c>
      <c r="N147" s="126"/>
      <c r="O147" s="124"/>
    </row>
    <row r="148" spans="1:15" ht="30" customHeight="1" x14ac:dyDescent="0.3">
      <c r="A148" s="123">
        <f t="shared" ref="A148:A211" si="9">A147+1</f>
        <v>144</v>
      </c>
      <c r="B148" s="127"/>
      <c r="C148" s="96"/>
      <c r="D148" s="83"/>
      <c r="E148" s="83"/>
      <c r="F148" s="96"/>
      <c r="G148" s="96"/>
      <c r="H148" s="70"/>
      <c r="I148" s="70"/>
      <c r="J148" s="70"/>
      <c r="K148" s="70">
        <f t="shared" ref="K148:K211" si="10">H148/1000000</f>
        <v>0</v>
      </c>
      <c r="L148" s="70">
        <f t="shared" ref="L148:L211" si="11">I148/1000000</f>
        <v>0</v>
      </c>
      <c r="M148" s="70">
        <f t="shared" ref="M148:M211" si="12">J148/1000000</f>
        <v>0</v>
      </c>
      <c r="N148" s="126"/>
      <c r="O148" s="124"/>
    </row>
    <row r="149" spans="1:15" ht="30" customHeight="1" x14ac:dyDescent="0.3">
      <c r="A149" s="123">
        <f t="shared" si="9"/>
        <v>145</v>
      </c>
      <c r="B149" s="127"/>
      <c r="C149" s="96"/>
      <c r="D149" s="83"/>
      <c r="E149" s="83"/>
      <c r="F149" s="96"/>
      <c r="G149" s="96"/>
      <c r="H149" s="70"/>
      <c r="I149" s="70"/>
      <c r="J149" s="70"/>
      <c r="K149" s="70">
        <f t="shared" si="10"/>
        <v>0</v>
      </c>
      <c r="L149" s="70">
        <f t="shared" si="11"/>
        <v>0</v>
      </c>
      <c r="M149" s="70">
        <f t="shared" si="12"/>
        <v>0</v>
      </c>
      <c r="N149" s="126"/>
      <c r="O149" s="124"/>
    </row>
    <row r="150" spans="1:15" ht="30" customHeight="1" x14ac:dyDescent="0.3">
      <c r="A150" s="123">
        <f t="shared" si="9"/>
        <v>146</v>
      </c>
      <c r="B150" s="127"/>
      <c r="C150" s="96"/>
      <c r="D150" s="83"/>
      <c r="E150" s="83"/>
      <c r="F150" s="96"/>
      <c r="G150" s="96"/>
      <c r="H150" s="70"/>
      <c r="I150" s="70"/>
      <c r="J150" s="70"/>
      <c r="K150" s="70">
        <f t="shared" si="10"/>
        <v>0</v>
      </c>
      <c r="L150" s="70">
        <f t="shared" si="11"/>
        <v>0</v>
      </c>
      <c r="M150" s="70">
        <f t="shared" si="12"/>
        <v>0</v>
      </c>
      <c r="N150" s="126"/>
      <c r="O150" s="124"/>
    </row>
    <row r="151" spans="1:15" ht="30" customHeight="1" x14ac:dyDescent="0.3">
      <c r="A151" s="123">
        <f t="shared" si="9"/>
        <v>147</v>
      </c>
      <c r="B151" s="127"/>
      <c r="C151" s="96"/>
      <c r="D151" s="83"/>
      <c r="E151" s="83"/>
      <c r="F151" s="96"/>
      <c r="G151" s="96"/>
      <c r="H151" s="70"/>
      <c r="I151" s="70"/>
      <c r="J151" s="70"/>
      <c r="K151" s="70">
        <f t="shared" si="10"/>
        <v>0</v>
      </c>
      <c r="L151" s="70">
        <f t="shared" si="11"/>
        <v>0</v>
      </c>
      <c r="M151" s="70">
        <f t="shared" si="12"/>
        <v>0</v>
      </c>
      <c r="N151" s="126"/>
      <c r="O151" s="124"/>
    </row>
    <row r="152" spans="1:15" ht="30" customHeight="1" x14ac:dyDescent="0.3">
      <c r="A152" s="123">
        <f t="shared" si="9"/>
        <v>148</v>
      </c>
      <c r="B152" s="127"/>
      <c r="C152" s="96"/>
      <c r="D152" s="83"/>
      <c r="E152" s="83"/>
      <c r="F152" s="96"/>
      <c r="G152" s="96"/>
      <c r="H152" s="70"/>
      <c r="I152" s="70"/>
      <c r="J152" s="70"/>
      <c r="K152" s="70">
        <f t="shared" si="10"/>
        <v>0</v>
      </c>
      <c r="L152" s="70">
        <f t="shared" si="11"/>
        <v>0</v>
      </c>
      <c r="M152" s="70">
        <f t="shared" si="12"/>
        <v>0</v>
      </c>
      <c r="N152" s="126"/>
      <c r="O152" s="124"/>
    </row>
    <row r="153" spans="1:15" ht="30" customHeight="1" x14ac:dyDescent="0.3">
      <c r="A153" s="123">
        <f t="shared" si="9"/>
        <v>149</v>
      </c>
      <c r="B153" s="127"/>
      <c r="C153" s="96"/>
      <c r="D153" s="83"/>
      <c r="E153" s="83"/>
      <c r="F153" s="96"/>
      <c r="G153" s="96"/>
      <c r="H153" s="70"/>
      <c r="I153" s="70"/>
      <c r="J153" s="70"/>
      <c r="K153" s="70">
        <f t="shared" si="10"/>
        <v>0</v>
      </c>
      <c r="L153" s="70">
        <f t="shared" si="11"/>
        <v>0</v>
      </c>
      <c r="M153" s="70">
        <f t="shared" si="12"/>
        <v>0</v>
      </c>
      <c r="N153" s="126"/>
      <c r="O153" s="124"/>
    </row>
    <row r="154" spans="1:15" ht="30" customHeight="1" x14ac:dyDescent="0.3">
      <c r="A154" s="123">
        <f t="shared" si="9"/>
        <v>150</v>
      </c>
      <c r="B154" s="127"/>
      <c r="C154" s="96"/>
      <c r="D154" s="83"/>
      <c r="E154" s="83"/>
      <c r="F154" s="96"/>
      <c r="G154" s="96"/>
      <c r="H154" s="70"/>
      <c r="I154" s="70"/>
      <c r="J154" s="70"/>
      <c r="K154" s="70">
        <f t="shared" si="10"/>
        <v>0</v>
      </c>
      <c r="L154" s="70">
        <f t="shared" si="11"/>
        <v>0</v>
      </c>
      <c r="M154" s="70">
        <f t="shared" si="12"/>
        <v>0</v>
      </c>
      <c r="N154" s="126"/>
      <c r="O154" s="124"/>
    </row>
    <row r="155" spans="1:15" ht="30" customHeight="1" x14ac:dyDescent="0.3">
      <c r="A155" s="123">
        <f t="shared" si="9"/>
        <v>151</v>
      </c>
      <c r="B155" s="127"/>
      <c r="C155" s="96"/>
      <c r="D155" s="83"/>
      <c r="E155" s="83"/>
      <c r="F155" s="96"/>
      <c r="G155" s="96"/>
      <c r="H155" s="70"/>
      <c r="I155" s="70"/>
      <c r="J155" s="70"/>
      <c r="K155" s="70">
        <f t="shared" si="10"/>
        <v>0</v>
      </c>
      <c r="L155" s="70">
        <f t="shared" si="11"/>
        <v>0</v>
      </c>
      <c r="M155" s="70">
        <f t="shared" si="12"/>
        <v>0</v>
      </c>
      <c r="N155" s="126"/>
      <c r="O155" s="124"/>
    </row>
    <row r="156" spans="1:15" ht="30" customHeight="1" x14ac:dyDescent="0.3">
      <c r="A156" s="123">
        <f t="shared" si="9"/>
        <v>152</v>
      </c>
      <c r="B156" s="127"/>
      <c r="C156" s="96"/>
      <c r="D156" s="83"/>
      <c r="E156" s="83"/>
      <c r="F156" s="96"/>
      <c r="G156" s="96"/>
      <c r="H156" s="70"/>
      <c r="I156" s="70"/>
      <c r="J156" s="70"/>
      <c r="K156" s="70">
        <f t="shared" si="10"/>
        <v>0</v>
      </c>
      <c r="L156" s="70">
        <f t="shared" si="11"/>
        <v>0</v>
      </c>
      <c r="M156" s="70">
        <f t="shared" si="12"/>
        <v>0</v>
      </c>
      <c r="N156" s="126"/>
      <c r="O156" s="124"/>
    </row>
    <row r="157" spans="1:15" ht="30" customHeight="1" x14ac:dyDescent="0.3">
      <c r="A157" s="123">
        <f t="shared" si="9"/>
        <v>153</v>
      </c>
      <c r="B157" s="127"/>
      <c r="C157" s="96"/>
      <c r="D157" s="83"/>
      <c r="E157" s="83"/>
      <c r="F157" s="96"/>
      <c r="G157" s="96"/>
      <c r="H157" s="70"/>
      <c r="I157" s="70"/>
      <c r="J157" s="70"/>
      <c r="K157" s="70">
        <f t="shared" si="10"/>
        <v>0</v>
      </c>
      <c r="L157" s="70">
        <f t="shared" si="11"/>
        <v>0</v>
      </c>
      <c r="M157" s="70">
        <f t="shared" si="12"/>
        <v>0</v>
      </c>
      <c r="N157" s="126"/>
      <c r="O157" s="124"/>
    </row>
    <row r="158" spans="1:15" ht="30" customHeight="1" x14ac:dyDescent="0.3">
      <c r="A158" s="123">
        <f t="shared" si="9"/>
        <v>154</v>
      </c>
      <c r="B158" s="127"/>
      <c r="C158" s="96"/>
      <c r="D158" s="83"/>
      <c r="E158" s="83"/>
      <c r="F158" s="96"/>
      <c r="G158" s="96"/>
      <c r="H158" s="70"/>
      <c r="I158" s="70"/>
      <c r="J158" s="70"/>
      <c r="K158" s="70">
        <f t="shared" si="10"/>
        <v>0</v>
      </c>
      <c r="L158" s="70">
        <f t="shared" si="11"/>
        <v>0</v>
      </c>
      <c r="M158" s="70">
        <f t="shared" si="12"/>
        <v>0</v>
      </c>
      <c r="N158" s="126"/>
      <c r="O158" s="124"/>
    </row>
    <row r="159" spans="1:15" ht="30" customHeight="1" x14ac:dyDescent="0.3">
      <c r="A159" s="123">
        <f t="shared" si="9"/>
        <v>155</v>
      </c>
      <c r="B159" s="127"/>
      <c r="C159" s="96"/>
      <c r="D159" s="83"/>
      <c r="E159" s="83"/>
      <c r="F159" s="96"/>
      <c r="G159" s="96"/>
      <c r="H159" s="70"/>
      <c r="I159" s="70"/>
      <c r="J159" s="70"/>
      <c r="K159" s="70">
        <f t="shared" si="10"/>
        <v>0</v>
      </c>
      <c r="L159" s="70">
        <f t="shared" si="11"/>
        <v>0</v>
      </c>
      <c r="M159" s="70">
        <f t="shared" si="12"/>
        <v>0</v>
      </c>
      <c r="N159" s="126"/>
      <c r="O159" s="124"/>
    </row>
    <row r="160" spans="1:15" ht="30" customHeight="1" x14ac:dyDescent="0.3">
      <c r="A160" s="123">
        <f t="shared" si="9"/>
        <v>156</v>
      </c>
      <c r="B160" s="127"/>
      <c r="C160" s="96"/>
      <c r="D160" s="83"/>
      <c r="E160" s="83"/>
      <c r="F160" s="96"/>
      <c r="G160" s="96"/>
      <c r="H160" s="70"/>
      <c r="I160" s="70"/>
      <c r="J160" s="70"/>
      <c r="K160" s="70">
        <f t="shared" si="10"/>
        <v>0</v>
      </c>
      <c r="L160" s="70">
        <f t="shared" si="11"/>
        <v>0</v>
      </c>
      <c r="M160" s="70">
        <f t="shared" si="12"/>
        <v>0</v>
      </c>
      <c r="N160" s="126"/>
      <c r="O160" s="124"/>
    </row>
    <row r="161" spans="1:15" ht="30" customHeight="1" x14ac:dyDescent="0.3">
      <c r="A161" s="123">
        <f t="shared" si="9"/>
        <v>157</v>
      </c>
      <c r="B161" s="127"/>
      <c r="C161" s="96"/>
      <c r="D161" s="83"/>
      <c r="E161" s="83"/>
      <c r="F161" s="96"/>
      <c r="G161" s="96"/>
      <c r="H161" s="70"/>
      <c r="I161" s="70"/>
      <c r="J161" s="70"/>
      <c r="K161" s="70">
        <f t="shared" si="10"/>
        <v>0</v>
      </c>
      <c r="L161" s="70">
        <f t="shared" si="11"/>
        <v>0</v>
      </c>
      <c r="M161" s="70">
        <f t="shared" si="12"/>
        <v>0</v>
      </c>
      <c r="N161" s="126"/>
      <c r="O161" s="124"/>
    </row>
    <row r="162" spans="1:15" ht="30" customHeight="1" x14ac:dyDescent="0.3">
      <c r="A162" s="123">
        <f t="shared" si="9"/>
        <v>158</v>
      </c>
      <c r="B162" s="127"/>
      <c r="C162" s="96"/>
      <c r="D162" s="83"/>
      <c r="E162" s="83"/>
      <c r="F162" s="96"/>
      <c r="G162" s="96"/>
      <c r="H162" s="70"/>
      <c r="I162" s="70"/>
      <c r="J162" s="70"/>
      <c r="K162" s="70">
        <f t="shared" si="10"/>
        <v>0</v>
      </c>
      <c r="L162" s="70">
        <f t="shared" si="11"/>
        <v>0</v>
      </c>
      <c r="M162" s="70">
        <f t="shared" si="12"/>
        <v>0</v>
      </c>
      <c r="N162" s="126"/>
      <c r="O162" s="124"/>
    </row>
    <row r="163" spans="1:15" ht="30" customHeight="1" x14ac:dyDescent="0.3">
      <c r="A163" s="123">
        <f t="shared" si="9"/>
        <v>159</v>
      </c>
      <c r="B163" s="127"/>
      <c r="C163" s="96"/>
      <c r="D163" s="83"/>
      <c r="E163" s="83"/>
      <c r="F163" s="96"/>
      <c r="G163" s="96"/>
      <c r="H163" s="70"/>
      <c r="I163" s="70"/>
      <c r="J163" s="70"/>
      <c r="K163" s="70">
        <f t="shared" si="10"/>
        <v>0</v>
      </c>
      <c r="L163" s="70">
        <f t="shared" si="11"/>
        <v>0</v>
      </c>
      <c r="M163" s="70">
        <f t="shared" si="12"/>
        <v>0</v>
      </c>
      <c r="N163" s="126"/>
      <c r="O163" s="124"/>
    </row>
    <row r="164" spans="1:15" ht="30" customHeight="1" x14ac:dyDescent="0.3">
      <c r="A164" s="123">
        <f t="shared" si="9"/>
        <v>160</v>
      </c>
      <c r="B164" s="127"/>
      <c r="C164" s="96"/>
      <c r="D164" s="83"/>
      <c r="E164" s="83"/>
      <c r="F164" s="96"/>
      <c r="G164" s="96"/>
      <c r="H164" s="70"/>
      <c r="I164" s="70"/>
      <c r="J164" s="70"/>
      <c r="K164" s="70">
        <f t="shared" si="10"/>
        <v>0</v>
      </c>
      <c r="L164" s="70">
        <f t="shared" si="11"/>
        <v>0</v>
      </c>
      <c r="M164" s="70">
        <f t="shared" si="12"/>
        <v>0</v>
      </c>
      <c r="N164" s="126"/>
      <c r="O164" s="124"/>
    </row>
    <row r="165" spans="1:15" ht="30" customHeight="1" x14ac:dyDescent="0.3">
      <c r="A165" s="123">
        <f t="shared" si="9"/>
        <v>161</v>
      </c>
      <c r="B165" s="127"/>
      <c r="C165" s="96"/>
      <c r="D165" s="83"/>
      <c r="E165" s="83"/>
      <c r="F165" s="96"/>
      <c r="G165" s="96"/>
      <c r="H165" s="70"/>
      <c r="I165" s="70"/>
      <c r="J165" s="70"/>
      <c r="K165" s="70">
        <f t="shared" si="10"/>
        <v>0</v>
      </c>
      <c r="L165" s="70">
        <f t="shared" si="11"/>
        <v>0</v>
      </c>
      <c r="M165" s="70">
        <f t="shared" si="12"/>
        <v>0</v>
      </c>
      <c r="N165" s="126"/>
      <c r="O165" s="124"/>
    </row>
    <row r="166" spans="1:15" ht="30" customHeight="1" x14ac:dyDescent="0.3">
      <c r="A166" s="123">
        <f t="shared" si="9"/>
        <v>162</v>
      </c>
      <c r="B166" s="127"/>
      <c r="C166" s="96"/>
      <c r="D166" s="83"/>
      <c r="E166" s="83"/>
      <c r="F166" s="96"/>
      <c r="G166" s="96"/>
      <c r="H166" s="70"/>
      <c r="I166" s="70"/>
      <c r="J166" s="70"/>
      <c r="K166" s="70">
        <f t="shared" si="10"/>
        <v>0</v>
      </c>
      <c r="L166" s="70">
        <f t="shared" si="11"/>
        <v>0</v>
      </c>
      <c r="M166" s="70">
        <f t="shared" si="12"/>
        <v>0</v>
      </c>
      <c r="N166" s="126"/>
      <c r="O166" s="124"/>
    </row>
    <row r="167" spans="1:15" ht="30" customHeight="1" x14ac:dyDescent="0.3">
      <c r="A167" s="123">
        <f t="shared" si="9"/>
        <v>163</v>
      </c>
      <c r="B167" s="127"/>
      <c r="C167" s="96"/>
      <c r="D167" s="83"/>
      <c r="E167" s="83"/>
      <c r="F167" s="96"/>
      <c r="G167" s="96"/>
      <c r="H167" s="70"/>
      <c r="I167" s="70"/>
      <c r="J167" s="70"/>
      <c r="K167" s="70">
        <f t="shared" si="10"/>
        <v>0</v>
      </c>
      <c r="L167" s="70">
        <f t="shared" si="11"/>
        <v>0</v>
      </c>
      <c r="M167" s="70">
        <f t="shared" si="12"/>
        <v>0</v>
      </c>
      <c r="N167" s="126"/>
      <c r="O167" s="124"/>
    </row>
    <row r="168" spans="1:15" ht="30" customHeight="1" x14ac:dyDescent="0.3">
      <c r="A168" s="123">
        <f t="shared" si="9"/>
        <v>164</v>
      </c>
      <c r="B168" s="127"/>
      <c r="C168" s="96"/>
      <c r="D168" s="83"/>
      <c r="E168" s="83"/>
      <c r="F168" s="96"/>
      <c r="G168" s="96"/>
      <c r="H168" s="70"/>
      <c r="I168" s="70"/>
      <c r="J168" s="70"/>
      <c r="K168" s="70">
        <f t="shared" si="10"/>
        <v>0</v>
      </c>
      <c r="L168" s="70">
        <f t="shared" si="11"/>
        <v>0</v>
      </c>
      <c r="M168" s="70">
        <f t="shared" si="12"/>
        <v>0</v>
      </c>
      <c r="N168" s="126"/>
      <c r="O168" s="124"/>
    </row>
    <row r="169" spans="1:15" ht="30" customHeight="1" x14ac:dyDescent="0.3">
      <c r="A169" s="123">
        <f t="shared" si="9"/>
        <v>165</v>
      </c>
      <c r="B169" s="127"/>
      <c r="C169" s="96"/>
      <c r="D169" s="83"/>
      <c r="E169" s="83"/>
      <c r="F169" s="96"/>
      <c r="G169" s="96"/>
      <c r="H169" s="70"/>
      <c r="I169" s="70"/>
      <c r="J169" s="70"/>
      <c r="K169" s="70">
        <f t="shared" si="10"/>
        <v>0</v>
      </c>
      <c r="L169" s="70">
        <f t="shared" si="11"/>
        <v>0</v>
      </c>
      <c r="M169" s="70">
        <f t="shared" si="12"/>
        <v>0</v>
      </c>
      <c r="N169" s="126"/>
      <c r="O169" s="124"/>
    </row>
    <row r="170" spans="1:15" ht="30" customHeight="1" x14ac:dyDescent="0.3">
      <c r="A170" s="123">
        <f t="shared" si="9"/>
        <v>166</v>
      </c>
      <c r="B170" s="127"/>
      <c r="C170" s="96"/>
      <c r="D170" s="83"/>
      <c r="E170" s="83"/>
      <c r="F170" s="96"/>
      <c r="G170" s="96"/>
      <c r="H170" s="70"/>
      <c r="I170" s="70"/>
      <c r="J170" s="70"/>
      <c r="K170" s="70">
        <f t="shared" si="10"/>
        <v>0</v>
      </c>
      <c r="L170" s="70">
        <f t="shared" si="11"/>
        <v>0</v>
      </c>
      <c r="M170" s="70">
        <f t="shared" si="12"/>
        <v>0</v>
      </c>
      <c r="N170" s="126"/>
      <c r="O170" s="124"/>
    </row>
    <row r="171" spans="1:15" ht="30" customHeight="1" x14ac:dyDescent="0.3">
      <c r="A171" s="123">
        <f t="shared" si="9"/>
        <v>167</v>
      </c>
      <c r="B171" s="127"/>
      <c r="C171" s="96"/>
      <c r="D171" s="83"/>
      <c r="E171" s="83"/>
      <c r="F171" s="96"/>
      <c r="G171" s="96"/>
      <c r="H171" s="70"/>
      <c r="I171" s="70"/>
      <c r="J171" s="70"/>
      <c r="K171" s="70">
        <f t="shared" si="10"/>
        <v>0</v>
      </c>
      <c r="L171" s="70">
        <f t="shared" si="11"/>
        <v>0</v>
      </c>
      <c r="M171" s="70">
        <f t="shared" si="12"/>
        <v>0</v>
      </c>
      <c r="N171" s="126"/>
      <c r="O171" s="124"/>
    </row>
    <row r="172" spans="1:15" ht="30" customHeight="1" x14ac:dyDescent="0.3">
      <c r="A172" s="123">
        <f t="shared" si="9"/>
        <v>168</v>
      </c>
      <c r="B172" s="127"/>
      <c r="C172" s="96"/>
      <c r="D172" s="83"/>
      <c r="E172" s="83"/>
      <c r="F172" s="96"/>
      <c r="G172" s="96"/>
      <c r="H172" s="70"/>
      <c r="I172" s="70"/>
      <c r="J172" s="70"/>
      <c r="K172" s="70">
        <f t="shared" si="10"/>
        <v>0</v>
      </c>
      <c r="L172" s="70">
        <f t="shared" si="11"/>
        <v>0</v>
      </c>
      <c r="M172" s="70">
        <f t="shared" si="12"/>
        <v>0</v>
      </c>
      <c r="N172" s="126"/>
      <c r="O172" s="124"/>
    </row>
    <row r="173" spans="1:15" ht="30" customHeight="1" x14ac:dyDescent="0.3">
      <c r="A173" s="123">
        <f t="shared" si="9"/>
        <v>169</v>
      </c>
      <c r="B173" s="127"/>
      <c r="C173" s="96"/>
      <c r="D173" s="83"/>
      <c r="E173" s="83"/>
      <c r="F173" s="96"/>
      <c r="G173" s="96"/>
      <c r="H173" s="70"/>
      <c r="I173" s="70"/>
      <c r="J173" s="70"/>
      <c r="K173" s="70">
        <f t="shared" si="10"/>
        <v>0</v>
      </c>
      <c r="L173" s="70">
        <f t="shared" si="11"/>
        <v>0</v>
      </c>
      <c r="M173" s="70">
        <f t="shared" si="12"/>
        <v>0</v>
      </c>
      <c r="N173" s="126"/>
      <c r="O173" s="124"/>
    </row>
    <row r="174" spans="1:15" ht="30" customHeight="1" x14ac:dyDescent="0.3">
      <c r="A174" s="123">
        <f t="shared" si="9"/>
        <v>170</v>
      </c>
      <c r="B174" s="127"/>
      <c r="C174" s="96"/>
      <c r="D174" s="83"/>
      <c r="E174" s="83"/>
      <c r="F174" s="96"/>
      <c r="G174" s="96"/>
      <c r="H174" s="70"/>
      <c r="I174" s="70"/>
      <c r="J174" s="70"/>
      <c r="K174" s="70">
        <f t="shared" si="10"/>
        <v>0</v>
      </c>
      <c r="L174" s="70">
        <f t="shared" si="11"/>
        <v>0</v>
      </c>
      <c r="M174" s="70">
        <f t="shared" si="12"/>
        <v>0</v>
      </c>
      <c r="N174" s="126"/>
      <c r="O174" s="124"/>
    </row>
    <row r="175" spans="1:15" ht="30" customHeight="1" x14ac:dyDescent="0.3">
      <c r="A175" s="123">
        <f t="shared" si="9"/>
        <v>171</v>
      </c>
      <c r="B175" s="127"/>
      <c r="C175" s="96"/>
      <c r="D175" s="83"/>
      <c r="E175" s="83"/>
      <c r="F175" s="96"/>
      <c r="G175" s="96"/>
      <c r="H175" s="70"/>
      <c r="I175" s="70"/>
      <c r="J175" s="70"/>
      <c r="K175" s="70">
        <f t="shared" si="10"/>
        <v>0</v>
      </c>
      <c r="L175" s="70">
        <f t="shared" si="11"/>
        <v>0</v>
      </c>
      <c r="M175" s="70">
        <f t="shared" si="12"/>
        <v>0</v>
      </c>
      <c r="N175" s="126"/>
      <c r="O175" s="124"/>
    </row>
    <row r="176" spans="1:15" ht="30" customHeight="1" x14ac:dyDescent="0.3">
      <c r="A176" s="123">
        <f t="shared" si="9"/>
        <v>172</v>
      </c>
      <c r="B176" s="127"/>
      <c r="C176" s="96"/>
      <c r="D176" s="83"/>
      <c r="E176" s="83"/>
      <c r="F176" s="96"/>
      <c r="G176" s="96"/>
      <c r="H176" s="70"/>
      <c r="I176" s="70"/>
      <c r="J176" s="70"/>
      <c r="K176" s="70">
        <f t="shared" si="10"/>
        <v>0</v>
      </c>
      <c r="L176" s="70">
        <f t="shared" si="11"/>
        <v>0</v>
      </c>
      <c r="M176" s="70">
        <f t="shared" si="12"/>
        <v>0</v>
      </c>
      <c r="N176" s="126"/>
      <c r="O176" s="124"/>
    </row>
    <row r="177" spans="1:15" ht="30" customHeight="1" x14ac:dyDescent="0.3">
      <c r="A177" s="123">
        <f t="shared" si="9"/>
        <v>173</v>
      </c>
      <c r="B177" s="127"/>
      <c r="C177" s="96"/>
      <c r="D177" s="83"/>
      <c r="E177" s="83"/>
      <c r="F177" s="96"/>
      <c r="G177" s="96"/>
      <c r="H177" s="70"/>
      <c r="I177" s="70"/>
      <c r="J177" s="70"/>
      <c r="K177" s="70">
        <f t="shared" si="10"/>
        <v>0</v>
      </c>
      <c r="L177" s="70">
        <f t="shared" si="11"/>
        <v>0</v>
      </c>
      <c r="M177" s="70">
        <f t="shared" si="12"/>
        <v>0</v>
      </c>
      <c r="N177" s="126"/>
      <c r="O177" s="124"/>
    </row>
    <row r="178" spans="1:15" ht="30" customHeight="1" x14ac:dyDescent="0.3">
      <c r="A178" s="123">
        <f t="shared" si="9"/>
        <v>174</v>
      </c>
      <c r="B178" s="127"/>
      <c r="C178" s="96"/>
      <c r="D178" s="83"/>
      <c r="E178" s="83"/>
      <c r="F178" s="96"/>
      <c r="G178" s="96"/>
      <c r="H178" s="70"/>
      <c r="I178" s="70"/>
      <c r="J178" s="70"/>
      <c r="K178" s="70">
        <f t="shared" si="10"/>
        <v>0</v>
      </c>
      <c r="L178" s="70">
        <f t="shared" si="11"/>
        <v>0</v>
      </c>
      <c r="M178" s="70">
        <f t="shared" si="12"/>
        <v>0</v>
      </c>
      <c r="N178" s="126"/>
      <c r="O178" s="124"/>
    </row>
    <row r="179" spans="1:15" ht="30" customHeight="1" x14ac:dyDescent="0.3">
      <c r="A179" s="123">
        <f t="shared" si="9"/>
        <v>175</v>
      </c>
      <c r="B179" s="127"/>
      <c r="C179" s="96"/>
      <c r="D179" s="83"/>
      <c r="E179" s="83"/>
      <c r="F179" s="96"/>
      <c r="G179" s="96"/>
      <c r="H179" s="70"/>
      <c r="I179" s="70"/>
      <c r="J179" s="70"/>
      <c r="K179" s="70">
        <f t="shared" si="10"/>
        <v>0</v>
      </c>
      <c r="L179" s="70">
        <f t="shared" si="11"/>
        <v>0</v>
      </c>
      <c r="M179" s="70">
        <f t="shared" si="12"/>
        <v>0</v>
      </c>
      <c r="N179" s="126"/>
      <c r="O179" s="124"/>
    </row>
    <row r="180" spans="1:15" ht="30" customHeight="1" x14ac:dyDescent="0.3">
      <c r="A180" s="123">
        <f t="shared" si="9"/>
        <v>176</v>
      </c>
      <c r="B180" s="127"/>
      <c r="C180" s="96"/>
      <c r="D180" s="83"/>
      <c r="E180" s="83"/>
      <c r="F180" s="96"/>
      <c r="G180" s="96"/>
      <c r="H180" s="70"/>
      <c r="I180" s="70"/>
      <c r="J180" s="70"/>
      <c r="K180" s="70">
        <f t="shared" si="10"/>
        <v>0</v>
      </c>
      <c r="L180" s="70">
        <f t="shared" si="11"/>
        <v>0</v>
      </c>
      <c r="M180" s="70">
        <f t="shared" si="12"/>
        <v>0</v>
      </c>
      <c r="N180" s="126"/>
      <c r="O180" s="124"/>
    </row>
    <row r="181" spans="1:15" ht="30" customHeight="1" x14ac:dyDescent="0.3">
      <c r="A181" s="123">
        <f t="shared" si="9"/>
        <v>177</v>
      </c>
      <c r="B181" s="127"/>
      <c r="C181" s="96"/>
      <c r="D181" s="83"/>
      <c r="E181" s="83"/>
      <c r="F181" s="96"/>
      <c r="G181" s="96"/>
      <c r="H181" s="70"/>
      <c r="I181" s="70"/>
      <c r="J181" s="70"/>
      <c r="K181" s="70">
        <f t="shared" si="10"/>
        <v>0</v>
      </c>
      <c r="L181" s="70">
        <f t="shared" si="11"/>
        <v>0</v>
      </c>
      <c r="M181" s="70">
        <f t="shared" si="12"/>
        <v>0</v>
      </c>
      <c r="N181" s="126"/>
      <c r="O181" s="124"/>
    </row>
    <row r="182" spans="1:15" ht="30" customHeight="1" x14ac:dyDescent="0.3">
      <c r="A182" s="123">
        <f t="shared" si="9"/>
        <v>178</v>
      </c>
      <c r="B182" s="127"/>
      <c r="C182" s="96"/>
      <c r="D182" s="83"/>
      <c r="E182" s="83"/>
      <c r="F182" s="96"/>
      <c r="G182" s="96"/>
      <c r="H182" s="70"/>
      <c r="I182" s="70"/>
      <c r="J182" s="70"/>
      <c r="K182" s="70">
        <f t="shared" si="10"/>
        <v>0</v>
      </c>
      <c r="L182" s="70">
        <f t="shared" si="11"/>
        <v>0</v>
      </c>
      <c r="M182" s="70">
        <f t="shared" si="12"/>
        <v>0</v>
      </c>
      <c r="N182" s="126"/>
      <c r="O182" s="124"/>
    </row>
    <row r="183" spans="1:15" ht="30" customHeight="1" x14ac:dyDescent="0.3">
      <c r="A183" s="123">
        <f t="shared" si="9"/>
        <v>179</v>
      </c>
      <c r="B183" s="127"/>
      <c r="C183" s="96"/>
      <c r="D183" s="83"/>
      <c r="E183" s="83"/>
      <c r="F183" s="96"/>
      <c r="G183" s="96"/>
      <c r="H183" s="70"/>
      <c r="I183" s="70"/>
      <c r="J183" s="70"/>
      <c r="K183" s="70">
        <f t="shared" si="10"/>
        <v>0</v>
      </c>
      <c r="L183" s="70">
        <f t="shared" si="11"/>
        <v>0</v>
      </c>
      <c r="M183" s="70">
        <f t="shared" si="12"/>
        <v>0</v>
      </c>
      <c r="N183" s="126"/>
      <c r="O183" s="124"/>
    </row>
    <row r="184" spans="1:15" ht="30" customHeight="1" x14ac:dyDescent="0.3">
      <c r="A184" s="123">
        <f t="shared" si="9"/>
        <v>180</v>
      </c>
      <c r="B184" s="127"/>
      <c r="C184" s="96"/>
      <c r="D184" s="83"/>
      <c r="E184" s="83"/>
      <c r="F184" s="96"/>
      <c r="G184" s="96"/>
      <c r="H184" s="70"/>
      <c r="I184" s="70"/>
      <c r="J184" s="70"/>
      <c r="K184" s="70">
        <f t="shared" si="10"/>
        <v>0</v>
      </c>
      <c r="L184" s="70">
        <f t="shared" si="11"/>
        <v>0</v>
      </c>
      <c r="M184" s="70">
        <f t="shared" si="12"/>
        <v>0</v>
      </c>
      <c r="N184" s="126"/>
      <c r="O184" s="124"/>
    </row>
    <row r="185" spans="1:15" ht="30" customHeight="1" x14ac:dyDescent="0.3">
      <c r="A185" s="123">
        <f t="shared" si="9"/>
        <v>181</v>
      </c>
      <c r="B185" s="127"/>
      <c r="C185" s="96"/>
      <c r="D185" s="83"/>
      <c r="E185" s="83"/>
      <c r="F185" s="96"/>
      <c r="G185" s="96"/>
      <c r="H185" s="70"/>
      <c r="I185" s="70"/>
      <c r="J185" s="70"/>
      <c r="K185" s="70">
        <f t="shared" si="10"/>
        <v>0</v>
      </c>
      <c r="L185" s="70">
        <f t="shared" si="11"/>
        <v>0</v>
      </c>
      <c r="M185" s="70">
        <f t="shared" si="12"/>
        <v>0</v>
      </c>
      <c r="N185" s="126"/>
      <c r="O185" s="124"/>
    </row>
    <row r="186" spans="1:15" ht="30" customHeight="1" x14ac:dyDescent="0.3">
      <c r="A186" s="123">
        <f t="shared" si="9"/>
        <v>182</v>
      </c>
      <c r="B186" s="127"/>
      <c r="C186" s="96"/>
      <c r="D186" s="83"/>
      <c r="E186" s="83"/>
      <c r="F186" s="96"/>
      <c r="G186" s="96"/>
      <c r="H186" s="70"/>
      <c r="I186" s="70"/>
      <c r="J186" s="70"/>
      <c r="K186" s="70">
        <f t="shared" si="10"/>
        <v>0</v>
      </c>
      <c r="L186" s="70">
        <f t="shared" si="11"/>
        <v>0</v>
      </c>
      <c r="M186" s="70">
        <f t="shared" si="12"/>
        <v>0</v>
      </c>
      <c r="N186" s="126"/>
      <c r="O186" s="124"/>
    </row>
    <row r="187" spans="1:15" ht="30" customHeight="1" x14ac:dyDescent="0.3">
      <c r="A187" s="123">
        <f t="shared" si="9"/>
        <v>183</v>
      </c>
      <c r="B187" s="127"/>
      <c r="C187" s="96"/>
      <c r="D187" s="83"/>
      <c r="E187" s="83"/>
      <c r="F187" s="96"/>
      <c r="G187" s="96"/>
      <c r="H187" s="70"/>
      <c r="I187" s="70"/>
      <c r="J187" s="70"/>
      <c r="K187" s="70">
        <f t="shared" si="10"/>
        <v>0</v>
      </c>
      <c r="L187" s="70">
        <f t="shared" si="11"/>
        <v>0</v>
      </c>
      <c r="M187" s="70">
        <f t="shared" si="12"/>
        <v>0</v>
      </c>
      <c r="N187" s="126"/>
      <c r="O187" s="124"/>
    </row>
    <row r="188" spans="1:15" ht="30" customHeight="1" x14ac:dyDescent="0.3">
      <c r="A188" s="123">
        <f t="shared" si="9"/>
        <v>184</v>
      </c>
      <c r="B188" s="127"/>
      <c r="C188" s="96"/>
      <c r="D188" s="83"/>
      <c r="E188" s="83"/>
      <c r="F188" s="96"/>
      <c r="G188" s="96"/>
      <c r="H188" s="70"/>
      <c r="I188" s="70"/>
      <c r="J188" s="70"/>
      <c r="K188" s="70">
        <f t="shared" si="10"/>
        <v>0</v>
      </c>
      <c r="L188" s="70">
        <f t="shared" si="11"/>
        <v>0</v>
      </c>
      <c r="M188" s="70">
        <f t="shared" si="12"/>
        <v>0</v>
      </c>
      <c r="N188" s="126"/>
      <c r="O188" s="124"/>
    </row>
    <row r="189" spans="1:15" ht="30" customHeight="1" x14ac:dyDescent="0.3">
      <c r="A189" s="123">
        <f t="shared" si="9"/>
        <v>185</v>
      </c>
      <c r="B189" s="127"/>
      <c r="C189" s="96"/>
      <c r="D189" s="83"/>
      <c r="E189" s="83"/>
      <c r="F189" s="96"/>
      <c r="G189" s="96"/>
      <c r="H189" s="70"/>
      <c r="I189" s="70"/>
      <c r="J189" s="70"/>
      <c r="K189" s="70">
        <f t="shared" si="10"/>
        <v>0</v>
      </c>
      <c r="L189" s="70">
        <f t="shared" si="11"/>
        <v>0</v>
      </c>
      <c r="M189" s="70">
        <f t="shared" si="12"/>
        <v>0</v>
      </c>
      <c r="N189" s="126"/>
      <c r="O189" s="124"/>
    </row>
    <row r="190" spans="1:15" ht="30" customHeight="1" x14ac:dyDescent="0.3">
      <c r="A190" s="123">
        <f t="shared" si="9"/>
        <v>186</v>
      </c>
      <c r="B190" s="127"/>
      <c r="C190" s="96"/>
      <c r="D190" s="83"/>
      <c r="E190" s="83"/>
      <c r="F190" s="96"/>
      <c r="G190" s="96"/>
      <c r="H190" s="70"/>
      <c r="I190" s="70"/>
      <c r="J190" s="70"/>
      <c r="K190" s="70">
        <f t="shared" si="10"/>
        <v>0</v>
      </c>
      <c r="L190" s="70">
        <f t="shared" si="11"/>
        <v>0</v>
      </c>
      <c r="M190" s="70">
        <f t="shared" si="12"/>
        <v>0</v>
      </c>
      <c r="N190" s="126"/>
      <c r="O190" s="124"/>
    </row>
    <row r="191" spans="1:15" ht="30" customHeight="1" x14ac:dyDescent="0.3">
      <c r="A191" s="123">
        <f t="shared" si="9"/>
        <v>187</v>
      </c>
      <c r="B191" s="127"/>
      <c r="C191" s="96"/>
      <c r="D191" s="83"/>
      <c r="E191" s="83"/>
      <c r="F191" s="96"/>
      <c r="G191" s="96"/>
      <c r="H191" s="70"/>
      <c r="I191" s="70"/>
      <c r="J191" s="70"/>
      <c r="K191" s="70">
        <f t="shared" si="10"/>
        <v>0</v>
      </c>
      <c r="L191" s="70">
        <f t="shared" si="11"/>
        <v>0</v>
      </c>
      <c r="M191" s="70">
        <f t="shared" si="12"/>
        <v>0</v>
      </c>
      <c r="N191" s="126"/>
      <c r="O191" s="124"/>
    </row>
    <row r="192" spans="1:15" ht="30" customHeight="1" x14ac:dyDescent="0.3">
      <c r="A192" s="123">
        <f t="shared" si="9"/>
        <v>188</v>
      </c>
      <c r="B192" s="127"/>
      <c r="C192" s="96"/>
      <c r="D192" s="83"/>
      <c r="E192" s="83"/>
      <c r="F192" s="96"/>
      <c r="G192" s="96"/>
      <c r="H192" s="70"/>
      <c r="I192" s="70"/>
      <c r="J192" s="70"/>
      <c r="K192" s="70">
        <f t="shared" si="10"/>
        <v>0</v>
      </c>
      <c r="L192" s="70">
        <f t="shared" si="11"/>
        <v>0</v>
      </c>
      <c r="M192" s="70">
        <f t="shared" si="12"/>
        <v>0</v>
      </c>
      <c r="N192" s="126"/>
      <c r="O192" s="124"/>
    </row>
    <row r="193" spans="1:15" ht="30" customHeight="1" x14ac:dyDescent="0.3">
      <c r="A193" s="123">
        <f t="shared" si="9"/>
        <v>189</v>
      </c>
      <c r="B193" s="127"/>
      <c r="C193" s="96"/>
      <c r="D193" s="83"/>
      <c r="E193" s="83"/>
      <c r="F193" s="96"/>
      <c r="G193" s="96"/>
      <c r="H193" s="70"/>
      <c r="I193" s="70"/>
      <c r="J193" s="70"/>
      <c r="K193" s="70">
        <f t="shared" si="10"/>
        <v>0</v>
      </c>
      <c r="L193" s="70">
        <f t="shared" si="11"/>
        <v>0</v>
      </c>
      <c r="M193" s="70">
        <f t="shared" si="12"/>
        <v>0</v>
      </c>
      <c r="N193" s="126"/>
      <c r="O193" s="124"/>
    </row>
    <row r="194" spans="1:15" ht="30" customHeight="1" x14ac:dyDescent="0.3">
      <c r="A194" s="123">
        <f t="shared" si="9"/>
        <v>190</v>
      </c>
      <c r="B194" s="127"/>
      <c r="C194" s="96"/>
      <c r="D194" s="83"/>
      <c r="E194" s="83"/>
      <c r="F194" s="96"/>
      <c r="G194" s="96"/>
      <c r="H194" s="70"/>
      <c r="I194" s="70"/>
      <c r="J194" s="70"/>
      <c r="K194" s="70">
        <f t="shared" si="10"/>
        <v>0</v>
      </c>
      <c r="L194" s="70">
        <f t="shared" si="11"/>
        <v>0</v>
      </c>
      <c r="M194" s="70">
        <f t="shared" si="12"/>
        <v>0</v>
      </c>
      <c r="N194" s="126"/>
      <c r="O194" s="124"/>
    </row>
    <row r="195" spans="1:15" ht="30" customHeight="1" x14ac:dyDescent="0.3">
      <c r="A195" s="123">
        <f t="shared" si="9"/>
        <v>191</v>
      </c>
      <c r="B195" s="127"/>
      <c r="C195" s="96"/>
      <c r="D195" s="83"/>
      <c r="E195" s="83"/>
      <c r="F195" s="96"/>
      <c r="G195" s="96"/>
      <c r="H195" s="70"/>
      <c r="I195" s="70"/>
      <c r="J195" s="70"/>
      <c r="K195" s="70">
        <f t="shared" si="10"/>
        <v>0</v>
      </c>
      <c r="L195" s="70">
        <f t="shared" si="11"/>
        <v>0</v>
      </c>
      <c r="M195" s="70">
        <f t="shared" si="12"/>
        <v>0</v>
      </c>
      <c r="N195" s="126"/>
      <c r="O195" s="124"/>
    </row>
    <row r="196" spans="1:15" ht="30" customHeight="1" x14ac:dyDescent="0.3">
      <c r="A196" s="123">
        <f t="shared" si="9"/>
        <v>192</v>
      </c>
      <c r="B196" s="127"/>
      <c r="C196" s="96"/>
      <c r="D196" s="83"/>
      <c r="E196" s="83"/>
      <c r="F196" s="96"/>
      <c r="G196" s="96"/>
      <c r="H196" s="70"/>
      <c r="I196" s="70"/>
      <c r="J196" s="70"/>
      <c r="K196" s="70">
        <f t="shared" si="10"/>
        <v>0</v>
      </c>
      <c r="L196" s="70">
        <f t="shared" si="11"/>
        <v>0</v>
      </c>
      <c r="M196" s="70">
        <f t="shared" si="12"/>
        <v>0</v>
      </c>
      <c r="N196" s="126"/>
      <c r="O196" s="124"/>
    </row>
    <row r="197" spans="1:15" ht="30" customHeight="1" x14ac:dyDescent="0.3">
      <c r="A197" s="123">
        <f t="shared" si="9"/>
        <v>193</v>
      </c>
      <c r="B197" s="127"/>
      <c r="C197" s="96"/>
      <c r="D197" s="83"/>
      <c r="E197" s="83"/>
      <c r="F197" s="96"/>
      <c r="G197" s="96"/>
      <c r="H197" s="70"/>
      <c r="I197" s="70"/>
      <c r="J197" s="70"/>
      <c r="K197" s="70">
        <f t="shared" si="10"/>
        <v>0</v>
      </c>
      <c r="L197" s="70">
        <f t="shared" si="11"/>
        <v>0</v>
      </c>
      <c r="M197" s="70">
        <f t="shared" si="12"/>
        <v>0</v>
      </c>
      <c r="N197" s="126"/>
      <c r="O197" s="124"/>
    </row>
    <row r="198" spans="1:15" ht="30" customHeight="1" x14ac:dyDescent="0.3">
      <c r="A198" s="123">
        <f t="shared" si="9"/>
        <v>194</v>
      </c>
      <c r="B198" s="127"/>
      <c r="C198" s="96"/>
      <c r="D198" s="83"/>
      <c r="E198" s="83"/>
      <c r="F198" s="96"/>
      <c r="G198" s="96"/>
      <c r="H198" s="70"/>
      <c r="I198" s="70"/>
      <c r="J198" s="70"/>
      <c r="K198" s="70">
        <f t="shared" si="10"/>
        <v>0</v>
      </c>
      <c r="L198" s="70">
        <f t="shared" si="11"/>
        <v>0</v>
      </c>
      <c r="M198" s="70">
        <f t="shared" si="12"/>
        <v>0</v>
      </c>
      <c r="N198" s="126"/>
      <c r="O198" s="124"/>
    </row>
    <row r="199" spans="1:15" ht="30" customHeight="1" x14ac:dyDescent="0.3">
      <c r="A199" s="123">
        <f t="shared" si="9"/>
        <v>195</v>
      </c>
      <c r="B199" s="127"/>
      <c r="C199" s="96"/>
      <c r="D199" s="83"/>
      <c r="E199" s="83"/>
      <c r="F199" s="96"/>
      <c r="G199" s="96"/>
      <c r="H199" s="70"/>
      <c r="I199" s="70"/>
      <c r="J199" s="70"/>
      <c r="K199" s="70">
        <f t="shared" si="10"/>
        <v>0</v>
      </c>
      <c r="L199" s="70">
        <f t="shared" si="11"/>
        <v>0</v>
      </c>
      <c r="M199" s="70">
        <f t="shared" si="12"/>
        <v>0</v>
      </c>
      <c r="N199" s="126"/>
      <c r="O199" s="124"/>
    </row>
    <row r="200" spans="1:15" ht="30" customHeight="1" x14ac:dyDescent="0.3">
      <c r="A200" s="123">
        <f t="shared" si="9"/>
        <v>196</v>
      </c>
      <c r="B200" s="127"/>
      <c r="C200" s="96"/>
      <c r="D200" s="83"/>
      <c r="E200" s="83"/>
      <c r="F200" s="96"/>
      <c r="G200" s="96"/>
      <c r="H200" s="70"/>
      <c r="I200" s="70"/>
      <c r="J200" s="70"/>
      <c r="K200" s="70">
        <f t="shared" si="10"/>
        <v>0</v>
      </c>
      <c r="L200" s="70">
        <f t="shared" si="11"/>
        <v>0</v>
      </c>
      <c r="M200" s="70">
        <f t="shared" si="12"/>
        <v>0</v>
      </c>
      <c r="N200" s="126"/>
      <c r="O200" s="124"/>
    </row>
    <row r="201" spans="1:15" ht="30" customHeight="1" x14ac:dyDescent="0.3">
      <c r="A201" s="123">
        <f t="shared" si="9"/>
        <v>197</v>
      </c>
      <c r="B201" s="127"/>
      <c r="C201" s="96"/>
      <c r="D201" s="83"/>
      <c r="E201" s="83"/>
      <c r="F201" s="96"/>
      <c r="G201" s="96"/>
      <c r="H201" s="70"/>
      <c r="I201" s="70"/>
      <c r="J201" s="70"/>
      <c r="K201" s="70">
        <f t="shared" si="10"/>
        <v>0</v>
      </c>
      <c r="L201" s="70">
        <f t="shared" si="11"/>
        <v>0</v>
      </c>
      <c r="M201" s="70">
        <f t="shared" si="12"/>
        <v>0</v>
      </c>
      <c r="N201" s="126"/>
      <c r="O201" s="124"/>
    </row>
    <row r="202" spans="1:15" ht="30" customHeight="1" x14ac:dyDescent="0.3">
      <c r="A202" s="123">
        <f t="shared" si="9"/>
        <v>198</v>
      </c>
      <c r="B202" s="127"/>
      <c r="C202" s="96"/>
      <c r="D202" s="83"/>
      <c r="E202" s="83"/>
      <c r="F202" s="96"/>
      <c r="G202" s="96"/>
      <c r="H202" s="70"/>
      <c r="I202" s="70"/>
      <c r="J202" s="70"/>
      <c r="K202" s="70">
        <f t="shared" si="10"/>
        <v>0</v>
      </c>
      <c r="L202" s="70">
        <f t="shared" si="11"/>
        <v>0</v>
      </c>
      <c r="M202" s="70">
        <f t="shared" si="12"/>
        <v>0</v>
      </c>
      <c r="N202" s="126"/>
      <c r="O202" s="124"/>
    </row>
    <row r="203" spans="1:15" ht="30" customHeight="1" x14ac:dyDescent="0.3">
      <c r="A203" s="123">
        <f t="shared" si="9"/>
        <v>199</v>
      </c>
      <c r="B203" s="127"/>
      <c r="C203" s="96"/>
      <c r="D203" s="83"/>
      <c r="E203" s="83"/>
      <c r="F203" s="96"/>
      <c r="G203" s="96"/>
      <c r="H203" s="70"/>
      <c r="I203" s="70"/>
      <c r="J203" s="70"/>
      <c r="K203" s="70">
        <f t="shared" si="10"/>
        <v>0</v>
      </c>
      <c r="L203" s="70">
        <f t="shared" si="11"/>
        <v>0</v>
      </c>
      <c r="M203" s="70">
        <f t="shared" si="12"/>
        <v>0</v>
      </c>
      <c r="N203" s="126"/>
      <c r="O203" s="124"/>
    </row>
    <row r="204" spans="1:15" ht="30" customHeight="1" x14ac:dyDescent="0.3">
      <c r="A204" s="123">
        <f t="shared" si="9"/>
        <v>200</v>
      </c>
      <c r="B204" s="127"/>
      <c r="C204" s="96"/>
      <c r="D204" s="83"/>
      <c r="E204" s="83"/>
      <c r="F204" s="96"/>
      <c r="G204" s="96"/>
      <c r="H204" s="70"/>
      <c r="I204" s="70"/>
      <c r="J204" s="70"/>
      <c r="K204" s="70">
        <f t="shared" si="10"/>
        <v>0</v>
      </c>
      <c r="L204" s="70">
        <f t="shared" si="11"/>
        <v>0</v>
      </c>
      <c r="M204" s="70">
        <f t="shared" si="12"/>
        <v>0</v>
      </c>
      <c r="N204" s="126"/>
      <c r="O204" s="124"/>
    </row>
    <row r="205" spans="1:15" ht="30" customHeight="1" x14ac:dyDescent="0.3">
      <c r="A205" s="123">
        <f t="shared" si="9"/>
        <v>201</v>
      </c>
      <c r="B205" s="127"/>
      <c r="C205" s="96"/>
      <c r="D205" s="83"/>
      <c r="E205" s="83"/>
      <c r="F205" s="96"/>
      <c r="G205" s="96"/>
      <c r="H205" s="70"/>
      <c r="I205" s="70"/>
      <c r="J205" s="70"/>
      <c r="K205" s="70">
        <f t="shared" si="10"/>
        <v>0</v>
      </c>
      <c r="L205" s="70">
        <f t="shared" si="11"/>
        <v>0</v>
      </c>
      <c r="M205" s="70">
        <f t="shared" si="12"/>
        <v>0</v>
      </c>
      <c r="N205" s="126"/>
      <c r="O205" s="124"/>
    </row>
    <row r="206" spans="1:15" ht="30" customHeight="1" x14ac:dyDescent="0.3">
      <c r="A206" s="123">
        <f t="shared" si="9"/>
        <v>202</v>
      </c>
      <c r="B206" s="127"/>
      <c r="C206" s="96"/>
      <c r="D206" s="83"/>
      <c r="E206" s="83"/>
      <c r="F206" s="96"/>
      <c r="G206" s="96"/>
      <c r="H206" s="70"/>
      <c r="I206" s="70"/>
      <c r="J206" s="70"/>
      <c r="K206" s="70">
        <f t="shared" si="10"/>
        <v>0</v>
      </c>
      <c r="L206" s="70">
        <f t="shared" si="11"/>
        <v>0</v>
      </c>
      <c r="M206" s="70">
        <f t="shared" si="12"/>
        <v>0</v>
      </c>
      <c r="N206" s="126"/>
      <c r="O206" s="124"/>
    </row>
    <row r="207" spans="1:15" ht="30" customHeight="1" x14ac:dyDescent="0.3">
      <c r="A207" s="123">
        <f t="shared" si="9"/>
        <v>203</v>
      </c>
      <c r="B207" s="127"/>
      <c r="C207" s="96"/>
      <c r="D207" s="83"/>
      <c r="E207" s="83"/>
      <c r="F207" s="96"/>
      <c r="G207" s="96"/>
      <c r="H207" s="70"/>
      <c r="I207" s="70"/>
      <c r="J207" s="70"/>
      <c r="K207" s="70">
        <f t="shared" si="10"/>
        <v>0</v>
      </c>
      <c r="L207" s="70">
        <f t="shared" si="11"/>
        <v>0</v>
      </c>
      <c r="M207" s="70">
        <f t="shared" si="12"/>
        <v>0</v>
      </c>
      <c r="N207" s="126"/>
      <c r="O207" s="124"/>
    </row>
    <row r="208" spans="1:15" ht="30" customHeight="1" x14ac:dyDescent="0.3">
      <c r="A208" s="123">
        <f t="shared" si="9"/>
        <v>204</v>
      </c>
      <c r="B208" s="127"/>
      <c r="C208" s="96"/>
      <c r="D208" s="83"/>
      <c r="E208" s="83"/>
      <c r="F208" s="96"/>
      <c r="G208" s="96"/>
      <c r="H208" s="70"/>
      <c r="I208" s="70"/>
      <c r="J208" s="70"/>
      <c r="K208" s="70">
        <f t="shared" si="10"/>
        <v>0</v>
      </c>
      <c r="L208" s="70">
        <f t="shared" si="11"/>
        <v>0</v>
      </c>
      <c r="M208" s="70">
        <f t="shared" si="12"/>
        <v>0</v>
      </c>
      <c r="N208" s="126"/>
      <c r="O208" s="124"/>
    </row>
    <row r="209" spans="1:15" ht="30" customHeight="1" x14ac:dyDescent="0.3">
      <c r="A209" s="123">
        <f t="shared" si="9"/>
        <v>205</v>
      </c>
      <c r="B209" s="127"/>
      <c r="C209" s="96"/>
      <c r="D209" s="83"/>
      <c r="E209" s="83"/>
      <c r="F209" s="96"/>
      <c r="G209" s="96"/>
      <c r="H209" s="70"/>
      <c r="I209" s="70"/>
      <c r="J209" s="70"/>
      <c r="K209" s="70">
        <f t="shared" si="10"/>
        <v>0</v>
      </c>
      <c r="L209" s="70">
        <f t="shared" si="11"/>
        <v>0</v>
      </c>
      <c r="M209" s="70">
        <f t="shared" si="12"/>
        <v>0</v>
      </c>
      <c r="N209" s="126"/>
      <c r="O209" s="124"/>
    </row>
    <row r="210" spans="1:15" ht="30" customHeight="1" x14ac:dyDescent="0.3">
      <c r="A210" s="123">
        <f t="shared" si="9"/>
        <v>206</v>
      </c>
      <c r="B210" s="127"/>
      <c r="C210" s="96"/>
      <c r="D210" s="83"/>
      <c r="E210" s="83"/>
      <c r="F210" s="96"/>
      <c r="G210" s="96"/>
      <c r="H210" s="70"/>
      <c r="I210" s="70"/>
      <c r="J210" s="70"/>
      <c r="K210" s="70">
        <f t="shared" si="10"/>
        <v>0</v>
      </c>
      <c r="L210" s="70">
        <f t="shared" si="11"/>
        <v>0</v>
      </c>
      <c r="M210" s="70">
        <f t="shared" si="12"/>
        <v>0</v>
      </c>
      <c r="N210" s="126"/>
      <c r="O210" s="124"/>
    </row>
    <row r="211" spans="1:15" ht="30" customHeight="1" x14ac:dyDescent="0.3">
      <c r="A211" s="123">
        <f t="shared" si="9"/>
        <v>207</v>
      </c>
      <c r="B211" s="127"/>
      <c r="C211" s="96"/>
      <c r="D211" s="83"/>
      <c r="E211" s="83"/>
      <c r="F211" s="96"/>
      <c r="G211" s="96"/>
      <c r="H211" s="70"/>
      <c r="I211" s="70"/>
      <c r="J211" s="70"/>
      <c r="K211" s="70">
        <f t="shared" si="10"/>
        <v>0</v>
      </c>
      <c r="L211" s="70">
        <f t="shared" si="11"/>
        <v>0</v>
      </c>
      <c r="M211" s="70">
        <f t="shared" si="12"/>
        <v>0</v>
      </c>
      <c r="N211" s="126"/>
      <c r="O211" s="124"/>
    </row>
    <row r="212" spans="1:15" ht="30" customHeight="1" x14ac:dyDescent="0.3">
      <c r="A212" s="123">
        <f t="shared" ref="A212:A275" si="13">A211+1</f>
        <v>208</v>
      </c>
      <c r="B212" s="127"/>
      <c r="C212" s="96"/>
      <c r="D212" s="83"/>
      <c r="E212" s="83"/>
      <c r="F212" s="96"/>
      <c r="G212" s="96"/>
      <c r="H212" s="70"/>
      <c r="I212" s="70"/>
      <c r="J212" s="70"/>
      <c r="K212" s="70">
        <f t="shared" ref="K212:K275" si="14">H212/1000000</f>
        <v>0</v>
      </c>
      <c r="L212" s="70">
        <f t="shared" ref="L212:L275" si="15">I212/1000000</f>
        <v>0</v>
      </c>
      <c r="M212" s="70">
        <f t="shared" ref="M212:M275" si="16">J212/1000000</f>
        <v>0</v>
      </c>
      <c r="N212" s="126"/>
      <c r="O212" s="124"/>
    </row>
    <row r="213" spans="1:15" ht="30" customHeight="1" x14ac:dyDescent="0.3">
      <c r="A213" s="123">
        <f t="shared" si="13"/>
        <v>209</v>
      </c>
      <c r="B213" s="127"/>
      <c r="C213" s="96"/>
      <c r="D213" s="83"/>
      <c r="E213" s="83"/>
      <c r="F213" s="96"/>
      <c r="G213" s="96"/>
      <c r="H213" s="70"/>
      <c r="I213" s="70"/>
      <c r="J213" s="70"/>
      <c r="K213" s="70">
        <f t="shared" si="14"/>
        <v>0</v>
      </c>
      <c r="L213" s="70">
        <f t="shared" si="15"/>
        <v>0</v>
      </c>
      <c r="M213" s="70">
        <f t="shared" si="16"/>
        <v>0</v>
      </c>
      <c r="N213" s="126"/>
      <c r="O213" s="124"/>
    </row>
    <row r="214" spans="1:15" ht="30" customHeight="1" x14ac:dyDescent="0.3">
      <c r="A214" s="123">
        <f t="shared" si="13"/>
        <v>210</v>
      </c>
      <c r="B214" s="127"/>
      <c r="C214" s="96"/>
      <c r="D214" s="83"/>
      <c r="E214" s="83"/>
      <c r="F214" s="96"/>
      <c r="G214" s="96"/>
      <c r="H214" s="70"/>
      <c r="I214" s="70"/>
      <c r="J214" s="70"/>
      <c r="K214" s="70">
        <f t="shared" si="14"/>
        <v>0</v>
      </c>
      <c r="L214" s="70">
        <f t="shared" si="15"/>
        <v>0</v>
      </c>
      <c r="M214" s="70">
        <f t="shared" si="16"/>
        <v>0</v>
      </c>
      <c r="N214" s="126"/>
      <c r="O214" s="124"/>
    </row>
    <row r="215" spans="1:15" ht="30" customHeight="1" x14ac:dyDescent="0.3">
      <c r="A215" s="123">
        <f t="shared" si="13"/>
        <v>211</v>
      </c>
      <c r="B215" s="127"/>
      <c r="C215" s="96"/>
      <c r="D215" s="83"/>
      <c r="E215" s="83"/>
      <c r="F215" s="96"/>
      <c r="G215" s="96"/>
      <c r="H215" s="70"/>
      <c r="I215" s="70"/>
      <c r="J215" s="70"/>
      <c r="K215" s="70">
        <f t="shared" si="14"/>
        <v>0</v>
      </c>
      <c r="L215" s="70">
        <f t="shared" si="15"/>
        <v>0</v>
      </c>
      <c r="M215" s="70">
        <f t="shared" si="16"/>
        <v>0</v>
      </c>
      <c r="N215" s="126"/>
      <c r="O215" s="124"/>
    </row>
    <row r="216" spans="1:15" ht="30" customHeight="1" x14ac:dyDescent="0.3">
      <c r="A216" s="123">
        <f t="shared" si="13"/>
        <v>212</v>
      </c>
      <c r="B216" s="127"/>
      <c r="C216" s="96"/>
      <c r="D216" s="83"/>
      <c r="E216" s="83"/>
      <c r="F216" s="96"/>
      <c r="G216" s="96"/>
      <c r="H216" s="70"/>
      <c r="I216" s="70"/>
      <c r="J216" s="70"/>
      <c r="K216" s="70">
        <f t="shared" si="14"/>
        <v>0</v>
      </c>
      <c r="L216" s="70">
        <f t="shared" si="15"/>
        <v>0</v>
      </c>
      <c r="M216" s="70">
        <f t="shared" si="16"/>
        <v>0</v>
      </c>
      <c r="N216" s="126"/>
      <c r="O216" s="124"/>
    </row>
    <row r="217" spans="1:15" ht="30" customHeight="1" x14ac:dyDescent="0.3">
      <c r="A217" s="123">
        <f t="shared" si="13"/>
        <v>213</v>
      </c>
      <c r="B217" s="127"/>
      <c r="C217" s="96"/>
      <c r="D217" s="83"/>
      <c r="E217" s="83"/>
      <c r="F217" s="96"/>
      <c r="G217" s="96"/>
      <c r="H217" s="70"/>
      <c r="I217" s="70"/>
      <c r="J217" s="70"/>
      <c r="K217" s="70">
        <f t="shared" si="14"/>
        <v>0</v>
      </c>
      <c r="L217" s="70">
        <f t="shared" si="15"/>
        <v>0</v>
      </c>
      <c r="M217" s="70">
        <f t="shared" si="16"/>
        <v>0</v>
      </c>
      <c r="N217" s="126"/>
      <c r="O217" s="124"/>
    </row>
    <row r="218" spans="1:15" ht="30" customHeight="1" x14ac:dyDescent="0.3">
      <c r="A218" s="123">
        <f t="shared" si="13"/>
        <v>214</v>
      </c>
      <c r="B218" s="127"/>
      <c r="C218" s="96"/>
      <c r="D218" s="83"/>
      <c r="E218" s="83"/>
      <c r="F218" s="96"/>
      <c r="G218" s="96"/>
      <c r="H218" s="70"/>
      <c r="I218" s="70"/>
      <c r="J218" s="70"/>
      <c r="K218" s="70">
        <f t="shared" si="14"/>
        <v>0</v>
      </c>
      <c r="L218" s="70">
        <f t="shared" si="15"/>
        <v>0</v>
      </c>
      <c r="M218" s="70">
        <f t="shared" si="16"/>
        <v>0</v>
      </c>
      <c r="N218" s="126"/>
      <c r="O218" s="124"/>
    </row>
    <row r="219" spans="1:15" ht="30" customHeight="1" x14ac:dyDescent="0.3">
      <c r="A219" s="123">
        <f t="shared" si="13"/>
        <v>215</v>
      </c>
      <c r="B219" s="127"/>
      <c r="C219" s="96"/>
      <c r="D219" s="83"/>
      <c r="E219" s="83"/>
      <c r="F219" s="96"/>
      <c r="G219" s="96"/>
      <c r="H219" s="70"/>
      <c r="I219" s="70"/>
      <c r="J219" s="70"/>
      <c r="K219" s="70">
        <f t="shared" si="14"/>
        <v>0</v>
      </c>
      <c r="L219" s="70">
        <f t="shared" si="15"/>
        <v>0</v>
      </c>
      <c r="M219" s="70">
        <f t="shared" si="16"/>
        <v>0</v>
      </c>
      <c r="N219" s="126"/>
      <c r="O219" s="124"/>
    </row>
    <row r="220" spans="1:15" ht="30" customHeight="1" x14ac:dyDescent="0.3">
      <c r="A220" s="123">
        <f t="shared" si="13"/>
        <v>216</v>
      </c>
      <c r="B220" s="127"/>
      <c r="C220" s="96"/>
      <c r="D220" s="83"/>
      <c r="E220" s="83"/>
      <c r="F220" s="96"/>
      <c r="G220" s="96"/>
      <c r="H220" s="70"/>
      <c r="I220" s="70"/>
      <c r="J220" s="70"/>
      <c r="K220" s="70">
        <f t="shared" si="14"/>
        <v>0</v>
      </c>
      <c r="L220" s="70">
        <f t="shared" si="15"/>
        <v>0</v>
      </c>
      <c r="M220" s="70">
        <f t="shared" si="16"/>
        <v>0</v>
      </c>
      <c r="N220" s="126"/>
      <c r="O220" s="124"/>
    </row>
    <row r="221" spans="1:15" ht="30" customHeight="1" x14ac:dyDescent="0.3">
      <c r="A221" s="123">
        <f t="shared" si="13"/>
        <v>217</v>
      </c>
      <c r="B221" s="127"/>
      <c r="C221" s="96"/>
      <c r="D221" s="83"/>
      <c r="E221" s="83"/>
      <c r="F221" s="96"/>
      <c r="G221" s="96"/>
      <c r="H221" s="70"/>
      <c r="I221" s="70"/>
      <c r="J221" s="70"/>
      <c r="K221" s="70">
        <f t="shared" si="14"/>
        <v>0</v>
      </c>
      <c r="L221" s="70">
        <f t="shared" si="15"/>
        <v>0</v>
      </c>
      <c r="M221" s="70">
        <f t="shared" si="16"/>
        <v>0</v>
      </c>
      <c r="N221" s="126"/>
      <c r="O221" s="124"/>
    </row>
    <row r="222" spans="1:15" ht="30" customHeight="1" x14ac:dyDescent="0.3">
      <c r="A222" s="123">
        <f t="shared" si="13"/>
        <v>218</v>
      </c>
      <c r="B222" s="127"/>
      <c r="C222" s="96"/>
      <c r="D222" s="83"/>
      <c r="E222" s="83"/>
      <c r="F222" s="96"/>
      <c r="G222" s="96"/>
      <c r="H222" s="70"/>
      <c r="I222" s="70"/>
      <c r="J222" s="70"/>
      <c r="K222" s="70">
        <f t="shared" si="14"/>
        <v>0</v>
      </c>
      <c r="L222" s="70">
        <f t="shared" si="15"/>
        <v>0</v>
      </c>
      <c r="M222" s="70">
        <f t="shared" si="16"/>
        <v>0</v>
      </c>
      <c r="N222" s="126"/>
      <c r="O222" s="124"/>
    </row>
    <row r="223" spans="1:15" ht="30" customHeight="1" x14ac:dyDescent="0.3">
      <c r="A223" s="123">
        <f t="shared" si="13"/>
        <v>219</v>
      </c>
      <c r="B223" s="127"/>
      <c r="C223" s="96"/>
      <c r="D223" s="83"/>
      <c r="E223" s="83"/>
      <c r="F223" s="96"/>
      <c r="G223" s="96"/>
      <c r="H223" s="70"/>
      <c r="I223" s="70"/>
      <c r="J223" s="70"/>
      <c r="K223" s="70">
        <f t="shared" si="14"/>
        <v>0</v>
      </c>
      <c r="L223" s="70">
        <f t="shared" si="15"/>
        <v>0</v>
      </c>
      <c r="M223" s="70">
        <f t="shared" si="16"/>
        <v>0</v>
      </c>
      <c r="N223" s="126"/>
      <c r="O223" s="124"/>
    </row>
    <row r="224" spans="1:15" ht="30" customHeight="1" x14ac:dyDescent="0.3">
      <c r="A224" s="123">
        <f t="shared" si="13"/>
        <v>220</v>
      </c>
      <c r="B224" s="127"/>
      <c r="C224" s="96"/>
      <c r="D224" s="83"/>
      <c r="E224" s="83"/>
      <c r="F224" s="96"/>
      <c r="G224" s="96"/>
      <c r="H224" s="70"/>
      <c r="I224" s="70"/>
      <c r="J224" s="70"/>
      <c r="K224" s="70">
        <f t="shared" si="14"/>
        <v>0</v>
      </c>
      <c r="L224" s="70">
        <f t="shared" si="15"/>
        <v>0</v>
      </c>
      <c r="M224" s="70">
        <f t="shared" si="16"/>
        <v>0</v>
      </c>
      <c r="N224" s="126"/>
      <c r="O224" s="124"/>
    </row>
    <row r="225" spans="1:15" ht="30" customHeight="1" x14ac:dyDescent="0.3">
      <c r="A225" s="123">
        <f t="shared" si="13"/>
        <v>221</v>
      </c>
      <c r="B225" s="127"/>
      <c r="C225" s="96"/>
      <c r="D225" s="83"/>
      <c r="E225" s="83"/>
      <c r="F225" s="96"/>
      <c r="G225" s="96"/>
      <c r="H225" s="70"/>
      <c r="I225" s="70"/>
      <c r="J225" s="70"/>
      <c r="K225" s="70">
        <f t="shared" si="14"/>
        <v>0</v>
      </c>
      <c r="L225" s="70">
        <f t="shared" si="15"/>
        <v>0</v>
      </c>
      <c r="M225" s="70">
        <f t="shared" si="16"/>
        <v>0</v>
      </c>
      <c r="N225" s="126"/>
      <c r="O225" s="124"/>
    </row>
    <row r="226" spans="1:15" ht="30" customHeight="1" x14ac:dyDescent="0.3">
      <c r="A226" s="123">
        <f t="shared" si="13"/>
        <v>222</v>
      </c>
      <c r="B226" s="127"/>
      <c r="C226" s="96"/>
      <c r="D226" s="83"/>
      <c r="E226" s="83"/>
      <c r="F226" s="96"/>
      <c r="G226" s="96"/>
      <c r="H226" s="70"/>
      <c r="I226" s="70"/>
      <c r="J226" s="70"/>
      <c r="K226" s="70">
        <f t="shared" si="14"/>
        <v>0</v>
      </c>
      <c r="L226" s="70">
        <f t="shared" si="15"/>
        <v>0</v>
      </c>
      <c r="M226" s="70">
        <f t="shared" si="16"/>
        <v>0</v>
      </c>
      <c r="N226" s="126"/>
      <c r="O226" s="124"/>
    </row>
    <row r="227" spans="1:15" ht="30" customHeight="1" x14ac:dyDescent="0.3">
      <c r="A227" s="123">
        <f t="shared" si="13"/>
        <v>223</v>
      </c>
      <c r="B227" s="127"/>
      <c r="C227" s="96"/>
      <c r="D227" s="83"/>
      <c r="E227" s="83"/>
      <c r="F227" s="96"/>
      <c r="G227" s="96"/>
      <c r="H227" s="70"/>
      <c r="I227" s="70"/>
      <c r="J227" s="70"/>
      <c r="K227" s="70">
        <f t="shared" si="14"/>
        <v>0</v>
      </c>
      <c r="L227" s="70">
        <f t="shared" si="15"/>
        <v>0</v>
      </c>
      <c r="M227" s="70">
        <f t="shared" si="16"/>
        <v>0</v>
      </c>
      <c r="N227" s="126"/>
      <c r="O227" s="124"/>
    </row>
    <row r="228" spans="1:15" ht="30" customHeight="1" x14ac:dyDescent="0.3">
      <c r="A228" s="123">
        <f t="shared" si="13"/>
        <v>224</v>
      </c>
      <c r="B228" s="127"/>
      <c r="C228" s="96"/>
      <c r="D228" s="83"/>
      <c r="E228" s="83"/>
      <c r="F228" s="96"/>
      <c r="G228" s="96"/>
      <c r="H228" s="70"/>
      <c r="I228" s="70"/>
      <c r="J228" s="70"/>
      <c r="K228" s="70">
        <f t="shared" si="14"/>
        <v>0</v>
      </c>
      <c r="L228" s="70">
        <f t="shared" si="15"/>
        <v>0</v>
      </c>
      <c r="M228" s="70">
        <f t="shared" si="16"/>
        <v>0</v>
      </c>
      <c r="N228" s="126"/>
      <c r="O228" s="124"/>
    </row>
    <row r="229" spans="1:15" ht="30" customHeight="1" x14ac:dyDescent="0.3">
      <c r="A229" s="123">
        <f t="shared" si="13"/>
        <v>225</v>
      </c>
      <c r="B229" s="127"/>
      <c r="C229" s="96"/>
      <c r="D229" s="83"/>
      <c r="E229" s="83"/>
      <c r="F229" s="96"/>
      <c r="G229" s="96"/>
      <c r="H229" s="70"/>
      <c r="I229" s="70"/>
      <c r="J229" s="70"/>
      <c r="K229" s="70">
        <f t="shared" si="14"/>
        <v>0</v>
      </c>
      <c r="L229" s="70">
        <f t="shared" si="15"/>
        <v>0</v>
      </c>
      <c r="M229" s="70">
        <f t="shared" si="16"/>
        <v>0</v>
      </c>
      <c r="N229" s="126"/>
      <c r="O229" s="124"/>
    </row>
    <row r="230" spans="1:15" ht="30" customHeight="1" x14ac:dyDescent="0.3">
      <c r="A230" s="123">
        <f t="shared" si="13"/>
        <v>226</v>
      </c>
      <c r="B230" s="127"/>
      <c r="C230" s="96"/>
      <c r="D230" s="83"/>
      <c r="E230" s="83"/>
      <c r="F230" s="96"/>
      <c r="G230" s="96"/>
      <c r="H230" s="70"/>
      <c r="I230" s="70"/>
      <c r="J230" s="70"/>
      <c r="K230" s="70">
        <f t="shared" si="14"/>
        <v>0</v>
      </c>
      <c r="L230" s="70">
        <f t="shared" si="15"/>
        <v>0</v>
      </c>
      <c r="M230" s="70">
        <f t="shared" si="16"/>
        <v>0</v>
      </c>
      <c r="N230" s="126"/>
      <c r="O230" s="124"/>
    </row>
    <row r="231" spans="1:15" ht="30" customHeight="1" x14ac:dyDescent="0.3">
      <c r="A231" s="123">
        <f t="shared" si="13"/>
        <v>227</v>
      </c>
      <c r="B231" s="127"/>
      <c r="C231" s="96"/>
      <c r="D231" s="83"/>
      <c r="E231" s="83"/>
      <c r="F231" s="96"/>
      <c r="G231" s="96"/>
      <c r="H231" s="70"/>
      <c r="I231" s="70"/>
      <c r="J231" s="70"/>
      <c r="K231" s="70">
        <f t="shared" si="14"/>
        <v>0</v>
      </c>
      <c r="L231" s="70">
        <f t="shared" si="15"/>
        <v>0</v>
      </c>
      <c r="M231" s="70">
        <f t="shared" si="16"/>
        <v>0</v>
      </c>
      <c r="N231" s="126"/>
      <c r="O231" s="124"/>
    </row>
    <row r="232" spans="1:15" ht="30" customHeight="1" x14ac:dyDescent="0.3">
      <c r="A232" s="123">
        <f t="shared" si="13"/>
        <v>228</v>
      </c>
      <c r="B232" s="127"/>
      <c r="C232" s="96"/>
      <c r="D232" s="83"/>
      <c r="E232" s="83"/>
      <c r="F232" s="96"/>
      <c r="G232" s="96"/>
      <c r="H232" s="70"/>
      <c r="I232" s="70"/>
      <c r="J232" s="70"/>
      <c r="K232" s="70">
        <f t="shared" si="14"/>
        <v>0</v>
      </c>
      <c r="L232" s="70">
        <f t="shared" si="15"/>
        <v>0</v>
      </c>
      <c r="M232" s="70">
        <f t="shared" si="16"/>
        <v>0</v>
      </c>
      <c r="N232" s="126"/>
      <c r="O232" s="124"/>
    </row>
    <row r="233" spans="1:15" ht="30" customHeight="1" x14ac:dyDescent="0.3">
      <c r="A233" s="123">
        <f t="shared" si="13"/>
        <v>229</v>
      </c>
      <c r="B233" s="127"/>
      <c r="C233" s="96"/>
      <c r="D233" s="83"/>
      <c r="E233" s="83"/>
      <c r="F233" s="96"/>
      <c r="G233" s="96"/>
      <c r="H233" s="70"/>
      <c r="I233" s="70"/>
      <c r="J233" s="70"/>
      <c r="K233" s="70">
        <f t="shared" si="14"/>
        <v>0</v>
      </c>
      <c r="L233" s="70">
        <f t="shared" si="15"/>
        <v>0</v>
      </c>
      <c r="M233" s="70">
        <f t="shared" si="16"/>
        <v>0</v>
      </c>
      <c r="N233" s="126"/>
      <c r="O233" s="124"/>
    </row>
    <row r="234" spans="1:15" ht="30" customHeight="1" x14ac:dyDescent="0.3">
      <c r="A234" s="123">
        <f t="shared" si="13"/>
        <v>230</v>
      </c>
      <c r="B234" s="127"/>
      <c r="C234" s="96"/>
      <c r="D234" s="83"/>
      <c r="E234" s="83"/>
      <c r="F234" s="96"/>
      <c r="G234" s="96"/>
      <c r="H234" s="70"/>
      <c r="I234" s="70"/>
      <c r="J234" s="70"/>
      <c r="K234" s="70">
        <f t="shared" si="14"/>
        <v>0</v>
      </c>
      <c r="L234" s="70">
        <f t="shared" si="15"/>
        <v>0</v>
      </c>
      <c r="M234" s="70">
        <f t="shared" si="16"/>
        <v>0</v>
      </c>
      <c r="N234" s="126"/>
      <c r="O234" s="124"/>
    </row>
    <row r="235" spans="1:15" ht="30" customHeight="1" x14ac:dyDescent="0.3">
      <c r="A235" s="123">
        <f t="shared" si="13"/>
        <v>231</v>
      </c>
      <c r="B235" s="127"/>
      <c r="C235" s="96"/>
      <c r="D235" s="83"/>
      <c r="E235" s="83"/>
      <c r="F235" s="96"/>
      <c r="G235" s="96"/>
      <c r="H235" s="70"/>
      <c r="I235" s="70"/>
      <c r="J235" s="70"/>
      <c r="K235" s="70">
        <f t="shared" si="14"/>
        <v>0</v>
      </c>
      <c r="L235" s="70">
        <f t="shared" si="15"/>
        <v>0</v>
      </c>
      <c r="M235" s="70">
        <f t="shared" si="16"/>
        <v>0</v>
      </c>
      <c r="N235" s="126"/>
      <c r="O235" s="124"/>
    </row>
    <row r="236" spans="1:15" ht="30" customHeight="1" x14ac:dyDescent="0.3">
      <c r="A236" s="123">
        <f t="shared" si="13"/>
        <v>232</v>
      </c>
      <c r="B236" s="127"/>
      <c r="C236" s="96"/>
      <c r="D236" s="83"/>
      <c r="E236" s="83"/>
      <c r="F236" s="96"/>
      <c r="G236" s="96"/>
      <c r="H236" s="70"/>
      <c r="I236" s="70"/>
      <c r="J236" s="70"/>
      <c r="K236" s="70">
        <f t="shared" si="14"/>
        <v>0</v>
      </c>
      <c r="L236" s="70">
        <f t="shared" si="15"/>
        <v>0</v>
      </c>
      <c r="M236" s="70">
        <f t="shared" si="16"/>
        <v>0</v>
      </c>
      <c r="N236" s="126"/>
      <c r="O236" s="124"/>
    </row>
    <row r="237" spans="1:15" ht="30" customHeight="1" x14ac:dyDescent="0.3">
      <c r="A237" s="123">
        <f t="shared" si="13"/>
        <v>233</v>
      </c>
      <c r="B237" s="127"/>
      <c r="C237" s="96"/>
      <c r="D237" s="83"/>
      <c r="E237" s="83"/>
      <c r="F237" s="96"/>
      <c r="G237" s="96"/>
      <c r="H237" s="70"/>
      <c r="I237" s="70"/>
      <c r="J237" s="70"/>
      <c r="K237" s="70">
        <f t="shared" si="14"/>
        <v>0</v>
      </c>
      <c r="L237" s="70">
        <f t="shared" si="15"/>
        <v>0</v>
      </c>
      <c r="M237" s="70">
        <f t="shared" si="16"/>
        <v>0</v>
      </c>
      <c r="N237" s="126"/>
      <c r="O237" s="124"/>
    </row>
    <row r="238" spans="1:15" ht="30" customHeight="1" x14ac:dyDescent="0.3">
      <c r="A238" s="123">
        <f t="shared" si="13"/>
        <v>234</v>
      </c>
      <c r="B238" s="127"/>
      <c r="C238" s="96"/>
      <c r="D238" s="83"/>
      <c r="E238" s="83"/>
      <c r="F238" s="96"/>
      <c r="G238" s="96"/>
      <c r="H238" s="70"/>
      <c r="I238" s="70"/>
      <c r="J238" s="70"/>
      <c r="K238" s="70">
        <f t="shared" si="14"/>
        <v>0</v>
      </c>
      <c r="L238" s="70">
        <f t="shared" si="15"/>
        <v>0</v>
      </c>
      <c r="M238" s="70">
        <f t="shared" si="16"/>
        <v>0</v>
      </c>
      <c r="N238" s="126"/>
      <c r="O238" s="124"/>
    </row>
    <row r="239" spans="1:15" ht="30" customHeight="1" x14ac:dyDescent="0.3">
      <c r="A239" s="123">
        <f t="shared" si="13"/>
        <v>235</v>
      </c>
      <c r="B239" s="127"/>
      <c r="C239" s="96"/>
      <c r="D239" s="83"/>
      <c r="E239" s="83"/>
      <c r="F239" s="96"/>
      <c r="G239" s="96"/>
      <c r="H239" s="70"/>
      <c r="I239" s="70"/>
      <c r="J239" s="70"/>
      <c r="K239" s="70">
        <f t="shared" si="14"/>
        <v>0</v>
      </c>
      <c r="L239" s="70">
        <f t="shared" si="15"/>
        <v>0</v>
      </c>
      <c r="M239" s="70">
        <f t="shared" si="16"/>
        <v>0</v>
      </c>
      <c r="N239" s="126"/>
      <c r="O239" s="124"/>
    </row>
    <row r="240" spans="1:15" ht="30" customHeight="1" x14ac:dyDescent="0.3">
      <c r="A240" s="123">
        <f t="shared" si="13"/>
        <v>236</v>
      </c>
      <c r="B240" s="127"/>
      <c r="C240" s="96"/>
      <c r="D240" s="83"/>
      <c r="E240" s="83"/>
      <c r="F240" s="96"/>
      <c r="G240" s="96"/>
      <c r="H240" s="70"/>
      <c r="I240" s="70"/>
      <c r="J240" s="70"/>
      <c r="K240" s="70">
        <f t="shared" si="14"/>
        <v>0</v>
      </c>
      <c r="L240" s="70">
        <f t="shared" si="15"/>
        <v>0</v>
      </c>
      <c r="M240" s="70">
        <f t="shared" si="16"/>
        <v>0</v>
      </c>
      <c r="N240" s="126"/>
      <c r="O240" s="124"/>
    </row>
    <row r="241" spans="1:15" ht="30" customHeight="1" x14ac:dyDescent="0.3">
      <c r="A241" s="123">
        <f t="shared" si="13"/>
        <v>237</v>
      </c>
      <c r="B241" s="127"/>
      <c r="C241" s="96"/>
      <c r="D241" s="83"/>
      <c r="E241" s="83"/>
      <c r="F241" s="96"/>
      <c r="G241" s="96"/>
      <c r="H241" s="70"/>
      <c r="I241" s="70"/>
      <c r="J241" s="70"/>
      <c r="K241" s="70">
        <f t="shared" si="14"/>
        <v>0</v>
      </c>
      <c r="L241" s="70">
        <f t="shared" si="15"/>
        <v>0</v>
      </c>
      <c r="M241" s="70">
        <f t="shared" si="16"/>
        <v>0</v>
      </c>
      <c r="N241" s="126"/>
      <c r="O241" s="124"/>
    </row>
    <row r="242" spans="1:15" ht="30" customHeight="1" x14ac:dyDescent="0.3">
      <c r="A242" s="123">
        <f t="shared" si="13"/>
        <v>238</v>
      </c>
      <c r="B242" s="127"/>
      <c r="C242" s="96"/>
      <c r="D242" s="83"/>
      <c r="E242" s="83"/>
      <c r="F242" s="96"/>
      <c r="G242" s="96"/>
      <c r="H242" s="70"/>
      <c r="I242" s="70"/>
      <c r="J242" s="70"/>
      <c r="K242" s="70">
        <f t="shared" si="14"/>
        <v>0</v>
      </c>
      <c r="L242" s="70">
        <f t="shared" si="15"/>
        <v>0</v>
      </c>
      <c r="M242" s="70">
        <f t="shared" si="16"/>
        <v>0</v>
      </c>
      <c r="N242" s="126"/>
      <c r="O242" s="124"/>
    </row>
    <row r="243" spans="1:15" ht="30" customHeight="1" x14ac:dyDescent="0.3">
      <c r="A243" s="123">
        <f t="shared" si="13"/>
        <v>239</v>
      </c>
      <c r="B243" s="127"/>
      <c r="C243" s="96"/>
      <c r="D243" s="83"/>
      <c r="E243" s="83"/>
      <c r="F243" s="96"/>
      <c r="G243" s="96"/>
      <c r="H243" s="70"/>
      <c r="I243" s="70"/>
      <c r="J243" s="70"/>
      <c r="K243" s="70">
        <f t="shared" si="14"/>
        <v>0</v>
      </c>
      <c r="L243" s="70">
        <f t="shared" si="15"/>
        <v>0</v>
      </c>
      <c r="M243" s="70">
        <f t="shared" si="16"/>
        <v>0</v>
      </c>
      <c r="N243" s="126"/>
      <c r="O243" s="124"/>
    </row>
    <row r="244" spans="1:15" ht="30" customHeight="1" x14ac:dyDescent="0.3">
      <c r="A244" s="123">
        <f t="shared" si="13"/>
        <v>240</v>
      </c>
      <c r="B244" s="127"/>
      <c r="C244" s="96"/>
      <c r="D244" s="83"/>
      <c r="E244" s="83"/>
      <c r="F244" s="96"/>
      <c r="G244" s="96"/>
      <c r="H244" s="70"/>
      <c r="I244" s="70"/>
      <c r="J244" s="70"/>
      <c r="K244" s="70">
        <f t="shared" si="14"/>
        <v>0</v>
      </c>
      <c r="L244" s="70">
        <f t="shared" si="15"/>
        <v>0</v>
      </c>
      <c r="M244" s="70">
        <f t="shared" si="16"/>
        <v>0</v>
      </c>
      <c r="N244" s="126"/>
      <c r="O244" s="124"/>
    </row>
    <row r="245" spans="1:15" ht="30" customHeight="1" x14ac:dyDescent="0.3">
      <c r="A245" s="123">
        <f t="shared" si="13"/>
        <v>241</v>
      </c>
      <c r="B245" s="127"/>
      <c r="C245" s="96"/>
      <c r="D245" s="83"/>
      <c r="E245" s="83"/>
      <c r="F245" s="96"/>
      <c r="G245" s="96"/>
      <c r="H245" s="70"/>
      <c r="I245" s="70"/>
      <c r="J245" s="70"/>
      <c r="K245" s="70">
        <f t="shared" si="14"/>
        <v>0</v>
      </c>
      <c r="L245" s="70">
        <f t="shared" si="15"/>
        <v>0</v>
      </c>
      <c r="M245" s="70">
        <f t="shared" si="16"/>
        <v>0</v>
      </c>
      <c r="N245" s="126"/>
      <c r="O245" s="124"/>
    </row>
    <row r="246" spans="1:15" ht="30" customHeight="1" x14ac:dyDescent="0.3">
      <c r="A246" s="123">
        <f t="shared" si="13"/>
        <v>242</v>
      </c>
      <c r="B246" s="127"/>
      <c r="C246" s="96"/>
      <c r="D246" s="83"/>
      <c r="E246" s="83"/>
      <c r="F246" s="96"/>
      <c r="G246" s="96"/>
      <c r="H246" s="70"/>
      <c r="I246" s="70"/>
      <c r="J246" s="70"/>
      <c r="K246" s="70">
        <f t="shared" si="14"/>
        <v>0</v>
      </c>
      <c r="L246" s="70">
        <f t="shared" si="15"/>
        <v>0</v>
      </c>
      <c r="M246" s="70">
        <f t="shared" si="16"/>
        <v>0</v>
      </c>
      <c r="N246" s="126"/>
      <c r="O246" s="124"/>
    </row>
    <row r="247" spans="1:15" ht="30" customHeight="1" x14ac:dyDescent="0.3">
      <c r="A247" s="123">
        <f t="shared" si="13"/>
        <v>243</v>
      </c>
      <c r="B247" s="127"/>
      <c r="C247" s="96"/>
      <c r="D247" s="83"/>
      <c r="E247" s="83"/>
      <c r="F247" s="96"/>
      <c r="G247" s="96"/>
      <c r="H247" s="70"/>
      <c r="I247" s="70"/>
      <c r="J247" s="70"/>
      <c r="K247" s="70">
        <f t="shared" si="14"/>
        <v>0</v>
      </c>
      <c r="L247" s="70">
        <f t="shared" si="15"/>
        <v>0</v>
      </c>
      <c r="M247" s="70">
        <f t="shared" si="16"/>
        <v>0</v>
      </c>
      <c r="N247" s="126"/>
      <c r="O247" s="124"/>
    </row>
    <row r="248" spans="1:15" ht="30" customHeight="1" x14ac:dyDescent="0.3">
      <c r="A248" s="123">
        <f t="shared" si="13"/>
        <v>244</v>
      </c>
      <c r="B248" s="127"/>
      <c r="C248" s="96"/>
      <c r="D248" s="83"/>
      <c r="E248" s="83"/>
      <c r="F248" s="96"/>
      <c r="G248" s="96"/>
      <c r="H248" s="70"/>
      <c r="I248" s="70"/>
      <c r="J248" s="70"/>
      <c r="K248" s="70">
        <f t="shared" si="14"/>
        <v>0</v>
      </c>
      <c r="L248" s="70">
        <f t="shared" si="15"/>
        <v>0</v>
      </c>
      <c r="M248" s="70">
        <f t="shared" si="16"/>
        <v>0</v>
      </c>
      <c r="N248" s="126"/>
      <c r="O248" s="124"/>
    </row>
    <row r="249" spans="1:15" ht="30" customHeight="1" x14ac:dyDescent="0.3">
      <c r="A249" s="123">
        <f t="shared" si="13"/>
        <v>245</v>
      </c>
      <c r="B249" s="127"/>
      <c r="C249" s="96"/>
      <c r="D249" s="83"/>
      <c r="E249" s="83"/>
      <c r="F249" s="96"/>
      <c r="G249" s="96"/>
      <c r="H249" s="70"/>
      <c r="I249" s="70"/>
      <c r="J249" s="70"/>
      <c r="K249" s="70">
        <f t="shared" si="14"/>
        <v>0</v>
      </c>
      <c r="L249" s="70">
        <f t="shared" si="15"/>
        <v>0</v>
      </c>
      <c r="M249" s="70">
        <f t="shared" si="16"/>
        <v>0</v>
      </c>
      <c r="N249" s="126"/>
      <c r="O249" s="124"/>
    </row>
    <row r="250" spans="1:15" ht="30" customHeight="1" x14ac:dyDescent="0.3">
      <c r="A250" s="123">
        <f t="shared" si="13"/>
        <v>246</v>
      </c>
      <c r="B250" s="127"/>
      <c r="C250" s="96"/>
      <c r="D250" s="83"/>
      <c r="E250" s="83"/>
      <c r="F250" s="96"/>
      <c r="G250" s="96"/>
      <c r="H250" s="70"/>
      <c r="I250" s="70"/>
      <c r="J250" s="70"/>
      <c r="K250" s="70">
        <f t="shared" si="14"/>
        <v>0</v>
      </c>
      <c r="L250" s="70">
        <f t="shared" si="15"/>
        <v>0</v>
      </c>
      <c r="M250" s="70">
        <f t="shared" si="16"/>
        <v>0</v>
      </c>
      <c r="N250" s="126"/>
      <c r="O250" s="124"/>
    </row>
    <row r="251" spans="1:15" ht="30" customHeight="1" x14ac:dyDescent="0.3">
      <c r="A251" s="123">
        <f t="shared" si="13"/>
        <v>247</v>
      </c>
      <c r="B251" s="127"/>
      <c r="C251" s="96"/>
      <c r="D251" s="83"/>
      <c r="E251" s="83"/>
      <c r="F251" s="96"/>
      <c r="G251" s="96"/>
      <c r="H251" s="70"/>
      <c r="I251" s="70"/>
      <c r="J251" s="70"/>
      <c r="K251" s="70">
        <f t="shared" si="14"/>
        <v>0</v>
      </c>
      <c r="L251" s="70">
        <f t="shared" si="15"/>
        <v>0</v>
      </c>
      <c r="M251" s="70">
        <f t="shared" si="16"/>
        <v>0</v>
      </c>
      <c r="N251" s="126"/>
      <c r="O251" s="124"/>
    </row>
    <row r="252" spans="1:15" ht="30" customHeight="1" x14ac:dyDescent="0.3">
      <c r="A252" s="123">
        <f t="shared" si="13"/>
        <v>248</v>
      </c>
      <c r="B252" s="127"/>
      <c r="C252" s="96"/>
      <c r="D252" s="83"/>
      <c r="E252" s="83"/>
      <c r="F252" s="96"/>
      <c r="G252" s="96"/>
      <c r="H252" s="70"/>
      <c r="I252" s="70"/>
      <c r="J252" s="70"/>
      <c r="K252" s="70">
        <f t="shared" si="14"/>
        <v>0</v>
      </c>
      <c r="L252" s="70">
        <f t="shared" si="15"/>
        <v>0</v>
      </c>
      <c r="M252" s="70">
        <f t="shared" si="16"/>
        <v>0</v>
      </c>
      <c r="N252" s="126"/>
      <c r="O252" s="124"/>
    </row>
    <row r="253" spans="1:15" ht="30" customHeight="1" x14ac:dyDescent="0.3">
      <c r="A253" s="123">
        <f t="shared" si="13"/>
        <v>249</v>
      </c>
      <c r="B253" s="127"/>
      <c r="C253" s="96"/>
      <c r="D253" s="83"/>
      <c r="E253" s="83"/>
      <c r="F253" s="96"/>
      <c r="G253" s="96"/>
      <c r="H253" s="70"/>
      <c r="I253" s="70"/>
      <c r="J253" s="70"/>
      <c r="K253" s="70">
        <f t="shared" si="14"/>
        <v>0</v>
      </c>
      <c r="L253" s="70">
        <f t="shared" si="15"/>
        <v>0</v>
      </c>
      <c r="M253" s="70">
        <f t="shared" si="16"/>
        <v>0</v>
      </c>
      <c r="N253" s="126"/>
      <c r="O253" s="124"/>
    </row>
    <row r="254" spans="1:15" ht="30" customHeight="1" x14ac:dyDescent="0.3">
      <c r="A254" s="123">
        <f t="shared" si="13"/>
        <v>250</v>
      </c>
      <c r="B254" s="127"/>
      <c r="C254" s="96"/>
      <c r="D254" s="83"/>
      <c r="E254" s="83"/>
      <c r="F254" s="96"/>
      <c r="G254" s="96"/>
      <c r="H254" s="70"/>
      <c r="I254" s="70"/>
      <c r="J254" s="70"/>
      <c r="K254" s="70">
        <f t="shared" si="14"/>
        <v>0</v>
      </c>
      <c r="L254" s="70">
        <f t="shared" si="15"/>
        <v>0</v>
      </c>
      <c r="M254" s="70">
        <f t="shared" si="16"/>
        <v>0</v>
      </c>
      <c r="N254" s="126"/>
      <c r="O254" s="124"/>
    </row>
    <row r="255" spans="1:15" ht="30" customHeight="1" x14ac:dyDescent="0.3">
      <c r="A255" s="123">
        <f t="shared" si="13"/>
        <v>251</v>
      </c>
      <c r="B255" s="127"/>
      <c r="C255" s="96"/>
      <c r="D255" s="83"/>
      <c r="E255" s="83"/>
      <c r="F255" s="96"/>
      <c r="G255" s="96"/>
      <c r="H255" s="70"/>
      <c r="I255" s="70"/>
      <c r="J255" s="70"/>
      <c r="K255" s="70">
        <f t="shared" si="14"/>
        <v>0</v>
      </c>
      <c r="L255" s="70">
        <f t="shared" si="15"/>
        <v>0</v>
      </c>
      <c r="M255" s="70">
        <f t="shared" si="16"/>
        <v>0</v>
      </c>
      <c r="N255" s="126"/>
      <c r="O255" s="124"/>
    </row>
    <row r="256" spans="1:15" ht="30" customHeight="1" x14ac:dyDescent="0.3">
      <c r="A256" s="123">
        <f t="shared" si="13"/>
        <v>252</v>
      </c>
      <c r="B256" s="127"/>
      <c r="C256" s="96"/>
      <c r="D256" s="83"/>
      <c r="E256" s="83"/>
      <c r="F256" s="96"/>
      <c r="G256" s="96"/>
      <c r="H256" s="70"/>
      <c r="I256" s="70"/>
      <c r="J256" s="70"/>
      <c r="K256" s="70">
        <f t="shared" si="14"/>
        <v>0</v>
      </c>
      <c r="L256" s="70">
        <f t="shared" si="15"/>
        <v>0</v>
      </c>
      <c r="M256" s="70">
        <f t="shared" si="16"/>
        <v>0</v>
      </c>
      <c r="N256" s="126"/>
      <c r="O256" s="124"/>
    </row>
    <row r="257" spans="1:15" ht="30" customHeight="1" x14ac:dyDescent="0.3">
      <c r="A257" s="123">
        <f t="shared" si="13"/>
        <v>253</v>
      </c>
      <c r="B257" s="127"/>
      <c r="C257" s="96"/>
      <c r="D257" s="83"/>
      <c r="E257" s="83"/>
      <c r="F257" s="96"/>
      <c r="G257" s="96"/>
      <c r="H257" s="70"/>
      <c r="I257" s="70"/>
      <c r="J257" s="70"/>
      <c r="K257" s="70">
        <f t="shared" si="14"/>
        <v>0</v>
      </c>
      <c r="L257" s="70">
        <f t="shared" si="15"/>
        <v>0</v>
      </c>
      <c r="M257" s="70">
        <f t="shared" si="16"/>
        <v>0</v>
      </c>
      <c r="N257" s="126"/>
      <c r="O257" s="124"/>
    </row>
    <row r="258" spans="1:15" ht="30" customHeight="1" x14ac:dyDescent="0.3">
      <c r="A258" s="123">
        <f t="shared" si="13"/>
        <v>254</v>
      </c>
      <c r="B258" s="127"/>
      <c r="C258" s="96"/>
      <c r="D258" s="83"/>
      <c r="E258" s="83"/>
      <c r="F258" s="96"/>
      <c r="G258" s="96"/>
      <c r="H258" s="70"/>
      <c r="I258" s="70"/>
      <c r="J258" s="70"/>
      <c r="K258" s="70">
        <f t="shared" si="14"/>
        <v>0</v>
      </c>
      <c r="L258" s="70">
        <f t="shared" si="15"/>
        <v>0</v>
      </c>
      <c r="M258" s="70">
        <f t="shared" si="16"/>
        <v>0</v>
      </c>
      <c r="N258" s="126"/>
      <c r="O258" s="124"/>
    </row>
    <row r="259" spans="1:15" ht="30" customHeight="1" x14ac:dyDescent="0.3">
      <c r="A259" s="123">
        <f t="shared" si="13"/>
        <v>255</v>
      </c>
      <c r="B259" s="127"/>
      <c r="C259" s="96"/>
      <c r="D259" s="83"/>
      <c r="E259" s="83"/>
      <c r="F259" s="96"/>
      <c r="G259" s="96"/>
      <c r="H259" s="70"/>
      <c r="I259" s="70"/>
      <c r="J259" s="70"/>
      <c r="K259" s="70">
        <f t="shared" si="14"/>
        <v>0</v>
      </c>
      <c r="L259" s="70">
        <f t="shared" si="15"/>
        <v>0</v>
      </c>
      <c r="M259" s="70">
        <f t="shared" si="16"/>
        <v>0</v>
      </c>
      <c r="N259" s="126"/>
      <c r="O259" s="124"/>
    </row>
    <row r="260" spans="1:15" ht="30" customHeight="1" x14ac:dyDescent="0.3">
      <c r="A260" s="123">
        <f t="shared" si="13"/>
        <v>256</v>
      </c>
      <c r="B260" s="127"/>
      <c r="C260" s="96"/>
      <c r="D260" s="83"/>
      <c r="E260" s="83"/>
      <c r="F260" s="96"/>
      <c r="G260" s="96"/>
      <c r="H260" s="70"/>
      <c r="I260" s="70"/>
      <c r="J260" s="70"/>
      <c r="K260" s="70">
        <f t="shared" si="14"/>
        <v>0</v>
      </c>
      <c r="L260" s="70">
        <f t="shared" si="15"/>
        <v>0</v>
      </c>
      <c r="M260" s="70">
        <f t="shared" si="16"/>
        <v>0</v>
      </c>
      <c r="N260" s="126"/>
      <c r="O260" s="124"/>
    </row>
    <row r="261" spans="1:15" ht="30" customHeight="1" x14ac:dyDescent="0.3">
      <c r="A261" s="123">
        <f t="shared" si="13"/>
        <v>257</v>
      </c>
      <c r="B261" s="127"/>
      <c r="C261" s="96"/>
      <c r="D261" s="83"/>
      <c r="E261" s="83"/>
      <c r="F261" s="96"/>
      <c r="G261" s="96"/>
      <c r="H261" s="70"/>
      <c r="I261" s="70"/>
      <c r="J261" s="70"/>
      <c r="K261" s="70">
        <f t="shared" si="14"/>
        <v>0</v>
      </c>
      <c r="L261" s="70">
        <f t="shared" si="15"/>
        <v>0</v>
      </c>
      <c r="M261" s="70">
        <f t="shared" si="16"/>
        <v>0</v>
      </c>
      <c r="N261" s="126"/>
      <c r="O261" s="124"/>
    </row>
    <row r="262" spans="1:15" ht="30" customHeight="1" x14ac:dyDescent="0.3">
      <c r="A262" s="123">
        <f t="shared" si="13"/>
        <v>258</v>
      </c>
      <c r="B262" s="127"/>
      <c r="C262" s="96"/>
      <c r="D262" s="83"/>
      <c r="E262" s="83"/>
      <c r="F262" s="96"/>
      <c r="G262" s="96"/>
      <c r="H262" s="70"/>
      <c r="I262" s="70"/>
      <c r="J262" s="70"/>
      <c r="K262" s="70">
        <f t="shared" si="14"/>
        <v>0</v>
      </c>
      <c r="L262" s="70">
        <f t="shared" si="15"/>
        <v>0</v>
      </c>
      <c r="M262" s="70">
        <f t="shared" si="16"/>
        <v>0</v>
      </c>
      <c r="N262" s="126"/>
      <c r="O262" s="124"/>
    </row>
    <row r="263" spans="1:15" ht="30" customHeight="1" x14ac:dyDescent="0.3">
      <c r="A263" s="123">
        <f t="shared" si="13"/>
        <v>259</v>
      </c>
      <c r="B263" s="127"/>
      <c r="C263" s="96"/>
      <c r="D263" s="83"/>
      <c r="E263" s="83"/>
      <c r="F263" s="96"/>
      <c r="G263" s="96"/>
      <c r="H263" s="70"/>
      <c r="I263" s="70"/>
      <c r="J263" s="70"/>
      <c r="K263" s="70">
        <f t="shared" si="14"/>
        <v>0</v>
      </c>
      <c r="L263" s="70">
        <f t="shared" si="15"/>
        <v>0</v>
      </c>
      <c r="M263" s="70">
        <f t="shared" si="16"/>
        <v>0</v>
      </c>
      <c r="N263" s="126"/>
      <c r="O263" s="124"/>
    </row>
    <row r="264" spans="1:15" ht="30" customHeight="1" x14ac:dyDescent="0.3">
      <c r="A264" s="123">
        <f t="shared" si="13"/>
        <v>260</v>
      </c>
      <c r="B264" s="127"/>
      <c r="C264" s="96"/>
      <c r="D264" s="83"/>
      <c r="E264" s="83"/>
      <c r="F264" s="96"/>
      <c r="G264" s="96"/>
      <c r="H264" s="70"/>
      <c r="I264" s="70"/>
      <c r="J264" s="70"/>
      <c r="K264" s="70">
        <f t="shared" si="14"/>
        <v>0</v>
      </c>
      <c r="L264" s="70">
        <f t="shared" si="15"/>
        <v>0</v>
      </c>
      <c r="M264" s="70">
        <f t="shared" si="16"/>
        <v>0</v>
      </c>
      <c r="N264" s="126"/>
      <c r="O264" s="124"/>
    </row>
    <row r="265" spans="1:15" ht="30" customHeight="1" x14ac:dyDescent="0.3">
      <c r="A265" s="123">
        <f t="shared" si="13"/>
        <v>261</v>
      </c>
      <c r="B265" s="127"/>
      <c r="C265" s="96"/>
      <c r="D265" s="83"/>
      <c r="E265" s="83"/>
      <c r="F265" s="96"/>
      <c r="G265" s="96"/>
      <c r="H265" s="70"/>
      <c r="I265" s="70"/>
      <c r="J265" s="70"/>
      <c r="K265" s="70">
        <f t="shared" si="14"/>
        <v>0</v>
      </c>
      <c r="L265" s="70">
        <f t="shared" si="15"/>
        <v>0</v>
      </c>
      <c r="M265" s="70">
        <f t="shared" si="16"/>
        <v>0</v>
      </c>
      <c r="N265" s="126"/>
      <c r="O265" s="124"/>
    </row>
    <row r="266" spans="1:15" ht="30" customHeight="1" x14ac:dyDescent="0.3">
      <c r="A266" s="123">
        <f t="shared" si="13"/>
        <v>262</v>
      </c>
      <c r="B266" s="127"/>
      <c r="C266" s="96"/>
      <c r="D266" s="83"/>
      <c r="E266" s="83"/>
      <c r="F266" s="96"/>
      <c r="G266" s="96"/>
      <c r="H266" s="70"/>
      <c r="I266" s="70"/>
      <c r="J266" s="70"/>
      <c r="K266" s="70">
        <f t="shared" si="14"/>
        <v>0</v>
      </c>
      <c r="L266" s="70">
        <f t="shared" si="15"/>
        <v>0</v>
      </c>
      <c r="M266" s="70">
        <f t="shared" si="16"/>
        <v>0</v>
      </c>
      <c r="N266" s="126"/>
      <c r="O266" s="124"/>
    </row>
    <row r="267" spans="1:15" ht="30" customHeight="1" x14ac:dyDescent="0.3">
      <c r="A267" s="123">
        <f t="shared" si="13"/>
        <v>263</v>
      </c>
      <c r="B267" s="127"/>
      <c r="C267" s="96"/>
      <c r="D267" s="83"/>
      <c r="E267" s="83"/>
      <c r="F267" s="96"/>
      <c r="G267" s="96"/>
      <c r="H267" s="70"/>
      <c r="I267" s="70"/>
      <c r="J267" s="70"/>
      <c r="K267" s="70">
        <f t="shared" si="14"/>
        <v>0</v>
      </c>
      <c r="L267" s="70">
        <f t="shared" si="15"/>
        <v>0</v>
      </c>
      <c r="M267" s="70">
        <f t="shared" si="16"/>
        <v>0</v>
      </c>
      <c r="N267" s="126"/>
      <c r="O267" s="124"/>
    </row>
    <row r="268" spans="1:15" ht="30" customHeight="1" x14ac:dyDescent="0.3">
      <c r="A268" s="123">
        <f t="shared" si="13"/>
        <v>264</v>
      </c>
      <c r="B268" s="127"/>
      <c r="C268" s="96"/>
      <c r="D268" s="83"/>
      <c r="E268" s="83"/>
      <c r="F268" s="96"/>
      <c r="G268" s="96"/>
      <c r="H268" s="70"/>
      <c r="I268" s="70"/>
      <c r="J268" s="70"/>
      <c r="K268" s="70">
        <f t="shared" si="14"/>
        <v>0</v>
      </c>
      <c r="L268" s="70">
        <f t="shared" si="15"/>
        <v>0</v>
      </c>
      <c r="M268" s="70">
        <f t="shared" si="16"/>
        <v>0</v>
      </c>
      <c r="N268" s="126"/>
      <c r="O268" s="124"/>
    </row>
    <row r="269" spans="1:15" ht="30" customHeight="1" x14ac:dyDescent="0.3">
      <c r="A269" s="123">
        <f t="shared" si="13"/>
        <v>265</v>
      </c>
      <c r="B269" s="127"/>
      <c r="C269" s="96"/>
      <c r="D269" s="83"/>
      <c r="E269" s="83"/>
      <c r="F269" s="96"/>
      <c r="G269" s="96"/>
      <c r="H269" s="70"/>
      <c r="I269" s="70"/>
      <c r="J269" s="70"/>
      <c r="K269" s="70">
        <f t="shared" si="14"/>
        <v>0</v>
      </c>
      <c r="L269" s="70">
        <f t="shared" si="15"/>
        <v>0</v>
      </c>
      <c r="M269" s="70">
        <f t="shared" si="16"/>
        <v>0</v>
      </c>
      <c r="N269" s="126"/>
      <c r="O269" s="124"/>
    </row>
    <row r="270" spans="1:15" ht="30" customHeight="1" x14ac:dyDescent="0.3">
      <c r="A270" s="123">
        <f t="shared" si="13"/>
        <v>266</v>
      </c>
      <c r="B270" s="127"/>
      <c r="C270" s="96"/>
      <c r="D270" s="83"/>
      <c r="E270" s="83"/>
      <c r="F270" s="96"/>
      <c r="G270" s="96"/>
      <c r="H270" s="70"/>
      <c r="I270" s="70"/>
      <c r="J270" s="70"/>
      <c r="K270" s="70">
        <f t="shared" si="14"/>
        <v>0</v>
      </c>
      <c r="L270" s="70">
        <f t="shared" si="15"/>
        <v>0</v>
      </c>
      <c r="M270" s="70">
        <f t="shared" si="16"/>
        <v>0</v>
      </c>
      <c r="N270" s="126"/>
      <c r="O270" s="124"/>
    </row>
    <row r="271" spans="1:15" ht="30" customHeight="1" x14ac:dyDescent="0.3">
      <c r="A271" s="123">
        <f t="shared" si="13"/>
        <v>267</v>
      </c>
      <c r="B271" s="127"/>
      <c r="C271" s="96"/>
      <c r="D271" s="83"/>
      <c r="E271" s="83"/>
      <c r="F271" s="96"/>
      <c r="G271" s="96"/>
      <c r="H271" s="70"/>
      <c r="I271" s="70"/>
      <c r="J271" s="70"/>
      <c r="K271" s="70">
        <f t="shared" si="14"/>
        <v>0</v>
      </c>
      <c r="L271" s="70">
        <f t="shared" si="15"/>
        <v>0</v>
      </c>
      <c r="M271" s="70">
        <f t="shared" si="16"/>
        <v>0</v>
      </c>
      <c r="N271" s="126"/>
      <c r="O271" s="124"/>
    </row>
    <row r="272" spans="1:15" ht="30" customHeight="1" x14ac:dyDescent="0.3">
      <c r="A272" s="123">
        <f t="shared" si="13"/>
        <v>268</v>
      </c>
      <c r="B272" s="127"/>
      <c r="C272" s="96"/>
      <c r="D272" s="83"/>
      <c r="E272" s="83"/>
      <c r="F272" s="96"/>
      <c r="G272" s="96"/>
      <c r="H272" s="70"/>
      <c r="I272" s="70"/>
      <c r="J272" s="70"/>
      <c r="K272" s="70">
        <f t="shared" si="14"/>
        <v>0</v>
      </c>
      <c r="L272" s="70">
        <f t="shared" si="15"/>
        <v>0</v>
      </c>
      <c r="M272" s="70">
        <f t="shared" si="16"/>
        <v>0</v>
      </c>
      <c r="N272" s="126"/>
      <c r="O272" s="124"/>
    </row>
    <row r="273" spans="1:15" ht="30" customHeight="1" x14ac:dyDescent="0.3">
      <c r="A273" s="123">
        <f t="shared" si="13"/>
        <v>269</v>
      </c>
      <c r="B273" s="127"/>
      <c r="C273" s="96"/>
      <c r="D273" s="83"/>
      <c r="E273" s="83"/>
      <c r="F273" s="96"/>
      <c r="G273" s="96"/>
      <c r="H273" s="70"/>
      <c r="I273" s="70"/>
      <c r="J273" s="70"/>
      <c r="K273" s="70">
        <f t="shared" si="14"/>
        <v>0</v>
      </c>
      <c r="L273" s="70">
        <f t="shared" si="15"/>
        <v>0</v>
      </c>
      <c r="M273" s="70">
        <f t="shared" si="16"/>
        <v>0</v>
      </c>
      <c r="N273" s="126"/>
      <c r="O273" s="124"/>
    </row>
    <row r="274" spans="1:15" ht="30" customHeight="1" x14ac:dyDescent="0.3">
      <c r="A274" s="123">
        <f t="shared" si="13"/>
        <v>270</v>
      </c>
      <c r="B274" s="127"/>
      <c r="C274" s="96"/>
      <c r="D274" s="83"/>
      <c r="E274" s="83"/>
      <c r="F274" s="96"/>
      <c r="G274" s="96"/>
      <c r="H274" s="70"/>
      <c r="I274" s="70"/>
      <c r="J274" s="70"/>
      <c r="K274" s="70">
        <f t="shared" si="14"/>
        <v>0</v>
      </c>
      <c r="L274" s="70">
        <f t="shared" si="15"/>
        <v>0</v>
      </c>
      <c r="M274" s="70">
        <f t="shared" si="16"/>
        <v>0</v>
      </c>
      <c r="N274" s="126"/>
      <c r="O274" s="124"/>
    </row>
    <row r="275" spans="1:15" ht="30" customHeight="1" x14ac:dyDescent="0.3">
      <c r="A275" s="123">
        <f t="shared" si="13"/>
        <v>271</v>
      </c>
      <c r="B275" s="127"/>
      <c r="C275" s="96"/>
      <c r="D275" s="83"/>
      <c r="E275" s="83"/>
      <c r="F275" s="96"/>
      <c r="G275" s="96"/>
      <c r="H275" s="70"/>
      <c r="I275" s="70"/>
      <c r="J275" s="70"/>
      <c r="K275" s="70">
        <f t="shared" si="14"/>
        <v>0</v>
      </c>
      <c r="L275" s="70">
        <f t="shared" si="15"/>
        <v>0</v>
      </c>
      <c r="M275" s="70">
        <f t="shared" si="16"/>
        <v>0</v>
      </c>
      <c r="N275" s="126"/>
      <c r="O275" s="124"/>
    </row>
    <row r="276" spans="1:15" ht="30" customHeight="1" x14ac:dyDescent="0.3">
      <c r="A276" s="123">
        <f t="shared" ref="A276:A339" si="17">A275+1</f>
        <v>272</v>
      </c>
      <c r="B276" s="127"/>
      <c r="C276" s="96"/>
      <c r="D276" s="83"/>
      <c r="E276" s="83"/>
      <c r="F276" s="96"/>
      <c r="G276" s="96"/>
      <c r="H276" s="70"/>
      <c r="I276" s="70"/>
      <c r="J276" s="70"/>
      <c r="K276" s="70">
        <f t="shared" ref="K276:K339" si="18">H276/1000000</f>
        <v>0</v>
      </c>
      <c r="L276" s="70">
        <f t="shared" ref="L276:L339" si="19">I276/1000000</f>
        <v>0</v>
      </c>
      <c r="M276" s="70">
        <f t="shared" ref="M276:M339" si="20">J276/1000000</f>
        <v>0</v>
      </c>
      <c r="N276" s="126"/>
      <c r="O276" s="124"/>
    </row>
    <row r="277" spans="1:15" ht="30" customHeight="1" x14ac:dyDescent="0.3">
      <c r="A277" s="123">
        <f t="shared" si="17"/>
        <v>273</v>
      </c>
      <c r="B277" s="127"/>
      <c r="C277" s="96"/>
      <c r="D277" s="83"/>
      <c r="E277" s="83"/>
      <c r="F277" s="96"/>
      <c r="G277" s="96"/>
      <c r="H277" s="70"/>
      <c r="I277" s="70"/>
      <c r="J277" s="70"/>
      <c r="K277" s="70">
        <f t="shared" si="18"/>
        <v>0</v>
      </c>
      <c r="L277" s="70">
        <f t="shared" si="19"/>
        <v>0</v>
      </c>
      <c r="M277" s="70">
        <f t="shared" si="20"/>
        <v>0</v>
      </c>
      <c r="N277" s="126"/>
      <c r="O277" s="124"/>
    </row>
    <row r="278" spans="1:15" ht="30" customHeight="1" x14ac:dyDescent="0.3">
      <c r="A278" s="123">
        <f t="shared" si="17"/>
        <v>274</v>
      </c>
      <c r="B278" s="127"/>
      <c r="C278" s="96"/>
      <c r="D278" s="83"/>
      <c r="E278" s="83"/>
      <c r="F278" s="96"/>
      <c r="G278" s="96"/>
      <c r="H278" s="70"/>
      <c r="I278" s="70"/>
      <c r="J278" s="70"/>
      <c r="K278" s="70">
        <f t="shared" si="18"/>
        <v>0</v>
      </c>
      <c r="L278" s="70">
        <f t="shared" si="19"/>
        <v>0</v>
      </c>
      <c r="M278" s="70">
        <f t="shared" si="20"/>
        <v>0</v>
      </c>
      <c r="N278" s="126"/>
      <c r="O278" s="124"/>
    </row>
    <row r="279" spans="1:15" ht="30" customHeight="1" x14ac:dyDescent="0.3">
      <c r="A279" s="123">
        <f t="shared" si="17"/>
        <v>275</v>
      </c>
      <c r="B279" s="127"/>
      <c r="C279" s="96"/>
      <c r="D279" s="83"/>
      <c r="E279" s="83"/>
      <c r="F279" s="96"/>
      <c r="G279" s="96"/>
      <c r="H279" s="70"/>
      <c r="I279" s="70"/>
      <c r="J279" s="70"/>
      <c r="K279" s="70">
        <f t="shared" si="18"/>
        <v>0</v>
      </c>
      <c r="L279" s="70">
        <f t="shared" si="19"/>
        <v>0</v>
      </c>
      <c r="M279" s="70">
        <f t="shared" si="20"/>
        <v>0</v>
      </c>
      <c r="N279" s="126"/>
      <c r="O279" s="124"/>
    </row>
    <row r="280" spans="1:15" ht="30" customHeight="1" x14ac:dyDescent="0.3">
      <c r="A280" s="123">
        <f t="shared" si="17"/>
        <v>276</v>
      </c>
      <c r="B280" s="127"/>
      <c r="C280" s="96"/>
      <c r="D280" s="83"/>
      <c r="E280" s="83"/>
      <c r="F280" s="96"/>
      <c r="G280" s="96"/>
      <c r="H280" s="70"/>
      <c r="I280" s="70"/>
      <c r="J280" s="70"/>
      <c r="K280" s="70">
        <f t="shared" si="18"/>
        <v>0</v>
      </c>
      <c r="L280" s="70">
        <f t="shared" si="19"/>
        <v>0</v>
      </c>
      <c r="M280" s="70">
        <f t="shared" si="20"/>
        <v>0</v>
      </c>
      <c r="N280" s="126"/>
      <c r="O280" s="124"/>
    </row>
    <row r="281" spans="1:15" ht="30" customHeight="1" x14ac:dyDescent="0.3">
      <c r="A281" s="123">
        <f t="shared" si="17"/>
        <v>277</v>
      </c>
      <c r="B281" s="127"/>
      <c r="C281" s="96"/>
      <c r="D281" s="83"/>
      <c r="E281" s="83"/>
      <c r="F281" s="96"/>
      <c r="G281" s="96"/>
      <c r="H281" s="70"/>
      <c r="I281" s="70"/>
      <c r="J281" s="70"/>
      <c r="K281" s="70">
        <f t="shared" si="18"/>
        <v>0</v>
      </c>
      <c r="L281" s="70">
        <f t="shared" si="19"/>
        <v>0</v>
      </c>
      <c r="M281" s="70">
        <f t="shared" si="20"/>
        <v>0</v>
      </c>
      <c r="N281" s="126"/>
      <c r="O281" s="124"/>
    </row>
    <row r="282" spans="1:15" ht="30" customHeight="1" x14ac:dyDescent="0.3">
      <c r="A282" s="123">
        <f t="shared" si="17"/>
        <v>278</v>
      </c>
      <c r="B282" s="127"/>
      <c r="C282" s="96"/>
      <c r="D282" s="83"/>
      <c r="E282" s="83"/>
      <c r="F282" s="96"/>
      <c r="G282" s="96"/>
      <c r="H282" s="70"/>
      <c r="I282" s="70"/>
      <c r="J282" s="70"/>
      <c r="K282" s="70">
        <f t="shared" si="18"/>
        <v>0</v>
      </c>
      <c r="L282" s="70">
        <f t="shared" si="19"/>
        <v>0</v>
      </c>
      <c r="M282" s="70">
        <f t="shared" si="20"/>
        <v>0</v>
      </c>
      <c r="N282" s="126"/>
      <c r="O282" s="124"/>
    </row>
    <row r="283" spans="1:15" ht="30" customHeight="1" x14ac:dyDescent="0.3">
      <c r="A283" s="123">
        <f t="shared" si="17"/>
        <v>279</v>
      </c>
      <c r="B283" s="127"/>
      <c r="C283" s="96"/>
      <c r="D283" s="83"/>
      <c r="E283" s="83"/>
      <c r="F283" s="96"/>
      <c r="G283" s="96"/>
      <c r="H283" s="70"/>
      <c r="I283" s="70"/>
      <c r="J283" s="70"/>
      <c r="K283" s="70">
        <f t="shared" si="18"/>
        <v>0</v>
      </c>
      <c r="L283" s="70">
        <f t="shared" si="19"/>
        <v>0</v>
      </c>
      <c r="M283" s="70">
        <f t="shared" si="20"/>
        <v>0</v>
      </c>
      <c r="N283" s="126"/>
      <c r="O283" s="124"/>
    </row>
    <row r="284" spans="1:15" ht="30" customHeight="1" x14ac:dyDescent="0.3">
      <c r="A284" s="123">
        <f t="shared" si="17"/>
        <v>280</v>
      </c>
      <c r="B284" s="127"/>
      <c r="C284" s="96"/>
      <c r="D284" s="83"/>
      <c r="E284" s="83"/>
      <c r="F284" s="96"/>
      <c r="G284" s="96"/>
      <c r="H284" s="70"/>
      <c r="I284" s="70"/>
      <c r="J284" s="70"/>
      <c r="K284" s="70">
        <f t="shared" si="18"/>
        <v>0</v>
      </c>
      <c r="L284" s="70">
        <f t="shared" si="19"/>
        <v>0</v>
      </c>
      <c r="M284" s="70">
        <f t="shared" si="20"/>
        <v>0</v>
      </c>
      <c r="N284" s="126"/>
      <c r="O284" s="124"/>
    </row>
    <row r="285" spans="1:15" ht="30" customHeight="1" x14ac:dyDescent="0.3">
      <c r="A285" s="123">
        <f t="shared" si="17"/>
        <v>281</v>
      </c>
      <c r="B285" s="127"/>
      <c r="C285" s="96"/>
      <c r="D285" s="83"/>
      <c r="E285" s="83"/>
      <c r="F285" s="96"/>
      <c r="G285" s="96"/>
      <c r="H285" s="70"/>
      <c r="I285" s="70"/>
      <c r="J285" s="70"/>
      <c r="K285" s="70">
        <f t="shared" si="18"/>
        <v>0</v>
      </c>
      <c r="L285" s="70">
        <f t="shared" si="19"/>
        <v>0</v>
      </c>
      <c r="M285" s="70">
        <f t="shared" si="20"/>
        <v>0</v>
      </c>
      <c r="N285" s="126"/>
      <c r="O285" s="124"/>
    </row>
    <row r="286" spans="1:15" ht="30" customHeight="1" x14ac:dyDescent="0.3">
      <c r="A286" s="123">
        <f t="shared" si="17"/>
        <v>282</v>
      </c>
      <c r="B286" s="127"/>
      <c r="C286" s="96"/>
      <c r="D286" s="83"/>
      <c r="E286" s="83"/>
      <c r="F286" s="96"/>
      <c r="G286" s="96"/>
      <c r="H286" s="70"/>
      <c r="I286" s="70"/>
      <c r="J286" s="70"/>
      <c r="K286" s="70">
        <f t="shared" si="18"/>
        <v>0</v>
      </c>
      <c r="L286" s="70">
        <f t="shared" si="19"/>
        <v>0</v>
      </c>
      <c r="M286" s="70">
        <f t="shared" si="20"/>
        <v>0</v>
      </c>
      <c r="N286" s="126"/>
      <c r="O286" s="124"/>
    </row>
    <row r="287" spans="1:15" ht="30" customHeight="1" x14ac:dyDescent="0.3">
      <c r="A287" s="123">
        <f t="shared" si="17"/>
        <v>283</v>
      </c>
      <c r="B287" s="127"/>
      <c r="C287" s="96"/>
      <c r="D287" s="83"/>
      <c r="E287" s="83"/>
      <c r="F287" s="96"/>
      <c r="G287" s="96"/>
      <c r="H287" s="70"/>
      <c r="I287" s="70"/>
      <c r="J287" s="70"/>
      <c r="K287" s="70">
        <f t="shared" si="18"/>
        <v>0</v>
      </c>
      <c r="L287" s="70">
        <f t="shared" si="19"/>
        <v>0</v>
      </c>
      <c r="M287" s="70">
        <f t="shared" si="20"/>
        <v>0</v>
      </c>
      <c r="N287" s="126"/>
      <c r="O287" s="124"/>
    </row>
    <row r="288" spans="1:15" ht="30" customHeight="1" x14ac:dyDescent="0.3">
      <c r="A288" s="123">
        <f t="shared" si="17"/>
        <v>284</v>
      </c>
      <c r="B288" s="127"/>
      <c r="C288" s="96"/>
      <c r="D288" s="83"/>
      <c r="E288" s="83"/>
      <c r="F288" s="96"/>
      <c r="G288" s="96"/>
      <c r="H288" s="70"/>
      <c r="I288" s="70"/>
      <c r="J288" s="70"/>
      <c r="K288" s="70">
        <f t="shared" si="18"/>
        <v>0</v>
      </c>
      <c r="L288" s="70">
        <f t="shared" si="19"/>
        <v>0</v>
      </c>
      <c r="M288" s="70">
        <f t="shared" si="20"/>
        <v>0</v>
      </c>
      <c r="N288" s="126"/>
      <c r="O288" s="124"/>
    </row>
    <row r="289" spans="1:15" ht="30" customHeight="1" x14ac:dyDescent="0.3">
      <c r="A289" s="123">
        <f t="shared" si="17"/>
        <v>285</v>
      </c>
      <c r="B289" s="127"/>
      <c r="C289" s="96"/>
      <c r="D289" s="83"/>
      <c r="E289" s="83"/>
      <c r="F289" s="96"/>
      <c r="G289" s="96"/>
      <c r="H289" s="70"/>
      <c r="I289" s="70"/>
      <c r="J289" s="70"/>
      <c r="K289" s="70">
        <f t="shared" si="18"/>
        <v>0</v>
      </c>
      <c r="L289" s="70">
        <f t="shared" si="19"/>
        <v>0</v>
      </c>
      <c r="M289" s="70">
        <f t="shared" si="20"/>
        <v>0</v>
      </c>
      <c r="N289" s="126"/>
      <c r="O289" s="124"/>
    </row>
    <row r="290" spans="1:15" ht="30" customHeight="1" x14ac:dyDescent="0.3">
      <c r="A290" s="123">
        <f t="shared" si="17"/>
        <v>286</v>
      </c>
      <c r="B290" s="127"/>
      <c r="C290" s="96"/>
      <c r="D290" s="83"/>
      <c r="E290" s="83"/>
      <c r="F290" s="96"/>
      <c r="G290" s="96"/>
      <c r="H290" s="70"/>
      <c r="I290" s="70"/>
      <c r="J290" s="70"/>
      <c r="K290" s="70">
        <f t="shared" si="18"/>
        <v>0</v>
      </c>
      <c r="L290" s="70">
        <f t="shared" si="19"/>
        <v>0</v>
      </c>
      <c r="M290" s="70">
        <f t="shared" si="20"/>
        <v>0</v>
      </c>
      <c r="N290" s="126"/>
      <c r="O290" s="124"/>
    </row>
    <row r="291" spans="1:15" ht="30" customHeight="1" x14ac:dyDescent="0.3">
      <c r="A291" s="123">
        <f t="shared" si="17"/>
        <v>287</v>
      </c>
      <c r="B291" s="127"/>
      <c r="C291" s="96"/>
      <c r="D291" s="83"/>
      <c r="E291" s="83"/>
      <c r="F291" s="96"/>
      <c r="G291" s="96"/>
      <c r="H291" s="70"/>
      <c r="I291" s="70"/>
      <c r="J291" s="70"/>
      <c r="K291" s="70">
        <f t="shared" si="18"/>
        <v>0</v>
      </c>
      <c r="L291" s="70">
        <f t="shared" si="19"/>
        <v>0</v>
      </c>
      <c r="M291" s="70">
        <f t="shared" si="20"/>
        <v>0</v>
      </c>
      <c r="N291" s="126"/>
      <c r="O291" s="124"/>
    </row>
    <row r="292" spans="1:15" ht="30" customHeight="1" x14ac:dyDescent="0.3">
      <c r="A292" s="123">
        <f t="shared" si="17"/>
        <v>288</v>
      </c>
      <c r="B292" s="127"/>
      <c r="C292" s="96"/>
      <c r="D292" s="83"/>
      <c r="E292" s="83"/>
      <c r="F292" s="96"/>
      <c r="G292" s="96"/>
      <c r="H292" s="70"/>
      <c r="I292" s="70"/>
      <c r="J292" s="70"/>
      <c r="K292" s="70">
        <f t="shared" si="18"/>
        <v>0</v>
      </c>
      <c r="L292" s="70">
        <f t="shared" si="19"/>
        <v>0</v>
      </c>
      <c r="M292" s="70">
        <f t="shared" si="20"/>
        <v>0</v>
      </c>
      <c r="N292" s="126"/>
      <c r="O292" s="124"/>
    </row>
    <row r="293" spans="1:15" ht="30" customHeight="1" x14ac:dyDescent="0.3">
      <c r="A293" s="123">
        <f t="shared" si="17"/>
        <v>289</v>
      </c>
      <c r="B293" s="127"/>
      <c r="C293" s="96"/>
      <c r="D293" s="83"/>
      <c r="E293" s="83"/>
      <c r="F293" s="96"/>
      <c r="G293" s="96"/>
      <c r="H293" s="70"/>
      <c r="I293" s="70"/>
      <c r="J293" s="70"/>
      <c r="K293" s="70">
        <f t="shared" si="18"/>
        <v>0</v>
      </c>
      <c r="L293" s="70">
        <f t="shared" si="19"/>
        <v>0</v>
      </c>
      <c r="M293" s="70">
        <f t="shared" si="20"/>
        <v>0</v>
      </c>
      <c r="N293" s="126"/>
      <c r="O293" s="124"/>
    </row>
    <row r="294" spans="1:15" ht="30" customHeight="1" x14ac:dyDescent="0.3">
      <c r="A294" s="123">
        <f t="shared" si="17"/>
        <v>290</v>
      </c>
      <c r="B294" s="127"/>
      <c r="C294" s="96"/>
      <c r="D294" s="83"/>
      <c r="E294" s="83"/>
      <c r="F294" s="96"/>
      <c r="G294" s="96"/>
      <c r="H294" s="70"/>
      <c r="I294" s="70"/>
      <c r="J294" s="70"/>
      <c r="K294" s="70">
        <f t="shared" si="18"/>
        <v>0</v>
      </c>
      <c r="L294" s="70">
        <f t="shared" si="19"/>
        <v>0</v>
      </c>
      <c r="M294" s="70">
        <f t="shared" si="20"/>
        <v>0</v>
      </c>
      <c r="N294" s="126"/>
      <c r="O294" s="124"/>
    </row>
    <row r="295" spans="1:15" ht="30" customHeight="1" x14ac:dyDescent="0.3">
      <c r="A295" s="123">
        <f t="shared" si="17"/>
        <v>291</v>
      </c>
      <c r="B295" s="127"/>
      <c r="C295" s="96"/>
      <c r="D295" s="83"/>
      <c r="E295" s="83"/>
      <c r="F295" s="96"/>
      <c r="G295" s="96"/>
      <c r="H295" s="70"/>
      <c r="I295" s="70"/>
      <c r="J295" s="70"/>
      <c r="K295" s="70">
        <f t="shared" si="18"/>
        <v>0</v>
      </c>
      <c r="L295" s="70">
        <f t="shared" si="19"/>
        <v>0</v>
      </c>
      <c r="M295" s="70">
        <f t="shared" si="20"/>
        <v>0</v>
      </c>
      <c r="N295" s="126"/>
      <c r="O295" s="124"/>
    </row>
    <row r="296" spans="1:15" ht="30" customHeight="1" x14ac:dyDescent="0.3">
      <c r="A296" s="123">
        <f t="shared" si="17"/>
        <v>292</v>
      </c>
      <c r="B296" s="127"/>
      <c r="C296" s="96"/>
      <c r="D296" s="83"/>
      <c r="E296" s="83"/>
      <c r="F296" s="96"/>
      <c r="G296" s="96"/>
      <c r="H296" s="70"/>
      <c r="I296" s="70"/>
      <c r="J296" s="70"/>
      <c r="K296" s="70">
        <f t="shared" si="18"/>
        <v>0</v>
      </c>
      <c r="L296" s="70">
        <f t="shared" si="19"/>
        <v>0</v>
      </c>
      <c r="M296" s="70">
        <f t="shared" si="20"/>
        <v>0</v>
      </c>
      <c r="N296" s="126"/>
      <c r="O296" s="124"/>
    </row>
    <row r="297" spans="1:15" ht="30" customHeight="1" x14ac:dyDescent="0.3">
      <c r="A297" s="123">
        <f t="shared" si="17"/>
        <v>293</v>
      </c>
      <c r="B297" s="127"/>
      <c r="C297" s="96"/>
      <c r="D297" s="83"/>
      <c r="E297" s="83"/>
      <c r="F297" s="96"/>
      <c r="G297" s="96"/>
      <c r="H297" s="70"/>
      <c r="I297" s="70"/>
      <c r="J297" s="70"/>
      <c r="K297" s="70">
        <f t="shared" si="18"/>
        <v>0</v>
      </c>
      <c r="L297" s="70">
        <f t="shared" si="19"/>
        <v>0</v>
      </c>
      <c r="M297" s="70">
        <f t="shared" si="20"/>
        <v>0</v>
      </c>
      <c r="N297" s="126"/>
      <c r="O297" s="124"/>
    </row>
    <row r="298" spans="1:15" ht="30" customHeight="1" x14ac:dyDescent="0.3">
      <c r="A298" s="123">
        <f t="shared" si="17"/>
        <v>294</v>
      </c>
      <c r="B298" s="127"/>
      <c r="C298" s="96"/>
      <c r="D298" s="83"/>
      <c r="E298" s="83"/>
      <c r="F298" s="96"/>
      <c r="G298" s="96"/>
      <c r="H298" s="70"/>
      <c r="I298" s="70"/>
      <c r="J298" s="70"/>
      <c r="K298" s="70">
        <f t="shared" si="18"/>
        <v>0</v>
      </c>
      <c r="L298" s="70">
        <f t="shared" si="19"/>
        <v>0</v>
      </c>
      <c r="M298" s="70">
        <f t="shared" si="20"/>
        <v>0</v>
      </c>
      <c r="N298" s="126"/>
      <c r="O298" s="124"/>
    </row>
    <row r="299" spans="1:15" ht="30" customHeight="1" x14ac:dyDescent="0.3">
      <c r="A299" s="123">
        <f t="shared" si="17"/>
        <v>295</v>
      </c>
      <c r="B299" s="127"/>
      <c r="C299" s="96"/>
      <c r="D299" s="83"/>
      <c r="E299" s="83"/>
      <c r="F299" s="96"/>
      <c r="G299" s="96"/>
      <c r="H299" s="70"/>
      <c r="I299" s="70"/>
      <c r="J299" s="70"/>
      <c r="K299" s="70">
        <f t="shared" si="18"/>
        <v>0</v>
      </c>
      <c r="L299" s="70">
        <f t="shared" si="19"/>
        <v>0</v>
      </c>
      <c r="M299" s="70">
        <f t="shared" si="20"/>
        <v>0</v>
      </c>
      <c r="N299" s="126"/>
      <c r="O299" s="124"/>
    </row>
    <row r="300" spans="1:15" ht="30" customHeight="1" x14ac:dyDescent="0.3">
      <c r="A300" s="123">
        <f t="shared" si="17"/>
        <v>296</v>
      </c>
      <c r="B300" s="127"/>
      <c r="C300" s="96"/>
      <c r="D300" s="83"/>
      <c r="E300" s="83"/>
      <c r="F300" s="96"/>
      <c r="G300" s="96"/>
      <c r="H300" s="70"/>
      <c r="I300" s="70"/>
      <c r="J300" s="70"/>
      <c r="K300" s="70">
        <f t="shared" si="18"/>
        <v>0</v>
      </c>
      <c r="L300" s="70">
        <f t="shared" si="19"/>
        <v>0</v>
      </c>
      <c r="M300" s="70">
        <f t="shared" si="20"/>
        <v>0</v>
      </c>
      <c r="N300" s="126"/>
      <c r="O300" s="124"/>
    </row>
    <row r="301" spans="1:15" ht="30" customHeight="1" x14ac:dyDescent="0.3">
      <c r="A301" s="123">
        <f t="shared" si="17"/>
        <v>297</v>
      </c>
      <c r="B301" s="127"/>
      <c r="C301" s="96"/>
      <c r="D301" s="83"/>
      <c r="E301" s="83"/>
      <c r="F301" s="96"/>
      <c r="G301" s="96"/>
      <c r="H301" s="70"/>
      <c r="I301" s="70"/>
      <c r="J301" s="70"/>
      <c r="K301" s="70">
        <f t="shared" si="18"/>
        <v>0</v>
      </c>
      <c r="L301" s="70">
        <f t="shared" si="19"/>
        <v>0</v>
      </c>
      <c r="M301" s="70">
        <f t="shared" si="20"/>
        <v>0</v>
      </c>
      <c r="N301" s="126"/>
      <c r="O301" s="124"/>
    </row>
    <row r="302" spans="1:15" ht="30" customHeight="1" x14ac:dyDescent="0.3">
      <c r="A302" s="123">
        <f t="shared" si="17"/>
        <v>298</v>
      </c>
      <c r="B302" s="127"/>
      <c r="C302" s="96"/>
      <c r="D302" s="83"/>
      <c r="E302" s="83"/>
      <c r="F302" s="96"/>
      <c r="G302" s="96"/>
      <c r="H302" s="70"/>
      <c r="I302" s="70"/>
      <c r="J302" s="70"/>
      <c r="K302" s="70">
        <f t="shared" si="18"/>
        <v>0</v>
      </c>
      <c r="L302" s="70">
        <f t="shared" si="19"/>
        <v>0</v>
      </c>
      <c r="M302" s="70">
        <f t="shared" si="20"/>
        <v>0</v>
      </c>
      <c r="N302" s="126"/>
      <c r="O302" s="124"/>
    </row>
    <row r="303" spans="1:15" ht="30" customHeight="1" x14ac:dyDescent="0.3">
      <c r="A303" s="123">
        <f t="shared" si="17"/>
        <v>299</v>
      </c>
      <c r="B303" s="127"/>
      <c r="C303" s="96"/>
      <c r="D303" s="83"/>
      <c r="E303" s="83"/>
      <c r="F303" s="96"/>
      <c r="G303" s="96"/>
      <c r="H303" s="70"/>
      <c r="I303" s="70"/>
      <c r="J303" s="70"/>
      <c r="K303" s="70">
        <f t="shared" si="18"/>
        <v>0</v>
      </c>
      <c r="L303" s="70">
        <f t="shared" si="19"/>
        <v>0</v>
      </c>
      <c r="M303" s="70">
        <f t="shared" si="20"/>
        <v>0</v>
      </c>
      <c r="N303" s="126"/>
      <c r="O303" s="124"/>
    </row>
    <row r="304" spans="1:15" ht="30" customHeight="1" x14ac:dyDescent="0.3">
      <c r="A304" s="123">
        <f t="shared" si="17"/>
        <v>300</v>
      </c>
      <c r="B304" s="127"/>
      <c r="C304" s="96"/>
      <c r="D304" s="83"/>
      <c r="E304" s="83"/>
      <c r="F304" s="96"/>
      <c r="G304" s="96"/>
      <c r="H304" s="70"/>
      <c r="I304" s="70"/>
      <c r="J304" s="70"/>
      <c r="K304" s="70">
        <f t="shared" si="18"/>
        <v>0</v>
      </c>
      <c r="L304" s="70">
        <f t="shared" si="19"/>
        <v>0</v>
      </c>
      <c r="M304" s="70">
        <f t="shared" si="20"/>
        <v>0</v>
      </c>
      <c r="N304" s="126"/>
      <c r="O304" s="124"/>
    </row>
    <row r="305" spans="1:15" ht="30" customHeight="1" x14ac:dyDescent="0.3">
      <c r="A305" s="123">
        <f t="shared" si="17"/>
        <v>301</v>
      </c>
      <c r="B305" s="127"/>
      <c r="C305" s="96"/>
      <c r="D305" s="83"/>
      <c r="E305" s="83"/>
      <c r="F305" s="96"/>
      <c r="G305" s="96"/>
      <c r="H305" s="70"/>
      <c r="I305" s="70"/>
      <c r="J305" s="70"/>
      <c r="K305" s="70">
        <f t="shared" si="18"/>
        <v>0</v>
      </c>
      <c r="L305" s="70">
        <f t="shared" si="19"/>
        <v>0</v>
      </c>
      <c r="M305" s="70">
        <f t="shared" si="20"/>
        <v>0</v>
      </c>
      <c r="N305" s="126"/>
      <c r="O305" s="124"/>
    </row>
    <row r="306" spans="1:15" ht="30" customHeight="1" x14ac:dyDescent="0.3">
      <c r="A306" s="123">
        <f t="shared" si="17"/>
        <v>302</v>
      </c>
      <c r="B306" s="127"/>
      <c r="C306" s="96"/>
      <c r="D306" s="83"/>
      <c r="E306" s="83"/>
      <c r="F306" s="96"/>
      <c r="G306" s="96"/>
      <c r="H306" s="70"/>
      <c r="I306" s="70"/>
      <c r="J306" s="70"/>
      <c r="K306" s="70">
        <f t="shared" si="18"/>
        <v>0</v>
      </c>
      <c r="L306" s="70">
        <f t="shared" si="19"/>
        <v>0</v>
      </c>
      <c r="M306" s="70">
        <f t="shared" si="20"/>
        <v>0</v>
      </c>
      <c r="N306" s="126"/>
      <c r="O306" s="124"/>
    </row>
    <row r="307" spans="1:15" ht="30" customHeight="1" x14ac:dyDescent="0.3">
      <c r="A307" s="123">
        <f t="shared" si="17"/>
        <v>303</v>
      </c>
      <c r="B307" s="127"/>
      <c r="C307" s="96"/>
      <c r="D307" s="83"/>
      <c r="E307" s="83"/>
      <c r="F307" s="96"/>
      <c r="G307" s="96"/>
      <c r="H307" s="70"/>
      <c r="I307" s="70"/>
      <c r="J307" s="70"/>
      <c r="K307" s="70">
        <f t="shared" si="18"/>
        <v>0</v>
      </c>
      <c r="L307" s="70">
        <f t="shared" si="19"/>
        <v>0</v>
      </c>
      <c r="M307" s="70">
        <f t="shared" si="20"/>
        <v>0</v>
      </c>
      <c r="N307" s="126"/>
      <c r="O307" s="124"/>
    </row>
    <row r="308" spans="1:15" ht="30" customHeight="1" x14ac:dyDescent="0.3">
      <c r="A308" s="123">
        <f t="shared" si="17"/>
        <v>304</v>
      </c>
      <c r="B308" s="127"/>
      <c r="C308" s="96"/>
      <c r="D308" s="83"/>
      <c r="E308" s="83"/>
      <c r="F308" s="96"/>
      <c r="G308" s="96"/>
      <c r="H308" s="70"/>
      <c r="I308" s="70"/>
      <c r="J308" s="70"/>
      <c r="K308" s="70">
        <f t="shared" si="18"/>
        <v>0</v>
      </c>
      <c r="L308" s="70">
        <f t="shared" si="19"/>
        <v>0</v>
      </c>
      <c r="M308" s="70">
        <f t="shared" si="20"/>
        <v>0</v>
      </c>
      <c r="N308" s="126"/>
      <c r="O308" s="124"/>
    </row>
    <row r="309" spans="1:15" ht="30" customHeight="1" x14ac:dyDescent="0.3">
      <c r="A309" s="123">
        <f t="shared" si="17"/>
        <v>305</v>
      </c>
      <c r="B309" s="127"/>
      <c r="C309" s="96"/>
      <c r="D309" s="83"/>
      <c r="E309" s="83"/>
      <c r="F309" s="96"/>
      <c r="G309" s="96"/>
      <c r="H309" s="70"/>
      <c r="I309" s="70"/>
      <c r="J309" s="70"/>
      <c r="K309" s="70">
        <f t="shared" si="18"/>
        <v>0</v>
      </c>
      <c r="L309" s="70">
        <f t="shared" si="19"/>
        <v>0</v>
      </c>
      <c r="M309" s="70">
        <f t="shared" si="20"/>
        <v>0</v>
      </c>
      <c r="N309" s="126"/>
      <c r="O309" s="124"/>
    </row>
    <row r="310" spans="1:15" ht="30" customHeight="1" x14ac:dyDescent="0.3">
      <c r="A310" s="123">
        <f t="shared" si="17"/>
        <v>306</v>
      </c>
      <c r="B310" s="127"/>
      <c r="C310" s="96"/>
      <c r="D310" s="83"/>
      <c r="E310" s="83"/>
      <c r="F310" s="96"/>
      <c r="G310" s="96"/>
      <c r="H310" s="70"/>
      <c r="I310" s="70"/>
      <c r="J310" s="70"/>
      <c r="K310" s="70">
        <f t="shared" si="18"/>
        <v>0</v>
      </c>
      <c r="L310" s="70">
        <f t="shared" si="19"/>
        <v>0</v>
      </c>
      <c r="M310" s="70">
        <f t="shared" si="20"/>
        <v>0</v>
      </c>
      <c r="N310" s="126"/>
      <c r="O310" s="124"/>
    </row>
    <row r="311" spans="1:15" ht="30" customHeight="1" x14ac:dyDescent="0.3">
      <c r="A311" s="123">
        <f t="shared" si="17"/>
        <v>307</v>
      </c>
      <c r="B311" s="127"/>
      <c r="C311" s="96"/>
      <c r="D311" s="83"/>
      <c r="E311" s="83"/>
      <c r="F311" s="96"/>
      <c r="G311" s="96"/>
      <c r="H311" s="70"/>
      <c r="I311" s="70"/>
      <c r="J311" s="70"/>
      <c r="K311" s="70">
        <f t="shared" si="18"/>
        <v>0</v>
      </c>
      <c r="L311" s="70">
        <f t="shared" si="19"/>
        <v>0</v>
      </c>
      <c r="M311" s="70">
        <f t="shared" si="20"/>
        <v>0</v>
      </c>
      <c r="N311" s="126"/>
      <c r="O311" s="124"/>
    </row>
    <row r="312" spans="1:15" ht="30" customHeight="1" x14ac:dyDescent="0.3">
      <c r="A312" s="123">
        <f t="shared" si="17"/>
        <v>308</v>
      </c>
      <c r="B312" s="127"/>
      <c r="C312" s="96"/>
      <c r="D312" s="83"/>
      <c r="E312" s="83"/>
      <c r="F312" s="96"/>
      <c r="G312" s="96"/>
      <c r="H312" s="70"/>
      <c r="I312" s="70"/>
      <c r="J312" s="70"/>
      <c r="K312" s="70">
        <f t="shared" si="18"/>
        <v>0</v>
      </c>
      <c r="L312" s="70">
        <f t="shared" si="19"/>
        <v>0</v>
      </c>
      <c r="M312" s="70">
        <f t="shared" si="20"/>
        <v>0</v>
      </c>
      <c r="N312" s="126"/>
      <c r="O312" s="124"/>
    </row>
    <row r="313" spans="1:15" ht="30" customHeight="1" x14ac:dyDescent="0.3">
      <c r="A313" s="123">
        <f t="shared" si="17"/>
        <v>309</v>
      </c>
      <c r="B313" s="127"/>
      <c r="C313" s="96"/>
      <c r="D313" s="83"/>
      <c r="E313" s="83"/>
      <c r="F313" s="96"/>
      <c r="G313" s="96"/>
      <c r="H313" s="70"/>
      <c r="I313" s="70"/>
      <c r="J313" s="70"/>
      <c r="K313" s="70">
        <f t="shared" si="18"/>
        <v>0</v>
      </c>
      <c r="L313" s="70">
        <f t="shared" si="19"/>
        <v>0</v>
      </c>
      <c r="M313" s="70">
        <f t="shared" si="20"/>
        <v>0</v>
      </c>
      <c r="N313" s="126"/>
      <c r="O313" s="124"/>
    </row>
    <row r="314" spans="1:15" ht="30" customHeight="1" x14ac:dyDescent="0.3">
      <c r="A314" s="123">
        <f t="shared" si="17"/>
        <v>310</v>
      </c>
      <c r="B314" s="127"/>
      <c r="C314" s="96"/>
      <c r="D314" s="83"/>
      <c r="E314" s="83"/>
      <c r="F314" s="96"/>
      <c r="G314" s="96"/>
      <c r="H314" s="70"/>
      <c r="I314" s="70"/>
      <c r="J314" s="70"/>
      <c r="K314" s="70">
        <f t="shared" si="18"/>
        <v>0</v>
      </c>
      <c r="L314" s="70">
        <f t="shared" si="19"/>
        <v>0</v>
      </c>
      <c r="M314" s="70">
        <f t="shared" si="20"/>
        <v>0</v>
      </c>
      <c r="N314" s="126"/>
      <c r="O314" s="124"/>
    </row>
    <row r="315" spans="1:15" ht="30" customHeight="1" x14ac:dyDescent="0.3">
      <c r="A315" s="123">
        <f t="shared" si="17"/>
        <v>311</v>
      </c>
      <c r="B315" s="127"/>
      <c r="C315" s="96"/>
      <c r="D315" s="83"/>
      <c r="E315" s="83"/>
      <c r="F315" s="96"/>
      <c r="G315" s="96"/>
      <c r="H315" s="70"/>
      <c r="I315" s="70"/>
      <c r="J315" s="70"/>
      <c r="K315" s="70">
        <f t="shared" si="18"/>
        <v>0</v>
      </c>
      <c r="L315" s="70">
        <f t="shared" si="19"/>
        <v>0</v>
      </c>
      <c r="M315" s="70">
        <f t="shared" si="20"/>
        <v>0</v>
      </c>
      <c r="N315" s="126"/>
      <c r="O315" s="124"/>
    </row>
    <row r="316" spans="1:15" ht="30" customHeight="1" x14ac:dyDescent="0.3">
      <c r="A316" s="123">
        <f t="shared" si="17"/>
        <v>312</v>
      </c>
      <c r="B316" s="127"/>
      <c r="C316" s="96"/>
      <c r="D316" s="83"/>
      <c r="E316" s="83"/>
      <c r="F316" s="96"/>
      <c r="G316" s="96"/>
      <c r="H316" s="70"/>
      <c r="I316" s="70"/>
      <c r="J316" s="70"/>
      <c r="K316" s="70">
        <f t="shared" si="18"/>
        <v>0</v>
      </c>
      <c r="L316" s="70">
        <f t="shared" si="19"/>
        <v>0</v>
      </c>
      <c r="M316" s="70">
        <f t="shared" si="20"/>
        <v>0</v>
      </c>
      <c r="N316" s="126"/>
      <c r="O316" s="124"/>
    </row>
    <row r="317" spans="1:15" ht="30" customHeight="1" x14ac:dyDescent="0.3">
      <c r="A317" s="123">
        <f t="shared" si="17"/>
        <v>313</v>
      </c>
      <c r="B317" s="127"/>
      <c r="C317" s="96"/>
      <c r="D317" s="83"/>
      <c r="E317" s="83"/>
      <c r="F317" s="96"/>
      <c r="G317" s="96"/>
      <c r="H317" s="70"/>
      <c r="I317" s="70"/>
      <c r="J317" s="70"/>
      <c r="K317" s="70">
        <f t="shared" si="18"/>
        <v>0</v>
      </c>
      <c r="L317" s="70">
        <f t="shared" si="19"/>
        <v>0</v>
      </c>
      <c r="M317" s="70">
        <f t="shared" si="20"/>
        <v>0</v>
      </c>
      <c r="N317" s="126"/>
      <c r="O317" s="124"/>
    </row>
    <row r="318" spans="1:15" ht="30" customHeight="1" x14ac:dyDescent="0.3">
      <c r="A318" s="123">
        <f t="shared" si="17"/>
        <v>314</v>
      </c>
      <c r="B318" s="127"/>
      <c r="C318" s="96"/>
      <c r="D318" s="83"/>
      <c r="E318" s="83"/>
      <c r="F318" s="96"/>
      <c r="G318" s="96"/>
      <c r="H318" s="70"/>
      <c r="I318" s="70"/>
      <c r="J318" s="70"/>
      <c r="K318" s="70">
        <f t="shared" si="18"/>
        <v>0</v>
      </c>
      <c r="L318" s="70">
        <f t="shared" si="19"/>
        <v>0</v>
      </c>
      <c r="M318" s="70">
        <f t="shared" si="20"/>
        <v>0</v>
      </c>
      <c r="N318" s="126"/>
      <c r="O318" s="124"/>
    </row>
    <row r="319" spans="1:15" ht="30" customHeight="1" x14ac:dyDescent="0.3">
      <c r="A319" s="123">
        <f t="shared" si="17"/>
        <v>315</v>
      </c>
      <c r="B319" s="127"/>
      <c r="C319" s="96"/>
      <c r="D319" s="83"/>
      <c r="E319" s="83"/>
      <c r="F319" s="96"/>
      <c r="G319" s="96"/>
      <c r="H319" s="70"/>
      <c r="I319" s="70"/>
      <c r="J319" s="70"/>
      <c r="K319" s="70">
        <f t="shared" si="18"/>
        <v>0</v>
      </c>
      <c r="L319" s="70">
        <f t="shared" si="19"/>
        <v>0</v>
      </c>
      <c r="M319" s="70">
        <f t="shared" si="20"/>
        <v>0</v>
      </c>
      <c r="N319" s="126"/>
      <c r="O319" s="124"/>
    </row>
    <row r="320" spans="1:15" ht="30" customHeight="1" x14ac:dyDescent="0.3">
      <c r="A320" s="123">
        <f t="shared" si="17"/>
        <v>316</v>
      </c>
      <c r="B320" s="127"/>
      <c r="C320" s="96"/>
      <c r="D320" s="83"/>
      <c r="E320" s="83"/>
      <c r="F320" s="96"/>
      <c r="G320" s="96"/>
      <c r="H320" s="70"/>
      <c r="I320" s="70"/>
      <c r="J320" s="70"/>
      <c r="K320" s="70">
        <f t="shared" si="18"/>
        <v>0</v>
      </c>
      <c r="L320" s="70">
        <f t="shared" si="19"/>
        <v>0</v>
      </c>
      <c r="M320" s="70">
        <f t="shared" si="20"/>
        <v>0</v>
      </c>
      <c r="N320" s="126"/>
      <c r="O320" s="124"/>
    </row>
    <row r="321" spans="1:15" ht="30" customHeight="1" x14ac:dyDescent="0.3">
      <c r="A321" s="123">
        <f t="shared" si="17"/>
        <v>317</v>
      </c>
      <c r="B321" s="127"/>
      <c r="C321" s="96"/>
      <c r="D321" s="83"/>
      <c r="E321" s="83"/>
      <c r="F321" s="96"/>
      <c r="G321" s="96"/>
      <c r="H321" s="70"/>
      <c r="I321" s="70"/>
      <c r="J321" s="70"/>
      <c r="K321" s="70">
        <f t="shared" si="18"/>
        <v>0</v>
      </c>
      <c r="L321" s="70">
        <f t="shared" si="19"/>
        <v>0</v>
      </c>
      <c r="M321" s="70">
        <f t="shared" si="20"/>
        <v>0</v>
      </c>
      <c r="N321" s="126"/>
      <c r="O321" s="124"/>
    </row>
    <row r="322" spans="1:15" ht="30" customHeight="1" x14ac:dyDescent="0.3">
      <c r="A322" s="123">
        <f t="shared" si="17"/>
        <v>318</v>
      </c>
      <c r="B322" s="127"/>
      <c r="C322" s="96"/>
      <c r="D322" s="83"/>
      <c r="E322" s="83"/>
      <c r="F322" s="96"/>
      <c r="G322" s="96"/>
      <c r="H322" s="70"/>
      <c r="I322" s="70"/>
      <c r="J322" s="70"/>
      <c r="K322" s="70">
        <f t="shared" si="18"/>
        <v>0</v>
      </c>
      <c r="L322" s="70">
        <f t="shared" si="19"/>
        <v>0</v>
      </c>
      <c r="M322" s="70">
        <f t="shared" si="20"/>
        <v>0</v>
      </c>
      <c r="N322" s="126"/>
      <c r="O322" s="124"/>
    </row>
    <row r="323" spans="1:15" ht="30" customHeight="1" x14ac:dyDescent="0.3">
      <c r="A323" s="123">
        <f t="shared" si="17"/>
        <v>319</v>
      </c>
      <c r="B323" s="127"/>
      <c r="C323" s="96"/>
      <c r="D323" s="83"/>
      <c r="E323" s="83"/>
      <c r="F323" s="96"/>
      <c r="G323" s="96"/>
      <c r="H323" s="70"/>
      <c r="I323" s="70"/>
      <c r="J323" s="70"/>
      <c r="K323" s="70">
        <f t="shared" si="18"/>
        <v>0</v>
      </c>
      <c r="L323" s="70">
        <f t="shared" si="19"/>
        <v>0</v>
      </c>
      <c r="M323" s="70">
        <f t="shared" si="20"/>
        <v>0</v>
      </c>
      <c r="N323" s="126"/>
      <c r="O323" s="124"/>
    </row>
    <row r="324" spans="1:15" ht="30" customHeight="1" x14ac:dyDescent="0.3">
      <c r="A324" s="123">
        <f t="shared" si="17"/>
        <v>320</v>
      </c>
      <c r="B324" s="127"/>
      <c r="C324" s="96"/>
      <c r="D324" s="83"/>
      <c r="E324" s="83"/>
      <c r="F324" s="96"/>
      <c r="G324" s="96"/>
      <c r="H324" s="70"/>
      <c r="I324" s="70"/>
      <c r="J324" s="70"/>
      <c r="K324" s="70">
        <f t="shared" si="18"/>
        <v>0</v>
      </c>
      <c r="L324" s="70">
        <f t="shared" si="19"/>
        <v>0</v>
      </c>
      <c r="M324" s="70">
        <f t="shared" si="20"/>
        <v>0</v>
      </c>
      <c r="N324" s="126"/>
      <c r="O324" s="124"/>
    </row>
    <row r="325" spans="1:15" ht="30" customHeight="1" x14ac:dyDescent="0.3">
      <c r="A325" s="123">
        <f t="shared" si="17"/>
        <v>321</v>
      </c>
      <c r="B325" s="127"/>
      <c r="C325" s="96"/>
      <c r="D325" s="83"/>
      <c r="E325" s="83"/>
      <c r="F325" s="96"/>
      <c r="G325" s="96"/>
      <c r="H325" s="70"/>
      <c r="I325" s="70"/>
      <c r="J325" s="70"/>
      <c r="K325" s="70">
        <f t="shared" si="18"/>
        <v>0</v>
      </c>
      <c r="L325" s="70">
        <f t="shared" si="19"/>
        <v>0</v>
      </c>
      <c r="M325" s="70">
        <f t="shared" si="20"/>
        <v>0</v>
      </c>
      <c r="N325" s="126"/>
      <c r="O325" s="124"/>
    </row>
    <row r="326" spans="1:15" ht="30" customHeight="1" x14ac:dyDescent="0.3">
      <c r="A326" s="123">
        <f t="shared" si="17"/>
        <v>322</v>
      </c>
      <c r="B326" s="127"/>
      <c r="C326" s="96"/>
      <c r="D326" s="83"/>
      <c r="E326" s="83"/>
      <c r="F326" s="96"/>
      <c r="G326" s="96"/>
      <c r="H326" s="70"/>
      <c r="I326" s="70"/>
      <c r="J326" s="70"/>
      <c r="K326" s="70">
        <f t="shared" si="18"/>
        <v>0</v>
      </c>
      <c r="L326" s="70">
        <f t="shared" si="19"/>
        <v>0</v>
      </c>
      <c r="M326" s="70">
        <f t="shared" si="20"/>
        <v>0</v>
      </c>
      <c r="N326" s="126"/>
      <c r="O326" s="124"/>
    </row>
    <row r="327" spans="1:15" ht="30" customHeight="1" x14ac:dyDescent="0.3">
      <c r="A327" s="123">
        <f t="shared" si="17"/>
        <v>323</v>
      </c>
      <c r="B327" s="127"/>
      <c r="C327" s="96"/>
      <c r="D327" s="83"/>
      <c r="E327" s="83"/>
      <c r="F327" s="96"/>
      <c r="G327" s="96"/>
      <c r="H327" s="70"/>
      <c r="I327" s="70"/>
      <c r="J327" s="70"/>
      <c r="K327" s="70">
        <f t="shared" si="18"/>
        <v>0</v>
      </c>
      <c r="L327" s="70">
        <f t="shared" si="19"/>
        <v>0</v>
      </c>
      <c r="M327" s="70">
        <f t="shared" si="20"/>
        <v>0</v>
      </c>
      <c r="N327" s="126"/>
      <c r="O327" s="124"/>
    </row>
    <row r="328" spans="1:15" ht="30" customHeight="1" x14ac:dyDescent="0.3">
      <c r="A328" s="123">
        <f t="shared" si="17"/>
        <v>324</v>
      </c>
      <c r="B328" s="127"/>
      <c r="C328" s="96"/>
      <c r="D328" s="83"/>
      <c r="E328" s="83"/>
      <c r="F328" s="96"/>
      <c r="G328" s="96"/>
      <c r="H328" s="70"/>
      <c r="I328" s="70"/>
      <c r="J328" s="70"/>
      <c r="K328" s="70">
        <f t="shared" si="18"/>
        <v>0</v>
      </c>
      <c r="L328" s="70">
        <f t="shared" si="19"/>
        <v>0</v>
      </c>
      <c r="M328" s="70">
        <f t="shared" si="20"/>
        <v>0</v>
      </c>
      <c r="N328" s="126"/>
      <c r="O328" s="124"/>
    </row>
    <row r="329" spans="1:15" ht="30" customHeight="1" x14ac:dyDescent="0.3">
      <c r="A329" s="123">
        <f t="shared" si="17"/>
        <v>325</v>
      </c>
      <c r="B329" s="127"/>
      <c r="C329" s="96"/>
      <c r="D329" s="83"/>
      <c r="E329" s="83"/>
      <c r="F329" s="96"/>
      <c r="G329" s="96"/>
      <c r="H329" s="70"/>
      <c r="I329" s="70"/>
      <c r="J329" s="70"/>
      <c r="K329" s="70">
        <f t="shared" si="18"/>
        <v>0</v>
      </c>
      <c r="L329" s="70">
        <f t="shared" si="19"/>
        <v>0</v>
      </c>
      <c r="M329" s="70">
        <f t="shared" si="20"/>
        <v>0</v>
      </c>
      <c r="N329" s="126"/>
      <c r="O329" s="124"/>
    </row>
    <row r="330" spans="1:15" ht="30" customHeight="1" x14ac:dyDescent="0.3">
      <c r="A330" s="123">
        <f t="shared" si="17"/>
        <v>326</v>
      </c>
      <c r="B330" s="127"/>
      <c r="C330" s="96"/>
      <c r="D330" s="83"/>
      <c r="E330" s="83"/>
      <c r="F330" s="96"/>
      <c r="G330" s="96"/>
      <c r="H330" s="70"/>
      <c r="I330" s="70"/>
      <c r="J330" s="70"/>
      <c r="K330" s="70">
        <f t="shared" si="18"/>
        <v>0</v>
      </c>
      <c r="L330" s="70">
        <f t="shared" si="19"/>
        <v>0</v>
      </c>
      <c r="M330" s="70">
        <f t="shared" si="20"/>
        <v>0</v>
      </c>
      <c r="N330" s="126"/>
      <c r="O330" s="124"/>
    </row>
    <row r="331" spans="1:15" ht="30" customHeight="1" x14ac:dyDescent="0.3">
      <c r="A331" s="123">
        <f t="shared" si="17"/>
        <v>327</v>
      </c>
      <c r="B331" s="127"/>
      <c r="C331" s="96"/>
      <c r="D331" s="83"/>
      <c r="E331" s="83"/>
      <c r="F331" s="96"/>
      <c r="G331" s="96"/>
      <c r="H331" s="70"/>
      <c r="I331" s="70"/>
      <c r="J331" s="70"/>
      <c r="K331" s="70">
        <f t="shared" si="18"/>
        <v>0</v>
      </c>
      <c r="L331" s="70">
        <f t="shared" si="19"/>
        <v>0</v>
      </c>
      <c r="M331" s="70">
        <f t="shared" si="20"/>
        <v>0</v>
      </c>
      <c r="N331" s="126"/>
      <c r="O331" s="124"/>
    </row>
    <row r="332" spans="1:15" ht="30" customHeight="1" x14ac:dyDescent="0.3">
      <c r="A332" s="123">
        <f t="shared" si="17"/>
        <v>328</v>
      </c>
      <c r="B332" s="127"/>
      <c r="C332" s="96"/>
      <c r="D332" s="83"/>
      <c r="E332" s="83"/>
      <c r="F332" s="96"/>
      <c r="G332" s="96"/>
      <c r="H332" s="70"/>
      <c r="I332" s="70"/>
      <c r="J332" s="70"/>
      <c r="K332" s="70">
        <f t="shared" si="18"/>
        <v>0</v>
      </c>
      <c r="L332" s="70">
        <f t="shared" si="19"/>
        <v>0</v>
      </c>
      <c r="M332" s="70">
        <f t="shared" si="20"/>
        <v>0</v>
      </c>
      <c r="N332" s="126"/>
      <c r="O332" s="124"/>
    </row>
    <row r="333" spans="1:15" ht="30" customHeight="1" x14ac:dyDescent="0.3">
      <c r="A333" s="123">
        <f t="shared" si="17"/>
        <v>329</v>
      </c>
      <c r="B333" s="127"/>
      <c r="C333" s="96"/>
      <c r="D333" s="83"/>
      <c r="E333" s="83"/>
      <c r="F333" s="96"/>
      <c r="G333" s="96"/>
      <c r="H333" s="70"/>
      <c r="I333" s="70"/>
      <c r="J333" s="70"/>
      <c r="K333" s="70">
        <f t="shared" si="18"/>
        <v>0</v>
      </c>
      <c r="L333" s="70">
        <f t="shared" si="19"/>
        <v>0</v>
      </c>
      <c r="M333" s="70">
        <f t="shared" si="20"/>
        <v>0</v>
      </c>
      <c r="N333" s="126"/>
      <c r="O333" s="124"/>
    </row>
    <row r="334" spans="1:15" ht="30" customHeight="1" x14ac:dyDescent="0.3">
      <c r="A334" s="123">
        <f t="shared" si="17"/>
        <v>330</v>
      </c>
      <c r="B334" s="127"/>
      <c r="C334" s="96"/>
      <c r="D334" s="83"/>
      <c r="E334" s="83"/>
      <c r="F334" s="96"/>
      <c r="G334" s="96"/>
      <c r="H334" s="70"/>
      <c r="I334" s="70"/>
      <c r="J334" s="70"/>
      <c r="K334" s="70">
        <f t="shared" si="18"/>
        <v>0</v>
      </c>
      <c r="L334" s="70">
        <f t="shared" si="19"/>
        <v>0</v>
      </c>
      <c r="M334" s="70">
        <f t="shared" si="20"/>
        <v>0</v>
      </c>
      <c r="N334" s="126"/>
      <c r="O334" s="124"/>
    </row>
    <row r="335" spans="1:15" ht="30" customHeight="1" x14ac:dyDescent="0.3">
      <c r="A335" s="123">
        <f t="shared" si="17"/>
        <v>331</v>
      </c>
      <c r="B335" s="127"/>
      <c r="C335" s="96"/>
      <c r="D335" s="83"/>
      <c r="E335" s="83"/>
      <c r="F335" s="96"/>
      <c r="G335" s="96"/>
      <c r="H335" s="70"/>
      <c r="I335" s="70"/>
      <c r="J335" s="70"/>
      <c r="K335" s="70">
        <f t="shared" si="18"/>
        <v>0</v>
      </c>
      <c r="L335" s="70">
        <f t="shared" si="19"/>
        <v>0</v>
      </c>
      <c r="M335" s="70">
        <f t="shared" si="20"/>
        <v>0</v>
      </c>
      <c r="N335" s="126"/>
      <c r="O335" s="124"/>
    </row>
    <row r="336" spans="1:15" ht="30" customHeight="1" x14ac:dyDescent="0.3">
      <c r="A336" s="123">
        <f t="shared" si="17"/>
        <v>332</v>
      </c>
      <c r="B336" s="127"/>
      <c r="C336" s="96"/>
      <c r="D336" s="83"/>
      <c r="E336" s="83"/>
      <c r="F336" s="96"/>
      <c r="G336" s="96"/>
      <c r="H336" s="70"/>
      <c r="I336" s="70"/>
      <c r="J336" s="70"/>
      <c r="K336" s="70">
        <f t="shared" si="18"/>
        <v>0</v>
      </c>
      <c r="L336" s="70">
        <f t="shared" si="19"/>
        <v>0</v>
      </c>
      <c r="M336" s="70">
        <f t="shared" si="20"/>
        <v>0</v>
      </c>
      <c r="N336" s="126"/>
      <c r="O336" s="124"/>
    </row>
    <row r="337" spans="1:15" ht="30" customHeight="1" x14ac:dyDescent="0.3">
      <c r="A337" s="123">
        <f t="shared" si="17"/>
        <v>333</v>
      </c>
      <c r="B337" s="127"/>
      <c r="C337" s="96"/>
      <c r="D337" s="83"/>
      <c r="E337" s="83"/>
      <c r="F337" s="96"/>
      <c r="G337" s="96"/>
      <c r="H337" s="70"/>
      <c r="I337" s="70"/>
      <c r="J337" s="70"/>
      <c r="K337" s="70">
        <f t="shared" si="18"/>
        <v>0</v>
      </c>
      <c r="L337" s="70">
        <f t="shared" si="19"/>
        <v>0</v>
      </c>
      <c r="M337" s="70">
        <f t="shared" si="20"/>
        <v>0</v>
      </c>
      <c r="N337" s="126"/>
      <c r="O337" s="124"/>
    </row>
    <row r="338" spans="1:15" ht="30" customHeight="1" x14ac:dyDescent="0.3">
      <c r="A338" s="123">
        <f t="shared" si="17"/>
        <v>334</v>
      </c>
      <c r="B338" s="127"/>
      <c r="C338" s="96"/>
      <c r="D338" s="83"/>
      <c r="E338" s="83"/>
      <c r="F338" s="96"/>
      <c r="G338" s="96"/>
      <c r="H338" s="70"/>
      <c r="I338" s="70"/>
      <c r="J338" s="70"/>
      <c r="K338" s="70">
        <f t="shared" si="18"/>
        <v>0</v>
      </c>
      <c r="L338" s="70">
        <f t="shared" si="19"/>
        <v>0</v>
      </c>
      <c r="M338" s="70">
        <f t="shared" si="20"/>
        <v>0</v>
      </c>
      <c r="N338" s="126"/>
      <c r="O338" s="124"/>
    </row>
    <row r="339" spans="1:15" ht="30" customHeight="1" x14ac:dyDescent="0.3">
      <c r="A339" s="123">
        <f t="shared" si="17"/>
        <v>335</v>
      </c>
      <c r="B339" s="127"/>
      <c r="C339" s="96"/>
      <c r="D339" s="83"/>
      <c r="E339" s="83"/>
      <c r="F339" s="96"/>
      <c r="G339" s="96"/>
      <c r="H339" s="70"/>
      <c r="I339" s="70"/>
      <c r="J339" s="70"/>
      <c r="K339" s="70">
        <f t="shared" si="18"/>
        <v>0</v>
      </c>
      <c r="L339" s="70">
        <f t="shared" si="19"/>
        <v>0</v>
      </c>
      <c r="M339" s="70">
        <f t="shared" si="20"/>
        <v>0</v>
      </c>
      <c r="N339" s="126"/>
      <c r="O339" s="124"/>
    </row>
    <row r="340" spans="1:15" ht="30" customHeight="1" x14ac:dyDescent="0.3">
      <c r="A340" s="123">
        <f t="shared" ref="A340:A403" si="21">A339+1</f>
        <v>336</v>
      </c>
      <c r="B340" s="127"/>
      <c r="C340" s="96"/>
      <c r="D340" s="83"/>
      <c r="E340" s="83"/>
      <c r="F340" s="96"/>
      <c r="G340" s="96"/>
      <c r="H340" s="70"/>
      <c r="I340" s="70"/>
      <c r="J340" s="70"/>
      <c r="K340" s="70">
        <f t="shared" ref="K340:K403" si="22">H340/1000000</f>
        <v>0</v>
      </c>
      <c r="L340" s="70">
        <f t="shared" ref="L340:L403" si="23">I340/1000000</f>
        <v>0</v>
      </c>
      <c r="M340" s="70">
        <f t="shared" ref="M340:M403" si="24">J340/1000000</f>
        <v>0</v>
      </c>
      <c r="N340" s="126"/>
      <c r="O340" s="124"/>
    </row>
    <row r="341" spans="1:15" ht="30" customHeight="1" x14ac:dyDescent="0.3">
      <c r="A341" s="123">
        <f t="shared" si="21"/>
        <v>337</v>
      </c>
      <c r="B341" s="127"/>
      <c r="C341" s="96"/>
      <c r="D341" s="83"/>
      <c r="E341" s="83"/>
      <c r="F341" s="96"/>
      <c r="G341" s="96"/>
      <c r="H341" s="70"/>
      <c r="I341" s="70"/>
      <c r="J341" s="70"/>
      <c r="K341" s="70">
        <f t="shared" si="22"/>
        <v>0</v>
      </c>
      <c r="L341" s="70">
        <f t="shared" si="23"/>
        <v>0</v>
      </c>
      <c r="M341" s="70">
        <f t="shared" si="24"/>
        <v>0</v>
      </c>
      <c r="N341" s="126"/>
      <c r="O341" s="124"/>
    </row>
    <row r="342" spans="1:15" ht="30" customHeight="1" x14ac:dyDescent="0.3">
      <c r="A342" s="123">
        <f t="shared" si="21"/>
        <v>338</v>
      </c>
      <c r="B342" s="127"/>
      <c r="C342" s="96"/>
      <c r="D342" s="83"/>
      <c r="E342" s="83"/>
      <c r="F342" s="96"/>
      <c r="G342" s="96"/>
      <c r="H342" s="70"/>
      <c r="I342" s="70"/>
      <c r="J342" s="70"/>
      <c r="K342" s="70">
        <f t="shared" si="22"/>
        <v>0</v>
      </c>
      <c r="L342" s="70">
        <f t="shared" si="23"/>
        <v>0</v>
      </c>
      <c r="M342" s="70">
        <f t="shared" si="24"/>
        <v>0</v>
      </c>
      <c r="N342" s="126"/>
      <c r="O342" s="124"/>
    </row>
    <row r="343" spans="1:15" ht="30" customHeight="1" x14ac:dyDescent="0.3">
      <c r="A343" s="123">
        <f t="shared" si="21"/>
        <v>339</v>
      </c>
      <c r="B343" s="127"/>
      <c r="C343" s="96"/>
      <c r="D343" s="83"/>
      <c r="E343" s="83"/>
      <c r="F343" s="96"/>
      <c r="G343" s="96"/>
      <c r="H343" s="70"/>
      <c r="I343" s="70"/>
      <c r="J343" s="70"/>
      <c r="K343" s="70">
        <f t="shared" si="22"/>
        <v>0</v>
      </c>
      <c r="L343" s="70">
        <f t="shared" si="23"/>
        <v>0</v>
      </c>
      <c r="M343" s="70">
        <f t="shared" si="24"/>
        <v>0</v>
      </c>
      <c r="N343" s="126"/>
      <c r="O343" s="124"/>
    </row>
    <row r="344" spans="1:15" ht="30" customHeight="1" x14ac:dyDescent="0.3">
      <c r="A344" s="123">
        <f t="shared" si="21"/>
        <v>340</v>
      </c>
      <c r="B344" s="127"/>
      <c r="C344" s="96"/>
      <c r="D344" s="83"/>
      <c r="E344" s="83"/>
      <c r="F344" s="96"/>
      <c r="G344" s="96"/>
      <c r="H344" s="70"/>
      <c r="I344" s="70"/>
      <c r="J344" s="70"/>
      <c r="K344" s="70">
        <f t="shared" si="22"/>
        <v>0</v>
      </c>
      <c r="L344" s="70">
        <f t="shared" si="23"/>
        <v>0</v>
      </c>
      <c r="M344" s="70">
        <f t="shared" si="24"/>
        <v>0</v>
      </c>
      <c r="N344" s="126"/>
      <c r="O344" s="124"/>
    </row>
    <row r="345" spans="1:15" ht="30" customHeight="1" x14ac:dyDescent="0.3">
      <c r="A345" s="123">
        <f t="shared" si="21"/>
        <v>341</v>
      </c>
      <c r="B345" s="127"/>
      <c r="C345" s="96"/>
      <c r="D345" s="83"/>
      <c r="E345" s="83"/>
      <c r="F345" s="96"/>
      <c r="G345" s="96"/>
      <c r="H345" s="70"/>
      <c r="I345" s="70"/>
      <c r="J345" s="70"/>
      <c r="K345" s="70">
        <f t="shared" si="22"/>
        <v>0</v>
      </c>
      <c r="L345" s="70">
        <f t="shared" si="23"/>
        <v>0</v>
      </c>
      <c r="M345" s="70">
        <f t="shared" si="24"/>
        <v>0</v>
      </c>
      <c r="N345" s="126"/>
      <c r="O345" s="124"/>
    </row>
    <row r="346" spans="1:15" ht="30" customHeight="1" x14ac:dyDescent="0.3">
      <c r="A346" s="123">
        <f t="shared" si="21"/>
        <v>342</v>
      </c>
      <c r="B346" s="127"/>
      <c r="C346" s="96"/>
      <c r="D346" s="83"/>
      <c r="E346" s="83"/>
      <c r="F346" s="96"/>
      <c r="G346" s="96"/>
      <c r="H346" s="70"/>
      <c r="I346" s="70"/>
      <c r="J346" s="70"/>
      <c r="K346" s="70">
        <f t="shared" si="22"/>
        <v>0</v>
      </c>
      <c r="L346" s="70">
        <f t="shared" si="23"/>
        <v>0</v>
      </c>
      <c r="M346" s="70">
        <f t="shared" si="24"/>
        <v>0</v>
      </c>
      <c r="N346" s="126"/>
      <c r="O346" s="124"/>
    </row>
    <row r="347" spans="1:15" ht="30" customHeight="1" x14ac:dyDescent="0.3">
      <c r="A347" s="123">
        <f t="shared" si="21"/>
        <v>343</v>
      </c>
      <c r="B347" s="127"/>
      <c r="C347" s="96"/>
      <c r="D347" s="83"/>
      <c r="E347" s="83"/>
      <c r="F347" s="96"/>
      <c r="G347" s="96"/>
      <c r="H347" s="70"/>
      <c r="I347" s="70"/>
      <c r="J347" s="70"/>
      <c r="K347" s="70">
        <f t="shared" si="22"/>
        <v>0</v>
      </c>
      <c r="L347" s="70">
        <f t="shared" si="23"/>
        <v>0</v>
      </c>
      <c r="M347" s="70">
        <f t="shared" si="24"/>
        <v>0</v>
      </c>
      <c r="N347" s="126"/>
      <c r="O347" s="124"/>
    </row>
    <row r="348" spans="1:15" ht="30" customHeight="1" x14ac:dyDescent="0.3">
      <c r="A348" s="123">
        <f t="shared" si="21"/>
        <v>344</v>
      </c>
      <c r="B348" s="127"/>
      <c r="C348" s="96"/>
      <c r="D348" s="83"/>
      <c r="E348" s="83"/>
      <c r="F348" s="96"/>
      <c r="G348" s="96"/>
      <c r="H348" s="70"/>
      <c r="I348" s="70"/>
      <c r="J348" s="70"/>
      <c r="K348" s="70">
        <f t="shared" si="22"/>
        <v>0</v>
      </c>
      <c r="L348" s="70">
        <f t="shared" si="23"/>
        <v>0</v>
      </c>
      <c r="M348" s="70">
        <f t="shared" si="24"/>
        <v>0</v>
      </c>
      <c r="N348" s="126"/>
      <c r="O348" s="124"/>
    </row>
    <row r="349" spans="1:15" ht="30" customHeight="1" x14ac:dyDescent="0.3">
      <c r="A349" s="123">
        <f t="shared" si="21"/>
        <v>345</v>
      </c>
      <c r="B349" s="127"/>
      <c r="C349" s="96"/>
      <c r="D349" s="83"/>
      <c r="E349" s="83"/>
      <c r="F349" s="96"/>
      <c r="G349" s="96"/>
      <c r="H349" s="70"/>
      <c r="I349" s="70"/>
      <c r="J349" s="70"/>
      <c r="K349" s="70">
        <f t="shared" si="22"/>
        <v>0</v>
      </c>
      <c r="L349" s="70">
        <f t="shared" si="23"/>
        <v>0</v>
      </c>
      <c r="M349" s="70">
        <f t="shared" si="24"/>
        <v>0</v>
      </c>
      <c r="N349" s="126"/>
      <c r="O349" s="124"/>
    </row>
    <row r="350" spans="1:15" ht="30" customHeight="1" x14ac:dyDescent="0.3">
      <c r="A350" s="123">
        <f t="shared" si="21"/>
        <v>346</v>
      </c>
      <c r="B350" s="127"/>
      <c r="C350" s="96"/>
      <c r="D350" s="83"/>
      <c r="E350" s="83"/>
      <c r="F350" s="96"/>
      <c r="G350" s="96"/>
      <c r="H350" s="70"/>
      <c r="I350" s="70"/>
      <c r="J350" s="70"/>
      <c r="K350" s="70">
        <f t="shared" si="22"/>
        <v>0</v>
      </c>
      <c r="L350" s="70">
        <f t="shared" si="23"/>
        <v>0</v>
      </c>
      <c r="M350" s="70">
        <f t="shared" si="24"/>
        <v>0</v>
      </c>
      <c r="N350" s="126"/>
      <c r="O350" s="124"/>
    </row>
    <row r="351" spans="1:15" ht="30" customHeight="1" x14ac:dyDescent="0.3">
      <c r="A351" s="123">
        <f t="shared" si="21"/>
        <v>347</v>
      </c>
      <c r="B351" s="127"/>
      <c r="C351" s="96"/>
      <c r="D351" s="83"/>
      <c r="E351" s="83"/>
      <c r="F351" s="96"/>
      <c r="G351" s="96"/>
      <c r="H351" s="70"/>
      <c r="I351" s="70"/>
      <c r="J351" s="70"/>
      <c r="K351" s="70">
        <f t="shared" si="22"/>
        <v>0</v>
      </c>
      <c r="L351" s="70">
        <f t="shared" si="23"/>
        <v>0</v>
      </c>
      <c r="M351" s="70">
        <f t="shared" si="24"/>
        <v>0</v>
      </c>
      <c r="N351" s="126"/>
      <c r="O351" s="124"/>
    </row>
    <row r="352" spans="1:15" ht="30" customHeight="1" x14ac:dyDescent="0.3">
      <c r="A352" s="123">
        <f t="shared" si="21"/>
        <v>348</v>
      </c>
      <c r="B352" s="127"/>
      <c r="C352" s="96"/>
      <c r="D352" s="83"/>
      <c r="E352" s="83"/>
      <c r="F352" s="96"/>
      <c r="G352" s="96"/>
      <c r="H352" s="70"/>
      <c r="I352" s="70"/>
      <c r="J352" s="70"/>
      <c r="K352" s="70">
        <f t="shared" si="22"/>
        <v>0</v>
      </c>
      <c r="L352" s="70">
        <f t="shared" si="23"/>
        <v>0</v>
      </c>
      <c r="M352" s="70">
        <f t="shared" si="24"/>
        <v>0</v>
      </c>
      <c r="N352" s="126"/>
      <c r="O352" s="124"/>
    </row>
    <row r="353" spans="1:15" ht="30" customHeight="1" x14ac:dyDescent="0.3">
      <c r="A353" s="123">
        <f t="shared" si="21"/>
        <v>349</v>
      </c>
      <c r="B353" s="127"/>
      <c r="C353" s="96"/>
      <c r="D353" s="83"/>
      <c r="E353" s="83"/>
      <c r="F353" s="96"/>
      <c r="G353" s="96"/>
      <c r="H353" s="70"/>
      <c r="I353" s="70"/>
      <c r="J353" s="70"/>
      <c r="K353" s="70">
        <f t="shared" si="22"/>
        <v>0</v>
      </c>
      <c r="L353" s="70">
        <f t="shared" si="23"/>
        <v>0</v>
      </c>
      <c r="M353" s="70">
        <f t="shared" si="24"/>
        <v>0</v>
      </c>
      <c r="N353" s="126"/>
      <c r="O353" s="124"/>
    </row>
    <row r="354" spans="1:15" ht="30" customHeight="1" x14ac:dyDescent="0.3">
      <c r="A354" s="123">
        <f t="shared" si="21"/>
        <v>350</v>
      </c>
      <c r="B354" s="127"/>
      <c r="C354" s="96"/>
      <c r="D354" s="83"/>
      <c r="E354" s="83"/>
      <c r="F354" s="96"/>
      <c r="G354" s="96"/>
      <c r="H354" s="70"/>
      <c r="I354" s="70"/>
      <c r="J354" s="70"/>
      <c r="K354" s="70">
        <f t="shared" si="22"/>
        <v>0</v>
      </c>
      <c r="L354" s="70">
        <f t="shared" si="23"/>
        <v>0</v>
      </c>
      <c r="M354" s="70">
        <f t="shared" si="24"/>
        <v>0</v>
      </c>
      <c r="N354" s="126"/>
      <c r="O354" s="124"/>
    </row>
    <row r="355" spans="1:15" ht="30" customHeight="1" x14ac:dyDescent="0.3">
      <c r="A355" s="123">
        <f t="shared" si="21"/>
        <v>351</v>
      </c>
      <c r="B355" s="127"/>
      <c r="C355" s="96"/>
      <c r="D355" s="83"/>
      <c r="E355" s="83"/>
      <c r="F355" s="96"/>
      <c r="G355" s="96"/>
      <c r="H355" s="70"/>
      <c r="I355" s="70"/>
      <c r="J355" s="70"/>
      <c r="K355" s="70">
        <f t="shared" si="22"/>
        <v>0</v>
      </c>
      <c r="L355" s="70">
        <f t="shared" si="23"/>
        <v>0</v>
      </c>
      <c r="M355" s="70">
        <f t="shared" si="24"/>
        <v>0</v>
      </c>
      <c r="N355" s="126"/>
      <c r="O355" s="124"/>
    </row>
    <row r="356" spans="1:15" ht="30" customHeight="1" x14ac:dyDescent="0.3">
      <c r="A356" s="123">
        <f t="shared" si="21"/>
        <v>352</v>
      </c>
      <c r="B356" s="127"/>
      <c r="C356" s="96"/>
      <c r="D356" s="83"/>
      <c r="E356" s="83"/>
      <c r="F356" s="96"/>
      <c r="G356" s="96"/>
      <c r="H356" s="70"/>
      <c r="I356" s="70"/>
      <c r="J356" s="70"/>
      <c r="K356" s="70">
        <f t="shared" si="22"/>
        <v>0</v>
      </c>
      <c r="L356" s="70">
        <f t="shared" si="23"/>
        <v>0</v>
      </c>
      <c r="M356" s="70">
        <f t="shared" si="24"/>
        <v>0</v>
      </c>
      <c r="N356" s="126"/>
      <c r="O356" s="124"/>
    </row>
    <row r="357" spans="1:15" ht="30" customHeight="1" x14ac:dyDescent="0.3">
      <c r="A357" s="123">
        <f t="shared" si="21"/>
        <v>353</v>
      </c>
      <c r="B357" s="127"/>
      <c r="C357" s="96"/>
      <c r="D357" s="83"/>
      <c r="E357" s="83"/>
      <c r="F357" s="96"/>
      <c r="G357" s="96"/>
      <c r="H357" s="70"/>
      <c r="I357" s="70"/>
      <c r="J357" s="70"/>
      <c r="K357" s="70">
        <f t="shared" si="22"/>
        <v>0</v>
      </c>
      <c r="L357" s="70">
        <f t="shared" si="23"/>
        <v>0</v>
      </c>
      <c r="M357" s="70">
        <f t="shared" si="24"/>
        <v>0</v>
      </c>
      <c r="N357" s="126"/>
      <c r="O357" s="124"/>
    </row>
    <row r="358" spans="1:15" ht="30" customHeight="1" x14ac:dyDescent="0.3">
      <c r="A358" s="123">
        <f t="shared" si="21"/>
        <v>354</v>
      </c>
      <c r="B358" s="127"/>
      <c r="C358" s="96"/>
      <c r="D358" s="83"/>
      <c r="E358" s="83"/>
      <c r="F358" s="96"/>
      <c r="G358" s="96"/>
      <c r="H358" s="70"/>
      <c r="I358" s="70"/>
      <c r="J358" s="70"/>
      <c r="K358" s="70">
        <f t="shared" si="22"/>
        <v>0</v>
      </c>
      <c r="L358" s="70">
        <f t="shared" si="23"/>
        <v>0</v>
      </c>
      <c r="M358" s="70">
        <f t="shared" si="24"/>
        <v>0</v>
      </c>
      <c r="N358" s="126"/>
      <c r="O358" s="124"/>
    </row>
    <row r="359" spans="1:15" ht="30" customHeight="1" x14ac:dyDescent="0.3">
      <c r="A359" s="123">
        <f t="shared" si="21"/>
        <v>355</v>
      </c>
      <c r="B359" s="127"/>
      <c r="C359" s="96"/>
      <c r="D359" s="83"/>
      <c r="E359" s="83"/>
      <c r="F359" s="96"/>
      <c r="G359" s="96"/>
      <c r="H359" s="70"/>
      <c r="I359" s="70"/>
      <c r="J359" s="70"/>
      <c r="K359" s="70">
        <f t="shared" si="22"/>
        <v>0</v>
      </c>
      <c r="L359" s="70">
        <f t="shared" si="23"/>
        <v>0</v>
      </c>
      <c r="M359" s="70">
        <f t="shared" si="24"/>
        <v>0</v>
      </c>
      <c r="N359" s="126"/>
      <c r="O359" s="124"/>
    </row>
    <row r="360" spans="1:15" ht="30" customHeight="1" x14ac:dyDescent="0.3">
      <c r="A360" s="123">
        <f t="shared" si="21"/>
        <v>356</v>
      </c>
      <c r="B360" s="127"/>
      <c r="C360" s="96"/>
      <c r="D360" s="83"/>
      <c r="E360" s="83"/>
      <c r="F360" s="96"/>
      <c r="G360" s="96"/>
      <c r="H360" s="70"/>
      <c r="I360" s="70"/>
      <c r="J360" s="70"/>
      <c r="K360" s="70">
        <f t="shared" si="22"/>
        <v>0</v>
      </c>
      <c r="L360" s="70">
        <f t="shared" si="23"/>
        <v>0</v>
      </c>
      <c r="M360" s="70">
        <f t="shared" si="24"/>
        <v>0</v>
      </c>
      <c r="N360" s="126"/>
      <c r="O360" s="124"/>
    </row>
    <row r="361" spans="1:15" ht="30" customHeight="1" x14ac:dyDescent="0.3">
      <c r="A361" s="123">
        <f t="shared" si="21"/>
        <v>357</v>
      </c>
      <c r="B361" s="127"/>
      <c r="C361" s="96"/>
      <c r="D361" s="83"/>
      <c r="E361" s="83"/>
      <c r="F361" s="96"/>
      <c r="G361" s="96"/>
      <c r="H361" s="70"/>
      <c r="I361" s="70"/>
      <c r="J361" s="70"/>
      <c r="K361" s="70">
        <f t="shared" si="22"/>
        <v>0</v>
      </c>
      <c r="L361" s="70">
        <f t="shared" si="23"/>
        <v>0</v>
      </c>
      <c r="M361" s="70">
        <f t="shared" si="24"/>
        <v>0</v>
      </c>
      <c r="N361" s="126"/>
      <c r="O361" s="124"/>
    </row>
    <row r="362" spans="1:15" ht="30" customHeight="1" x14ac:dyDescent="0.3">
      <c r="A362" s="123">
        <f t="shared" si="21"/>
        <v>358</v>
      </c>
      <c r="B362" s="127"/>
      <c r="C362" s="96"/>
      <c r="D362" s="83"/>
      <c r="E362" s="83"/>
      <c r="F362" s="96"/>
      <c r="G362" s="96"/>
      <c r="H362" s="70"/>
      <c r="I362" s="70"/>
      <c r="J362" s="70"/>
      <c r="K362" s="70">
        <f t="shared" si="22"/>
        <v>0</v>
      </c>
      <c r="L362" s="70">
        <f t="shared" si="23"/>
        <v>0</v>
      </c>
      <c r="M362" s="70">
        <f t="shared" si="24"/>
        <v>0</v>
      </c>
      <c r="N362" s="126"/>
      <c r="O362" s="124"/>
    </row>
    <row r="363" spans="1:15" ht="30" customHeight="1" x14ac:dyDescent="0.3">
      <c r="A363" s="123">
        <f t="shared" si="21"/>
        <v>359</v>
      </c>
      <c r="B363" s="127"/>
      <c r="C363" s="96"/>
      <c r="D363" s="83"/>
      <c r="E363" s="83"/>
      <c r="F363" s="96"/>
      <c r="G363" s="96"/>
      <c r="H363" s="70"/>
      <c r="I363" s="70"/>
      <c r="J363" s="70"/>
      <c r="K363" s="70">
        <f t="shared" si="22"/>
        <v>0</v>
      </c>
      <c r="L363" s="70">
        <f t="shared" si="23"/>
        <v>0</v>
      </c>
      <c r="M363" s="70">
        <f t="shared" si="24"/>
        <v>0</v>
      </c>
      <c r="N363" s="126"/>
      <c r="O363" s="124"/>
    </row>
    <row r="364" spans="1:15" ht="30" customHeight="1" x14ac:dyDescent="0.3">
      <c r="A364" s="123">
        <f t="shared" si="21"/>
        <v>360</v>
      </c>
      <c r="B364" s="127"/>
      <c r="C364" s="96"/>
      <c r="D364" s="83"/>
      <c r="E364" s="83"/>
      <c r="F364" s="96"/>
      <c r="G364" s="96"/>
      <c r="H364" s="70"/>
      <c r="I364" s="70"/>
      <c r="J364" s="70"/>
      <c r="K364" s="70">
        <f t="shared" si="22"/>
        <v>0</v>
      </c>
      <c r="L364" s="70">
        <f t="shared" si="23"/>
        <v>0</v>
      </c>
      <c r="M364" s="70">
        <f t="shared" si="24"/>
        <v>0</v>
      </c>
      <c r="N364" s="126"/>
      <c r="O364" s="124"/>
    </row>
    <row r="365" spans="1:15" ht="30" customHeight="1" x14ac:dyDescent="0.3">
      <c r="A365" s="123">
        <f t="shared" si="21"/>
        <v>361</v>
      </c>
      <c r="B365" s="127"/>
      <c r="C365" s="96"/>
      <c r="D365" s="83"/>
      <c r="E365" s="83"/>
      <c r="F365" s="96"/>
      <c r="G365" s="96"/>
      <c r="H365" s="70"/>
      <c r="I365" s="70"/>
      <c r="J365" s="70"/>
      <c r="K365" s="70">
        <f t="shared" si="22"/>
        <v>0</v>
      </c>
      <c r="L365" s="70">
        <f t="shared" si="23"/>
        <v>0</v>
      </c>
      <c r="M365" s="70">
        <f t="shared" si="24"/>
        <v>0</v>
      </c>
      <c r="N365" s="126"/>
      <c r="O365" s="124"/>
    </row>
    <row r="366" spans="1:15" ht="30" customHeight="1" x14ac:dyDescent="0.3">
      <c r="A366" s="123">
        <f t="shared" si="21"/>
        <v>362</v>
      </c>
      <c r="B366" s="127"/>
      <c r="C366" s="96"/>
      <c r="D366" s="83"/>
      <c r="E366" s="83"/>
      <c r="F366" s="96"/>
      <c r="G366" s="96"/>
      <c r="H366" s="70"/>
      <c r="I366" s="70"/>
      <c r="J366" s="70"/>
      <c r="K366" s="70">
        <f t="shared" si="22"/>
        <v>0</v>
      </c>
      <c r="L366" s="70">
        <f t="shared" si="23"/>
        <v>0</v>
      </c>
      <c r="M366" s="70">
        <f t="shared" si="24"/>
        <v>0</v>
      </c>
      <c r="N366" s="126"/>
      <c r="O366" s="124"/>
    </row>
    <row r="367" spans="1:15" ht="30" customHeight="1" x14ac:dyDescent="0.3">
      <c r="A367" s="123">
        <f t="shared" si="21"/>
        <v>363</v>
      </c>
      <c r="B367" s="127"/>
      <c r="C367" s="96"/>
      <c r="D367" s="83"/>
      <c r="E367" s="83"/>
      <c r="F367" s="96"/>
      <c r="G367" s="96"/>
      <c r="H367" s="70"/>
      <c r="I367" s="70"/>
      <c r="J367" s="70"/>
      <c r="K367" s="70">
        <f t="shared" si="22"/>
        <v>0</v>
      </c>
      <c r="L367" s="70">
        <f t="shared" si="23"/>
        <v>0</v>
      </c>
      <c r="M367" s="70">
        <f t="shared" si="24"/>
        <v>0</v>
      </c>
      <c r="N367" s="126"/>
      <c r="O367" s="124"/>
    </row>
    <row r="368" spans="1:15" ht="30" customHeight="1" x14ac:dyDescent="0.3">
      <c r="A368" s="123">
        <f t="shared" si="21"/>
        <v>364</v>
      </c>
      <c r="B368" s="127"/>
      <c r="C368" s="96"/>
      <c r="D368" s="83"/>
      <c r="E368" s="83"/>
      <c r="F368" s="96"/>
      <c r="G368" s="96"/>
      <c r="H368" s="70"/>
      <c r="I368" s="70"/>
      <c r="J368" s="70"/>
      <c r="K368" s="70">
        <f t="shared" si="22"/>
        <v>0</v>
      </c>
      <c r="L368" s="70">
        <f t="shared" si="23"/>
        <v>0</v>
      </c>
      <c r="M368" s="70">
        <f t="shared" si="24"/>
        <v>0</v>
      </c>
      <c r="N368" s="126"/>
      <c r="O368" s="124"/>
    </row>
    <row r="369" spans="1:15" ht="30" customHeight="1" x14ac:dyDescent="0.3">
      <c r="A369" s="123">
        <f t="shared" si="21"/>
        <v>365</v>
      </c>
      <c r="B369" s="127"/>
      <c r="C369" s="96"/>
      <c r="D369" s="83"/>
      <c r="E369" s="83"/>
      <c r="F369" s="96"/>
      <c r="G369" s="96"/>
      <c r="H369" s="70"/>
      <c r="I369" s="70"/>
      <c r="J369" s="70"/>
      <c r="K369" s="70">
        <f t="shared" si="22"/>
        <v>0</v>
      </c>
      <c r="L369" s="70">
        <f t="shared" si="23"/>
        <v>0</v>
      </c>
      <c r="M369" s="70">
        <f t="shared" si="24"/>
        <v>0</v>
      </c>
      <c r="N369" s="126"/>
      <c r="O369" s="124"/>
    </row>
    <row r="370" spans="1:15" ht="30" customHeight="1" x14ac:dyDescent="0.3">
      <c r="A370" s="123">
        <f t="shared" si="21"/>
        <v>366</v>
      </c>
      <c r="B370" s="127"/>
      <c r="C370" s="96"/>
      <c r="D370" s="83"/>
      <c r="E370" s="83"/>
      <c r="F370" s="96"/>
      <c r="G370" s="96"/>
      <c r="H370" s="70"/>
      <c r="I370" s="70"/>
      <c r="J370" s="70"/>
      <c r="K370" s="70">
        <f t="shared" si="22"/>
        <v>0</v>
      </c>
      <c r="L370" s="70">
        <f t="shared" si="23"/>
        <v>0</v>
      </c>
      <c r="M370" s="70">
        <f t="shared" si="24"/>
        <v>0</v>
      </c>
      <c r="N370" s="126"/>
      <c r="O370" s="124"/>
    </row>
    <row r="371" spans="1:15" ht="30" customHeight="1" x14ac:dyDescent="0.3">
      <c r="A371" s="123">
        <f t="shared" si="21"/>
        <v>367</v>
      </c>
      <c r="B371" s="127"/>
      <c r="C371" s="96"/>
      <c r="D371" s="83"/>
      <c r="E371" s="83"/>
      <c r="F371" s="96"/>
      <c r="G371" s="96"/>
      <c r="H371" s="70"/>
      <c r="I371" s="70"/>
      <c r="J371" s="70"/>
      <c r="K371" s="70">
        <f t="shared" si="22"/>
        <v>0</v>
      </c>
      <c r="L371" s="70">
        <f t="shared" si="23"/>
        <v>0</v>
      </c>
      <c r="M371" s="70">
        <f t="shared" si="24"/>
        <v>0</v>
      </c>
      <c r="N371" s="126"/>
      <c r="O371" s="124"/>
    </row>
    <row r="372" spans="1:15" ht="30" customHeight="1" x14ac:dyDescent="0.3">
      <c r="A372" s="123">
        <f t="shared" si="21"/>
        <v>368</v>
      </c>
      <c r="B372" s="127"/>
      <c r="C372" s="96"/>
      <c r="D372" s="83"/>
      <c r="E372" s="83"/>
      <c r="F372" s="96"/>
      <c r="G372" s="96"/>
      <c r="H372" s="70"/>
      <c r="I372" s="70"/>
      <c r="J372" s="70"/>
      <c r="K372" s="70">
        <f t="shared" si="22"/>
        <v>0</v>
      </c>
      <c r="L372" s="70">
        <f t="shared" si="23"/>
        <v>0</v>
      </c>
      <c r="M372" s="70">
        <f t="shared" si="24"/>
        <v>0</v>
      </c>
      <c r="N372" s="126"/>
      <c r="O372" s="124"/>
    </row>
    <row r="373" spans="1:15" ht="30" customHeight="1" x14ac:dyDescent="0.3">
      <c r="A373" s="123">
        <f t="shared" si="21"/>
        <v>369</v>
      </c>
      <c r="B373" s="127"/>
      <c r="C373" s="96"/>
      <c r="D373" s="83"/>
      <c r="E373" s="83"/>
      <c r="F373" s="96"/>
      <c r="G373" s="96"/>
      <c r="H373" s="70"/>
      <c r="I373" s="70"/>
      <c r="J373" s="70"/>
      <c r="K373" s="70">
        <f t="shared" si="22"/>
        <v>0</v>
      </c>
      <c r="L373" s="70">
        <f t="shared" si="23"/>
        <v>0</v>
      </c>
      <c r="M373" s="70">
        <f t="shared" si="24"/>
        <v>0</v>
      </c>
      <c r="N373" s="126"/>
      <c r="O373" s="124"/>
    </row>
    <row r="374" spans="1:15" ht="30" customHeight="1" x14ac:dyDescent="0.3">
      <c r="A374" s="123">
        <f t="shared" si="21"/>
        <v>370</v>
      </c>
      <c r="B374" s="127"/>
      <c r="C374" s="96"/>
      <c r="D374" s="83"/>
      <c r="E374" s="83"/>
      <c r="F374" s="96"/>
      <c r="G374" s="96"/>
      <c r="H374" s="70"/>
      <c r="I374" s="70"/>
      <c r="J374" s="70"/>
      <c r="K374" s="70">
        <f t="shared" si="22"/>
        <v>0</v>
      </c>
      <c r="L374" s="70">
        <f t="shared" si="23"/>
        <v>0</v>
      </c>
      <c r="M374" s="70">
        <f t="shared" si="24"/>
        <v>0</v>
      </c>
      <c r="N374" s="126"/>
      <c r="O374" s="124"/>
    </row>
    <row r="375" spans="1:15" ht="30" customHeight="1" x14ac:dyDescent="0.3">
      <c r="A375" s="123">
        <f t="shared" si="21"/>
        <v>371</v>
      </c>
      <c r="B375" s="127"/>
      <c r="C375" s="96"/>
      <c r="D375" s="83"/>
      <c r="E375" s="83"/>
      <c r="F375" s="96"/>
      <c r="G375" s="96"/>
      <c r="H375" s="70"/>
      <c r="I375" s="70"/>
      <c r="J375" s="70"/>
      <c r="K375" s="70">
        <f t="shared" si="22"/>
        <v>0</v>
      </c>
      <c r="L375" s="70">
        <f t="shared" si="23"/>
        <v>0</v>
      </c>
      <c r="M375" s="70">
        <f t="shared" si="24"/>
        <v>0</v>
      </c>
      <c r="N375" s="126"/>
      <c r="O375" s="124"/>
    </row>
    <row r="376" spans="1:15" ht="30" customHeight="1" x14ac:dyDescent="0.3">
      <c r="A376" s="123">
        <f t="shared" si="21"/>
        <v>372</v>
      </c>
      <c r="B376" s="127"/>
      <c r="C376" s="96"/>
      <c r="D376" s="83"/>
      <c r="E376" s="83"/>
      <c r="F376" s="96"/>
      <c r="G376" s="96"/>
      <c r="H376" s="70"/>
      <c r="I376" s="70"/>
      <c r="J376" s="70"/>
      <c r="K376" s="70">
        <f t="shared" si="22"/>
        <v>0</v>
      </c>
      <c r="L376" s="70">
        <f t="shared" si="23"/>
        <v>0</v>
      </c>
      <c r="M376" s="70">
        <f t="shared" si="24"/>
        <v>0</v>
      </c>
      <c r="N376" s="126"/>
      <c r="O376" s="124"/>
    </row>
    <row r="377" spans="1:15" ht="30" customHeight="1" x14ac:dyDescent="0.3">
      <c r="A377" s="123">
        <f t="shared" si="21"/>
        <v>373</v>
      </c>
      <c r="B377" s="127"/>
      <c r="C377" s="96"/>
      <c r="D377" s="83"/>
      <c r="E377" s="83"/>
      <c r="F377" s="96"/>
      <c r="G377" s="96"/>
      <c r="H377" s="70"/>
      <c r="I377" s="70"/>
      <c r="J377" s="70"/>
      <c r="K377" s="70">
        <f t="shared" si="22"/>
        <v>0</v>
      </c>
      <c r="L377" s="70">
        <f t="shared" si="23"/>
        <v>0</v>
      </c>
      <c r="M377" s="70">
        <f t="shared" si="24"/>
        <v>0</v>
      </c>
      <c r="N377" s="126"/>
      <c r="O377" s="124"/>
    </row>
    <row r="378" spans="1:15" ht="30" customHeight="1" x14ac:dyDescent="0.3">
      <c r="A378" s="123">
        <f t="shared" si="21"/>
        <v>374</v>
      </c>
      <c r="B378" s="127"/>
      <c r="C378" s="96"/>
      <c r="D378" s="83"/>
      <c r="E378" s="83"/>
      <c r="F378" s="96"/>
      <c r="G378" s="96"/>
      <c r="H378" s="70"/>
      <c r="I378" s="70"/>
      <c r="J378" s="70"/>
      <c r="K378" s="70">
        <f t="shared" si="22"/>
        <v>0</v>
      </c>
      <c r="L378" s="70">
        <f t="shared" si="23"/>
        <v>0</v>
      </c>
      <c r="M378" s="70">
        <f t="shared" si="24"/>
        <v>0</v>
      </c>
      <c r="N378" s="126"/>
      <c r="O378" s="124"/>
    </row>
    <row r="379" spans="1:15" ht="30" customHeight="1" x14ac:dyDescent="0.3">
      <c r="A379" s="123">
        <f t="shared" si="21"/>
        <v>375</v>
      </c>
      <c r="B379" s="127"/>
      <c r="C379" s="96"/>
      <c r="D379" s="83"/>
      <c r="E379" s="83"/>
      <c r="F379" s="96"/>
      <c r="G379" s="96"/>
      <c r="H379" s="70"/>
      <c r="I379" s="70"/>
      <c r="J379" s="70"/>
      <c r="K379" s="70">
        <f t="shared" si="22"/>
        <v>0</v>
      </c>
      <c r="L379" s="70">
        <f t="shared" si="23"/>
        <v>0</v>
      </c>
      <c r="M379" s="70">
        <f t="shared" si="24"/>
        <v>0</v>
      </c>
      <c r="N379" s="126"/>
      <c r="O379" s="124"/>
    </row>
    <row r="380" spans="1:15" ht="30" customHeight="1" x14ac:dyDescent="0.3">
      <c r="A380" s="123">
        <f t="shared" si="21"/>
        <v>376</v>
      </c>
      <c r="B380" s="127"/>
      <c r="C380" s="96"/>
      <c r="D380" s="83"/>
      <c r="E380" s="83"/>
      <c r="F380" s="96"/>
      <c r="G380" s="96"/>
      <c r="H380" s="70"/>
      <c r="I380" s="70"/>
      <c r="J380" s="70"/>
      <c r="K380" s="70">
        <f t="shared" si="22"/>
        <v>0</v>
      </c>
      <c r="L380" s="70">
        <f t="shared" si="23"/>
        <v>0</v>
      </c>
      <c r="M380" s="70">
        <f t="shared" si="24"/>
        <v>0</v>
      </c>
      <c r="N380" s="126"/>
      <c r="O380" s="124"/>
    </row>
    <row r="381" spans="1:15" ht="30" customHeight="1" x14ac:dyDescent="0.3">
      <c r="A381" s="123">
        <f t="shared" si="21"/>
        <v>377</v>
      </c>
      <c r="B381" s="127"/>
      <c r="C381" s="96"/>
      <c r="D381" s="83"/>
      <c r="E381" s="83"/>
      <c r="F381" s="96"/>
      <c r="G381" s="96"/>
      <c r="H381" s="70"/>
      <c r="I381" s="70"/>
      <c r="J381" s="70"/>
      <c r="K381" s="70">
        <f t="shared" si="22"/>
        <v>0</v>
      </c>
      <c r="L381" s="70">
        <f t="shared" si="23"/>
        <v>0</v>
      </c>
      <c r="M381" s="70">
        <f t="shared" si="24"/>
        <v>0</v>
      </c>
      <c r="N381" s="126"/>
      <c r="O381" s="124"/>
    </row>
    <row r="382" spans="1:15" ht="30" customHeight="1" x14ac:dyDescent="0.3">
      <c r="A382" s="123">
        <f t="shared" si="21"/>
        <v>378</v>
      </c>
      <c r="B382" s="127"/>
      <c r="C382" s="96"/>
      <c r="D382" s="83"/>
      <c r="E382" s="83"/>
      <c r="F382" s="96"/>
      <c r="G382" s="96"/>
      <c r="H382" s="70"/>
      <c r="I382" s="70"/>
      <c r="J382" s="70"/>
      <c r="K382" s="70">
        <f t="shared" si="22"/>
        <v>0</v>
      </c>
      <c r="L382" s="70">
        <f t="shared" si="23"/>
        <v>0</v>
      </c>
      <c r="M382" s="70">
        <f t="shared" si="24"/>
        <v>0</v>
      </c>
      <c r="N382" s="126"/>
      <c r="O382" s="124"/>
    </row>
    <row r="383" spans="1:15" ht="30" customHeight="1" x14ac:dyDescent="0.3">
      <c r="A383" s="123">
        <f t="shared" si="21"/>
        <v>379</v>
      </c>
      <c r="B383" s="127"/>
      <c r="C383" s="96"/>
      <c r="D383" s="83"/>
      <c r="E383" s="83"/>
      <c r="F383" s="96"/>
      <c r="G383" s="96"/>
      <c r="H383" s="70"/>
      <c r="I383" s="70"/>
      <c r="J383" s="70"/>
      <c r="K383" s="70">
        <f t="shared" si="22"/>
        <v>0</v>
      </c>
      <c r="L383" s="70">
        <f t="shared" si="23"/>
        <v>0</v>
      </c>
      <c r="M383" s="70">
        <f t="shared" si="24"/>
        <v>0</v>
      </c>
      <c r="N383" s="126"/>
      <c r="O383" s="124"/>
    </row>
    <row r="384" spans="1:15" ht="30" customHeight="1" x14ac:dyDescent="0.3">
      <c r="A384" s="123">
        <f t="shared" si="21"/>
        <v>380</v>
      </c>
      <c r="B384" s="127"/>
      <c r="C384" s="96"/>
      <c r="D384" s="83"/>
      <c r="E384" s="83"/>
      <c r="F384" s="96"/>
      <c r="G384" s="96"/>
      <c r="H384" s="70"/>
      <c r="I384" s="70"/>
      <c r="J384" s="70"/>
      <c r="K384" s="70">
        <f t="shared" si="22"/>
        <v>0</v>
      </c>
      <c r="L384" s="70">
        <f t="shared" si="23"/>
        <v>0</v>
      </c>
      <c r="M384" s="70">
        <f t="shared" si="24"/>
        <v>0</v>
      </c>
      <c r="N384" s="126"/>
      <c r="O384" s="124"/>
    </row>
    <row r="385" spans="1:15" ht="30" customHeight="1" x14ac:dyDescent="0.3">
      <c r="A385" s="123">
        <f t="shared" si="21"/>
        <v>381</v>
      </c>
      <c r="B385" s="127"/>
      <c r="C385" s="96"/>
      <c r="D385" s="83"/>
      <c r="E385" s="83"/>
      <c r="F385" s="96"/>
      <c r="G385" s="96"/>
      <c r="H385" s="70"/>
      <c r="I385" s="70"/>
      <c r="J385" s="70"/>
      <c r="K385" s="70">
        <f t="shared" si="22"/>
        <v>0</v>
      </c>
      <c r="L385" s="70">
        <f t="shared" si="23"/>
        <v>0</v>
      </c>
      <c r="M385" s="70">
        <f t="shared" si="24"/>
        <v>0</v>
      </c>
      <c r="N385" s="126"/>
      <c r="O385" s="124"/>
    </row>
    <row r="386" spans="1:15" ht="30" customHeight="1" x14ac:dyDescent="0.3">
      <c r="A386" s="123">
        <f t="shared" si="21"/>
        <v>382</v>
      </c>
      <c r="B386" s="127"/>
      <c r="C386" s="96"/>
      <c r="D386" s="83"/>
      <c r="E386" s="83"/>
      <c r="F386" s="96"/>
      <c r="G386" s="96"/>
      <c r="H386" s="70"/>
      <c r="I386" s="70"/>
      <c r="J386" s="70"/>
      <c r="K386" s="70">
        <f t="shared" si="22"/>
        <v>0</v>
      </c>
      <c r="L386" s="70">
        <f t="shared" si="23"/>
        <v>0</v>
      </c>
      <c r="M386" s="70">
        <f t="shared" si="24"/>
        <v>0</v>
      </c>
      <c r="N386" s="126"/>
      <c r="O386" s="124"/>
    </row>
    <row r="387" spans="1:15" ht="30" customHeight="1" x14ac:dyDescent="0.3">
      <c r="A387" s="123">
        <f t="shared" si="21"/>
        <v>383</v>
      </c>
      <c r="B387" s="127"/>
      <c r="C387" s="96"/>
      <c r="D387" s="83"/>
      <c r="E387" s="83"/>
      <c r="F387" s="96"/>
      <c r="G387" s="96"/>
      <c r="H387" s="70"/>
      <c r="I387" s="70"/>
      <c r="J387" s="70"/>
      <c r="K387" s="70">
        <f t="shared" si="22"/>
        <v>0</v>
      </c>
      <c r="L387" s="70">
        <f t="shared" si="23"/>
        <v>0</v>
      </c>
      <c r="M387" s="70">
        <f t="shared" si="24"/>
        <v>0</v>
      </c>
      <c r="N387" s="126"/>
      <c r="O387" s="124"/>
    </row>
    <row r="388" spans="1:15" ht="30" customHeight="1" x14ac:dyDescent="0.3">
      <c r="A388" s="123">
        <f t="shared" si="21"/>
        <v>384</v>
      </c>
      <c r="B388" s="127"/>
      <c r="C388" s="96"/>
      <c r="D388" s="83"/>
      <c r="E388" s="83"/>
      <c r="F388" s="96"/>
      <c r="G388" s="96"/>
      <c r="H388" s="70"/>
      <c r="I388" s="70"/>
      <c r="J388" s="70"/>
      <c r="K388" s="70">
        <f t="shared" si="22"/>
        <v>0</v>
      </c>
      <c r="L388" s="70">
        <f t="shared" si="23"/>
        <v>0</v>
      </c>
      <c r="M388" s="70">
        <f t="shared" si="24"/>
        <v>0</v>
      </c>
      <c r="N388" s="126"/>
      <c r="O388" s="124"/>
    </row>
    <row r="389" spans="1:15" ht="30" customHeight="1" x14ac:dyDescent="0.3">
      <c r="A389" s="123">
        <f t="shared" si="21"/>
        <v>385</v>
      </c>
      <c r="B389" s="127"/>
      <c r="C389" s="96"/>
      <c r="D389" s="83"/>
      <c r="E389" s="83"/>
      <c r="F389" s="96"/>
      <c r="G389" s="96"/>
      <c r="H389" s="70"/>
      <c r="I389" s="70"/>
      <c r="J389" s="70"/>
      <c r="K389" s="70">
        <f t="shared" si="22"/>
        <v>0</v>
      </c>
      <c r="L389" s="70">
        <f t="shared" si="23"/>
        <v>0</v>
      </c>
      <c r="M389" s="70">
        <f t="shared" si="24"/>
        <v>0</v>
      </c>
      <c r="N389" s="126"/>
      <c r="O389" s="124"/>
    </row>
    <row r="390" spans="1:15" ht="30" customHeight="1" x14ac:dyDescent="0.3">
      <c r="A390" s="123">
        <f t="shared" si="21"/>
        <v>386</v>
      </c>
      <c r="B390" s="127"/>
      <c r="C390" s="96"/>
      <c r="D390" s="83"/>
      <c r="E390" s="83"/>
      <c r="F390" s="96"/>
      <c r="G390" s="96"/>
      <c r="H390" s="70"/>
      <c r="I390" s="70"/>
      <c r="J390" s="70"/>
      <c r="K390" s="70">
        <f t="shared" si="22"/>
        <v>0</v>
      </c>
      <c r="L390" s="70">
        <f t="shared" si="23"/>
        <v>0</v>
      </c>
      <c r="M390" s="70">
        <f t="shared" si="24"/>
        <v>0</v>
      </c>
      <c r="N390" s="126"/>
      <c r="O390" s="124"/>
    </row>
    <row r="391" spans="1:15" ht="30" customHeight="1" x14ac:dyDescent="0.3">
      <c r="A391" s="123">
        <f t="shared" si="21"/>
        <v>387</v>
      </c>
      <c r="B391" s="127"/>
      <c r="C391" s="96"/>
      <c r="D391" s="83"/>
      <c r="E391" s="83"/>
      <c r="F391" s="96"/>
      <c r="G391" s="96"/>
      <c r="H391" s="70"/>
      <c r="I391" s="70"/>
      <c r="J391" s="70"/>
      <c r="K391" s="70">
        <f t="shared" si="22"/>
        <v>0</v>
      </c>
      <c r="L391" s="70">
        <f t="shared" si="23"/>
        <v>0</v>
      </c>
      <c r="M391" s="70">
        <f t="shared" si="24"/>
        <v>0</v>
      </c>
      <c r="N391" s="126"/>
      <c r="O391" s="124"/>
    </row>
    <row r="392" spans="1:15" ht="30" customHeight="1" x14ac:dyDescent="0.3">
      <c r="A392" s="123">
        <f t="shared" si="21"/>
        <v>388</v>
      </c>
      <c r="B392" s="127"/>
      <c r="C392" s="96"/>
      <c r="D392" s="83"/>
      <c r="E392" s="83"/>
      <c r="F392" s="96"/>
      <c r="G392" s="96"/>
      <c r="H392" s="70"/>
      <c r="I392" s="70"/>
      <c r="J392" s="70"/>
      <c r="K392" s="70">
        <f t="shared" si="22"/>
        <v>0</v>
      </c>
      <c r="L392" s="70">
        <f t="shared" si="23"/>
        <v>0</v>
      </c>
      <c r="M392" s="70">
        <f t="shared" si="24"/>
        <v>0</v>
      </c>
      <c r="N392" s="126"/>
      <c r="O392" s="124"/>
    </row>
    <row r="393" spans="1:15" ht="30" customHeight="1" x14ac:dyDescent="0.3">
      <c r="A393" s="123">
        <f t="shared" si="21"/>
        <v>389</v>
      </c>
      <c r="B393" s="127"/>
      <c r="C393" s="96"/>
      <c r="D393" s="83"/>
      <c r="E393" s="83"/>
      <c r="F393" s="96"/>
      <c r="G393" s="96"/>
      <c r="H393" s="70"/>
      <c r="I393" s="70"/>
      <c r="J393" s="70"/>
      <c r="K393" s="70">
        <f t="shared" si="22"/>
        <v>0</v>
      </c>
      <c r="L393" s="70">
        <f t="shared" si="23"/>
        <v>0</v>
      </c>
      <c r="M393" s="70">
        <f t="shared" si="24"/>
        <v>0</v>
      </c>
      <c r="N393" s="126"/>
      <c r="O393" s="124"/>
    </row>
    <row r="394" spans="1:15" ht="30" customHeight="1" x14ac:dyDescent="0.3">
      <c r="A394" s="123">
        <f t="shared" si="21"/>
        <v>390</v>
      </c>
      <c r="B394" s="127"/>
      <c r="C394" s="96"/>
      <c r="D394" s="83"/>
      <c r="E394" s="83"/>
      <c r="F394" s="96"/>
      <c r="G394" s="96"/>
      <c r="H394" s="70"/>
      <c r="I394" s="70"/>
      <c r="J394" s="70"/>
      <c r="K394" s="70">
        <f t="shared" si="22"/>
        <v>0</v>
      </c>
      <c r="L394" s="70">
        <f t="shared" si="23"/>
        <v>0</v>
      </c>
      <c r="M394" s="70">
        <f t="shared" si="24"/>
        <v>0</v>
      </c>
      <c r="N394" s="126"/>
      <c r="O394" s="124"/>
    </row>
    <row r="395" spans="1:15" ht="30" customHeight="1" x14ac:dyDescent="0.3">
      <c r="A395" s="123">
        <f t="shared" si="21"/>
        <v>391</v>
      </c>
      <c r="B395" s="127"/>
      <c r="C395" s="96"/>
      <c r="D395" s="83"/>
      <c r="E395" s="83"/>
      <c r="F395" s="96"/>
      <c r="G395" s="96"/>
      <c r="H395" s="70"/>
      <c r="I395" s="70"/>
      <c r="J395" s="70"/>
      <c r="K395" s="70">
        <f t="shared" si="22"/>
        <v>0</v>
      </c>
      <c r="L395" s="70">
        <f t="shared" si="23"/>
        <v>0</v>
      </c>
      <c r="M395" s="70">
        <f t="shared" si="24"/>
        <v>0</v>
      </c>
      <c r="N395" s="126"/>
      <c r="O395" s="124"/>
    </row>
    <row r="396" spans="1:15" ht="30" customHeight="1" x14ac:dyDescent="0.3">
      <c r="A396" s="123">
        <f t="shared" si="21"/>
        <v>392</v>
      </c>
      <c r="B396" s="127"/>
      <c r="C396" s="96"/>
      <c r="D396" s="83"/>
      <c r="E396" s="83"/>
      <c r="F396" s="96"/>
      <c r="G396" s="96"/>
      <c r="H396" s="70"/>
      <c r="I396" s="70"/>
      <c r="J396" s="70"/>
      <c r="K396" s="70">
        <f t="shared" si="22"/>
        <v>0</v>
      </c>
      <c r="L396" s="70">
        <f t="shared" si="23"/>
        <v>0</v>
      </c>
      <c r="M396" s="70">
        <f t="shared" si="24"/>
        <v>0</v>
      </c>
      <c r="N396" s="126"/>
      <c r="O396" s="124"/>
    </row>
    <row r="397" spans="1:15" ht="30" customHeight="1" x14ac:dyDescent="0.3">
      <c r="A397" s="123">
        <f t="shared" si="21"/>
        <v>393</v>
      </c>
      <c r="B397" s="127"/>
      <c r="C397" s="96"/>
      <c r="D397" s="83"/>
      <c r="E397" s="83"/>
      <c r="F397" s="96"/>
      <c r="G397" s="96"/>
      <c r="H397" s="70"/>
      <c r="I397" s="70"/>
      <c r="J397" s="70"/>
      <c r="K397" s="70">
        <f t="shared" si="22"/>
        <v>0</v>
      </c>
      <c r="L397" s="70">
        <f t="shared" si="23"/>
        <v>0</v>
      </c>
      <c r="M397" s="70">
        <f t="shared" si="24"/>
        <v>0</v>
      </c>
      <c r="N397" s="126"/>
      <c r="O397" s="124"/>
    </row>
    <row r="398" spans="1:15" ht="30" customHeight="1" x14ac:dyDescent="0.3">
      <c r="A398" s="123">
        <f t="shared" si="21"/>
        <v>394</v>
      </c>
      <c r="B398" s="127"/>
      <c r="C398" s="96"/>
      <c r="D398" s="83"/>
      <c r="E398" s="83"/>
      <c r="F398" s="96"/>
      <c r="G398" s="96"/>
      <c r="H398" s="70"/>
      <c r="I398" s="70"/>
      <c r="J398" s="70"/>
      <c r="K398" s="70">
        <f t="shared" si="22"/>
        <v>0</v>
      </c>
      <c r="L398" s="70">
        <f t="shared" si="23"/>
        <v>0</v>
      </c>
      <c r="M398" s="70">
        <f t="shared" si="24"/>
        <v>0</v>
      </c>
      <c r="N398" s="126"/>
      <c r="O398" s="124"/>
    </row>
    <row r="399" spans="1:15" ht="30" customHeight="1" x14ac:dyDescent="0.3">
      <c r="A399" s="123">
        <f t="shared" si="21"/>
        <v>395</v>
      </c>
      <c r="B399" s="127"/>
      <c r="C399" s="96"/>
      <c r="D399" s="83"/>
      <c r="E399" s="83"/>
      <c r="F399" s="96"/>
      <c r="G399" s="96"/>
      <c r="H399" s="70"/>
      <c r="I399" s="70"/>
      <c r="J399" s="70"/>
      <c r="K399" s="70">
        <f t="shared" si="22"/>
        <v>0</v>
      </c>
      <c r="L399" s="70">
        <f t="shared" si="23"/>
        <v>0</v>
      </c>
      <c r="M399" s="70">
        <f t="shared" si="24"/>
        <v>0</v>
      </c>
      <c r="N399" s="126"/>
      <c r="O399" s="124"/>
    </row>
    <row r="400" spans="1:15" ht="30" customHeight="1" x14ac:dyDescent="0.3">
      <c r="A400" s="123">
        <f t="shared" si="21"/>
        <v>396</v>
      </c>
      <c r="B400" s="127"/>
      <c r="C400" s="96"/>
      <c r="D400" s="83"/>
      <c r="E400" s="83"/>
      <c r="F400" s="96"/>
      <c r="G400" s="96"/>
      <c r="H400" s="70"/>
      <c r="I400" s="70"/>
      <c r="J400" s="70"/>
      <c r="K400" s="70">
        <f t="shared" si="22"/>
        <v>0</v>
      </c>
      <c r="L400" s="70">
        <f t="shared" si="23"/>
        <v>0</v>
      </c>
      <c r="M400" s="70">
        <f t="shared" si="24"/>
        <v>0</v>
      </c>
      <c r="N400" s="126"/>
      <c r="O400" s="124"/>
    </row>
    <row r="401" spans="1:15" ht="30" customHeight="1" x14ac:dyDescent="0.3">
      <c r="A401" s="123">
        <f t="shared" si="21"/>
        <v>397</v>
      </c>
      <c r="B401" s="127"/>
      <c r="C401" s="96"/>
      <c r="D401" s="83"/>
      <c r="E401" s="83"/>
      <c r="F401" s="96"/>
      <c r="G401" s="96"/>
      <c r="H401" s="70"/>
      <c r="I401" s="70"/>
      <c r="J401" s="70"/>
      <c r="K401" s="70">
        <f t="shared" si="22"/>
        <v>0</v>
      </c>
      <c r="L401" s="70">
        <f t="shared" si="23"/>
        <v>0</v>
      </c>
      <c r="M401" s="70">
        <f t="shared" si="24"/>
        <v>0</v>
      </c>
      <c r="N401" s="126"/>
      <c r="O401" s="124"/>
    </row>
    <row r="402" spans="1:15" ht="30" customHeight="1" x14ac:dyDescent="0.3">
      <c r="A402" s="123">
        <f t="shared" si="21"/>
        <v>398</v>
      </c>
      <c r="B402" s="127"/>
      <c r="C402" s="96"/>
      <c r="D402" s="83"/>
      <c r="E402" s="83"/>
      <c r="F402" s="96"/>
      <c r="G402" s="96"/>
      <c r="H402" s="70"/>
      <c r="I402" s="70"/>
      <c r="J402" s="70"/>
      <c r="K402" s="70">
        <f t="shared" si="22"/>
        <v>0</v>
      </c>
      <c r="L402" s="70">
        <f t="shared" si="23"/>
        <v>0</v>
      </c>
      <c r="M402" s="70">
        <f t="shared" si="24"/>
        <v>0</v>
      </c>
      <c r="N402" s="126"/>
      <c r="O402" s="124"/>
    </row>
    <row r="403" spans="1:15" ht="30" customHeight="1" x14ac:dyDescent="0.3">
      <c r="A403" s="123">
        <f t="shared" si="21"/>
        <v>399</v>
      </c>
      <c r="B403" s="127"/>
      <c r="C403" s="96"/>
      <c r="D403" s="83"/>
      <c r="E403" s="83"/>
      <c r="F403" s="96"/>
      <c r="G403" s="96"/>
      <c r="H403" s="70"/>
      <c r="I403" s="70"/>
      <c r="J403" s="70"/>
      <c r="K403" s="70">
        <f t="shared" si="22"/>
        <v>0</v>
      </c>
      <c r="L403" s="70">
        <f t="shared" si="23"/>
        <v>0</v>
      </c>
      <c r="M403" s="70">
        <f t="shared" si="24"/>
        <v>0</v>
      </c>
      <c r="N403" s="126"/>
      <c r="O403" s="124"/>
    </row>
    <row r="404" spans="1:15" ht="30" customHeight="1" x14ac:dyDescent="0.3">
      <c r="A404" s="123">
        <f t="shared" ref="A404:A467" si="25">A403+1</f>
        <v>400</v>
      </c>
      <c r="B404" s="127"/>
      <c r="C404" s="96"/>
      <c r="D404" s="83"/>
      <c r="E404" s="83"/>
      <c r="F404" s="96"/>
      <c r="G404" s="96"/>
      <c r="H404" s="70"/>
      <c r="I404" s="70"/>
      <c r="J404" s="70"/>
      <c r="K404" s="70">
        <f t="shared" ref="K404:K467" si="26">H404/1000000</f>
        <v>0</v>
      </c>
      <c r="L404" s="70">
        <f t="shared" ref="L404:L467" si="27">I404/1000000</f>
        <v>0</v>
      </c>
      <c r="M404" s="70">
        <f t="shared" ref="M404:M467" si="28">J404/1000000</f>
        <v>0</v>
      </c>
      <c r="N404" s="126"/>
      <c r="O404" s="124"/>
    </row>
    <row r="405" spans="1:15" ht="30" customHeight="1" x14ac:dyDescent="0.3">
      <c r="A405" s="123">
        <f t="shared" si="25"/>
        <v>401</v>
      </c>
      <c r="B405" s="127"/>
      <c r="C405" s="96"/>
      <c r="D405" s="83"/>
      <c r="E405" s="83"/>
      <c r="F405" s="96"/>
      <c r="G405" s="96"/>
      <c r="H405" s="70"/>
      <c r="I405" s="70"/>
      <c r="J405" s="70"/>
      <c r="K405" s="70">
        <f t="shared" si="26"/>
        <v>0</v>
      </c>
      <c r="L405" s="70">
        <f t="shared" si="27"/>
        <v>0</v>
      </c>
      <c r="M405" s="70">
        <f t="shared" si="28"/>
        <v>0</v>
      </c>
      <c r="N405" s="126"/>
      <c r="O405" s="124"/>
    </row>
    <row r="406" spans="1:15" ht="30" customHeight="1" x14ac:dyDescent="0.3">
      <c r="A406" s="123">
        <f t="shared" si="25"/>
        <v>402</v>
      </c>
      <c r="B406" s="127"/>
      <c r="C406" s="96"/>
      <c r="D406" s="83"/>
      <c r="E406" s="83"/>
      <c r="F406" s="96"/>
      <c r="G406" s="96"/>
      <c r="H406" s="70"/>
      <c r="I406" s="70"/>
      <c r="J406" s="70"/>
      <c r="K406" s="70">
        <f t="shared" si="26"/>
        <v>0</v>
      </c>
      <c r="L406" s="70">
        <f t="shared" si="27"/>
        <v>0</v>
      </c>
      <c r="M406" s="70">
        <f t="shared" si="28"/>
        <v>0</v>
      </c>
      <c r="N406" s="126"/>
      <c r="O406" s="124"/>
    </row>
    <row r="407" spans="1:15" ht="30" customHeight="1" x14ac:dyDescent="0.3">
      <c r="A407" s="123">
        <f t="shared" si="25"/>
        <v>403</v>
      </c>
      <c r="B407" s="127"/>
      <c r="C407" s="96"/>
      <c r="D407" s="83"/>
      <c r="E407" s="83"/>
      <c r="F407" s="96"/>
      <c r="G407" s="96"/>
      <c r="H407" s="70"/>
      <c r="I407" s="70"/>
      <c r="J407" s="70"/>
      <c r="K407" s="70">
        <f t="shared" si="26"/>
        <v>0</v>
      </c>
      <c r="L407" s="70">
        <f t="shared" si="27"/>
        <v>0</v>
      </c>
      <c r="M407" s="70">
        <f t="shared" si="28"/>
        <v>0</v>
      </c>
      <c r="N407" s="126"/>
      <c r="O407" s="124"/>
    </row>
    <row r="408" spans="1:15" ht="30" customHeight="1" x14ac:dyDescent="0.3">
      <c r="A408" s="123">
        <f t="shared" si="25"/>
        <v>404</v>
      </c>
      <c r="B408" s="127"/>
      <c r="C408" s="96"/>
      <c r="D408" s="83"/>
      <c r="E408" s="83"/>
      <c r="F408" s="96"/>
      <c r="G408" s="96"/>
      <c r="H408" s="70"/>
      <c r="I408" s="70"/>
      <c r="J408" s="70"/>
      <c r="K408" s="70">
        <f t="shared" si="26"/>
        <v>0</v>
      </c>
      <c r="L408" s="70">
        <f t="shared" si="27"/>
        <v>0</v>
      </c>
      <c r="M408" s="70">
        <f t="shared" si="28"/>
        <v>0</v>
      </c>
      <c r="N408" s="126"/>
      <c r="O408" s="124"/>
    </row>
    <row r="409" spans="1:15" ht="30" customHeight="1" x14ac:dyDescent="0.3">
      <c r="A409" s="123">
        <f t="shared" si="25"/>
        <v>405</v>
      </c>
      <c r="B409" s="127"/>
      <c r="C409" s="96"/>
      <c r="D409" s="83"/>
      <c r="E409" s="83"/>
      <c r="F409" s="96"/>
      <c r="G409" s="96"/>
      <c r="H409" s="70"/>
      <c r="I409" s="70"/>
      <c r="J409" s="70"/>
      <c r="K409" s="70">
        <f t="shared" si="26"/>
        <v>0</v>
      </c>
      <c r="L409" s="70">
        <f t="shared" si="27"/>
        <v>0</v>
      </c>
      <c r="M409" s="70">
        <f t="shared" si="28"/>
        <v>0</v>
      </c>
      <c r="N409" s="126"/>
      <c r="O409" s="124"/>
    </row>
    <row r="410" spans="1:15" ht="30" customHeight="1" x14ac:dyDescent="0.3">
      <c r="A410" s="123">
        <f t="shared" si="25"/>
        <v>406</v>
      </c>
      <c r="B410" s="127"/>
      <c r="C410" s="96"/>
      <c r="D410" s="83"/>
      <c r="E410" s="83"/>
      <c r="F410" s="96"/>
      <c r="G410" s="96"/>
      <c r="H410" s="70"/>
      <c r="I410" s="70"/>
      <c r="J410" s="70"/>
      <c r="K410" s="70">
        <f t="shared" si="26"/>
        <v>0</v>
      </c>
      <c r="L410" s="70">
        <f t="shared" si="27"/>
        <v>0</v>
      </c>
      <c r="M410" s="70">
        <f t="shared" si="28"/>
        <v>0</v>
      </c>
      <c r="N410" s="126"/>
      <c r="O410" s="124"/>
    </row>
    <row r="411" spans="1:15" ht="30" customHeight="1" x14ac:dyDescent="0.3">
      <c r="A411" s="123">
        <f t="shared" si="25"/>
        <v>407</v>
      </c>
      <c r="B411" s="127"/>
      <c r="C411" s="96"/>
      <c r="D411" s="83"/>
      <c r="E411" s="83"/>
      <c r="F411" s="96"/>
      <c r="G411" s="96"/>
      <c r="H411" s="70"/>
      <c r="I411" s="70"/>
      <c r="J411" s="70"/>
      <c r="K411" s="70">
        <f t="shared" si="26"/>
        <v>0</v>
      </c>
      <c r="L411" s="70">
        <f t="shared" si="27"/>
        <v>0</v>
      </c>
      <c r="M411" s="70">
        <f t="shared" si="28"/>
        <v>0</v>
      </c>
      <c r="N411" s="126"/>
      <c r="O411" s="124"/>
    </row>
    <row r="412" spans="1:15" ht="30" customHeight="1" x14ac:dyDescent="0.3">
      <c r="A412" s="123">
        <f t="shared" si="25"/>
        <v>408</v>
      </c>
      <c r="B412" s="127"/>
      <c r="C412" s="96"/>
      <c r="D412" s="83"/>
      <c r="E412" s="83"/>
      <c r="F412" s="96"/>
      <c r="G412" s="96"/>
      <c r="H412" s="70"/>
      <c r="I412" s="70"/>
      <c r="J412" s="70"/>
      <c r="K412" s="70">
        <f t="shared" si="26"/>
        <v>0</v>
      </c>
      <c r="L412" s="70">
        <f t="shared" si="27"/>
        <v>0</v>
      </c>
      <c r="M412" s="70">
        <f t="shared" si="28"/>
        <v>0</v>
      </c>
      <c r="N412" s="126"/>
      <c r="O412" s="124"/>
    </row>
    <row r="413" spans="1:15" ht="30" customHeight="1" x14ac:dyDescent="0.3">
      <c r="A413" s="123">
        <f t="shared" si="25"/>
        <v>409</v>
      </c>
      <c r="B413" s="127"/>
      <c r="C413" s="96"/>
      <c r="D413" s="83"/>
      <c r="E413" s="83"/>
      <c r="F413" s="96"/>
      <c r="G413" s="96"/>
      <c r="H413" s="70"/>
      <c r="I413" s="70"/>
      <c r="J413" s="70"/>
      <c r="K413" s="70">
        <f t="shared" si="26"/>
        <v>0</v>
      </c>
      <c r="L413" s="70">
        <f t="shared" si="27"/>
        <v>0</v>
      </c>
      <c r="M413" s="70">
        <f t="shared" si="28"/>
        <v>0</v>
      </c>
      <c r="N413" s="126"/>
      <c r="O413" s="124"/>
    </row>
    <row r="414" spans="1:15" ht="30" customHeight="1" x14ac:dyDescent="0.3">
      <c r="A414" s="123">
        <f t="shared" si="25"/>
        <v>410</v>
      </c>
      <c r="B414" s="127"/>
      <c r="C414" s="96"/>
      <c r="D414" s="83"/>
      <c r="E414" s="83"/>
      <c r="F414" s="96"/>
      <c r="G414" s="96"/>
      <c r="H414" s="70"/>
      <c r="I414" s="70"/>
      <c r="J414" s="70"/>
      <c r="K414" s="70">
        <f t="shared" si="26"/>
        <v>0</v>
      </c>
      <c r="L414" s="70">
        <f t="shared" si="27"/>
        <v>0</v>
      </c>
      <c r="M414" s="70">
        <f t="shared" si="28"/>
        <v>0</v>
      </c>
      <c r="N414" s="126"/>
      <c r="O414" s="124"/>
    </row>
    <row r="415" spans="1:15" ht="30" customHeight="1" x14ac:dyDescent="0.3">
      <c r="A415" s="123">
        <f t="shared" si="25"/>
        <v>411</v>
      </c>
      <c r="B415" s="127"/>
      <c r="C415" s="96"/>
      <c r="D415" s="83"/>
      <c r="E415" s="83"/>
      <c r="F415" s="96"/>
      <c r="G415" s="96"/>
      <c r="H415" s="70"/>
      <c r="I415" s="70"/>
      <c r="J415" s="70"/>
      <c r="K415" s="70">
        <f t="shared" si="26"/>
        <v>0</v>
      </c>
      <c r="L415" s="70">
        <f t="shared" si="27"/>
        <v>0</v>
      </c>
      <c r="M415" s="70">
        <f t="shared" si="28"/>
        <v>0</v>
      </c>
      <c r="N415" s="126"/>
      <c r="O415" s="124"/>
    </row>
    <row r="416" spans="1:15" ht="30" customHeight="1" x14ac:dyDescent="0.3">
      <c r="A416" s="123">
        <f t="shared" si="25"/>
        <v>412</v>
      </c>
      <c r="B416" s="127"/>
      <c r="C416" s="96"/>
      <c r="D416" s="83"/>
      <c r="E416" s="83"/>
      <c r="F416" s="96"/>
      <c r="G416" s="96"/>
      <c r="H416" s="70"/>
      <c r="I416" s="70"/>
      <c r="J416" s="70"/>
      <c r="K416" s="70">
        <f t="shared" si="26"/>
        <v>0</v>
      </c>
      <c r="L416" s="70">
        <f t="shared" si="27"/>
        <v>0</v>
      </c>
      <c r="M416" s="70">
        <f t="shared" si="28"/>
        <v>0</v>
      </c>
      <c r="N416" s="126"/>
      <c r="O416" s="124"/>
    </row>
    <row r="417" spans="1:15" ht="30" customHeight="1" x14ac:dyDescent="0.3">
      <c r="A417" s="123">
        <f t="shared" si="25"/>
        <v>413</v>
      </c>
      <c r="B417" s="127"/>
      <c r="C417" s="96"/>
      <c r="D417" s="83"/>
      <c r="E417" s="83"/>
      <c r="F417" s="96"/>
      <c r="G417" s="96"/>
      <c r="H417" s="70"/>
      <c r="I417" s="70"/>
      <c r="J417" s="70"/>
      <c r="K417" s="70">
        <f t="shared" si="26"/>
        <v>0</v>
      </c>
      <c r="L417" s="70">
        <f t="shared" si="27"/>
        <v>0</v>
      </c>
      <c r="M417" s="70">
        <f t="shared" si="28"/>
        <v>0</v>
      </c>
      <c r="N417" s="126"/>
      <c r="O417" s="124"/>
    </row>
    <row r="418" spans="1:15" ht="30" customHeight="1" x14ac:dyDescent="0.3">
      <c r="A418" s="123">
        <f t="shared" si="25"/>
        <v>414</v>
      </c>
      <c r="B418" s="127"/>
      <c r="C418" s="96"/>
      <c r="D418" s="83"/>
      <c r="E418" s="83"/>
      <c r="F418" s="96"/>
      <c r="G418" s="96"/>
      <c r="H418" s="70"/>
      <c r="I418" s="70"/>
      <c r="J418" s="70"/>
      <c r="K418" s="70">
        <f t="shared" si="26"/>
        <v>0</v>
      </c>
      <c r="L418" s="70">
        <f t="shared" si="27"/>
        <v>0</v>
      </c>
      <c r="M418" s="70">
        <f t="shared" si="28"/>
        <v>0</v>
      </c>
      <c r="N418" s="126"/>
      <c r="O418" s="124"/>
    </row>
    <row r="419" spans="1:15" ht="30" customHeight="1" x14ac:dyDescent="0.3">
      <c r="A419" s="123">
        <f t="shared" si="25"/>
        <v>415</v>
      </c>
      <c r="B419" s="127"/>
      <c r="C419" s="96"/>
      <c r="D419" s="83"/>
      <c r="E419" s="83"/>
      <c r="F419" s="96"/>
      <c r="G419" s="96"/>
      <c r="H419" s="70"/>
      <c r="I419" s="70"/>
      <c r="J419" s="70"/>
      <c r="K419" s="70">
        <f t="shared" si="26"/>
        <v>0</v>
      </c>
      <c r="L419" s="70">
        <f t="shared" si="27"/>
        <v>0</v>
      </c>
      <c r="M419" s="70">
        <f t="shared" si="28"/>
        <v>0</v>
      </c>
      <c r="N419" s="126"/>
      <c r="O419" s="124"/>
    </row>
    <row r="420" spans="1:15" ht="30" customHeight="1" x14ac:dyDescent="0.3">
      <c r="A420" s="123">
        <f t="shared" si="25"/>
        <v>416</v>
      </c>
      <c r="B420" s="127"/>
      <c r="C420" s="96"/>
      <c r="D420" s="83"/>
      <c r="E420" s="83"/>
      <c r="F420" s="96"/>
      <c r="G420" s="96"/>
      <c r="H420" s="70"/>
      <c r="I420" s="70"/>
      <c r="J420" s="70"/>
      <c r="K420" s="70">
        <f t="shared" si="26"/>
        <v>0</v>
      </c>
      <c r="L420" s="70">
        <f t="shared" si="27"/>
        <v>0</v>
      </c>
      <c r="M420" s="70">
        <f t="shared" si="28"/>
        <v>0</v>
      </c>
      <c r="N420" s="126"/>
      <c r="O420" s="124"/>
    </row>
    <row r="421" spans="1:15" ht="30" customHeight="1" x14ac:dyDescent="0.3">
      <c r="A421" s="123">
        <f t="shared" si="25"/>
        <v>417</v>
      </c>
      <c r="B421" s="127"/>
      <c r="C421" s="96"/>
      <c r="D421" s="83"/>
      <c r="E421" s="83"/>
      <c r="F421" s="96"/>
      <c r="G421" s="96"/>
      <c r="H421" s="70"/>
      <c r="I421" s="70"/>
      <c r="J421" s="70"/>
      <c r="K421" s="70">
        <f t="shared" si="26"/>
        <v>0</v>
      </c>
      <c r="L421" s="70">
        <f t="shared" si="27"/>
        <v>0</v>
      </c>
      <c r="M421" s="70">
        <f t="shared" si="28"/>
        <v>0</v>
      </c>
      <c r="N421" s="126"/>
      <c r="O421" s="124"/>
    </row>
    <row r="422" spans="1:15" ht="30" customHeight="1" x14ac:dyDescent="0.3">
      <c r="A422" s="123">
        <f t="shared" si="25"/>
        <v>418</v>
      </c>
      <c r="B422" s="127"/>
      <c r="C422" s="96"/>
      <c r="D422" s="83"/>
      <c r="E422" s="83"/>
      <c r="F422" s="96"/>
      <c r="G422" s="96"/>
      <c r="H422" s="70"/>
      <c r="I422" s="70"/>
      <c r="J422" s="70"/>
      <c r="K422" s="70">
        <f t="shared" si="26"/>
        <v>0</v>
      </c>
      <c r="L422" s="70">
        <f t="shared" si="27"/>
        <v>0</v>
      </c>
      <c r="M422" s="70">
        <f t="shared" si="28"/>
        <v>0</v>
      </c>
      <c r="N422" s="126"/>
      <c r="O422" s="124"/>
    </row>
    <row r="423" spans="1:15" ht="30" customHeight="1" x14ac:dyDescent="0.3">
      <c r="A423" s="123">
        <f t="shared" si="25"/>
        <v>419</v>
      </c>
      <c r="B423" s="127"/>
      <c r="C423" s="96"/>
      <c r="D423" s="83"/>
      <c r="E423" s="83"/>
      <c r="F423" s="96"/>
      <c r="G423" s="96"/>
      <c r="H423" s="70"/>
      <c r="I423" s="70"/>
      <c r="J423" s="70"/>
      <c r="K423" s="70">
        <f t="shared" si="26"/>
        <v>0</v>
      </c>
      <c r="L423" s="70">
        <f t="shared" si="27"/>
        <v>0</v>
      </c>
      <c r="M423" s="70">
        <f t="shared" si="28"/>
        <v>0</v>
      </c>
      <c r="N423" s="126"/>
      <c r="O423" s="124"/>
    </row>
    <row r="424" spans="1:15" ht="30" customHeight="1" x14ac:dyDescent="0.3">
      <c r="A424" s="123">
        <f t="shared" si="25"/>
        <v>420</v>
      </c>
      <c r="B424" s="127"/>
      <c r="C424" s="96"/>
      <c r="D424" s="83"/>
      <c r="E424" s="83"/>
      <c r="F424" s="96"/>
      <c r="G424" s="96"/>
      <c r="H424" s="70"/>
      <c r="I424" s="70"/>
      <c r="J424" s="70"/>
      <c r="K424" s="70">
        <f t="shared" si="26"/>
        <v>0</v>
      </c>
      <c r="L424" s="70">
        <f t="shared" si="27"/>
        <v>0</v>
      </c>
      <c r="M424" s="70">
        <f t="shared" si="28"/>
        <v>0</v>
      </c>
      <c r="N424" s="126"/>
      <c r="O424" s="124"/>
    </row>
    <row r="425" spans="1:15" ht="30" customHeight="1" x14ac:dyDescent="0.3">
      <c r="A425" s="123">
        <f t="shared" si="25"/>
        <v>421</v>
      </c>
      <c r="B425" s="127"/>
      <c r="C425" s="96"/>
      <c r="D425" s="83"/>
      <c r="E425" s="83"/>
      <c r="F425" s="96"/>
      <c r="G425" s="96"/>
      <c r="H425" s="70"/>
      <c r="I425" s="70"/>
      <c r="J425" s="70"/>
      <c r="K425" s="70">
        <f t="shared" si="26"/>
        <v>0</v>
      </c>
      <c r="L425" s="70">
        <f t="shared" si="27"/>
        <v>0</v>
      </c>
      <c r="M425" s="70">
        <f t="shared" si="28"/>
        <v>0</v>
      </c>
      <c r="N425" s="126"/>
      <c r="O425" s="124"/>
    </row>
    <row r="426" spans="1:15" ht="30" customHeight="1" x14ac:dyDescent="0.3">
      <c r="A426" s="123">
        <f t="shared" si="25"/>
        <v>422</v>
      </c>
      <c r="B426" s="127"/>
      <c r="C426" s="96"/>
      <c r="D426" s="83"/>
      <c r="E426" s="83"/>
      <c r="F426" s="96"/>
      <c r="G426" s="96"/>
      <c r="H426" s="70"/>
      <c r="I426" s="70"/>
      <c r="J426" s="70"/>
      <c r="K426" s="70">
        <f t="shared" si="26"/>
        <v>0</v>
      </c>
      <c r="L426" s="70">
        <f t="shared" si="27"/>
        <v>0</v>
      </c>
      <c r="M426" s="70">
        <f t="shared" si="28"/>
        <v>0</v>
      </c>
      <c r="N426" s="126"/>
      <c r="O426" s="124"/>
    </row>
    <row r="427" spans="1:15" ht="30" customHeight="1" x14ac:dyDescent="0.3">
      <c r="A427" s="123">
        <f t="shared" si="25"/>
        <v>423</v>
      </c>
      <c r="B427" s="127"/>
      <c r="C427" s="96"/>
      <c r="D427" s="83"/>
      <c r="E427" s="83"/>
      <c r="F427" s="96"/>
      <c r="G427" s="96"/>
      <c r="H427" s="70"/>
      <c r="I427" s="70"/>
      <c r="J427" s="70"/>
      <c r="K427" s="70">
        <f t="shared" si="26"/>
        <v>0</v>
      </c>
      <c r="L427" s="70">
        <f t="shared" si="27"/>
        <v>0</v>
      </c>
      <c r="M427" s="70">
        <f t="shared" si="28"/>
        <v>0</v>
      </c>
      <c r="N427" s="126"/>
      <c r="O427" s="124"/>
    </row>
    <row r="428" spans="1:15" ht="30" customHeight="1" x14ac:dyDescent="0.3">
      <c r="A428" s="123">
        <f t="shared" si="25"/>
        <v>424</v>
      </c>
      <c r="B428" s="127"/>
      <c r="C428" s="96"/>
      <c r="D428" s="83"/>
      <c r="E428" s="83"/>
      <c r="F428" s="96"/>
      <c r="G428" s="96"/>
      <c r="H428" s="70"/>
      <c r="I428" s="70"/>
      <c r="J428" s="70"/>
      <c r="K428" s="70">
        <f t="shared" si="26"/>
        <v>0</v>
      </c>
      <c r="L428" s="70">
        <f t="shared" si="27"/>
        <v>0</v>
      </c>
      <c r="M428" s="70">
        <f t="shared" si="28"/>
        <v>0</v>
      </c>
      <c r="N428" s="126"/>
      <c r="O428" s="124"/>
    </row>
    <row r="429" spans="1:15" ht="30" customHeight="1" x14ac:dyDescent="0.3">
      <c r="A429" s="123">
        <f t="shared" si="25"/>
        <v>425</v>
      </c>
      <c r="B429" s="127"/>
      <c r="C429" s="96"/>
      <c r="D429" s="83"/>
      <c r="E429" s="83"/>
      <c r="F429" s="96"/>
      <c r="G429" s="96"/>
      <c r="H429" s="70"/>
      <c r="I429" s="70"/>
      <c r="J429" s="70"/>
      <c r="K429" s="70">
        <f t="shared" si="26"/>
        <v>0</v>
      </c>
      <c r="L429" s="70">
        <f t="shared" si="27"/>
        <v>0</v>
      </c>
      <c r="M429" s="70">
        <f t="shared" si="28"/>
        <v>0</v>
      </c>
      <c r="N429" s="126"/>
      <c r="O429" s="124"/>
    </row>
    <row r="430" spans="1:15" ht="30" customHeight="1" x14ac:dyDescent="0.3">
      <c r="A430" s="123">
        <f t="shared" si="25"/>
        <v>426</v>
      </c>
      <c r="B430" s="127"/>
      <c r="C430" s="96"/>
      <c r="D430" s="83"/>
      <c r="E430" s="83"/>
      <c r="F430" s="96"/>
      <c r="G430" s="96"/>
      <c r="H430" s="70"/>
      <c r="I430" s="70"/>
      <c r="J430" s="70"/>
      <c r="K430" s="70">
        <f t="shared" si="26"/>
        <v>0</v>
      </c>
      <c r="L430" s="70">
        <f t="shared" si="27"/>
        <v>0</v>
      </c>
      <c r="M430" s="70">
        <f t="shared" si="28"/>
        <v>0</v>
      </c>
      <c r="N430" s="126"/>
      <c r="O430" s="124"/>
    </row>
    <row r="431" spans="1:15" ht="30" customHeight="1" x14ac:dyDescent="0.3">
      <c r="A431" s="123">
        <f t="shared" si="25"/>
        <v>427</v>
      </c>
      <c r="B431" s="127"/>
      <c r="C431" s="96"/>
      <c r="D431" s="83"/>
      <c r="E431" s="83"/>
      <c r="F431" s="96"/>
      <c r="G431" s="96"/>
      <c r="H431" s="70"/>
      <c r="I431" s="70"/>
      <c r="J431" s="70"/>
      <c r="K431" s="70">
        <f t="shared" si="26"/>
        <v>0</v>
      </c>
      <c r="L431" s="70">
        <f t="shared" si="27"/>
        <v>0</v>
      </c>
      <c r="M431" s="70">
        <f t="shared" si="28"/>
        <v>0</v>
      </c>
      <c r="N431" s="126"/>
      <c r="O431" s="124"/>
    </row>
    <row r="432" spans="1:15" ht="30" customHeight="1" x14ac:dyDescent="0.3">
      <c r="A432" s="123">
        <f t="shared" si="25"/>
        <v>428</v>
      </c>
      <c r="B432" s="127"/>
      <c r="C432" s="96"/>
      <c r="D432" s="83"/>
      <c r="E432" s="83"/>
      <c r="F432" s="96"/>
      <c r="G432" s="96"/>
      <c r="H432" s="70"/>
      <c r="I432" s="70"/>
      <c r="J432" s="70"/>
      <c r="K432" s="70">
        <f t="shared" si="26"/>
        <v>0</v>
      </c>
      <c r="L432" s="70">
        <f t="shared" si="27"/>
        <v>0</v>
      </c>
      <c r="M432" s="70">
        <f t="shared" si="28"/>
        <v>0</v>
      </c>
      <c r="N432" s="126"/>
      <c r="O432" s="124"/>
    </row>
    <row r="433" spans="1:15" ht="30" customHeight="1" x14ac:dyDescent="0.3">
      <c r="A433" s="123">
        <f t="shared" si="25"/>
        <v>429</v>
      </c>
      <c r="B433" s="127"/>
      <c r="C433" s="96"/>
      <c r="D433" s="83"/>
      <c r="E433" s="83"/>
      <c r="F433" s="96"/>
      <c r="G433" s="96"/>
      <c r="H433" s="70"/>
      <c r="I433" s="70"/>
      <c r="J433" s="70"/>
      <c r="K433" s="70">
        <f t="shared" si="26"/>
        <v>0</v>
      </c>
      <c r="L433" s="70">
        <f t="shared" si="27"/>
        <v>0</v>
      </c>
      <c r="M433" s="70">
        <f t="shared" si="28"/>
        <v>0</v>
      </c>
      <c r="N433" s="126"/>
      <c r="O433" s="124"/>
    </row>
    <row r="434" spans="1:15" ht="30" customHeight="1" x14ac:dyDescent="0.3">
      <c r="A434" s="123">
        <f t="shared" si="25"/>
        <v>430</v>
      </c>
      <c r="B434" s="127"/>
      <c r="C434" s="96"/>
      <c r="D434" s="83"/>
      <c r="E434" s="83"/>
      <c r="F434" s="96"/>
      <c r="G434" s="96"/>
      <c r="H434" s="70"/>
      <c r="I434" s="70"/>
      <c r="J434" s="70"/>
      <c r="K434" s="70">
        <f t="shared" si="26"/>
        <v>0</v>
      </c>
      <c r="L434" s="70">
        <f t="shared" si="27"/>
        <v>0</v>
      </c>
      <c r="M434" s="70">
        <f t="shared" si="28"/>
        <v>0</v>
      </c>
      <c r="N434" s="126"/>
      <c r="O434" s="124"/>
    </row>
    <row r="435" spans="1:15" ht="30" customHeight="1" x14ac:dyDescent="0.3">
      <c r="A435" s="123">
        <f t="shared" si="25"/>
        <v>431</v>
      </c>
      <c r="B435" s="127"/>
      <c r="C435" s="96"/>
      <c r="D435" s="83"/>
      <c r="E435" s="83"/>
      <c r="F435" s="96"/>
      <c r="G435" s="96"/>
      <c r="H435" s="70"/>
      <c r="I435" s="70"/>
      <c r="J435" s="70"/>
      <c r="K435" s="70">
        <f t="shared" si="26"/>
        <v>0</v>
      </c>
      <c r="L435" s="70">
        <f t="shared" si="27"/>
        <v>0</v>
      </c>
      <c r="M435" s="70">
        <f t="shared" si="28"/>
        <v>0</v>
      </c>
      <c r="N435" s="126"/>
      <c r="O435" s="124"/>
    </row>
    <row r="436" spans="1:15" ht="30" customHeight="1" x14ac:dyDescent="0.3">
      <c r="A436" s="123">
        <f t="shared" si="25"/>
        <v>432</v>
      </c>
      <c r="B436" s="127"/>
      <c r="C436" s="96"/>
      <c r="D436" s="83"/>
      <c r="E436" s="83"/>
      <c r="F436" s="96"/>
      <c r="G436" s="96"/>
      <c r="H436" s="70"/>
      <c r="I436" s="70"/>
      <c r="J436" s="70"/>
      <c r="K436" s="70">
        <f t="shared" si="26"/>
        <v>0</v>
      </c>
      <c r="L436" s="70">
        <f t="shared" si="27"/>
        <v>0</v>
      </c>
      <c r="M436" s="70">
        <f t="shared" si="28"/>
        <v>0</v>
      </c>
      <c r="N436" s="126"/>
      <c r="O436" s="124"/>
    </row>
    <row r="437" spans="1:15" ht="30" customHeight="1" x14ac:dyDescent="0.3">
      <c r="A437" s="123">
        <f t="shared" si="25"/>
        <v>433</v>
      </c>
      <c r="B437" s="127"/>
      <c r="C437" s="96"/>
      <c r="D437" s="83"/>
      <c r="E437" s="83"/>
      <c r="F437" s="96"/>
      <c r="G437" s="96"/>
      <c r="H437" s="70"/>
      <c r="I437" s="70"/>
      <c r="J437" s="70"/>
      <c r="K437" s="70">
        <f t="shared" si="26"/>
        <v>0</v>
      </c>
      <c r="L437" s="70">
        <f t="shared" si="27"/>
        <v>0</v>
      </c>
      <c r="M437" s="70">
        <f t="shared" si="28"/>
        <v>0</v>
      </c>
      <c r="N437" s="126"/>
      <c r="O437" s="124"/>
    </row>
    <row r="438" spans="1:15" ht="30" customHeight="1" x14ac:dyDescent="0.3">
      <c r="A438" s="123">
        <f t="shared" si="25"/>
        <v>434</v>
      </c>
      <c r="B438" s="127"/>
      <c r="C438" s="96"/>
      <c r="D438" s="83"/>
      <c r="E438" s="83"/>
      <c r="F438" s="96"/>
      <c r="G438" s="96"/>
      <c r="H438" s="70"/>
      <c r="I438" s="70"/>
      <c r="J438" s="70"/>
      <c r="K438" s="70">
        <f t="shared" si="26"/>
        <v>0</v>
      </c>
      <c r="L438" s="70">
        <f t="shared" si="27"/>
        <v>0</v>
      </c>
      <c r="M438" s="70">
        <f t="shared" si="28"/>
        <v>0</v>
      </c>
      <c r="N438" s="126"/>
      <c r="O438" s="124"/>
    </row>
    <row r="439" spans="1:15" ht="30" customHeight="1" x14ac:dyDescent="0.3">
      <c r="A439" s="123">
        <f t="shared" si="25"/>
        <v>435</v>
      </c>
      <c r="B439" s="127"/>
      <c r="C439" s="96"/>
      <c r="D439" s="83"/>
      <c r="E439" s="83"/>
      <c r="F439" s="96"/>
      <c r="G439" s="96"/>
      <c r="H439" s="70"/>
      <c r="I439" s="70"/>
      <c r="J439" s="70"/>
      <c r="K439" s="70">
        <f t="shared" si="26"/>
        <v>0</v>
      </c>
      <c r="L439" s="70">
        <f t="shared" si="27"/>
        <v>0</v>
      </c>
      <c r="M439" s="70">
        <f t="shared" si="28"/>
        <v>0</v>
      </c>
      <c r="N439" s="126"/>
      <c r="O439" s="124"/>
    </row>
    <row r="440" spans="1:15" ht="30" customHeight="1" x14ac:dyDescent="0.3">
      <c r="A440" s="123">
        <f t="shared" si="25"/>
        <v>436</v>
      </c>
      <c r="B440" s="127"/>
      <c r="C440" s="96"/>
      <c r="D440" s="83"/>
      <c r="E440" s="83"/>
      <c r="F440" s="96"/>
      <c r="G440" s="96"/>
      <c r="H440" s="70"/>
      <c r="I440" s="70"/>
      <c r="J440" s="70"/>
      <c r="K440" s="70">
        <f t="shared" si="26"/>
        <v>0</v>
      </c>
      <c r="L440" s="70">
        <f t="shared" si="27"/>
        <v>0</v>
      </c>
      <c r="M440" s="70">
        <f t="shared" si="28"/>
        <v>0</v>
      </c>
      <c r="N440" s="126"/>
      <c r="O440" s="124"/>
    </row>
    <row r="441" spans="1:15" ht="30" customHeight="1" x14ac:dyDescent="0.3">
      <c r="A441" s="123">
        <f t="shared" si="25"/>
        <v>437</v>
      </c>
      <c r="B441" s="127"/>
      <c r="C441" s="96"/>
      <c r="D441" s="83"/>
      <c r="E441" s="83"/>
      <c r="F441" s="96"/>
      <c r="G441" s="96"/>
      <c r="H441" s="70"/>
      <c r="I441" s="70"/>
      <c r="J441" s="70"/>
      <c r="K441" s="70">
        <f t="shared" si="26"/>
        <v>0</v>
      </c>
      <c r="L441" s="70">
        <f t="shared" si="27"/>
        <v>0</v>
      </c>
      <c r="M441" s="70">
        <f t="shared" si="28"/>
        <v>0</v>
      </c>
      <c r="N441" s="126"/>
      <c r="O441" s="124"/>
    </row>
    <row r="442" spans="1:15" ht="30" customHeight="1" x14ac:dyDescent="0.3">
      <c r="A442" s="123">
        <f t="shared" si="25"/>
        <v>438</v>
      </c>
      <c r="B442" s="127"/>
      <c r="C442" s="96"/>
      <c r="D442" s="83"/>
      <c r="E442" s="83"/>
      <c r="F442" s="96"/>
      <c r="G442" s="96"/>
      <c r="H442" s="70"/>
      <c r="I442" s="70"/>
      <c r="J442" s="70"/>
      <c r="K442" s="70">
        <f t="shared" si="26"/>
        <v>0</v>
      </c>
      <c r="L442" s="70">
        <f t="shared" si="27"/>
        <v>0</v>
      </c>
      <c r="M442" s="70">
        <f t="shared" si="28"/>
        <v>0</v>
      </c>
      <c r="N442" s="126"/>
      <c r="O442" s="124"/>
    </row>
    <row r="443" spans="1:15" ht="30" customHeight="1" x14ac:dyDescent="0.3">
      <c r="A443" s="123">
        <f t="shared" si="25"/>
        <v>439</v>
      </c>
      <c r="B443" s="127"/>
      <c r="C443" s="96"/>
      <c r="D443" s="83"/>
      <c r="E443" s="83"/>
      <c r="F443" s="96"/>
      <c r="G443" s="96"/>
      <c r="H443" s="70"/>
      <c r="I443" s="70"/>
      <c r="J443" s="70"/>
      <c r="K443" s="70">
        <f t="shared" si="26"/>
        <v>0</v>
      </c>
      <c r="L443" s="70">
        <f t="shared" si="27"/>
        <v>0</v>
      </c>
      <c r="M443" s="70">
        <f t="shared" si="28"/>
        <v>0</v>
      </c>
      <c r="N443" s="126"/>
      <c r="O443" s="124"/>
    </row>
    <row r="444" spans="1:15" ht="30" customHeight="1" x14ac:dyDescent="0.3">
      <c r="A444" s="123">
        <f t="shared" si="25"/>
        <v>440</v>
      </c>
      <c r="B444" s="127"/>
      <c r="C444" s="96"/>
      <c r="D444" s="83"/>
      <c r="E444" s="83"/>
      <c r="F444" s="96"/>
      <c r="G444" s="96"/>
      <c r="H444" s="70"/>
      <c r="I444" s="70"/>
      <c r="J444" s="70"/>
      <c r="K444" s="70">
        <f t="shared" si="26"/>
        <v>0</v>
      </c>
      <c r="L444" s="70">
        <f t="shared" si="27"/>
        <v>0</v>
      </c>
      <c r="M444" s="70">
        <f t="shared" si="28"/>
        <v>0</v>
      </c>
      <c r="N444" s="126"/>
      <c r="O444" s="124"/>
    </row>
    <row r="445" spans="1:15" ht="30" customHeight="1" x14ac:dyDescent="0.3">
      <c r="A445" s="123">
        <f t="shared" si="25"/>
        <v>441</v>
      </c>
      <c r="B445" s="127"/>
      <c r="C445" s="96"/>
      <c r="D445" s="83"/>
      <c r="E445" s="83"/>
      <c r="F445" s="96"/>
      <c r="G445" s="96"/>
      <c r="H445" s="70"/>
      <c r="I445" s="70"/>
      <c r="J445" s="70"/>
      <c r="K445" s="70">
        <f t="shared" si="26"/>
        <v>0</v>
      </c>
      <c r="L445" s="70">
        <f t="shared" si="27"/>
        <v>0</v>
      </c>
      <c r="M445" s="70">
        <f t="shared" si="28"/>
        <v>0</v>
      </c>
      <c r="N445" s="126"/>
      <c r="O445" s="124"/>
    </row>
    <row r="446" spans="1:15" ht="30" customHeight="1" x14ac:dyDescent="0.3">
      <c r="A446" s="123">
        <f t="shared" si="25"/>
        <v>442</v>
      </c>
      <c r="B446" s="127"/>
      <c r="C446" s="96"/>
      <c r="D446" s="83"/>
      <c r="E446" s="83"/>
      <c r="F446" s="96"/>
      <c r="G446" s="96"/>
      <c r="H446" s="70"/>
      <c r="I446" s="70"/>
      <c r="J446" s="70"/>
      <c r="K446" s="70">
        <f t="shared" si="26"/>
        <v>0</v>
      </c>
      <c r="L446" s="70">
        <f t="shared" si="27"/>
        <v>0</v>
      </c>
      <c r="M446" s="70">
        <f t="shared" si="28"/>
        <v>0</v>
      </c>
      <c r="N446" s="126"/>
      <c r="O446" s="124"/>
    </row>
    <row r="447" spans="1:15" ht="30" customHeight="1" x14ac:dyDescent="0.3">
      <c r="A447" s="123">
        <f t="shared" si="25"/>
        <v>443</v>
      </c>
      <c r="B447" s="127"/>
      <c r="C447" s="96"/>
      <c r="D447" s="83"/>
      <c r="E447" s="83"/>
      <c r="F447" s="96"/>
      <c r="G447" s="96"/>
      <c r="H447" s="70"/>
      <c r="I447" s="70"/>
      <c r="J447" s="70"/>
      <c r="K447" s="70">
        <f t="shared" si="26"/>
        <v>0</v>
      </c>
      <c r="L447" s="70">
        <f t="shared" si="27"/>
        <v>0</v>
      </c>
      <c r="M447" s="70">
        <f t="shared" si="28"/>
        <v>0</v>
      </c>
      <c r="N447" s="126"/>
      <c r="O447" s="124"/>
    </row>
    <row r="448" spans="1:15" ht="30" customHeight="1" x14ac:dyDescent="0.3">
      <c r="A448" s="123">
        <f t="shared" si="25"/>
        <v>444</v>
      </c>
      <c r="B448" s="127"/>
      <c r="C448" s="96"/>
      <c r="D448" s="83"/>
      <c r="E448" s="83"/>
      <c r="F448" s="96"/>
      <c r="G448" s="96"/>
      <c r="H448" s="70"/>
      <c r="I448" s="70"/>
      <c r="J448" s="70"/>
      <c r="K448" s="70">
        <f t="shared" si="26"/>
        <v>0</v>
      </c>
      <c r="L448" s="70">
        <f t="shared" si="27"/>
        <v>0</v>
      </c>
      <c r="M448" s="70">
        <f t="shared" si="28"/>
        <v>0</v>
      </c>
      <c r="N448" s="126"/>
      <c r="O448" s="124"/>
    </row>
    <row r="449" spans="1:15" ht="30" customHeight="1" x14ac:dyDescent="0.3">
      <c r="A449" s="123">
        <f t="shared" si="25"/>
        <v>445</v>
      </c>
      <c r="B449" s="127"/>
      <c r="C449" s="96"/>
      <c r="D449" s="83"/>
      <c r="E449" s="83"/>
      <c r="F449" s="96"/>
      <c r="G449" s="96"/>
      <c r="H449" s="70"/>
      <c r="I449" s="70"/>
      <c r="J449" s="70"/>
      <c r="K449" s="70">
        <f t="shared" si="26"/>
        <v>0</v>
      </c>
      <c r="L449" s="70">
        <f t="shared" si="27"/>
        <v>0</v>
      </c>
      <c r="M449" s="70">
        <f t="shared" si="28"/>
        <v>0</v>
      </c>
      <c r="N449" s="126"/>
      <c r="O449" s="124"/>
    </row>
    <row r="450" spans="1:15" ht="30" customHeight="1" x14ac:dyDescent="0.3">
      <c r="A450" s="123">
        <f t="shared" si="25"/>
        <v>446</v>
      </c>
      <c r="B450" s="127"/>
      <c r="C450" s="96"/>
      <c r="D450" s="83"/>
      <c r="E450" s="83"/>
      <c r="F450" s="96"/>
      <c r="G450" s="96"/>
      <c r="H450" s="70"/>
      <c r="I450" s="70"/>
      <c r="J450" s="70"/>
      <c r="K450" s="70">
        <f t="shared" si="26"/>
        <v>0</v>
      </c>
      <c r="L450" s="70">
        <f t="shared" si="27"/>
        <v>0</v>
      </c>
      <c r="M450" s="70">
        <f t="shared" si="28"/>
        <v>0</v>
      </c>
      <c r="N450" s="126"/>
      <c r="O450" s="124"/>
    </row>
    <row r="451" spans="1:15" ht="30" customHeight="1" x14ac:dyDescent="0.3">
      <c r="A451" s="123">
        <f t="shared" si="25"/>
        <v>447</v>
      </c>
      <c r="B451" s="127"/>
      <c r="C451" s="96"/>
      <c r="D451" s="83"/>
      <c r="E451" s="83"/>
      <c r="F451" s="96"/>
      <c r="G451" s="96"/>
      <c r="H451" s="70"/>
      <c r="I451" s="70"/>
      <c r="J451" s="70"/>
      <c r="K451" s="70">
        <f t="shared" si="26"/>
        <v>0</v>
      </c>
      <c r="L451" s="70">
        <f t="shared" si="27"/>
        <v>0</v>
      </c>
      <c r="M451" s="70">
        <f t="shared" si="28"/>
        <v>0</v>
      </c>
      <c r="N451" s="126"/>
      <c r="O451" s="124"/>
    </row>
    <row r="452" spans="1:15" ht="30" customHeight="1" x14ac:dyDescent="0.3">
      <c r="A452" s="123">
        <f t="shared" si="25"/>
        <v>448</v>
      </c>
      <c r="B452" s="127"/>
      <c r="C452" s="96"/>
      <c r="D452" s="83"/>
      <c r="E452" s="83"/>
      <c r="F452" s="96"/>
      <c r="G452" s="96"/>
      <c r="H452" s="70"/>
      <c r="I452" s="70"/>
      <c r="J452" s="70"/>
      <c r="K452" s="70">
        <f t="shared" si="26"/>
        <v>0</v>
      </c>
      <c r="L452" s="70">
        <f t="shared" si="27"/>
        <v>0</v>
      </c>
      <c r="M452" s="70">
        <f t="shared" si="28"/>
        <v>0</v>
      </c>
      <c r="N452" s="126"/>
      <c r="O452" s="124"/>
    </row>
    <row r="453" spans="1:15" ht="30" customHeight="1" x14ac:dyDescent="0.3">
      <c r="A453" s="123">
        <f t="shared" si="25"/>
        <v>449</v>
      </c>
      <c r="B453" s="127"/>
      <c r="C453" s="96"/>
      <c r="D453" s="83"/>
      <c r="E453" s="83"/>
      <c r="F453" s="96"/>
      <c r="G453" s="96"/>
      <c r="H453" s="70"/>
      <c r="I453" s="70"/>
      <c r="J453" s="70"/>
      <c r="K453" s="70">
        <f t="shared" si="26"/>
        <v>0</v>
      </c>
      <c r="L453" s="70">
        <f t="shared" si="27"/>
        <v>0</v>
      </c>
      <c r="M453" s="70">
        <f t="shared" si="28"/>
        <v>0</v>
      </c>
      <c r="N453" s="126"/>
      <c r="O453" s="124"/>
    </row>
    <row r="454" spans="1:15" ht="30" customHeight="1" x14ac:dyDescent="0.3">
      <c r="A454" s="123">
        <f t="shared" si="25"/>
        <v>450</v>
      </c>
      <c r="B454" s="127"/>
      <c r="C454" s="96"/>
      <c r="D454" s="83"/>
      <c r="E454" s="83"/>
      <c r="F454" s="96"/>
      <c r="G454" s="96"/>
      <c r="H454" s="70"/>
      <c r="I454" s="70"/>
      <c r="J454" s="70"/>
      <c r="K454" s="70">
        <f t="shared" si="26"/>
        <v>0</v>
      </c>
      <c r="L454" s="70">
        <f t="shared" si="27"/>
        <v>0</v>
      </c>
      <c r="M454" s="70">
        <f t="shared" si="28"/>
        <v>0</v>
      </c>
      <c r="N454" s="126"/>
      <c r="O454" s="124"/>
    </row>
    <row r="455" spans="1:15" ht="30" customHeight="1" x14ac:dyDescent="0.3">
      <c r="A455" s="123">
        <f t="shared" si="25"/>
        <v>451</v>
      </c>
      <c r="B455" s="127"/>
      <c r="C455" s="96"/>
      <c r="D455" s="83"/>
      <c r="E455" s="83"/>
      <c r="F455" s="96"/>
      <c r="G455" s="96"/>
      <c r="H455" s="70"/>
      <c r="I455" s="70"/>
      <c r="J455" s="70"/>
      <c r="K455" s="70">
        <f t="shared" si="26"/>
        <v>0</v>
      </c>
      <c r="L455" s="70">
        <f t="shared" si="27"/>
        <v>0</v>
      </c>
      <c r="M455" s="70">
        <f t="shared" si="28"/>
        <v>0</v>
      </c>
      <c r="N455" s="126"/>
      <c r="O455" s="124"/>
    </row>
    <row r="456" spans="1:15" ht="30" customHeight="1" x14ac:dyDescent="0.3">
      <c r="A456" s="123">
        <f t="shared" si="25"/>
        <v>452</v>
      </c>
      <c r="B456" s="127"/>
      <c r="C456" s="96"/>
      <c r="D456" s="83"/>
      <c r="E456" s="83"/>
      <c r="F456" s="96"/>
      <c r="G456" s="96"/>
      <c r="H456" s="70"/>
      <c r="I456" s="70"/>
      <c r="J456" s="70"/>
      <c r="K456" s="70">
        <f t="shared" si="26"/>
        <v>0</v>
      </c>
      <c r="L456" s="70">
        <f t="shared" si="27"/>
        <v>0</v>
      </c>
      <c r="M456" s="70">
        <f t="shared" si="28"/>
        <v>0</v>
      </c>
      <c r="N456" s="126"/>
      <c r="O456" s="124"/>
    </row>
    <row r="457" spans="1:15" ht="30" customHeight="1" x14ac:dyDescent="0.3">
      <c r="A457" s="123">
        <f t="shared" si="25"/>
        <v>453</v>
      </c>
      <c r="B457" s="127"/>
      <c r="C457" s="96"/>
      <c r="D457" s="83"/>
      <c r="E457" s="83"/>
      <c r="F457" s="96"/>
      <c r="G457" s="96"/>
      <c r="H457" s="70"/>
      <c r="I457" s="70"/>
      <c r="J457" s="70"/>
      <c r="K457" s="70">
        <f t="shared" si="26"/>
        <v>0</v>
      </c>
      <c r="L457" s="70">
        <f t="shared" si="27"/>
        <v>0</v>
      </c>
      <c r="M457" s="70">
        <f t="shared" si="28"/>
        <v>0</v>
      </c>
      <c r="N457" s="126"/>
      <c r="O457" s="124"/>
    </row>
    <row r="458" spans="1:15" ht="30" customHeight="1" x14ac:dyDescent="0.3">
      <c r="A458" s="123">
        <f t="shared" si="25"/>
        <v>454</v>
      </c>
      <c r="B458" s="127"/>
      <c r="C458" s="96"/>
      <c r="D458" s="83"/>
      <c r="E458" s="83"/>
      <c r="F458" s="96"/>
      <c r="G458" s="96"/>
      <c r="H458" s="70"/>
      <c r="I458" s="70"/>
      <c r="J458" s="70"/>
      <c r="K458" s="70">
        <f t="shared" si="26"/>
        <v>0</v>
      </c>
      <c r="L458" s="70">
        <f t="shared" si="27"/>
        <v>0</v>
      </c>
      <c r="M458" s="70">
        <f t="shared" si="28"/>
        <v>0</v>
      </c>
      <c r="N458" s="126"/>
      <c r="O458" s="124"/>
    </row>
    <row r="459" spans="1:15" ht="30" customHeight="1" x14ac:dyDescent="0.3">
      <c r="A459" s="123">
        <f t="shared" si="25"/>
        <v>455</v>
      </c>
      <c r="B459" s="127"/>
      <c r="C459" s="96"/>
      <c r="D459" s="83"/>
      <c r="E459" s="83"/>
      <c r="F459" s="96"/>
      <c r="G459" s="96"/>
      <c r="H459" s="70"/>
      <c r="I459" s="70"/>
      <c r="J459" s="70"/>
      <c r="K459" s="70">
        <f t="shared" si="26"/>
        <v>0</v>
      </c>
      <c r="L459" s="70">
        <f t="shared" si="27"/>
        <v>0</v>
      </c>
      <c r="M459" s="70">
        <f t="shared" si="28"/>
        <v>0</v>
      </c>
      <c r="N459" s="126"/>
      <c r="O459" s="124"/>
    </row>
    <row r="460" spans="1:15" ht="30" customHeight="1" x14ac:dyDescent="0.3">
      <c r="A460" s="123">
        <f t="shared" si="25"/>
        <v>456</v>
      </c>
      <c r="B460" s="127"/>
      <c r="C460" s="96"/>
      <c r="D460" s="83"/>
      <c r="E460" s="83"/>
      <c r="F460" s="96"/>
      <c r="G460" s="96"/>
      <c r="H460" s="70"/>
      <c r="I460" s="70"/>
      <c r="J460" s="70"/>
      <c r="K460" s="70">
        <f t="shared" si="26"/>
        <v>0</v>
      </c>
      <c r="L460" s="70">
        <f t="shared" si="27"/>
        <v>0</v>
      </c>
      <c r="M460" s="70">
        <f t="shared" si="28"/>
        <v>0</v>
      </c>
      <c r="N460" s="126"/>
      <c r="O460" s="124"/>
    </row>
    <row r="461" spans="1:15" ht="30" customHeight="1" x14ac:dyDescent="0.3">
      <c r="A461" s="123">
        <f t="shared" si="25"/>
        <v>457</v>
      </c>
      <c r="B461" s="127"/>
      <c r="C461" s="96"/>
      <c r="D461" s="83"/>
      <c r="E461" s="83"/>
      <c r="F461" s="96"/>
      <c r="G461" s="96"/>
      <c r="H461" s="70"/>
      <c r="I461" s="70"/>
      <c r="J461" s="70"/>
      <c r="K461" s="70">
        <f t="shared" si="26"/>
        <v>0</v>
      </c>
      <c r="L461" s="70">
        <f t="shared" si="27"/>
        <v>0</v>
      </c>
      <c r="M461" s="70">
        <f t="shared" si="28"/>
        <v>0</v>
      </c>
      <c r="N461" s="126"/>
      <c r="O461" s="124"/>
    </row>
    <row r="462" spans="1:15" ht="30" customHeight="1" x14ac:dyDescent="0.3">
      <c r="A462" s="123">
        <f t="shared" si="25"/>
        <v>458</v>
      </c>
      <c r="B462" s="127"/>
      <c r="C462" s="96"/>
      <c r="D462" s="83"/>
      <c r="E462" s="83"/>
      <c r="F462" s="96"/>
      <c r="G462" s="96"/>
      <c r="H462" s="70"/>
      <c r="I462" s="70"/>
      <c r="J462" s="70"/>
      <c r="K462" s="70">
        <f t="shared" si="26"/>
        <v>0</v>
      </c>
      <c r="L462" s="70">
        <f t="shared" si="27"/>
        <v>0</v>
      </c>
      <c r="M462" s="70">
        <f t="shared" si="28"/>
        <v>0</v>
      </c>
      <c r="N462" s="126"/>
      <c r="O462" s="124"/>
    </row>
    <row r="463" spans="1:15" ht="30" customHeight="1" x14ac:dyDescent="0.3">
      <c r="A463" s="123">
        <f t="shared" si="25"/>
        <v>459</v>
      </c>
      <c r="B463" s="127"/>
      <c r="C463" s="96"/>
      <c r="D463" s="83"/>
      <c r="E463" s="83"/>
      <c r="F463" s="96"/>
      <c r="G463" s="96"/>
      <c r="H463" s="70"/>
      <c r="I463" s="70"/>
      <c r="J463" s="70"/>
      <c r="K463" s="70">
        <f t="shared" si="26"/>
        <v>0</v>
      </c>
      <c r="L463" s="70">
        <f t="shared" si="27"/>
        <v>0</v>
      </c>
      <c r="M463" s="70">
        <f t="shared" si="28"/>
        <v>0</v>
      </c>
      <c r="N463" s="126"/>
      <c r="O463" s="124"/>
    </row>
    <row r="464" spans="1:15" ht="30" customHeight="1" x14ac:dyDescent="0.3">
      <c r="A464" s="123">
        <f t="shared" si="25"/>
        <v>460</v>
      </c>
      <c r="B464" s="127"/>
      <c r="C464" s="96"/>
      <c r="D464" s="83"/>
      <c r="E464" s="83"/>
      <c r="F464" s="96"/>
      <c r="G464" s="96"/>
      <c r="H464" s="70"/>
      <c r="I464" s="70"/>
      <c r="J464" s="70"/>
      <c r="K464" s="70">
        <f t="shared" si="26"/>
        <v>0</v>
      </c>
      <c r="L464" s="70">
        <f t="shared" si="27"/>
        <v>0</v>
      </c>
      <c r="M464" s="70">
        <f t="shared" si="28"/>
        <v>0</v>
      </c>
      <c r="N464" s="126"/>
      <c r="O464" s="124"/>
    </row>
    <row r="465" spans="1:15" ht="30" customHeight="1" x14ac:dyDescent="0.3">
      <c r="A465" s="123">
        <f t="shared" si="25"/>
        <v>461</v>
      </c>
      <c r="B465" s="127"/>
      <c r="C465" s="96"/>
      <c r="D465" s="83"/>
      <c r="E465" s="83"/>
      <c r="F465" s="96"/>
      <c r="G465" s="96"/>
      <c r="H465" s="70"/>
      <c r="I465" s="70"/>
      <c r="J465" s="70"/>
      <c r="K465" s="70">
        <f t="shared" si="26"/>
        <v>0</v>
      </c>
      <c r="L465" s="70">
        <f t="shared" si="27"/>
        <v>0</v>
      </c>
      <c r="M465" s="70">
        <f t="shared" si="28"/>
        <v>0</v>
      </c>
      <c r="N465" s="126"/>
      <c r="O465" s="124"/>
    </row>
    <row r="466" spans="1:15" ht="30" customHeight="1" x14ac:dyDescent="0.3">
      <c r="A466" s="123">
        <f t="shared" si="25"/>
        <v>462</v>
      </c>
      <c r="B466" s="127"/>
      <c r="C466" s="96"/>
      <c r="D466" s="83"/>
      <c r="E466" s="83"/>
      <c r="F466" s="96"/>
      <c r="G466" s="96"/>
      <c r="H466" s="70"/>
      <c r="I466" s="70"/>
      <c r="J466" s="70"/>
      <c r="K466" s="70">
        <f t="shared" si="26"/>
        <v>0</v>
      </c>
      <c r="L466" s="70">
        <f t="shared" si="27"/>
        <v>0</v>
      </c>
      <c r="M466" s="70">
        <f t="shared" si="28"/>
        <v>0</v>
      </c>
      <c r="N466" s="126"/>
      <c r="O466" s="124"/>
    </row>
    <row r="467" spans="1:15" ht="30" customHeight="1" x14ac:dyDescent="0.3">
      <c r="A467" s="123">
        <f t="shared" si="25"/>
        <v>463</v>
      </c>
      <c r="B467" s="127"/>
      <c r="C467" s="96"/>
      <c r="D467" s="83"/>
      <c r="E467" s="83"/>
      <c r="F467" s="96"/>
      <c r="G467" s="96"/>
      <c r="H467" s="70"/>
      <c r="I467" s="70"/>
      <c r="J467" s="70"/>
      <c r="K467" s="70">
        <f t="shared" si="26"/>
        <v>0</v>
      </c>
      <c r="L467" s="70">
        <f t="shared" si="27"/>
        <v>0</v>
      </c>
      <c r="M467" s="70">
        <f t="shared" si="28"/>
        <v>0</v>
      </c>
      <c r="N467" s="126"/>
      <c r="O467" s="124"/>
    </row>
    <row r="468" spans="1:15" ht="30" customHeight="1" x14ac:dyDescent="0.3">
      <c r="A468" s="123">
        <f t="shared" ref="A468:A531" si="29">A467+1</f>
        <v>464</v>
      </c>
      <c r="B468" s="127"/>
      <c r="C468" s="96"/>
      <c r="D468" s="83"/>
      <c r="E468" s="83"/>
      <c r="F468" s="96"/>
      <c r="G468" s="96"/>
      <c r="H468" s="70"/>
      <c r="I468" s="70"/>
      <c r="J468" s="70"/>
      <c r="K468" s="70">
        <f t="shared" ref="K468:K531" si="30">H468/1000000</f>
        <v>0</v>
      </c>
      <c r="L468" s="70">
        <f t="shared" ref="L468:L531" si="31">I468/1000000</f>
        <v>0</v>
      </c>
      <c r="M468" s="70">
        <f t="shared" ref="M468:M531" si="32">J468/1000000</f>
        <v>0</v>
      </c>
      <c r="N468" s="126"/>
      <c r="O468" s="124"/>
    </row>
    <row r="469" spans="1:15" ht="30" customHeight="1" x14ac:dyDescent="0.3">
      <c r="A469" s="123">
        <f t="shared" si="29"/>
        <v>465</v>
      </c>
      <c r="B469" s="127"/>
      <c r="C469" s="96"/>
      <c r="D469" s="83"/>
      <c r="E469" s="83"/>
      <c r="F469" s="96"/>
      <c r="G469" s="96"/>
      <c r="H469" s="70"/>
      <c r="I469" s="70"/>
      <c r="J469" s="70"/>
      <c r="K469" s="70">
        <f t="shared" si="30"/>
        <v>0</v>
      </c>
      <c r="L469" s="70">
        <f t="shared" si="31"/>
        <v>0</v>
      </c>
      <c r="M469" s="70">
        <f t="shared" si="32"/>
        <v>0</v>
      </c>
      <c r="N469" s="126"/>
      <c r="O469" s="124"/>
    </row>
    <row r="470" spans="1:15" ht="30" customHeight="1" x14ac:dyDescent="0.3">
      <c r="A470" s="123">
        <f t="shared" si="29"/>
        <v>466</v>
      </c>
      <c r="B470" s="127"/>
      <c r="C470" s="96"/>
      <c r="D470" s="83"/>
      <c r="E470" s="83"/>
      <c r="F470" s="96"/>
      <c r="G470" s="96"/>
      <c r="H470" s="70"/>
      <c r="I470" s="70"/>
      <c r="J470" s="70"/>
      <c r="K470" s="70">
        <f t="shared" si="30"/>
        <v>0</v>
      </c>
      <c r="L470" s="70">
        <f t="shared" si="31"/>
        <v>0</v>
      </c>
      <c r="M470" s="70">
        <f t="shared" si="32"/>
        <v>0</v>
      </c>
      <c r="N470" s="126"/>
      <c r="O470" s="124"/>
    </row>
    <row r="471" spans="1:15" ht="30" customHeight="1" x14ac:dyDescent="0.3">
      <c r="A471" s="123">
        <f t="shared" si="29"/>
        <v>467</v>
      </c>
      <c r="B471" s="127"/>
      <c r="C471" s="96"/>
      <c r="D471" s="83"/>
      <c r="E471" s="83"/>
      <c r="F471" s="96"/>
      <c r="G471" s="96"/>
      <c r="H471" s="70"/>
      <c r="I471" s="70"/>
      <c r="J471" s="70"/>
      <c r="K471" s="70">
        <f t="shared" si="30"/>
        <v>0</v>
      </c>
      <c r="L471" s="70">
        <f t="shared" si="31"/>
        <v>0</v>
      </c>
      <c r="M471" s="70">
        <f t="shared" si="32"/>
        <v>0</v>
      </c>
      <c r="N471" s="126"/>
      <c r="O471" s="124"/>
    </row>
    <row r="472" spans="1:15" ht="30" customHeight="1" x14ac:dyDescent="0.3">
      <c r="A472" s="123">
        <f t="shared" si="29"/>
        <v>468</v>
      </c>
      <c r="B472" s="127"/>
      <c r="C472" s="96"/>
      <c r="D472" s="83"/>
      <c r="E472" s="83"/>
      <c r="F472" s="96"/>
      <c r="G472" s="96"/>
      <c r="H472" s="70"/>
      <c r="I472" s="70"/>
      <c r="J472" s="70"/>
      <c r="K472" s="70">
        <f t="shared" si="30"/>
        <v>0</v>
      </c>
      <c r="L472" s="70">
        <f t="shared" si="31"/>
        <v>0</v>
      </c>
      <c r="M472" s="70">
        <f t="shared" si="32"/>
        <v>0</v>
      </c>
      <c r="N472" s="126"/>
      <c r="O472" s="124"/>
    </row>
    <row r="473" spans="1:15" ht="30" customHeight="1" x14ac:dyDescent="0.3">
      <c r="A473" s="123">
        <f t="shared" si="29"/>
        <v>469</v>
      </c>
      <c r="B473" s="127"/>
      <c r="C473" s="96"/>
      <c r="D473" s="83"/>
      <c r="E473" s="83"/>
      <c r="F473" s="96"/>
      <c r="G473" s="96"/>
      <c r="H473" s="70"/>
      <c r="I473" s="70"/>
      <c r="J473" s="70"/>
      <c r="K473" s="70">
        <f t="shared" si="30"/>
        <v>0</v>
      </c>
      <c r="L473" s="70">
        <f t="shared" si="31"/>
        <v>0</v>
      </c>
      <c r="M473" s="70">
        <f t="shared" si="32"/>
        <v>0</v>
      </c>
      <c r="N473" s="126"/>
      <c r="O473" s="124"/>
    </row>
    <row r="474" spans="1:15" ht="30" customHeight="1" x14ac:dyDescent="0.3">
      <c r="A474" s="123">
        <f t="shared" si="29"/>
        <v>470</v>
      </c>
      <c r="B474" s="127"/>
      <c r="C474" s="96"/>
      <c r="D474" s="83"/>
      <c r="E474" s="83"/>
      <c r="F474" s="96"/>
      <c r="G474" s="96"/>
      <c r="H474" s="70"/>
      <c r="I474" s="70"/>
      <c r="J474" s="70"/>
      <c r="K474" s="70">
        <f t="shared" si="30"/>
        <v>0</v>
      </c>
      <c r="L474" s="70">
        <f t="shared" si="31"/>
        <v>0</v>
      </c>
      <c r="M474" s="70">
        <f t="shared" si="32"/>
        <v>0</v>
      </c>
      <c r="N474" s="126"/>
      <c r="O474" s="124"/>
    </row>
    <row r="475" spans="1:15" ht="30" customHeight="1" x14ac:dyDescent="0.3">
      <c r="A475" s="123">
        <f t="shared" si="29"/>
        <v>471</v>
      </c>
      <c r="B475" s="127"/>
      <c r="C475" s="96"/>
      <c r="D475" s="83"/>
      <c r="E475" s="83"/>
      <c r="F475" s="96"/>
      <c r="G475" s="96"/>
      <c r="H475" s="70"/>
      <c r="I475" s="70"/>
      <c r="J475" s="70"/>
      <c r="K475" s="70">
        <f t="shared" si="30"/>
        <v>0</v>
      </c>
      <c r="L475" s="70">
        <f t="shared" si="31"/>
        <v>0</v>
      </c>
      <c r="M475" s="70">
        <f t="shared" si="32"/>
        <v>0</v>
      </c>
      <c r="N475" s="126"/>
      <c r="O475" s="124"/>
    </row>
    <row r="476" spans="1:15" ht="30" customHeight="1" x14ac:dyDescent="0.3">
      <c r="A476" s="123">
        <f t="shared" si="29"/>
        <v>472</v>
      </c>
      <c r="B476" s="127"/>
      <c r="C476" s="96"/>
      <c r="D476" s="83"/>
      <c r="E476" s="83"/>
      <c r="F476" s="96"/>
      <c r="G476" s="96"/>
      <c r="H476" s="70"/>
      <c r="I476" s="70"/>
      <c r="J476" s="70"/>
      <c r="K476" s="70">
        <f t="shared" si="30"/>
        <v>0</v>
      </c>
      <c r="L476" s="70">
        <f t="shared" si="31"/>
        <v>0</v>
      </c>
      <c r="M476" s="70">
        <f t="shared" si="32"/>
        <v>0</v>
      </c>
      <c r="N476" s="126"/>
      <c r="O476" s="124"/>
    </row>
    <row r="477" spans="1:15" ht="30" customHeight="1" x14ac:dyDescent="0.3">
      <c r="A477" s="123">
        <f t="shared" si="29"/>
        <v>473</v>
      </c>
      <c r="B477" s="127"/>
      <c r="C477" s="96"/>
      <c r="D477" s="83"/>
      <c r="E477" s="83"/>
      <c r="F477" s="96"/>
      <c r="G477" s="96"/>
      <c r="H477" s="70"/>
      <c r="I477" s="70"/>
      <c r="J477" s="70"/>
      <c r="K477" s="70">
        <f t="shared" si="30"/>
        <v>0</v>
      </c>
      <c r="L477" s="70">
        <f t="shared" si="31"/>
        <v>0</v>
      </c>
      <c r="M477" s="70">
        <f t="shared" si="32"/>
        <v>0</v>
      </c>
      <c r="N477" s="126"/>
      <c r="O477" s="124"/>
    </row>
    <row r="478" spans="1:15" ht="30" customHeight="1" x14ac:dyDescent="0.3">
      <c r="A478" s="123">
        <f t="shared" si="29"/>
        <v>474</v>
      </c>
      <c r="B478" s="127"/>
      <c r="C478" s="96"/>
      <c r="D478" s="83"/>
      <c r="E478" s="83"/>
      <c r="F478" s="96"/>
      <c r="G478" s="96"/>
      <c r="H478" s="70"/>
      <c r="I478" s="70"/>
      <c r="J478" s="70"/>
      <c r="K478" s="70">
        <f t="shared" si="30"/>
        <v>0</v>
      </c>
      <c r="L478" s="70">
        <f t="shared" si="31"/>
        <v>0</v>
      </c>
      <c r="M478" s="70">
        <f t="shared" si="32"/>
        <v>0</v>
      </c>
      <c r="N478" s="126"/>
      <c r="O478" s="124"/>
    </row>
    <row r="479" spans="1:15" ht="30" customHeight="1" x14ac:dyDescent="0.3">
      <c r="A479" s="123">
        <f t="shared" si="29"/>
        <v>475</v>
      </c>
      <c r="B479" s="127"/>
      <c r="C479" s="96"/>
      <c r="D479" s="83"/>
      <c r="E479" s="83"/>
      <c r="F479" s="96"/>
      <c r="G479" s="96"/>
      <c r="H479" s="70"/>
      <c r="I479" s="70"/>
      <c r="J479" s="70"/>
      <c r="K479" s="70">
        <f t="shared" si="30"/>
        <v>0</v>
      </c>
      <c r="L479" s="70">
        <f t="shared" si="31"/>
        <v>0</v>
      </c>
      <c r="M479" s="70">
        <f t="shared" si="32"/>
        <v>0</v>
      </c>
      <c r="N479" s="126"/>
      <c r="O479" s="124"/>
    </row>
    <row r="480" spans="1:15" ht="30" customHeight="1" x14ac:dyDescent="0.3">
      <c r="A480" s="123">
        <f t="shared" si="29"/>
        <v>476</v>
      </c>
      <c r="B480" s="127"/>
      <c r="C480" s="96"/>
      <c r="D480" s="83"/>
      <c r="E480" s="83"/>
      <c r="F480" s="96"/>
      <c r="G480" s="96"/>
      <c r="H480" s="70"/>
      <c r="I480" s="70"/>
      <c r="J480" s="70"/>
      <c r="K480" s="70">
        <f t="shared" si="30"/>
        <v>0</v>
      </c>
      <c r="L480" s="70">
        <f t="shared" si="31"/>
        <v>0</v>
      </c>
      <c r="M480" s="70">
        <f t="shared" si="32"/>
        <v>0</v>
      </c>
      <c r="N480" s="126"/>
      <c r="O480" s="124"/>
    </row>
    <row r="481" spans="1:15" ht="30" customHeight="1" x14ac:dyDescent="0.3">
      <c r="A481" s="123">
        <f t="shared" si="29"/>
        <v>477</v>
      </c>
      <c r="B481" s="127"/>
      <c r="C481" s="96"/>
      <c r="D481" s="83"/>
      <c r="E481" s="83"/>
      <c r="F481" s="96"/>
      <c r="G481" s="96"/>
      <c r="H481" s="70"/>
      <c r="I481" s="70"/>
      <c r="J481" s="70"/>
      <c r="K481" s="70">
        <f t="shared" si="30"/>
        <v>0</v>
      </c>
      <c r="L481" s="70">
        <f t="shared" si="31"/>
        <v>0</v>
      </c>
      <c r="M481" s="70">
        <f t="shared" si="32"/>
        <v>0</v>
      </c>
      <c r="N481" s="126"/>
      <c r="O481" s="124"/>
    </row>
    <row r="482" spans="1:15" ht="30" customHeight="1" x14ac:dyDescent="0.3">
      <c r="A482" s="123">
        <f t="shared" si="29"/>
        <v>478</v>
      </c>
      <c r="B482" s="127"/>
      <c r="C482" s="96"/>
      <c r="D482" s="83"/>
      <c r="E482" s="83"/>
      <c r="F482" s="96"/>
      <c r="G482" s="96"/>
      <c r="H482" s="70"/>
      <c r="I482" s="70"/>
      <c r="J482" s="70"/>
      <c r="K482" s="70">
        <f t="shared" si="30"/>
        <v>0</v>
      </c>
      <c r="L482" s="70">
        <f t="shared" si="31"/>
        <v>0</v>
      </c>
      <c r="M482" s="70">
        <f t="shared" si="32"/>
        <v>0</v>
      </c>
      <c r="N482" s="126"/>
      <c r="O482" s="124"/>
    </row>
    <row r="483" spans="1:15" ht="30" customHeight="1" x14ac:dyDescent="0.3">
      <c r="A483" s="123">
        <f t="shared" si="29"/>
        <v>479</v>
      </c>
      <c r="B483" s="127"/>
      <c r="C483" s="96"/>
      <c r="D483" s="83"/>
      <c r="E483" s="83"/>
      <c r="F483" s="96"/>
      <c r="G483" s="96"/>
      <c r="H483" s="70"/>
      <c r="I483" s="70"/>
      <c r="J483" s="70"/>
      <c r="K483" s="70">
        <f t="shared" si="30"/>
        <v>0</v>
      </c>
      <c r="L483" s="70">
        <f t="shared" si="31"/>
        <v>0</v>
      </c>
      <c r="M483" s="70">
        <f t="shared" si="32"/>
        <v>0</v>
      </c>
      <c r="N483" s="126"/>
      <c r="O483" s="124"/>
    </row>
    <row r="484" spans="1:15" ht="30" customHeight="1" x14ac:dyDescent="0.3">
      <c r="A484" s="123">
        <f t="shared" si="29"/>
        <v>480</v>
      </c>
      <c r="B484" s="127"/>
      <c r="C484" s="96"/>
      <c r="D484" s="83"/>
      <c r="E484" s="83"/>
      <c r="F484" s="96"/>
      <c r="G484" s="96"/>
      <c r="H484" s="70"/>
      <c r="I484" s="70"/>
      <c r="J484" s="70"/>
      <c r="K484" s="70">
        <f t="shared" si="30"/>
        <v>0</v>
      </c>
      <c r="L484" s="70">
        <f t="shared" si="31"/>
        <v>0</v>
      </c>
      <c r="M484" s="70">
        <f t="shared" si="32"/>
        <v>0</v>
      </c>
      <c r="N484" s="126"/>
      <c r="O484" s="124"/>
    </row>
    <row r="485" spans="1:15" ht="30" customHeight="1" x14ac:dyDescent="0.3">
      <c r="A485" s="123">
        <f t="shared" si="29"/>
        <v>481</v>
      </c>
      <c r="B485" s="127"/>
      <c r="C485" s="96"/>
      <c r="D485" s="83"/>
      <c r="E485" s="83"/>
      <c r="F485" s="96"/>
      <c r="G485" s="96"/>
      <c r="H485" s="70"/>
      <c r="I485" s="70"/>
      <c r="J485" s="70"/>
      <c r="K485" s="70">
        <f t="shared" si="30"/>
        <v>0</v>
      </c>
      <c r="L485" s="70">
        <f t="shared" si="31"/>
        <v>0</v>
      </c>
      <c r="M485" s="70">
        <f t="shared" si="32"/>
        <v>0</v>
      </c>
      <c r="N485" s="126"/>
      <c r="O485" s="124"/>
    </row>
    <row r="486" spans="1:15" ht="30" customHeight="1" x14ac:dyDescent="0.3">
      <c r="A486" s="123">
        <f t="shared" si="29"/>
        <v>482</v>
      </c>
      <c r="B486" s="127"/>
      <c r="C486" s="96"/>
      <c r="D486" s="83"/>
      <c r="E486" s="83"/>
      <c r="F486" s="96"/>
      <c r="G486" s="96"/>
      <c r="H486" s="70"/>
      <c r="I486" s="70"/>
      <c r="J486" s="70"/>
      <c r="K486" s="70">
        <f t="shared" si="30"/>
        <v>0</v>
      </c>
      <c r="L486" s="70">
        <f t="shared" si="31"/>
        <v>0</v>
      </c>
      <c r="M486" s="70">
        <f t="shared" si="32"/>
        <v>0</v>
      </c>
      <c r="N486" s="126"/>
      <c r="O486" s="124"/>
    </row>
    <row r="487" spans="1:15" ht="30" customHeight="1" x14ac:dyDescent="0.3">
      <c r="A487" s="123">
        <f t="shared" si="29"/>
        <v>483</v>
      </c>
      <c r="B487" s="127"/>
      <c r="C487" s="96"/>
      <c r="D487" s="83"/>
      <c r="E487" s="83"/>
      <c r="F487" s="96"/>
      <c r="G487" s="96"/>
      <c r="H487" s="70"/>
      <c r="I487" s="70"/>
      <c r="J487" s="70"/>
      <c r="K487" s="70">
        <f t="shared" si="30"/>
        <v>0</v>
      </c>
      <c r="L487" s="70">
        <f t="shared" si="31"/>
        <v>0</v>
      </c>
      <c r="M487" s="70">
        <f t="shared" si="32"/>
        <v>0</v>
      </c>
      <c r="N487" s="126"/>
      <c r="O487" s="124"/>
    </row>
    <row r="488" spans="1:15" ht="30" customHeight="1" x14ac:dyDescent="0.3">
      <c r="A488" s="123">
        <f t="shared" si="29"/>
        <v>484</v>
      </c>
      <c r="B488" s="127"/>
      <c r="C488" s="96"/>
      <c r="D488" s="83"/>
      <c r="E488" s="83"/>
      <c r="F488" s="96"/>
      <c r="G488" s="96"/>
      <c r="H488" s="70"/>
      <c r="I488" s="70"/>
      <c r="J488" s="70"/>
      <c r="K488" s="70">
        <f t="shared" si="30"/>
        <v>0</v>
      </c>
      <c r="L488" s="70">
        <f t="shared" si="31"/>
        <v>0</v>
      </c>
      <c r="M488" s="70">
        <f t="shared" si="32"/>
        <v>0</v>
      </c>
      <c r="N488" s="126"/>
      <c r="O488" s="124"/>
    </row>
    <row r="489" spans="1:15" ht="30" customHeight="1" x14ac:dyDescent="0.3">
      <c r="A489" s="123">
        <f t="shared" si="29"/>
        <v>485</v>
      </c>
      <c r="B489" s="127"/>
      <c r="C489" s="96"/>
      <c r="D489" s="83"/>
      <c r="E489" s="83"/>
      <c r="F489" s="96"/>
      <c r="G489" s="96"/>
      <c r="H489" s="70"/>
      <c r="I489" s="70"/>
      <c r="J489" s="70"/>
      <c r="K489" s="70">
        <f t="shared" si="30"/>
        <v>0</v>
      </c>
      <c r="L489" s="70">
        <f t="shared" si="31"/>
        <v>0</v>
      </c>
      <c r="M489" s="70">
        <f t="shared" si="32"/>
        <v>0</v>
      </c>
      <c r="N489" s="126"/>
      <c r="O489" s="124"/>
    </row>
    <row r="490" spans="1:15" ht="30" customHeight="1" x14ac:dyDescent="0.3">
      <c r="A490" s="123">
        <f t="shared" si="29"/>
        <v>486</v>
      </c>
      <c r="B490" s="127"/>
      <c r="C490" s="96"/>
      <c r="D490" s="83"/>
      <c r="E490" s="83"/>
      <c r="F490" s="96"/>
      <c r="G490" s="96"/>
      <c r="H490" s="70"/>
      <c r="I490" s="70"/>
      <c r="J490" s="70"/>
      <c r="K490" s="70">
        <f t="shared" si="30"/>
        <v>0</v>
      </c>
      <c r="L490" s="70">
        <f t="shared" si="31"/>
        <v>0</v>
      </c>
      <c r="M490" s="70">
        <f t="shared" si="32"/>
        <v>0</v>
      </c>
      <c r="N490" s="126"/>
      <c r="O490" s="124"/>
    </row>
    <row r="491" spans="1:15" ht="30" customHeight="1" x14ac:dyDescent="0.3">
      <c r="A491" s="123">
        <f t="shared" si="29"/>
        <v>487</v>
      </c>
      <c r="B491" s="127"/>
      <c r="C491" s="96"/>
      <c r="D491" s="83"/>
      <c r="E491" s="83"/>
      <c r="F491" s="96"/>
      <c r="G491" s="96"/>
      <c r="H491" s="70"/>
      <c r="I491" s="70"/>
      <c r="J491" s="70"/>
      <c r="K491" s="70">
        <f t="shared" si="30"/>
        <v>0</v>
      </c>
      <c r="L491" s="70">
        <f t="shared" si="31"/>
        <v>0</v>
      </c>
      <c r="M491" s="70">
        <f t="shared" si="32"/>
        <v>0</v>
      </c>
      <c r="N491" s="126"/>
      <c r="O491" s="124"/>
    </row>
    <row r="492" spans="1:15" ht="30" customHeight="1" x14ac:dyDescent="0.3">
      <c r="A492" s="123">
        <f t="shared" si="29"/>
        <v>488</v>
      </c>
      <c r="B492" s="127"/>
      <c r="C492" s="96"/>
      <c r="D492" s="83"/>
      <c r="E492" s="83"/>
      <c r="F492" s="96"/>
      <c r="G492" s="96"/>
      <c r="H492" s="70"/>
      <c r="I492" s="70"/>
      <c r="J492" s="70"/>
      <c r="K492" s="70">
        <f t="shared" si="30"/>
        <v>0</v>
      </c>
      <c r="L492" s="70">
        <f t="shared" si="31"/>
        <v>0</v>
      </c>
      <c r="M492" s="70">
        <f t="shared" si="32"/>
        <v>0</v>
      </c>
      <c r="N492" s="126"/>
      <c r="O492" s="124"/>
    </row>
    <row r="493" spans="1:15" ht="30" customHeight="1" x14ac:dyDescent="0.3">
      <c r="A493" s="123">
        <f t="shared" si="29"/>
        <v>489</v>
      </c>
      <c r="B493" s="127"/>
      <c r="C493" s="96"/>
      <c r="D493" s="83"/>
      <c r="E493" s="83"/>
      <c r="F493" s="96"/>
      <c r="G493" s="96"/>
      <c r="H493" s="70"/>
      <c r="I493" s="70"/>
      <c r="J493" s="70"/>
      <c r="K493" s="70">
        <f t="shared" si="30"/>
        <v>0</v>
      </c>
      <c r="L493" s="70">
        <f t="shared" si="31"/>
        <v>0</v>
      </c>
      <c r="M493" s="70">
        <f t="shared" si="32"/>
        <v>0</v>
      </c>
      <c r="N493" s="126"/>
      <c r="O493" s="124"/>
    </row>
    <row r="494" spans="1:15" ht="30" customHeight="1" x14ac:dyDescent="0.3">
      <c r="A494" s="123">
        <f t="shared" si="29"/>
        <v>490</v>
      </c>
      <c r="B494" s="127"/>
      <c r="C494" s="96"/>
      <c r="D494" s="83"/>
      <c r="E494" s="83"/>
      <c r="F494" s="96"/>
      <c r="G494" s="96"/>
      <c r="H494" s="70"/>
      <c r="I494" s="70"/>
      <c r="J494" s="70"/>
      <c r="K494" s="70">
        <f t="shared" si="30"/>
        <v>0</v>
      </c>
      <c r="L494" s="70">
        <f t="shared" si="31"/>
        <v>0</v>
      </c>
      <c r="M494" s="70">
        <f t="shared" si="32"/>
        <v>0</v>
      </c>
      <c r="N494" s="126"/>
      <c r="O494" s="124"/>
    </row>
    <row r="495" spans="1:15" ht="30" customHeight="1" x14ac:dyDescent="0.3">
      <c r="A495" s="123">
        <f t="shared" si="29"/>
        <v>491</v>
      </c>
      <c r="B495" s="127"/>
      <c r="C495" s="96"/>
      <c r="D495" s="83"/>
      <c r="E495" s="83"/>
      <c r="F495" s="96"/>
      <c r="G495" s="96"/>
      <c r="H495" s="70"/>
      <c r="I495" s="70"/>
      <c r="J495" s="70"/>
      <c r="K495" s="70">
        <f t="shared" si="30"/>
        <v>0</v>
      </c>
      <c r="L495" s="70">
        <f t="shared" si="31"/>
        <v>0</v>
      </c>
      <c r="M495" s="70">
        <f t="shared" si="32"/>
        <v>0</v>
      </c>
      <c r="N495" s="126"/>
      <c r="O495" s="124"/>
    </row>
    <row r="496" spans="1:15" ht="30" customHeight="1" x14ac:dyDescent="0.3">
      <c r="A496" s="123">
        <f t="shared" si="29"/>
        <v>492</v>
      </c>
      <c r="B496" s="127"/>
      <c r="C496" s="96"/>
      <c r="D496" s="83"/>
      <c r="E496" s="83"/>
      <c r="F496" s="96"/>
      <c r="G496" s="96"/>
      <c r="H496" s="70"/>
      <c r="I496" s="70"/>
      <c r="J496" s="70"/>
      <c r="K496" s="70">
        <f t="shared" si="30"/>
        <v>0</v>
      </c>
      <c r="L496" s="70">
        <f t="shared" si="31"/>
        <v>0</v>
      </c>
      <c r="M496" s="70">
        <f t="shared" si="32"/>
        <v>0</v>
      </c>
      <c r="N496" s="126"/>
      <c r="O496" s="124"/>
    </row>
    <row r="497" spans="1:15" ht="30" customHeight="1" x14ac:dyDescent="0.3">
      <c r="A497" s="123">
        <f t="shared" si="29"/>
        <v>493</v>
      </c>
      <c r="B497" s="127"/>
      <c r="C497" s="96"/>
      <c r="D497" s="83"/>
      <c r="E497" s="83"/>
      <c r="F497" s="96"/>
      <c r="G497" s="96"/>
      <c r="H497" s="70"/>
      <c r="I497" s="70"/>
      <c r="J497" s="70"/>
      <c r="K497" s="70">
        <f t="shared" si="30"/>
        <v>0</v>
      </c>
      <c r="L497" s="70">
        <f t="shared" si="31"/>
        <v>0</v>
      </c>
      <c r="M497" s="70">
        <f t="shared" si="32"/>
        <v>0</v>
      </c>
      <c r="N497" s="126"/>
      <c r="O497" s="124"/>
    </row>
    <row r="498" spans="1:15" ht="30" customHeight="1" x14ac:dyDescent="0.3">
      <c r="A498" s="123">
        <f t="shared" si="29"/>
        <v>494</v>
      </c>
      <c r="B498" s="127"/>
      <c r="C498" s="96"/>
      <c r="D498" s="83"/>
      <c r="E498" s="83"/>
      <c r="F498" s="96"/>
      <c r="G498" s="96"/>
      <c r="H498" s="70"/>
      <c r="I498" s="70"/>
      <c r="J498" s="70"/>
      <c r="K498" s="70">
        <f t="shared" si="30"/>
        <v>0</v>
      </c>
      <c r="L498" s="70">
        <f t="shared" si="31"/>
        <v>0</v>
      </c>
      <c r="M498" s="70">
        <f t="shared" si="32"/>
        <v>0</v>
      </c>
      <c r="N498" s="126"/>
      <c r="O498" s="124"/>
    </row>
    <row r="499" spans="1:15" ht="30" customHeight="1" x14ac:dyDescent="0.3">
      <c r="A499" s="123">
        <f t="shared" si="29"/>
        <v>495</v>
      </c>
      <c r="B499" s="127"/>
      <c r="C499" s="96"/>
      <c r="D499" s="83"/>
      <c r="E499" s="83"/>
      <c r="F499" s="96"/>
      <c r="G499" s="96"/>
      <c r="H499" s="70"/>
      <c r="I499" s="70"/>
      <c r="J499" s="70"/>
      <c r="K499" s="70">
        <f t="shared" si="30"/>
        <v>0</v>
      </c>
      <c r="L499" s="70">
        <f t="shared" si="31"/>
        <v>0</v>
      </c>
      <c r="M499" s="70">
        <f t="shared" si="32"/>
        <v>0</v>
      </c>
      <c r="N499" s="126"/>
      <c r="O499" s="124"/>
    </row>
    <row r="500" spans="1:15" ht="30" customHeight="1" x14ac:dyDescent="0.3">
      <c r="A500" s="123">
        <f t="shared" si="29"/>
        <v>496</v>
      </c>
      <c r="B500" s="127"/>
      <c r="C500" s="96"/>
      <c r="D500" s="83"/>
      <c r="E500" s="83"/>
      <c r="F500" s="96"/>
      <c r="G500" s="96"/>
      <c r="H500" s="70"/>
      <c r="I500" s="70"/>
      <c r="J500" s="70"/>
      <c r="K500" s="70">
        <f t="shared" si="30"/>
        <v>0</v>
      </c>
      <c r="L500" s="70">
        <f t="shared" si="31"/>
        <v>0</v>
      </c>
      <c r="M500" s="70">
        <f t="shared" si="32"/>
        <v>0</v>
      </c>
      <c r="N500" s="126"/>
      <c r="O500" s="124"/>
    </row>
    <row r="501" spans="1:15" ht="30" customHeight="1" x14ac:dyDescent="0.3">
      <c r="A501" s="123">
        <f t="shared" si="29"/>
        <v>497</v>
      </c>
      <c r="B501" s="127"/>
      <c r="C501" s="96"/>
      <c r="D501" s="83"/>
      <c r="E501" s="83"/>
      <c r="F501" s="96"/>
      <c r="G501" s="96"/>
      <c r="H501" s="70"/>
      <c r="I501" s="70"/>
      <c r="J501" s="70"/>
      <c r="K501" s="70">
        <f t="shared" si="30"/>
        <v>0</v>
      </c>
      <c r="L501" s="70">
        <f t="shared" si="31"/>
        <v>0</v>
      </c>
      <c r="M501" s="70">
        <f t="shared" si="32"/>
        <v>0</v>
      </c>
      <c r="N501" s="126"/>
      <c r="O501" s="124"/>
    </row>
    <row r="502" spans="1:15" ht="30" customHeight="1" x14ac:dyDescent="0.3">
      <c r="A502" s="123">
        <f t="shared" si="29"/>
        <v>498</v>
      </c>
      <c r="B502" s="127"/>
      <c r="C502" s="96"/>
      <c r="D502" s="83"/>
      <c r="E502" s="83"/>
      <c r="F502" s="96"/>
      <c r="G502" s="96"/>
      <c r="H502" s="70"/>
      <c r="I502" s="70"/>
      <c r="J502" s="70"/>
      <c r="K502" s="70">
        <f t="shared" si="30"/>
        <v>0</v>
      </c>
      <c r="L502" s="70">
        <f t="shared" si="31"/>
        <v>0</v>
      </c>
      <c r="M502" s="70">
        <f t="shared" si="32"/>
        <v>0</v>
      </c>
      <c r="N502" s="126"/>
      <c r="O502" s="124"/>
    </row>
    <row r="503" spans="1:15" ht="30" customHeight="1" x14ac:dyDescent="0.3">
      <c r="A503" s="123">
        <f t="shared" si="29"/>
        <v>499</v>
      </c>
      <c r="B503" s="127"/>
      <c r="C503" s="96"/>
      <c r="D503" s="83"/>
      <c r="E503" s="83"/>
      <c r="F503" s="96"/>
      <c r="G503" s="96"/>
      <c r="H503" s="70"/>
      <c r="I503" s="70"/>
      <c r="J503" s="70"/>
      <c r="K503" s="70">
        <f t="shared" si="30"/>
        <v>0</v>
      </c>
      <c r="L503" s="70">
        <f t="shared" si="31"/>
        <v>0</v>
      </c>
      <c r="M503" s="70">
        <f t="shared" si="32"/>
        <v>0</v>
      </c>
      <c r="N503" s="126"/>
      <c r="O503" s="124"/>
    </row>
    <row r="504" spans="1:15" ht="30" customHeight="1" x14ac:dyDescent="0.3">
      <c r="A504" s="123">
        <f t="shared" si="29"/>
        <v>500</v>
      </c>
      <c r="B504" s="127"/>
      <c r="C504" s="96"/>
      <c r="D504" s="83"/>
      <c r="E504" s="83"/>
      <c r="F504" s="96"/>
      <c r="G504" s="96"/>
      <c r="H504" s="70"/>
      <c r="I504" s="70"/>
      <c r="J504" s="70"/>
      <c r="K504" s="70">
        <f t="shared" si="30"/>
        <v>0</v>
      </c>
      <c r="L504" s="70">
        <f t="shared" si="31"/>
        <v>0</v>
      </c>
      <c r="M504" s="70">
        <f t="shared" si="32"/>
        <v>0</v>
      </c>
      <c r="N504" s="126"/>
      <c r="O504" s="124"/>
    </row>
    <row r="505" spans="1:15" ht="30" customHeight="1" x14ac:dyDescent="0.3">
      <c r="A505" s="123">
        <f t="shared" si="29"/>
        <v>501</v>
      </c>
      <c r="B505" s="127"/>
      <c r="C505" s="96"/>
      <c r="D505" s="83"/>
      <c r="E505" s="83"/>
      <c r="F505" s="96"/>
      <c r="G505" s="96"/>
      <c r="H505" s="70"/>
      <c r="I505" s="70"/>
      <c r="J505" s="70"/>
      <c r="K505" s="70">
        <f t="shared" si="30"/>
        <v>0</v>
      </c>
      <c r="L505" s="70">
        <f t="shared" si="31"/>
        <v>0</v>
      </c>
      <c r="M505" s="70">
        <f t="shared" si="32"/>
        <v>0</v>
      </c>
      <c r="N505" s="126"/>
      <c r="O505" s="124"/>
    </row>
    <row r="506" spans="1:15" ht="30" customHeight="1" x14ac:dyDescent="0.3">
      <c r="A506" s="123">
        <f t="shared" si="29"/>
        <v>502</v>
      </c>
      <c r="B506" s="127"/>
      <c r="C506" s="96"/>
      <c r="D506" s="83"/>
      <c r="E506" s="83"/>
      <c r="F506" s="96"/>
      <c r="G506" s="96"/>
      <c r="H506" s="70"/>
      <c r="I506" s="70"/>
      <c r="J506" s="70"/>
      <c r="K506" s="70">
        <f t="shared" si="30"/>
        <v>0</v>
      </c>
      <c r="L506" s="70">
        <f t="shared" si="31"/>
        <v>0</v>
      </c>
      <c r="M506" s="70">
        <f t="shared" si="32"/>
        <v>0</v>
      </c>
      <c r="N506" s="126"/>
      <c r="O506" s="124"/>
    </row>
    <row r="507" spans="1:15" ht="30" customHeight="1" x14ac:dyDescent="0.3">
      <c r="A507" s="123">
        <f t="shared" si="29"/>
        <v>503</v>
      </c>
      <c r="B507" s="127"/>
      <c r="C507" s="96"/>
      <c r="D507" s="83"/>
      <c r="E507" s="83"/>
      <c r="F507" s="96"/>
      <c r="G507" s="96"/>
      <c r="H507" s="70"/>
      <c r="I507" s="70"/>
      <c r="J507" s="70"/>
      <c r="K507" s="70">
        <f t="shared" si="30"/>
        <v>0</v>
      </c>
      <c r="L507" s="70">
        <f t="shared" si="31"/>
        <v>0</v>
      </c>
      <c r="M507" s="70">
        <f t="shared" si="32"/>
        <v>0</v>
      </c>
      <c r="N507" s="126"/>
      <c r="O507" s="124"/>
    </row>
    <row r="508" spans="1:15" ht="30" customHeight="1" x14ac:dyDescent="0.3">
      <c r="A508" s="123">
        <f t="shared" si="29"/>
        <v>504</v>
      </c>
      <c r="B508" s="127"/>
      <c r="C508" s="96"/>
      <c r="D508" s="83"/>
      <c r="E508" s="83"/>
      <c r="F508" s="96"/>
      <c r="G508" s="96"/>
      <c r="H508" s="70"/>
      <c r="I508" s="70"/>
      <c r="J508" s="70"/>
      <c r="K508" s="70">
        <f t="shared" si="30"/>
        <v>0</v>
      </c>
      <c r="L508" s="70">
        <f t="shared" si="31"/>
        <v>0</v>
      </c>
      <c r="M508" s="70">
        <f t="shared" si="32"/>
        <v>0</v>
      </c>
      <c r="N508" s="126"/>
      <c r="O508" s="124"/>
    </row>
    <row r="509" spans="1:15" ht="30" customHeight="1" x14ac:dyDescent="0.3">
      <c r="A509" s="123">
        <f t="shared" si="29"/>
        <v>505</v>
      </c>
      <c r="B509" s="127"/>
      <c r="C509" s="96"/>
      <c r="D509" s="83"/>
      <c r="E509" s="83"/>
      <c r="F509" s="96"/>
      <c r="G509" s="96"/>
      <c r="H509" s="70"/>
      <c r="I509" s="70"/>
      <c r="J509" s="70"/>
      <c r="K509" s="70">
        <f t="shared" si="30"/>
        <v>0</v>
      </c>
      <c r="L509" s="70">
        <f t="shared" si="31"/>
        <v>0</v>
      </c>
      <c r="M509" s="70">
        <f t="shared" si="32"/>
        <v>0</v>
      </c>
      <c r="N509" s="126"/>
      <c r="O509" s="124"/>
    </row>
    <row r="510" spans="1:15" ht="30" customHeight="1" x14ac:dyDescent="0.3">
      <c r="A510" s="123">
        <f t="shared" si="29"/>
        <v>506</v>
      </c>
      <c r="B510" s="127"/>
      <c r="C510" s="96"/>
      <c r="D510" s="83"/>
      <c r="E510" s="83"/>
      <c r="F510" s="96"/>
      <c r="G510" s="96"/>
      <c r="H510" s="70"/>
      <c r="I510" s="70"/>
      <c r="J510" s="70"/>
      <c r="K510" s="70">
        <f t="shared" si="30"/>
        <v>0</v>
      </c>
      <c r="L510" s="70">
        <f t="shared" si="31"/>
        <v>0</v>
      </c>
      <c r="M510" s="70">
        <f t="shared" si="32"/>
        <v>0</v>
      </c>
      <c r="N510" s="126"/>
      <c r="O510" s="124"/>
    </row>
    <row r="511" spans="1:15" ht="30" customHeight="1" x14ac:dyDescent="0.3">
      <c r="A511" s="123">
        <f t="shared" si="29"/>
        <v>507</v>
      </c>
      <c r="B511" s="127"/>
      <c r="C511" s="96"/>
      <c r="D511" s="83"/>
      <c r="E511" s="83"/>
      <c r="F511" s="96"/>
      <c r="G511" s="96"/>
      <c r="H511" s="70"/>
      <c r="I511" s="70"/>
      <c r="J511" s="70"/>
      <c r="K511" s="70">
        <f t="shared" si="30"/>
        <v>0</v>
      </c>
      <c r="L511" s="70">
        <f t="shared" si="31"/>
        <v>0</v>
      </c>
      <c r="M511" s="70">
        <f t="shared" si="32"/>
        <v>0</v>
      </c>
      <c r="N511" s="126"/>
      <c r="O511" s="124"/>
    </row>
    <row r="512" spans="1:15" ht="30" customHeight="1" x14ac:dyDescent="0.3">
      <c r="A512" s="123">
        <f t="shared" si="29"/>
        <v>508</v>
      </c>
      <c r="B512" s="127"/>
      <c r="C512" s="96"/>
      <c r="D512" s="83"/>
      <c r="E512" s="83"/>
      <c r="F512" s="96"/>
      <c r="G512" s="96"/>
      <c r="H512" s="70"/>
      <c r="I512" s="70"/>
      <c r="J512" s="70"/>
      <c r="K512" s="70">
        <f t="shared" si="30"/>
        <v>0</v>
      </c>
      <c r="L512" s="70">
        <f t="shared" si="31"/>
        <v>0</v>
      </c>
      <c r="M512" s="70">
        <f t="shared" si="32"/>
        <v>0</v>
      </c>
      <c r="N512" s="126"/>
      <c r="O512" s="124"/>
    </row>
    <row r="513" spans="1:15" ht="30" customHeight="1" x14ac:dyDescent="0.3">
      <c r="A513" s="123">
        <f t="shared" si="29"/>
        <v>509</v>
      </c>
      <c r="B513" s="127"/>
      <c r="C513" s="96"/>
      <c r="D513" s="83"/>
      <c r="E513" s="83"/>
      <c r="F513" s="96"/>
      <c r="G513" s="96"/>
      <c r="H513" s="70"/>
      <c r="I513" s="70"/>
      <c r="J513" s="70"/>
      <c r="K513" s="70">
        <f t="shared" si="30"/>
        <v>0</v>
      </c>
      <c r="L513" s="70">
        <f t="shared" si="31"/>
        <v>0</v>
      </c>
      <c r="M513" s="70">
        <f t="shared" si="32"/>
        <v>0</v>
      </c>
      <c r="N513" s="126"/>
      <c r="O513" s="124"/>
    </row>
    <row r="514" spans="1:15" ht="30" customHeight="1" x14ac:dyDescent="0.3">
      <c r="A514" s="123">
        <f t="shared" si="29"/>
        <v>510</v>
      </c>
      <c r="B514" s="127"/>
      <c r="C514" s="96"/>
      <c r="D514" s="83"/>
      <c r="E514" s="83"/>
      <c r="F514" s="96"/>
      <c r="G514" s="96"/>
      <c r="H514" s="70"/>
      <c r="I514" s="70"/>
      <c r="J514" s="70"/>
      <c r="K514" s="70">
        <f t="shared" si="30"/>
        <v>0</v>
      </c>
      <c r="L514" s="70">
        <f t="shared" si="31"/>
        <v>0</v>
      </c>
      <c r="M514" s="70">
        <f t="shared" si="32"/>
        <v>0</v>
      </c>
      <c r="N514" s="126"/>
      <c r="O514" s="124"/>
    </row>
    <row r="515" spans="1:15" ht="30" customHeight="1" x14ac:dyDescent="0.3">
      <c r="A515" s="123">
        <f t="shared" si="29"/>
        <v>511</v>
      </c>
      <c r="B515" s="127"/>
      <c r="C515" s="96"/>
      <c r="D515" s="83"/>
      <c r="E515" s="83"/>
      <c r="F515" s="96"/>
      <c r="G515" s="96"/>
      <c r="H515" s="70"/>
      <c r="I515" s="70"/>
      <c r="J515" s="70"/>
      <c r="K515" s="70">
        <f t="shared" si="30"/>
        <v>0</v>
      </c>
      <c r="L515" s="70">
        <f t="shared" si="31"/>
        <v>0</v>
      </c>
      <c r="M515" s="70">
        <f t="shared" si="32"/>
        <v>0</v>
      </c>
      <c r="N515" s="126"/>
      <c r="O515" s="124"/>
    </row>
    <row r="516" spans="1:15" ht="30" customHeight="1" x14ac:dyDescent="0.3">
      <c r="A516" s="123">
        <f t="shared" si="29"/>
        <v>512</v>
      </c>
      <c r="B516" s="127"/>
      <c r="C516" s="96"/>
      <c r="D516" s="83"/>
      <c r="E516" s="83"/>
      <c r="F516" s="96"/>
      <c r="G516" s="96"/>
      <c r="H516" s="70"/>
      <c r="I516" s="70"/>
      <c r="J516" s="70"/>
      <c r="K516" s="70">
        <f t="shared" si="30"/>
        <v>0</v>
      </c>
      <c r="L516" s="70">
        <f t="shared" si="31"/>
        <v>0</v>
      </c>
      <c r="M516" s="70">
        <f t="shared" si="32"/>
        <v>0</v>
      </c>
      <c r="N516" s="126"/>
      <c r="O516" s="124"/>
    </row>
    <row r="517" spans="1:15" ht="30" customHeight="1" x14ac:dyDescent="0.3">
      <c r="A517" s="123">
        <f t="shared" si="29"/>
        <v>513</v>
      </c>
      <c r="B517" s="127"/>
      <c r="C517" s="96"/>
      <c r="D517" s="83"/>
      <c r="E517" s="83"/>
      <c r="F517" s="96"/>
      <c r="G517" s="96"/>
      <c r="H517" s="70"/>
      <c r="I517" s="70"/>
      <c r="J517" s="70"/>
      <c r="K517" s="70">
        <f t="shared" si="30"/>
        <v>0</v>
      </c>
      <c r="L517" s="70">
        <f t="shared" si="31"/>
        <v>0</v>
      </c>
      <c r="M517" s="70">
        <f t="shared" si="32"/>
        <v>0</v>
      </c>
      <c r="N517" s="126"/>
      <c r="O517" s="124"/>
    </row>
    <row r="518" spans="1:15" ht="30" customHeight="1" x14ac:dyDescent="0.3">
      <c r="A518" s="123">
        <f t="shared" si="29"/>
        <v>514</v>
      </c>
      <c r="B518" s="127"/>
      <c r="C518" s="96"/>
      <c r="D518" s="83"/>
      <c r="E518" s="83"/>
      <c r="F518" s="96"/>
      <c r="G518" s="96"/>
      <c r="H518" s="70"/>
      <c r="I518" s="70"/>
      <c r="J518" s="70"/>
      <c r="K518" s="70">
        <f t="shared" si="30"/>
        <v>0</v>
      </c>
      <c r="L518" s="70">
        <f t="shared" si="31"/>
        <v>0</v>
      </c>
      <c r="M518" s="70">
        <f t="shared" si="32"/>
        <v>0</v>
      </c>
      <c r="N518" s="126"/>
      <c r="O518" s="124"/>
    </row>
    <row r="519" spans="1:15" ht="30" customHeight="1" x14ac:dyDescent="0.3">
      <c r="A519" s="123">
        <f t="shared" si="29"/>
        <v>515</v>
      </c>
      <c r="B519" s="127"/>
      <c r="C519" s="96"/>
      <c r="D519" s="83"/>
      <c r="E519" s="83"/>
      <c r="F519" s="96"/>
      <c r="G519" s="96"/>
      <c r="H519" s="70"/>
      <c r="I519" s="70"/>
      <c r="J519" s="70"/>
      <c r="K519" s="70">
        <f t="shared" si="30"/>
        <v>0</v>
      </c>
      <c r="L519" s="70">
        <f t="shared" si="31"/>
        <v>0</v>
      </c>
      <c r="M519" s="70">
        <f t="shared" si="32"/>
        <v>0</v>
      </c>
      <c r="N519" s="126"/>
      <c r="O519" s="124"/>
    </row>
    <row r="520" spans="1:15" ht="30" customHeight="1" x14ac:dyDescent="0.3">
      <c r="A520" s="123">
        <f t="shared" si="29"/>
        <v>516</v>
      </c>
      <c r="B520" s="127"/>
      <c r="C520" s="96"/>
      <c r="D520" s="83"/>
      <c r="E520" s="83"/>
      <c r="F520" s="96"/>
      <c r="G520" s="96"/>
      <c r="H520" s="70"/>
      <c r="I520" s="70"/>
      <c r="J520" s="70"/>
      <c r="K520" s="70">
        <f t="shared" si="30"/>
        <v>0</v>
      </c>
      <c r="L520" s="70">
        <f t="shared" si="31"/>
        <v>0</v>
      </c>
      <c r="M520" s="70">
        <f t="shared" si="32"/>
        <v>0</v>
      </c>
      <c r="N520" s="126"/>
      <c r="O520" s="124"/>
    </row>
    <row r="521" spans="1:15" ht="30" customHeight="1" x14ac:dyDescent="0.3">
      <c r="A521" s="123">
        <f t="shared" si="29"/>
        <v>517</v>
      </c>
      <c r="B521" s="127"/>
      <c r="C521" s="96"/>
      <c r="D521" s="83"/>
      <c r="E521" s="83"/>
      <c r="F521" s="96"/>
      <c r="G521" s="96"/>
      <c r="H521" s="70"/>
      <c r="I521" s="70"/>
      <c r="J521" s="70"/>
      <c r="K521" s="70">
        <f t="shared" si="30"/>
        <v>0</v>
      </c>
      <c r="L521" s="70">
        <f t="shared" si="31"/>
        <v>0</v>
      </c>
      <c r="M521" s="70">
        <f t="shared" si="32"/>
        <v>0</v>
      </c>
      <c r="N521" s="126"/>
      <c r="O521" s="124"/>
    </row>
    <row r="522" spans="1:15" ht="30" customHeight="1" x14ac:dyDescent="0.3">
      <c r="A522" s="123">
        <f t="shared" si="29"/>
        <v>518</v>
      </c>
      <c r="B522" s="127"/>
      <c r="C522" s="96"/>
      <c r="D522" s="83"/>
      <c r="E522" s="83"/>
      <c r="F522" s="96"/>
      <c r="G522" s="96"/>
      <c r="H522" s="70"/>
      <c r="I522" s="70"/>
      <c r="J522" s="70"/>
      <c r="K522" s="70">
        <f t="shared" si="30"/>
        <v>0</v>
      </c>
      <c r="L522" s="70">
        <f t="shared" si="31"/>
        <v>0</v>
      </c>
      <c r="M522" s="70">
        <f t="shared" si="32"/>
        <v>0</v>
      </c>
      <c r="N522" s="126"/>
      <c r="O522" s="124"/>
    </row>
    <row r="523" spans="1:15" ht="30" customHeight="1" x14ac:dyDescent="0.3">
      <c r="A523" s="123">
        <f t="shared" si="29"/>
        <v>519</v>
      </c>
      <c r="B523" s="127"/>
      <c r="C523" s="96"/>
      <c r="D523" s="83"/>
      <c r="E523" s="83"/>
      <c r="F523" s="96"/>
      <c r="G523" s="96"/>
      <c r="H523" s="70"/>
      <c r="I523" s="70"/>
      <c r="J523" s="70"/>
      <c r="K523" s="70">
        <f t="shared" si="30"/>
        <v>0</v>
      </c>
      <c r="L523" s="70">
        <f t="shared" si="31"/>
        <v>0</v>
      </c>
      <c r="M523" s="70">
        <f t="shared" si="32"/>
        <v>0</v>
      </c>
      <c r="N523" s="126"/>
      <c r="O523" s="124"/>
    </row>
    <row r="524" spans="1:15" ht="30" customHeight="1" x14ac:dyDescent="0.3">
      <c r="A524" s="123">
        <f t="shared" si="29"/>
        <v>520</v>
      </c>
      <c r="B524" s="127"/>
      <c r="C524" s="96"/>
      <c r="D524" s="83"/>
      <c r="E524" s="83"/>
      <c r="F524" s="96"/>
      <c r="G524" s="96"/>
      <c r="H524" s="70"/>
      <c r="I524" s="70"/>
      <c r="J524" s="70"/>
      <c r="K524" s="70">
        <f t="shared" si="30"/>
        <v>0</v>
      </c>
      <c r="L524" s="70">
        <f t="shared" si="31"/>
        <v>0</v>
      </c>
      <c r="M524" s="70">
        <f t="shared" si="32"/>
        <v>0</v>
      </c>
      <c r="N524" s="126"/>
      <c r="O524" s="124"/>
    </row>
    <row r="525" spans="1:15" ht="30" customHeight="1" x14ac:dyDescent="0.3">
      <c r="A525" s="123">
        <f t="shared" si="29"/>
        <v>521</v>
      </c>
      <c r="B525" s="127"/>
      <c r="C525" s="96"/>
      <c r="D525" s="83"/>
      <c r="E525" s="83"/>
      <c r="F525" s="96"/>
      <c r="G525" s="96"/>
      <c r="H525" s="70"/>
      <c r="I525" s="70"/>
      <c r="J525" s="70"/>
      <c r="K525" s="70">
        <f t="shared" si="30"/>
        <v>0</v>
      </c>
      <c r="L525" s="70">
        <f t="shared" si="31"/>
        <v>0</v>
      </c>
      <c r="M525" s="70">
        <f t="shared" si="32"/>
        <v>0</v>
      </c>
      <c r="N525" s="126"/>
      <c r="O525" s="124"/>
    </row>
    <row r="526" spans="1:15" ht="30" customHeight="1" x14ac:dyDescent="0.3">
      <c r="A526" s="123">
        <f t="shared" si="29"/>
        <v>522</v>
      </c>
      <c r="B526" s="127"/>
      <c r="C526" s="96"/>
      <c r="D526" s="83"/>
      <c r="E526" s="83"/>
      <c r="F526" s="96"/>
      <c r="G526" s="96"/>
      <c r="H526" s="70"/>
      <c r="I526" s="70"/>
      <c r="J526" s="70"/>
      <c r="K526" s="70">
        <f t="shared" si="30"/>
        <v>0</v>
      </c>
      <c r="L526" s="70">
        <f t="shared" si="31"/>
        <v>0</v>
      </c>
      <c r="M526" s="70">
        <f t="shared" si="32"/>
        <v>0</v>
      </c>
      <c r="N526" s="126"/>
      <c r="O526" s="124"/>
    </row>
    <row r="527" spans="1:15" ht="30" customHeight="1" x14ac:dyDescent="0.3">
      <c r="A527" s="123">
        <f t="shared" si="29"/>
        <v>523</v>
      </c>
      <c r="B527" s="127"/>
      <c r="C527" s="96"/>
      <c r="D527" s="83"/>
      <c r="E527" s="83"/>
      <c r="F527" s="96"/>
      <c r="G527" s="96"/>
      <c r="H527" s="70"/>
      <c r="I527" s="70"/>
      <c r="J527" s="70"/>
      <c r="K527" s="70">
        <f t="shared" si="30"/>
        <v>0</v>
      </c>
      <c r="L527" s="70">
        <f t="shared" si="31"/>
        <v>0</v>
      </c>
      <c r="M527" s="70">
        <f t="shared" si="32"/>
        <v>0</v>
      </c>
      <c r="N527" s="126"/>
      <c r="O527" s="124"/>
    </row>
    <row r="528" spans="1:15" ht="30" customHeight="1" x14ac:dyDescent="0.3">
      <c r="A528" s="123">
        <f t="shared" si="29"/>
        <v>524</v>
      </c>
      <c r="B528" s="127"/>
      <c r="C528" s="96"/>
      <c r="D528" s="83"/>
      <c r="E528" s="83"/>
      <c r="F528" s="96"/>
      <c r="G528" s="96"/>
      <c r="H528" s="70"/>
      <c r="I528" s="70"/>
      <c r="J528" s="70"/>
      <c r="K528" s="70">
        <f t="shared" si="30"/>
        <v>0</v>
      </c>
      <c r="L528" s="70">
        <f t="shared" si="31"/>
        <v>0</v>
      </c>
      <c r="M528" s="70">
        <f t="shared" si="32"/>
        <v>0</v>
      </c>
      <c r="N528" s="126"/>
      <c r="O528" s="124"/>
    </row>
    <row r="529" spans="1:15" ht="30" customHeight="1" x14ac:dyDescent="0.3">
      <c r="A529" s="123">
        <f t="shared" si="29"/>
        <v>525</v>
      </c>
      <c r="B529" s="127"/>
      <c r="C529" s="96"/>
      <c r="D529" s="83"/>
      <c r="E529" s="83"/>
      <c r="F529" s="96"/>
      <c r="G529" s="96"/>
      <c r="H529" s="70"/>
      <c r="I529" s="70"/>
      <c r="J529" s="70"/>
      <c r="K529" s="70">
        <f t="shared" si="30"/>
        <v>0</v>
      </c>
      <c r="L529" s="70">
        <f t="shared" si="31"/>
        <v>0</v>
      </c>
      <c r="M529" s="70">
        <f t="shared" si="32"/>
        <v>0</v>
      </c>
      <c r="N529" s="126"/>
      <c r="O529" s="124"/>
    </row>
    <row r="530" spans="1:15" ht="30" customHeight="1" x14ac:dyDescent="0.3">
      <c r="A530" s="123">
        <f t="shared" si="29"/>
        <v>526</v>
      </c>
      <c r="B530" s="127"/>
      <c r="C530" s="96"/>
      <c r="D530" s="83"/>
      <c r="E530" s="83"/>
      <c r="F530" s="96"/>
      <c r="G530" s="96"/>
      <c r="H530" s="70"/>
      <c r="I530" s="70"/>
      <c r="J530" s="70"/>
      <c r="K530" s="70">
        <f t="shared" si="30"/>
        <v>0</v>
      </c>
      <c r="L530" s="70">
        <f t="shared" si="31"/>
        <v>0</v>
      </c>
      <c r="M530" s="70">
        <f t="shared" si="32"/>
        <v>0</v>
      </c>
      <c r="N530" s="126"/>
      <c r="O530" s="124"/>
    </row>
    <row r="531" spans="1:15" ht="30" customHeight="1" x14ac:dyDescent="0.3">
      <c r="A531" s="123">
        <f t="shared" si="29"/>
        <v>527</v>
      </c>
      <c r="B531" s="127"/>
      <c r="C531" s="96"/>
      <c r="D531" s="83"/>
      <c r="E531" s="83"/>
      <c r="F531" s="96"/>
      <c r="G531" s="96"/>
      <c r="H531" s="70"/>
      <c r="I531" s="70"/>
      <c r="J531" s="70"/>
      <c r="K531" s="70">
        <f t="shared" si="30"/>
        <v>0</v>
      </c>
      <c r="L531" s="70">
        <f t="shared" si="31"/>
        <v>0</v>
      </c>
      <c r="M531" s="70">
        <f t="shared" si="32"/>
        <v>0</v>
      </c>
      <c r="N531" s="126"/>
      <c r="O531" s="124"/>
    </row>
    <row r="532" spans="1:15" ht="30" customHeight="1" x14ac:dyDescent="0.3">
      <c r="A532" s="123">
        <f t="shared" ref="A532:A595" si="33">A531+1</f>
        <v>528</v>
      </c>
      <c r="B532" s="127"/>
      <c r="C532" s="96"/>
      <c r="D532" s="83"/>
      <c r="E532" s="83"/>
      <c r="F532" s="96"/>
      <c r="G532" s="96"/>
      <c r="H532" s="70"/>
      <c r="I532" s="70"/>
      <c r="J532" s="70"/>
      <c r="K532" s="70">
        <f t="shared" ref="K532:K595" si="34">H532/1000000</f>
        <v>0</v>
      </c>
      <c r="L532" s="70">
        <f t="shared" ref="L532:L595" si="35">I532/1000000</f>
        <v>0</v>
      </c>
      <c r="M532" s="70">
        <f t="shared" ref="M532:M595" si="36">J532/1000000</f>
        <v>0</v>
      </c>
      <c r="N532" s="126"/>
      <c r="O532" s="124"/>
    </row>
    <row r="533" spans="1:15" ht="30" customHeight="1" x14ac:dyDescent="0.3">
      <c r="A533" s="123">
        <f t="shared" si="33"/>
        <v>529</v>
      </c>
      <c r="B533" s="127"/>
      <c r="C533" s="96"/>
      <c r="D533" s="83"/>
      <c r="E533" s="83"/>
      <c r="F533" s="96"/>
      <c r="G533" s="96"/>
      <c r="H533" s="70"/>
      <c r="I533" s="70"/>
      <c r="J533" s="70"/>
      <c r="K533" s="70">
        <f t="shared" si="34"/>
        <v>0</v>
      </c>
      <c r="L533" s="70">
        <f t="shared" si="35"/>
        <v>0</v>
      </c>
      <c r="M533" s="70">
        <f t="shared" si="36"/>
        <v>0</v>
      </c>
      <c r="N533" s="126"/>
      <c r="O533" s="124"/>
    </row>
    <row r="534" spans="1:15" ht="30" customHeight="1" x14ac:dyDescent="0.3">
      <c r="A534" s="123">
        <f t="shared" si="33"/>
        <v>530</v>
      </c>
      <c r="B534" s="127"/>
      <c r="C534" s="96"/>
      <c r="D534" s="83"/>
      <c r="E534" s="83"/>
      <c r="F534" s="96"/>
      <c r="G534" s="96"/>
      <c r="H534" s="70"/>
      <c r="I534" s="70"/>
      <c r="J534" s="70"/>
      <c r="K534" s="70">
        <f t="shared" si="34"/>
        <v>0</v>
      </c>
      <c r="L534" s="70">
        <f t="shared" si="35"/>
        <v>0</v>
      </c>
      <c r="M534" s="70">
        <f t="shared" si="36"/>
        <v>0</v>
      </c>
      <c r="N534" s="126"/>
      <c r="O534" s="124"/>
    </row>
    <row r="535" spans="1:15" ht="30" customHeight="1" x14ac:dyDescent="0.3">
      <c r="A535" s="123">
        <f t="shared" si="33"/>
        <v>531</v>
      </c>
      <c r="B535" s="127"/>
      <c r="C535" s="96"/>
      <c r="D535" s="83"/>
      <c r="E535" s="83"/>
      <c r="F535" s="96"/>
      <c r="G535" s="96"/>
      <c r="H535" s="70"/>
      <c r="I535" s="70"/>
      <c r="J535" s="70"/>
      <c r="K535" s="70">
        <f t="shared" si="34"/>
        <v>0</v>
      </c>
      <c r="L535" s="70">
        <f t="shared" si="35"/>
        <v>0</v>
      </c>
      <c r="M535" s="70">
        <f t="shared" si="36"/>
        <v>0</v>
      </c>
      <c r="N535" s="126"/>
      <c r="O535" s="124"/>
    </row>
    <row r="536" spans="1:15" ht="30" customHeight="1" x14ac:dyDescent="0.3">
      <c r="A536" s="123">
        <f t="shared" si="33"/>
        <v>532</v>
      </c>
      <c r="B536" s="127"/>
      <c r="C536" s="96"/>
      <c r="D536" s="83"/>
      <c r="E536" s="83"/>
      <c r="F536" s="96"/>
      <c r="G536" s="96"/>
      <c r="H536" s="70"/>
      <c r="I536" s="70"/>
      <c r="J536" s="70"/>
      <c r="K536" s="70">
        <f t="shared" si="34"/>
        <v>0</v>
      </c>
      <c r="L536" s="70">
        <f t="shared" si="35"/>
        <v>0</v>
      </c>
      <c r="M536" s="70">
        <f t="shared" si="36"/>
        <v>0</v>
      </c>
      <c r="N536" s="126"/>
      <c r="O536" s="124"/>
    </row>
    <row r="537" spans="1:15" ht="30" customHeight="1" x14ac:dyDescent="0.3">
      <c r="A537" s="123">
        <f t="shared" si="33"/>
        <v>533</v>
      </c>
      <c r="B537" s="127"/>
      <c r="C537" s="96"/>
      <c r="D537" s="83"/>
      <c r="E537" s="83"/>
      <c r="F537" s="96"/>
      <c r="G537" s="96"/>
      <c r="H537" s="70"/>
      <c r="I537" s="70"/>
      <c r="J537" s="70"/>
      <c r="K537" s="70">
        <f t="shared" si="34"/>
        <v>0</v>
      </c>
      <c r="L537" s="70">
        <f t="shared" si="35"/>
        <v>0</v>
      </c>
      <c r="M537" s="70">
        <f t="shared" si="36"/>
        <v>0</v>
      </c>
      <c r="N537" s="126"/>
      <c r="O537" s="124"/>
    </row>
    <row r="538" spans="1:15" ht="30" customHeight="1" x14ac:dyDescent="0.3">
      <c r="A538" s="123">
        <f t="shared" si="33"/>
        <v>534</v>
      </c>
      <c r="B538" s="127"/>
      <c r="C538" s="96"/>
      <c r="D538" s="83"/>
      <c r="E538" s="83"/>
      <c r="F538" s="96"/>
      <c r="G538" s="96"/>
      <c r="H538" s="70"/>
      <c r="I538" s="70"/>
      <c r="J538" s="70"/>
      <c r="K538" s="70">
        <f t="shared" si="34"/>
        <v>0</v>
      </c>
      <c r="L538" s="70">
        <f t="shared" si="35"/>
        <v>0</v>
      </c>
      <c r="M538" s="70">
        <f t="shared" si="36"/>
        <v>0</v>
      </c>
      <c r="N538" s="126"/>
      <c r="O538" s="124"/>
    </row>
    <row r="539" spans="1:15" ht="30" customHeight="1" x14ac:dyDescent="0.3">
      <c r="A539" s="123">
        <f t="shared" si="33"/>
        <v>535</v>
      </c>
      <c r="B539" s="127"/>
      <c r="C539" s="96"/>
      <c r="D539" s="83"/>
      <c r="E539" s="83"/>
      <c r="F539" s="96"/>
      <c r="G539" s="96"/>
      <c r="H539" s="70"/>
      <c r="I539" s="70"/>
      <c r="J539" s="70"/>
      <c r="K539" s="70">
        <f t="shared" si="34"/>
        <v>0</v>
      </c>
      <c r="L539" s="70">
        <f t="shared" si="35"/>
        <v>0</v>
      </c>
      <c r="M539" s="70">
        <f t="shared" si="36"/>
        <v>0</v>
      </c>
      <c r="N539" s="126"/>
      <c r="O539" s="124"/>
    </row>
    <row r="540" spans="1:15" ht="30" customHeight="1" x14ac:dyDescent="0.3">
      <c r="A540" s="123">
        <f t="shared" si="33"/>
        <v>536</v>
      </c>
      <c r="B540" s="127"/>
      <c r="C540" s="96"/>
      <c r="D540" s="83"/>
      <c r="E540" s="83"/>
      <c r="F540" s="96"/>
      <c r="G540" s="96"/>
      <c r="H540" s="70"/>
      <c r="I540" s="70"/>
      <c r="J540" s="70"/>
      <c r="K540" s="70">
        <f t="shared" si="34"/>
        <v>0</v>
      </c>
      <c r="L540" s="70">
        <f t="shared" si="35"/>
        <v>0</v>
      </c>
      <c r="M540" s="70">
        <f t="shared" si="36"/>
        <v>0</v>
      </c>
      <c r="N540" s="126"/>
      <c r="O540" s="124"/>
    </row>
    <row r="541" spans="1:15" ht="30" customHeight="1" x14ac:dyDescent="0.3">
      <c r="A541" s="123">
        <f t="shared" si="33"/>
        <v>537</v>
      </c>
      <c r="B541" s="127"/>
      <c r="C541" s="96"/>
      <c r="D541" s="83"/>
      <c r="E541" s="83"/>
      <c r="F541" s="96"/>
      <c r="G541" s="96"/>
      <c r="H541" s="70"/>
      <c r="I541" s="70"/>
      <c r="J541" s="70"/>
      <c r="K541" s="70">
        <f t="shared" si="34"/>
        <v>0</v>
      </c>
      <c r="L541" s="70">
        <f t="shared" si="35"/>
        <v>0</v>
      </c>
      <c r="M541" s="70">
        <f t="shared" si="36"/>
        <v>0</v>
      </c>
      <c r="N541" s="126"/>
      <c r="O541" s="124"/>
    </row>
    <row r="542" spans="1:15" ht="30" customHeight="1" x14ac:dyDescent="0.3">
      <c r="A542" s="123">
        <f t="shared" si="33"/>
        <v>538</v>
      </c>
      <c r="B542" s="127"/>
      <c r="C542" s="96"/>
      <c r="D542" s="83"/>
      <c r="E542" s="83"/>
      <c r="F542" s="96"/>
      <c r="G542" s="96"/>
      <c r="H542" s="70"/>
      <c r="I542" s="70"/>
      <c r="J542" s="70"/>
      <c r="K542" s="70">
        <f t="shared" si="34"/>
        <v>0</v>
      </c>
      <c r="L542" s="70">
        <f t="shared" si="35"/>
        <v>0</v>
      </c>
      <c r="M542" s="70">
        <f t="shared" si="36"/>
        <v>0</v>
      </c>
      <c r="N542" s="126"/>
      <c r="O542" s="124"/>
    </row>
    <row r="543" spans="1:15" ht="30" customHeight="1" x14ac:dyDescent="0.3">
      <c r="A543" s="123">
        <f t="shared" si="33"/>
        <v>539</v>
      </c>
      <c r="B543" s="127"/>
      <c r="C543" s="96"/>
      <c r="D543" s="83"/>
      <c r="E543" s="83"/>
      <c r="F543" s="96"/>
      <c r="G543" s="96"/>
      <c r="H543" s="70"/>
      <c r="I543" s="70"/>
      <c r="J543" s="70"/>
      <c r="K543" s="70">
        <f t="shared" si="34"/>
        <v>0</v>
      </c>
      <c r="L543" s="70">
        <f t="shared" si="35"/>
        <v>0</v>
      </c>
      <c r="M543" s="70">
        <f t="shared" si="36"/>
        <v>0</v>
      </c>
      <c r="N543" s="126"/>
      <c r="O543" s="124"/>
    </row>
    <row r="544" spans="1:15" ht="30" customHeight="1" x14ac:dyDescent="0.3">
      <c r="A544" s="123">
        <f t="shared" si="33"/>
        <v>540</v>
      </c>
      <c r="B544" s="127"/>
      <c r="C544" s="96"/>
      <c r="D544" s="83"/>
      <c r="E544" s="83"/>
      <c r="F544" s="96"/>
      <c r="G544" s="96"/>
      <c r="H544" s="70"/>
      <c r="I544" s="70"/>
      <c r="J544" s="70"/>
      <c r="K544" s="70">
        <f t="shared" si="34"/>
        <v>0</v>
      </c>
      <c r="L544" s="70">
        <f t="shared" si="35"/>
        <v>0</v>
      </c>
      <c r="M544" s="70">
        <f t="shared" si="36"/>
        <v>0</v>
      </c>
      <c r="N544" s="126"/>
      <c r="O544" s="124"/>
    </row>
    <row r="545" spans="1:15" ht="30" customHeight="1" x14ac:dyDescent="0.3">
      <c r="A545" s="123">
        <f t="shared" si="33"/>
        <v>541</v>
      </c>
      <c r="B545" s="127"/>
      <c r="C545" s="96"/>
      <c r="D545" s="83"/>
      <c r="E545" s="83"/>
      <c r="F545" s="96"/>
      <c r="G545" s="96"/>
      <c r="H545" s="70"/>
      <c r="I545" s="70"/>
      <c r="J545" s="70"/>
      <c r="K545" s="70">
        <f t="shared" si="34"/>
        <v>0</v>
      </c>
      <c r="L545" s="70">
        <f t="shared" si="35"/>
        <v>0</v>
      </c>
      <c r="M545" s="70">
        <f t="shared" si="36"/>
        <v>0</v>
      </c>
      <c r="N545" s="126"/>
      <c r="O545" s="124"/>
    </row>
    <row r="546" spans="1:15" ht="30" customHeight="1" x14ac:dyDescent="0.3">
      <c r="A546" s="123">
        <f t="shared" si="33"/>
        <v>542</v>
      </c>
      <c r="B546" s="127"/>
      <c r="C546" s="96"/>
      <c r="D546" s="83"/>
      <c r="E546" s="83"/>
      <c r="F546" s="96"/>
      <c r="G546" s="96"/>
      <c r="H546" s="70"/>
      <c r="I546" s="70"/>
      <c r="J546" s="70"/>
      <c r="K546" s="70">
        <f t="shared" si="34"/>
        <v>0</v>
      </c>
      <c r="L546" s="70">
        <f t="shared" si="35"/>
        <v>0</v>
      </c>
      <c r="M546" s="70">
        <f t="shared" si="36"/>
        <v>0</v>
      </c>
      <c r="N546" s="126"/>
      <c r="O546" s="124"/>
    </row>
    <row r="547" spans="1:15" ht="30" customHeight="1" x14ac:dyDescent="0.3">
      <c r="A547" s="123">
        <f t="shared" si="33"/>
        <v>543</v>
      </c>
      <c r="B547" s="127"/>
      <c r="C547" s="96"/>
      <c r="D547" s="83"/>
      <c r="E547" s="83"/>
      <c r="F547" s="96"/>
      <c r="G547" s="96"/>
      <c r="H547" s="70"/>
      <c r="I547" s="70"/>
      <c r="J547" s="70"/>
      <c r="K547" s="70">
        <f t="shared" si="34"/>
        <v>0</v>
      </c>
      <c r="L547" s="70">
        <f t="shared" si="35"/>
        <v>0</v>
      </c>
      <c r="M547" s="70">
        <f t="shared" si="36"/>
        <v>0</v>
      </c>
      <c r="N547" s="126"/>
      <c r="O547" s="124"/>
    </row>
    <row r="548" spans="1:15" ht="30" customHeight="1" x14ac:dyDescent="0.3">
      <c r="A548" s="123">
        <f t="shared" si="33"/>
        <v>544</v>
      </c>
      <c r="B548" s="127"/>
      <c r="C548" s="96"/>
      <c r="D548" s="83"/>
      <c r="E548" s="83"/>
      <c r="F548" s="96"/>
      <c r="G548" s="96"/>
      <c r="H548" s="70"/>
      <c r="I548" s="70"/>
      <c r="J548" s="70"/>
      <c r="K548" s="70">
        <f t="shared" si="34"/>
        <v>0</v>
      </c>
      <c r="L548" s="70">
        <f t="shared" si="35"/>
        <v>0</v>
      </c>
      <c r="M548" s="70">
        <f t="shared" si="36"/>
        <v>0</v>
      </c>
      <c r="N548" s="126"/>
      <c r="O548" s="124"/>
    </row>
    <row r="549" spans="1:15" ht="30" customHeight="1" x14ac:dyDescent="0.3">
      <c r="A549" s="123">
        <f t="shared" si="33"/>
        <v>545</v>
      </c>
      <c r="B549" s="127"/>
      <c r="C549" s="96"/>
      <c r="D549" s="83"/>
      <c r="E549" s="83"/>
      <c r="F549" s="96"/>
      <c r="G549" s="96"/>
      <c r="H549" s="70"/>
      <c r="I549" s="70"/>
      <c r="J549" s="70"/>
      <c r="K549" s="70">
        <f t="shared" si="34"/>
        <v>0</v>
      </c>
      <c r="L549" s="70">
        <f t="shared" si="35"/>
        <v>0</v>
      </c>
      <c r="M549" s="70">
        <f t="shared" si="36"/>
        <v>0</v>
      </c>
      <c r="N549" s="126"/>
      <c r="O549" s="124"/>
    </row>
    <row r="550" spans="1:15" ht="30" customHeight="1" x14ac:dyDescent="0.3">
      <c r="A550" s="123">
        <f t="shared" si="33"/>
        <v>546</v>
      </c>
      <c r="B550" s="127"/>
      <c r="C550" s="96"/>
      <c r="D550" s="83"/>
      <c r="E550" s="83"/>
      <c r="F550" s="96"/>
      <c r="G550" s="96"/>
      <c r="H550" s="70"/>
      <c r="I550" s="70"/>
      <c r="J550" s="70"/>
      <c r="K550" s="70">
        <f t="shared" si="34"/>
        <v>0</v>
      </c>
      <c r="L550" s="70">
        <f t="shared" si="35"/>
        <v>0</v>
      </c>
      <c r="M550" s="70">
        <f t="shared" si="36"/>
        <v>0</v>
      </c>
      <c r="N550" s="126"/>
      <c r="O550" s="124"/>
    </row>
    <row r="551" spans="1:15" ht="30" customHeight="1" x14ac:dyDescent="0.3">
      <c r="A551" s="123">
        <f t="shared" si="33"/>
        <v>547</v>
      </c>
      <c r="B551" s="127"/>
      <c r="C551" s="96"/>
      <c r="D551" s="83"/>
      <c r="E551" s="83"/>
      <c r="F551" s="96"/>
      <c r="G551" s="96"/>
      <c r="H551" s="70"/>
      <c r="I551" s="70"/>
      <c r="J551" s="70"/>
      <c r="K551" s="70">
        <f t="shared" si="34"/>
        <v>0</v>
      </c>
      <c r="L551" s="70">
        <f t="shared" si="35"/>
        <v>0</v>
      </c>
      <c r="M551" s="70">
        <f t="shared" si="36"/>
        <v>0</v>
      </c>
      <c r="N551" s="126"/>
      <c r="O551" s="124"/>
    </row>
    <row r="552" spans="1:15" ht="30" customHeight="1" x14ac:dyDescent="0.3">
      <c r="A552" s="123">
        <f t="shared" si="33"/>
        <v>548</v>
      </c>
      <c r="B552" s="127"/>
      <c r="C552" s="96"/>
      <c r="D552" s="83"/>
      <c r="E552" s="83"/>
      <c r="F552" s="96"/>
      <c r="G552" s="96"/>
      <c r="H552" s="70"/>
      <c r="I552" s="70"/>
      <c r="J552" s="70"/>
      <c r="K552" s="70">
        <f t="shared" si="34"/>
        <v>0</v>
      </c>
      <c r="L552" s="70">
        <f t="shared" si="35"/>
        <v>0</v>
      </c>
      <c r="M552" s="70">
        <f t="shared" si="36"/>
        <v>0</v>
      </c>
      <c r="N552" s="126"/>
      <c r="O552" s="124"/>
    </row>
    <row r="553" spans="1:15" ht="30" customHeight="1" x14ac:dyDescent="0.3">
      <c r="A553" s="123">
        <f t="shared" si="33"/>
        <v>549</v>
      </c>
      <c r="B553" s="127"/>
      <c r="C553" s="96"/>
      <c r="D553" s="83"/>
      <c r="E553" s="83"/>
      <c r="F553" s="96"/>
      <c r="G553" s="96"/>
      <c r="H553" s="70"/>
      <c r="I553" s="70"/>
      <c r="J553" s="70"/>
      <c r="K553" s="70">
        <f t="shared" si="34"/>
        <v>0</v>
      </c>
      <c r="L553" s="70">
        <f t="shared" si="35"/>
        <v>0</v>
      </c>
      <c r="M553" s="70">
        <f t="shared" si="36"/>
        <v>0</v>
      </c>
      <c r="N553" s="126"/>
      <c r="O553" s="124"/>
    </row>
    <row r="554" spans="1:15" ht="30" customHeight="1" x14ac:dyDescent="0.3">
      <c r="A554" s="123">
        <f t="shared" si="33"/>
        <v>550</v>
      </c>
      <c r="B554" s="127"/>
      <c r="C554" s="96"/>
      <c r="D554" s="83"/>
      <c r="E554" s="83"/>
      <c r="F554" s="96"/>
      <c r="G554" s="96"/>
      <c r="H554" s="70"/>
      <c r="I554" s="70"/>
      <c r="J554" s="70"/>
      <c r="K554" s="70">
        <f t="shared" si="34"/>
        <v>0</v>
      </c>
      <c r="L554" s="70">
        <f t="shared" si="35"/>
        <v>0</v>
      </c>
      <c r="M554" s="70">
        <f t="shared" si="36"/>
        <v>0</v>
      </c>
      <c r="N554" s="126"/>
      <c r="O554" s="124"/>
    </row>
    <row r="555" spans="1:15" ht="30" customHeight="1" x14ac:dyDescent="0.3">
      <c r="A555" s="123">
        <f t="shared" si="33"/>
        <v>551</v>
      </c>
      <c r="B555" s="127"/>
      <c r="C555" s="96"/>
      <c r="D555" s="83"/>
      <c r="E555" s="83"/>
      <c r="F555" s="96"/>
      <c r="G555" s="96"/>
      <c r="H555" s="70"/>
      <c r="I555" s="70"/>
      <c r="J555" s="70"/>
      <c r="K555" s="70">
        <f t="shared" si="34"/>
        <v>0</v>
      </c>
      <c r="L555" s="70">
        <f t="shared" si="35"/>
        <v>0</v>
      </c>
      <c r="M555" s="70">
        <f t="shared" si="36"/>
        <v>0</v>
      </c>
      <c r="N555" s="126"/>
      <c r="O555" s="124"/>
    </row>
    <row r="556" spans="1:15" ht="30" customHeight="1" x14ac:dyDescent="0.3">
      <c r="A556" s="123">
        <f t="shared" si="33"/>
        <v>552</v>
      </c>
      <c r="B556" s="127"/>
      <c r="C556" s="96"/>
      <c r="D556" s="83"/>
      <c r="E556" s="83"/>
      <c r="F556" s="96"/>
      <c r="G556" s="96"/>
      <c r="H556" s="70"/>
      <c r="I556" s="70"/>
      <c r="J556" s="70"/>
      <c r="K556" s="70">
        <f t="shared" si="34"/>
        <v>0</v>
      </c>
      <c r="L556" s="70">
        <f t="shared" si="35"/>
        <v>0</v>
      </c>
      <c r="M556" s="70">
        <f t="shared" si="36"/>
        <v>0</v>
      </c>
      <c r="N556" s="126"/>
      <c r="O556" s="124"/>
    </row>
    <row r="557" spans="1:15" ht="30" customHeight="1" x14ac:dyDescent="0.3">
      <c r="A557" s="123">
        <f t="shared" si="33"/>
        <v>553</v>
      </c>
      <c r="B557" s="127"/>
      <c r="C557" s="96"/>
      <c r="D557" s="83"/>
      <c r="E557" s="83"/>
      <c r="F557" s="96"/>
      <c r="G557" s="96"/>
      <c r="H557" s="70"/>
      <c r="I557" s="70"/>
      <c r="J557" s="70"/>
      <c r="K557" s="70">
        <f t="shared" si="34"/>
        <v>0</v>
      </c>
      <c r="L557" s="70">
        <f t="shared" si="35"/>
        <v>0</v>
      </c>
      <c r="M557" s="70">
        <f t="shared" si="36"/>
        <v>0</v>
      </c>
      <c r="N557" s="126"/>
      <c r="O557" s="124"/>
    </row>
    <row r="558" spans="1:15" ht="30" customHeight="1" x14ac:dyDescent="0.3">
      <c r="A558" s="123">
        <f t="shared" si="33"/>
        <v>554</v>
      </c>
      <c r="B558" s="127"/>
      <c r="C558" s="96"/>
      <c r="D558" s="83"/>
      <c r="E558" s="83"/>
      <c r="F558" s="96"/>
      <c r="G558" s="96"/>
      <c r="H558" s="70"/>
      <c r="I558" s="70"/>
      <c r="J558" s="70"/>
      <c r="K558" s="70">
        <f t="shared" si="34"/>
        <v>0</v>
      </c>
      <c r="L558" s="70">
        <f t="shared" si="35"/>
        <v>0</v>
      </c>
      <c r="M558" s="70">
        <f t="shared" si="36"/>
        <v>0</v>
      </c>
      <c r="N558" s="126"/>
      <c r="O558" s="124"/>
    </row>
    <row r="559" spans="1:15" ht="30" customHeight="1" x14ac:dyDescent="0.3">
      <c r="A559" s="123">
        <f t="shared" si="33"/>
        <v>555</v>
      </c>
      <c r="B559" s="127"/>
      <c r="C559" s="96"/>
      <c r="D559" s="83"/>
      <c r="E559" s="83"/>
      <c r="F559" s="96"/>
      <c r="G559" s="96"/>
      <c r="H559" s="70"/>
      <c r="I559" s="70"/>
      <c r="J559" s="70"/>
      <c r="K559" s="70">
        <f t="shared" si="34"/>
        <v>0</v>
      </c>
      <c r="L559" s="70">
        <f t="shared" si="35"/>
        <v>0</v>
      </c>
      <c r="M559" s="70">
        <f t="shared" si="36"/>
        <v>0</v>
      </c>
      <c r="N559" s="126"/>
      <c r="O559" s="124"/>
    </row>
    <row r="560" spans="1:15" ht="30" customHeight="1" x14ac:dyDescent="0.3">
      <c r="A560" s="123">
        <f t="shared" si="33"/>
        <v>556</v>
      </c>
      <c r="B560" s="127"/>
      <c r="C560" s="96"/>
      <c r="D560" s="83"/>
      <c r="E560" s="83"/>
      <c r="F560" s="96"/>
      <c r="G560" s="96"/>
      <c r="H560" s="70"/>
      <c r="I560" s="70"/>
      <c r="J560" s="70"/>
      <c r="K560" s="70">
        <f t="shared" si="34"/>
        <v>0</v>
      </c>
      <c r="L560" s="70">
        <f t="shared" si="35"/>
        <v>0</v>
      </c>
      <c r="M560" s="70">
        <f t="shared" si="36"/>
        <v>0</v>
      </c>
      <c r="N560" s="126"/>
      <c r="O560" s="124"/>
    </row>
    <row r="561" spans="1:15" ht="30" customHeight="1" x14ac:dyDescent="0.3">
      <c r="A561" s="123">
        <f t="shared" si="33"/>
        <v>557</v>
      </c>
      <c r="B561" s="127"/>
      <c r="C561" s="96"/>
      <c r="D561" s="83"/>
      <c r="E561" s="83"/>
      <c r="F561" s="96"/>
      <c r="G561" s="96"/>
      <c r="H561" s="70"/>
      <c r="I561" s="70"/>
      <c r="J561" s="70"/>
      <c r="K561" s="70">
        <f t="shared" si="34"/>
        <v>0</v>
      </c>
      <c r="L561" s="70">
        <f t="shared" si="35"/>
        <v>0</v>
      </c>
      <c r="M561" s="70">
        <f t="shared" si="36"/>
        <v>0</v>
      </c>
      <c r="N561" s="126"/>
      <c r="O561" s="124"/>
    </row>
    <row r="562" spans="1:15" ht="30" customHeight="1" x14ac:dyDescent="0.3">
      <c r="A562" s="123">
        <f t="shared" si="33"/>
        <v>558</v>
      </c>
      <c r="B562" s="127"/>
      <c r="C562" s="96"/>
      <c r="D562" s="83"/>
      <c r="E562" s="83"/>
      <c r="F562" s="96"/>
      <c r="G562" s="96"/>
      <c r="H562" s="70"/>
      <c r="I562" s="70"/>
      <c r="J562" s="70"/>
      <c r="K562" s="70">
        <f t="shared" si="34"/>
        <v>0</v>
      </c>
      <c r="L562" s="70">
        <f t="shared" si="35"/>
        <v>0</v>
      </c>
      <c r="M562" s="70">
        <f t="shared" si="36"/>
        <v>0</v>
      </c>
      <c r="N562" s="126"/>
      <c r="O562" s="124"/>
    </row>
    <row r="563" spans="1:15" ht="30" customHeight="1" x14ac:dyDescent="0.3">
      <c r="A563" s="123">
        <f t="shared" si="33"/>
        <v>559</v>
      </c>
      <c r="B563" s="127"/>
      <c r="C563" s="96"/>
      <c r="D563" s="83"/>
      <c r="E563" s="83"/>
      <c r="F563" s="96"/>
      <c r="G563" s="96"/>
      <c r="H563" s="70"/>
      <c r="I563" s="70"/>
      <c r="J563" s="70"/>
      <c r="K563" s="70">
        <f t="shared" si="34"/>
        <v>0</v>
      </c>
      <c r="L563" s="70">
        <f t="shared" si="35"/>
        <v>0</v>
      </c>
      <c r="M563" s="70">
        <f t="shared" si="36"/>
        <v>0</v>
      </c>
      <c r="N563" s="126"/>
      <c r="O563" s="124"/>
    </row>
    <row r="564" spans="1:15" ht="30" customHeight="1" x14ac:dyDescent="0.3">
      <c r="A564" s="123">
        <f t="shared" si="33"/>
        <v>560</v>
      </c>
      <c r="B564" s="127"/>
      <c r="C564" s="96"/>
      <c r="D564" s="83"/>
      <c r="E564" s="83"/>
      <c r="F564" s="96"/>
      <c r="G564" s="96"/>
      <c r="H564" s="70"/>
      <c r="I564" s="70"/>
      <c r="J564" s="70"/>
      <c r="K564" s="70">
        <f t="shared" si="34"/>
        <v>0</v>
      </c>
      <c r="L564" s="70">
        <f t="shared" si="35"/>
        <v>0</v>
      </c>
      <c r="M564" s="70">
        <f t="shared" si="36"/>
        <v>0</v>
      </c>
      <c r="N564" s="126"/>
      <c r="O564" s="124"/>
    </row>
    <row r="565" spans="1:15" ht="30" customHeight="1" x14ac:dyDescent="0.3">
      <c r="A565" s="123">
        <f t="shared" si="33"/>
        <v>561</v>
      </c>
      <c r="B565" s="127"/>
      <c r="C565" s="96"/>
      <c r="D565" s="83"/>
      <c r="E565" s="83"/>
      <c r="F565" s="96"/>
      <c r="G565" s="96"/>
      <c r="H565" s="70"/>
      <c r="I565" s="70"/>
      <c r="J565" s="70"/>
      <c r="K565" s="70">
        <f t="shared" si="34"/>
        <v>0</v>
      </c>
      <c r="L565" s="70">
        <f t="shared" si="35"/>
        <v>0</v>
      </c>
      <c r="M565" s="70">
        <f t="shared" si="36"/>
        <v>0</v>
      </c>
      <c r="N565" s="126"/>
      <c r="O565" s="124"/>
    </row>
    <row r="566" spans="1:15" ht="30" customHeight="1" x14ac:dyDescent="0.3">
      <c r="A566" s="123">
        <f t="shared" si="33"/>
        <v>562</v>
      </c>
      <c r="B566" s="127"/>
      <c r="C566" s="96"/>
      <c r="D566" s="83"/>
      <c r="E566" s="83"/>
      <c r="F566" s="96"/>
      <c r="G566" s="96"/>
      <c r="H566" s="70"/>
      <c r="I566" s="70"/>
      <c r="J566" s="70"/>
      <c r="K566" s="70">
        <f t="shared" si="34"/>
        <v>0</v>
      </c>
      <c r="L566" s="70">
        <f t="shared" si="35"/>
        <v>0</v>
      </c>
      <c r="M566" s="70">
        <f t="shared" si="36"/>
        <v>0</v>
      </c>
      <c r="N566" s="126"/>
      <c r="O566" s="124"/>
    </row>
    <row r="567" spans="1:15" ht="30" customHeight="1" x14ac:dyDescent="0.3">
      <c r="A567" s="123">
        <f t="shared" si="33"/>
        <v>563</v>
      </c>
      <c r="B567" s="127"/>
      <c r="C567" s="96"/>
      <c r="D567" s="83"/>
      <c r="E567" s="83"/>
      <c r="F567" s="96"/>
      <c r="G567" s="96"/>
      <c r="H567" s="70"/>
      <c r="I567" s="70"/>
      <c r="J567" s="70"/>
      <c r="K567" s="70">
        <f t="shared" si="34"/>
        <v>0</v>
      </c>
      <c r="L567" s="70">
        <f t="shared" si="35"/>
        <v>0</v>
      </c>
      <c r="M567" s="70">
        <f t="shared" si="36"/>
        <v>0</v>
      </c>
      <c r="N567" s="126"/>
      <c r="O567" s="124"/>
    </row>
    <row r="568" spans="1:15" ht="30" customHeight="1" x14ac:dyDescent="0.3">
      <c r="A568" s="123">
        <f t="shared" si="33"/>
        <v>564</v>
      </c>
      <c r="B568" s="127"/>
      <c r="C568" s="96"/>
      <c r="D568" s="83"/>
      <c r="E568" s="83"/>
      <c r="F568" s="96"/>
      <c r="G568" s="96"/>
      <c r="H568" s="70"/>
      <c r="I568" s="70"/>
      <c r="J568" s="70"/>
      <c r="K568" s="70">
        <f t="shared" si="34"/>
        <v>0</v>
      </c>
      <c r="L568" s="70">
        <f t="shared" si="35"/>
        <v>0</v>
      </c>
      <c r="M568" s="70">
        <f t="shared" si="36"/>
        <v>0</v>
      </c>
      <c r="N568" s="126"/>
      <c r="O568" s="124"/>
    </row>
    <row r="569" spans="1:15" ht="30" customHeight="1" x14ac:dyDescent="0.3">
      <c r="A569" s="123">
        <f t="shared" si="33"/>
        <v>565</v>
      </c>
      <c r="B569" s="127"/>
      <c r="C569" s="96"/>
      <c r="D569" s="83"/>
      <c r="E569" s="83"/>
      <c r="F569" s="96"/>
      <c r="G569" s="96"/>
      <c r="H569" s="70"/>
      <c r="I569" s="70"/>
      <c r="J569" s="70"/>
      <c r="K569" s="70">
        <f t="shared" si="34"/>
        <v>0</v>
      </c>
      <c r="L569" s="70">
        <f t="shared" si="35"/>
        <v>0</v>
      </c>
      <c r="M569" s="70">
        <f t="shared" si="36"/>
        <v>0</v>
      </c>
      <c r="N569" s="126"/>
      <c r="O569" s="124"/>
    </row>
    <row r="570" spans="1:15" ht="30" customHeight="1" x14ac:dyDescent="0.3">
      <c r="A570" s="123">
        <f t="shared" si="33"/>
        <v>566</v>
      </c>
      <c r="B570" s="127"/>
      <c r="C570" s="96"/>
      <c r="D570" s="83"/>
      <c r="E570" s="83"/>
      <c r="F570" s="96"/>
      <c r="G570" s="96"/>
      <c r="H570" s="70"/>
      <c r="I570" s="70"/>
      <c r="J570" s="70"/>
      <c r="K570" s="70">
        <f t="shared" si="34"/>
        <v>0</v>
      </c>
      <c r="L570" s="70">
        <f t="shared" si="35"/>
        <v>0</v>
      </c>
      <c r="M570" s="70">
        <f t="shared" si="36"/>
        <v>0</v>
      </c>
      <c r="N570" s="126"/>
      <c r="O570" s="124"/>
    </row>
    <row r="571" spans="1:15" ht="30" customHeight="1" x14ac:dyDescent="0.3">
      <c r="A571" s="123">
        <f t="shared" si="33"/>
        <v>567</v>
      </c>
      <c r="B571" s="127"/>
      <c r="C571" s="96"/>
      <c r="D571" s="83"/>
      <c r="E571" s="83"/>
      <c r="F571" s="96"/>
      <c r="G571" s="96"/>
      <c r="H571" s="70"/>
      <c r="I571" s="70"/>
      <c r="J571" s="70"/>
      <c r="K571" s="70">
        <f t="shared" si="34"/>
        <v>0</v>
      </c>
      <c r="L571" s="70">
        <f t="shared" si="35"/>
        <v>0</v>
      </c>
      <c r="M571" s="70">
        <f t="shared" si="36"/>
        <v>0</v>
      </c>
      <c r="N571" s="126"/>
      <c r="O571" s="124"/>
    </row>
    <row r="572" spans="1:15" ht="30" customHeight="1" x14ac:dyDescent="0.3">
      <c r="A572" s="123">
        <f t="shared" si="33"/>
        <v>568</v>
      </c>
      <c r="B572" s="127"/>
      <c r="C572" s="96"/>
      <c r="D572" s="83"/>
      <c r="E572" s="83"/>
      <c r="F572" s="96"/>
      <c r="G572" s="96"/>
      <c r="H572" s="70"/>
      <c r="I572" s="70"/>
      <c r="J572" s="70"/>
      <c r="K572" s="70">
        <f t="shared" si="34"/>
        <v>0</v>
      </c>
      <c r="L572" s="70">
        <f t="shared" si="35"/>
        <v>0</v>
      </c>
      <c r="M572" s="70">
        <f t="shared" si="36"/>
        <v>0</v>
      </c>
      <c r="N572" s="126"/>
      <c r="O572" s="124"/>
    </row>
    <row r="573" spans="1:15" ht="30" customHeight="1" x14ac:dyDescent="0.3">
      <c r="A573" s="123">
        <f t="shared" si="33"/>
        <v>569</v>
      </c>
      <c r="B573" s="127"/>
      <c r="C573" s="96"/>
      <c r="D573" s="83"/>
      <c r="E573" s="83"/>
      <c r="F573" s="96"/>
      <c r="G573" s="96"/>
      <c r="H573" s="70"/>
      <c r="I573" s="70"/>
      <c r="J573" s="70"/>
      <c r="K573" s="70">
        <f t="shared" si="34"/>
        <v>0</v>
      </c>
      <c r="L573" s="70">
        <f t="shared" si="35"/>
        <v>0</v>
      </c>
      <c r="M573" s="70">
        <f t="shared" si="36"/>
        <v>0</v>
      </c>
      <c r="N573" s="126"/>
      <c r="O573" s="124"/>
    </row>
    <row r="574" spans="1:15" ht="30" customHeight="1" x14ac:dyDescent="0.3">
      <c r="A574" s="123">
        <f t="shared" si="33"/>
        <v>570</v>
      </c>
      <c r="B574" s="127"/>
      <c r="C574" s="96"/>
      <c r="D574" s="83"/>
      <c r="E574" s="83"/>
      <c r="F574" s="96"/>
      <c r="G574" s="96"/>
      <c r="H574" s="70"/>
      <c r="I574" s="70"/>
      <c r="J574" s="70"/>
      <c r="K574" s="70">
        <f t="shared" si="34"/>
        <v>0</v>
      </c>
      <c r="L574" s="70">
        <f t="shared" si="35"/>
        <v>0</v>
      </c>
      <c r="M574" s="70">
        <f t="shared" si="36"/>
        <v>0</v>
      </c>
      <c r="N574" s="126"/>
      <c r="O574" s="124"/>
    </row>
    <row r="575" spans="1:15" ht="30" customHeight="1" x14ac:dyDescent="0.3">
      <c r="A575" s="123">
        <f t="shared" si="33"/>
        <v>571</v>
      </c>
      <c r="B575" s="127"/>
      <c r="C575" s="96"/>
      <c r="D575" s="83"/>
      <c r="E575" s="83"/>
      <c r="F575" s="96"/>
      <c r="G575" s="96"/>
      <c r="H575" s="70"/>
      <c r="I575" s="70"/>
      <c r="J575" s="70"/>
      <c r="K575" s="70">
        <f t="shared" si="34"/>
        <v>0</v>
      </c>
      <c r="L575" s="70">
        <f t="shared" si="35"/>
        <v>0</v>
      </c>
      <c r="M575" s="70">
        <f t="shared" si="36"/>
        <v>0</v>
      </c>
      <c r="N575" s="126"/>
      <c r="O575" s="124"/>
    </row>
    <row r="576" spans="1:15" ht="30" customHeight="1" x14ac:dyDescent="0.3">
      <c r="A576" s="123">
        <f t="shared" si="33"/>
        <v>572</v>
      </c>
      <c r="B576" s="127"/>
      <c r="C576" s="96"/>
      <c r="D576" s="83"/>
      <c r="E576" s="83"/>
      <c r="F576" s="96"/>
      <c r="G576" s="96"/>
      <c r="H576" s="70"/>
      <c r="I576" s="70"/>
      <c r="J576" s="70"/>
      <c r="K576" s="70">
        <f t="shared" si="34"/>
        <v>0</v>
      </c>
      <c r="L576" s="70">
        <f t="shared" si="35"/>
        <v>0</v>
      </c>
      <c r="M576" s="70">
        <f t="shared" si="36"/>
        <v>0</v>
      </c>
      <c r="N576" s="126"/>
      <c r="O576" s="124"/>
    </row>
    <row r="577" spans="1:15" ht="30" customHeight="1" x14ac:dyDescent="0.3">
      <c r="A577" s="123">
        <f t="shared" si="33"/>
        <v>573</v>
      </c>
      <c r="B577" s="127"/>
      <c r="C577" s="96"/>
      <c r="D577" s="83"/>
      <c r="E577" s="83"/>
      <c r="F577" s="96"/>
      <c r="G577" s="96"/>
      <c r="H577" s="70"/>
      <c r="I577" s="70"/>
      <c r="J577" s="70"/>
      <c r="K577" s="70">
        <f t="shared" si="34"/>
        <v>0</v>
      </c>
      <c r="L577" s="70">
        <f t="shared" si="35"/>
        <v>0</v>
      </c>
      <c r="M577" s="70">
        <f t="shared" si="36"/>
        <v>0</v>
      </c>
      <c r="N577" s="126"/>
      <c r="O577" s="124"/>
    </row>
    <row r="578" spans="1:15" ht="30" customHeight="1" x14ac:dyDescent="0.3">
      <c r="A578" s="123">
        <f t="shared" si="33"/>
        <v>574</v>
      </c>
      <c r="B578" s="127"/>
      <c r="C578" s="96"/>
      <c r="D578" s="83"/>
      <c r="E578" s="83"/>
      <c r="F578" s="96"/>
      <c r="G578" s="96"/>
      <c r="H578" s="70"/>
      <c r="I578" s="70"/>
      <c r="J578" s="70"/>
      <c r="K578" s="70">
        <f t="shared" si="34"/>
        <v>0</v>
      </c>
      <c r="L578" s="70">
        <f t="shared" si="35"/>
        <v>0</v>
      </c>
      <c r="M578" s="70">
        <f t="shared" si="36"/>
        <v>0</v>
      </c>
      <c r="N578" s="126"/>
      <c r="O578" s="124"/>
    </row>
    <row r="579" spans="1:15" ht="30" customHeight="1" x14ac:dyDescent="0.3">
      <c r="A579" s="123">
        <f t="shared" si="33"/>
        <v>575</v>
      </c>
      <c r="B579" s="127"/>
      <c r="C579" s="96"/>
      <c r="D579" s="83"/>
      <c r="E579" s="83"/>
      <c r="F579" s="96"/>
      <c r="G579" s="96"/>
      <c r="H579" s="70"/>
      <c r="I579" s="70"/>
      <c r="J579" s="70"/>
      <c r="K579" s="70">
        <f t="shared" si="34"/>
        <v>0</v>
      </c>
      <c r="L579" s="70">
        <f t="shared" si="35"/>
        <v>0</v>
      </c>
      <c r="M579" s="70">
        <f t="shared" si="36"/>
        <v>0</v>
      </c>
      <c r="N579" s="126"/>
      <c r="O579" s="124"/>
    </row>
    <row r="580" spans="1:15" ht="30" customHeight="1" x14ac:dyDescent="0.3">
      <c r="A580" s="123">
        <f t="shared" si="33"/>
        <v>576</v>
      </c>
      <c r="B580" s="127"/>
      <c r="C580" s="96"/>
      <c r="D580" s="83"/>
      <c r="E580" s="83"/>
      <c r="F580" s="96"/>
      <c r="G580" s="96"/>
      <c r="H580" s="70"/>
      <c r="I580" s="70"/>
      <c r="J580" s="70"/>
      <c r="K580" s="70">
        <f t="shared" si="34"/>
        <v>0</v>
      </c>
      <c r="L580" s="70">
        <f t="shared" si="35"/>
        <v>0</v>
      </c>
      <c r="M580" s="70">
        <f t="shared" si="36"/>
        <v>0</v>
      </c>
      <c r="N580" s="126"/>
      <c r="O580" s="124"/>
    </row>
    <row r="581" spans="1:15" ht="30" customHeight="1" x14ac:dyDescent="0.3">
      <c r="A581" s="123">
        <f t="shared" si="33"/>
        <v>577</v>
      </c>
      <c r="B581" s="127"/>
      <c r="C581" s="96"/>
      <c r="D581" s="83"/>
      <c r="E581" s="83"/>
      <c r="F581" s="96"/>
      <c r="G581" s="96"/>
      <c r="H581" s="70"/>
      <c r="I581" s="70"/>
      <c r="J581" s="70"/>
      <c r="K581" s="70">
        <f t="shared" si="34"/>
        <v>0</v>
      </c>
      <c r="L581" s="70">
        <f t="shared" si="35"/>
        <v>0</v>
      </c>
      <c r="M581" s="70">
        <f t="shared" si="36"/>
        <v>0</v>
      </c>
      <c r="N581" s="126"/>
      <c r="O581" s="124"/>
    </row>
    <row r="582" spans="1:15" ht="30" customHeight="1" x14ac:dyDescent="0.3">
      <c r="A582" s="123">
        <f t="shared" si="33"/>
        <v>578</v>
      </c>
      <c r="B582" s="127"/>
      <c r="C582" s="96"/>
      <c r="D582" s="83"/>
      <c r="E582" s="83"/>
      <c r="F582" s="96"/>
      <c r="G582" s="96"/>
      <c r="H582" s="70"/>
      <c r="I582" s="70"/>
      <c r="J582" s="70"/>
      <c r="K582" s="70">
        <f t="shared" si="34"/>
        <v>0</v>
      </c>
      <c r="L582" s="70">
        <f t="shared" si="35"/>
        <v>0</v>
      </c>
      <c r="M582" s="70">
        <f t="shared" si="36"/>
        <v>0</v>
      </c>
      <c r="N582" s="126"/>
      <c r="O582" s="124"/>
    </row>
    <row r="583" spans="1:15" ht="30" customHeight="1" x14ac:dyDescent="0.3">
      <c r="A583" s="123">
        <f t="shared" si="33"/>
        <v>579</v>
      </c>
      <c r="B583" s="127"/>
      <c r="C583" s="96"/>
      <c r="D583" s="83"/>
      <c r="E583" s="83"/>
      <c r="F583" s="96"/>
      <c r="G583" s="96"/>
      <c r="H583" s="70"/>
      <c r="I583" s="70"/>
      <c r="J583" s="70"/>
      <c r="K583" s="70">
        <f t="shared" si="34"/>
        <v>0</v>
      </c>
      <c r="L583" s="70">
        <f t="shared" si="35"/>
        <v>0</v>
      </c>
      <c r="M583" s="70">
        <f t="shared" si="36"/>
        <v>0</v>
      </c>
      <c r="N583" s="126"/>
      <c r="O583" s="124"/>
    </row>
    <row r="584" spans="1:15" ht="30" customHeight="1" x14ac:dyDescent="0.3">
      <c r="A584" s="123">
        <f t="shared" si="33"/>
        <v>580</v>
      </c>
      <c r="B584" s="127"/>
      <c r="C584" s="96"/>
      <c r="D584" s="83"/>
      <c r="E584" s="83"/>
      <c r="F584" s="96"/>
      <c r="G584" s="96"/>
      <c r="H584" s="70"/>
      <c r="I584" s="70"/>
      <c r="J584" s="70"/>
      <c r="K584" s="70">
        <f t="shared" si="34"/>
        <v>0</v>
      </c>
      <c r="L584" s="70">
        <f t="shared" si="35"/>
        <v>0</v>
      </c>
      <c r="M584" s="70">
        <f t="shared" si="36"/>
        <v>0</v>
      </c>
      <c r="N584" s="126"/>
      <c r="O584" s="124"/>
    </row>
    <row r="585" spans="1:15" ht="30" customHeight="1" x14ac:dyDescent="0.3">
      <c r="A585" s="123">
        <f t="shared" si="33"/>
        <v>581</v>
      </c>
      <c r="B585" s="127"/>
      <c r="C585" s="96"/>
      <c r="D585" s="83"/>
      <c r="E585" s="83"/>
      <c r="F585" s="96"/>
      <c r="G585" s="96"/>
      <c r="H585" s="70"/>
      <c r="I585" s="70"/>
      <c r="J585" s="70"/>
      <c r="K585" s="70">
        <f t="shared" si="34"/>
        <v>0</v>
      </c>
      <c r="L585" s="70">
        <f t="shared" si="35"/>
        <v>0</v>
      </c>
      <c r="M585" s="70">
        <f t="shared" si="36"/>
        <v>0</v>
      </c>
      <c r="N585" s="126"/>
      <c r="O585" s="124"/>
    </row>
    <row r="586" spans="1:15" ht="30" customHeight="1" x14ac:dyDescent="0.3">
      <c r="A586" s="123">
        <f t="shared" si="33"/>
        <v>582</v>
      </c>
      <c r="B586" s="127"/>
      <c r="C586" s="96"/>
      <c r="D586" s="83"/>
      <c r="E586" s="83"/>
      <c r="F586" s="96"/>
      <c r="G586" s="96"/>
      <c r="H586" s="70"/>
      <c r="I586" s="70"/>
      <c r="J586" s="70"/>
      <c r="K586" s="70">
        <f t="shared" si="34"/>
        <v>0</v>
      </c>
      <c r="L586" s="70">
        <f t="shared" si="35"/>
        <v>0</v>
      </c>
      <c r="M586" s="70">
        <f t="shared" si="36"/>
        <v>0</v>
      </c>
      <c r="N586" s="126"/>
      <c r="O586" s="124"/>
    </row>
    <row r="587" spans="1:15" ht="30" customHeight="1" x14ac:dyDescent="0.3">
      <c r="A587" s="123">
        <f t="shared" si="33"/>
        <v>583</v>
      </c>
      <c r="B587" s="127"/>
      <c r="C587" s="96"/>
      <c r="D587" s="83"/>
      <c r="E587" s="83"/>
      <c r="F587" s="96"/>
      <c r="G587" s="96"/>
      <c r="H587" s="70"/>
      <c r="I587" s="70"/>
      <c r="J587" s="70"/>
      <c r="K587" s="70">
        <f t="shared" si="34"/>
        <v>0</v>
      </c>
      <c r="L587" s="70">
        <f t="shared" si="35"/>
        <v>0</v>
      </c>
      <c r="M587" s="70">
        <f t="shared" si="36"/>
        <v>0</v>
      </c>
      <c r="N587" s="126"/>
      <c r="O587" s="124"/>
    </row>
    <row r="588" spans="1:15" ht="30" customHeight="1" x14ac:dyDescent="0.3">
      <c r="A588" s="123">
        <f t="shared" si="33"/>
        <v>584</v>
      </c>
      <c r="B588" s="127"/>
      <c r="C588" s="96"/>
      <c r="D588" s="83"/>
      <c r="E588" s="83"/>
      <c r="F588" s="96"/>
      <c r="G588" s="96"/>
      <c r="H588" s="70"/>
      <c r="I588" s="70"/>
      <c r="J588" s="70"/>
      <c r="K588" s="70">
        <f t="shared" si="34"/>
        <v>0</v>
      </c>
      <c r="L588" s="70">
        <f t="shared" si="35"/>
        <v>0</v>
      </c>
      <c r="M588" s="70">
        <f t="shared" si="36"/>
        <v>0</v>
      </c>
      <c r="N588" s="126"/>
      <c r="O588" s="124"/>
    </row>
    <row r="589" spans="1:15" ht="30" customHeight="1" x14ac:dyDescent="0.3">
      <c r="A589" s="123">
        <f t="shared" si="33"/>
        <v>585</v>
      </c>
      <c r="B589" s="127"/>
      <c r="C589" s="96"/>
      <c r="D589" s="83"/>
      <c r="E589" s="83"/>
      <c r="F589" s="96"/>
      <c r="G589" s="96"/>
      <c r="H589" s="70"/>
      <c r="I589" s="70"/>
      <c r="J589" s="70"/>
      <c r="K589" s="70">
        <f t="shared" si="34"/>
        <v>0</v>
      </c>
      <c r="L589" s="70">
        <f t="shared" si="35"/>
        <v>0</v>
      </c>
      <c r="M589" s="70">
        <f t="shared" si="36"/>
        <v>0</v>
      </c>
      <c r="N589" s="126"/>
      <c r="O589" s="124"/>
    </row>
    <row r="590" spans="1:15" ht="30" customHeight="1" x14ac:dyDescent="0.3">
      <c r="A590" s="123">
        <f t="shared" si="33"/>
        <v>586</v>
      </c>
      <c r="B590" s="127"/>
      <c r="C590" s="96"/>
      <c r="D590" s="83"/>
      <c r="E590" s="83"/>
      <c r="F590" s="96"/>
      <c r="G590" s="96"/>
      <c r="H590" s="70"/>
      <c r="I590" s="70"/>
      <c r="J590" s="70"/>
      <c r="K590" s="70">
        <f t="shared" si="34"/>
        <v>0</v>
      </c>
      <c r="L590" s="70">
        <f t="shared" si="35"/>
        <v>0</v>
      </c>
      <c r="M590" s="70">
        <f t="shared" si="36"/>
        <v>0</v>
      </c>
      <c r="N590" s="126"/>
      <c r="O590" s="124"/>
    </row>
    <row r="591" spans="1:15" ht="30" customHeight="1" x14ac:dyDescent="0.3">
      <c r="A591" s="123">
        <f t="shared" si="33"/>
        <v>587</v>
      </c>
      <c r="B591" s="127"/>
      <c r="C591" s="96"/>
      <c r="D591" s="83"/>
      <c r="E591" s="83"/>
      <c r="F591" s="96"/>
      <c r="G591" s="96"/>
      <c r="H591" s="70"/>
      <c r="I591" s="70"/>
      <c r="J591" s="70"/>
      <c r="K591" s="70">
        <f t="shared" si="34"/>
        <v>0</v>
      </c>
      <c r="L591" s="70">
        <f t="shared" si="35"/>
        <v>0</v>
      </c>
      <c r="M591" s="70">
        <f t="shared" si="36"/>
        <v>0</v>
      </c>
      <c r="N591" s="126"/>
      <c r="O591" s="124"/>
    </row>
    <row r="592" spans="1:15" ht="30" customHeight="1" x14ac:dyDescent="0.3">
      <c r="A592" s="123">
        <f t="shared" si="33"/>
        <v>588</v>
      </c>
      <c r="B592" s="127"/>
      <c r="C592" s="96"/>
      <c r="D592" s="83"/>
      <c r="E592" s="83"/>
      <c r="F592" s="96"/>
      <c r="G592" s="96"/>
      <c r="H592" s="70"/>
      <c r="I592" s="70"/>
      <c r="J592" s="70"/>
      <c r="K592" s="70">
        <f t="shared" si="34"/>
        <v>0</v>
      </c>
      <c r="L592" s="70">
        <f t="shared" si="35"/>
        <v>0</v>
      </c>
      <c r="M592" s="70">
        <f t="shared" si="36"/>
        <v>0</v>
      </c>
      <c r="N592" s="126"/>
      <c r="O592" s="124"/>
    </row>
    <row r="593" spans="1:15" ht="30" customHeight="1" x14ac:dyDescent="0.3">
      <c r="A593" s="123">
        <f t="shared" si="33"/>
        <v>589</v>
      </c>
      <c r="B593" s="127"/>
      <c r="C593" s="96"/>
      <c r="D593" s="83"/>
      <c r="E593" s="83"/>
      <c r="F593" s="96"/>
      <c r="G593" s="96"/>
      <c r="H593" s="70"/>
      <c r="I593" s="70"/>
      <c r="J593" s="70"/>
      <c r="K593" s="70">
        <f t="shared" si="34"/>
        <v>0</v>
      </c>
      <c r="L593" s="70">
        <f t="shared" si="35"/>
        <v>0</v>
      </c>
      <c r="M593" s="70">
        <f t="shared" si="36"/>
        <v>0</v>
      </c>
      <c r="N593" s="126"/>
      <c r="O593" s="124"/>
    </row>
    <row r="594" spans="1:15" ht="30" customHeight="1" x14ac:dyDescent="0.3">
      <c r="A594" s="123">
        <f t="shared" si="33"/>
        <v>590</v>
      </c>
      <c r="B594" s="127"/>
      <c r="C594" s="96"/>
      <c r="D594" s="83"/>
      <c r="E594" s="83"/>
      <c r="F594" s="96"/>
      <c r="G594" s="96"/>
      <c r="H594" s="70"/>
      <c r="I594" s="70"/>
      <c r="J594" s="70"/>
      <c r="K594" s="70">
        <f t="shared" si="34"/>
        <v>0</v>
      </c>
      <c r="L594" s="70">
        <f t="shared" si="35"/>
        <v>0</v>
      </c>
      <c r="M594" s="70">
        <f t="shared" si="36"/>
        <v>0</v>
      </c>
      <c r="N594" s="126"/>
      <c r="O594" s="124"/>
    </row>
    <row r="595" spans="1:15" ht="30" customHeight="1" x14ac:dyDescent="0.3">
      <c r="A595" s="123">
        <f t="shared" si="33"/>
        <v>591</v>
      </c>
      <c r="B595" s="127"/>
      <c r="C595" s="96"/>
      <c r="D595" s="83"/>
      <c r="E595" s="83"/>
      <c r="F595" s="96"/>
      <c r="G595" s="96"/>
      <c r="H595" s="70"/>
      <c r="I595" s="70"/>
      <c r="J595" s="70"/>
      <c r="K595" s="70">
        <f t="shared" si="34"/>
        <v>0</v>
      </c>
      <c r="L595" s="70">
        <f t="shared" si="35"/>
        <v>0</v>
      </c>
      <c r="M595" s="70">
        <f t="shared" si="36"/>
        <v>0</v>
      </c>
      <c r="N595" s="126"/>
      <c r="O595" s="124"/>
    </row>
    <row r="596" spans="1:15" ht="30" customHeight="1" x14ac:dyDescent="0.3">
      <c r="A596" s="123">
        <f t="shared" ref="A596:A653" si="37">A595+1</f>
        <v>592</v>
      </c>
      <c r="B596" s="127"/>
      <c r="C596" s="96"/>
      <c r="D596" s="83"/>
      <c r="E596" s="83"/>
      <c r="F596" s="96"/>
      <c r="G596" s="96"/>
      <c r="H596" s="70"/>
      <c r="I596" s="70"/>
      <c r="J596" s="70"/>
      <c r="K596" s="70">
        <f t="shared" ref="K596:K653" si="38">H596/1000000</f>
        <v>0</v>
      </c>
      <c r="L596" s="70">
        <f t="shared" ref="L596:L653" si="39">I596/1000000</f>
        <v>0</v>
      </c>
      <c r="M596" s="70">
        <f t="shared" ref="M596:M653" si="40">J596/1000000</f>
        <v>0</v>
      </c>
      <c r="N596" s="126"/>
      <c r="O596" s="124"/>
    </row>
    <row r="597" spans="1:15" ht="30" customHeight="1" x14ac:dyDescent="0.3">
      <c r="A597" s="123">
        <f t="shared" si="37"/>
        <v>593</v>
      </c>
      <c r="B597" s="127"/>
      <c r="C597" s="96"/>
      <c r="D597" s="83"/>
      <c r="E597" s="83"/>
      <c r="F597" s="96"/>
      <c r="G597" s="96"/>
      <c r="H597" s="70"/>
      <c r="I597" s="70"/>
      <c r="J597" s="70"/>
      <c r="K597" s="70">
        <f t="shared" si="38"/>
        <v>0</v>
      </c>
      <c r="L597" s="70">
        <f t="shared" si="39"/>
        <v>0</v>
      </c>
      <c r="M597" s="70">
        <f t="shared" si="40"/>
        <v>0</v>
      </c>
      <c r="N597" s="126"/>
      <c r="O597" s="124"/>
    </row>
    <row r="598" spans="1:15" ht="30" customHeight="1" x14ac:dyDescent="0.3">
      <c r="A598" s="123">
        <f t="shared" si="37"/>
        <v>594</v>
      </c>
      <c r="B598" s="127"/>
      <c r="C598" s="96"/>
      <c r="D598" s="83"/>
      <c r="E598" s="83"/>
      <c r="F598" s="96"/>
      <c r="G598" s="96"/>
      <c r="H598" s="70"/>
      <c r="I598" s="70"/>
      <c r="J598" s="70"/>
      <c r="K598" s="70">
        <f t="shared" si="38"/>
        <v>0</v>
      </c>
      <c r="L598" s="70">
        <f t="shared" si="39"/>
        <v>0</v>
      </c>
      <c r="M598" s="70">
        <f t="shared" si="40"/>
        <v>0</v>
      </c>
      <c r="N598" s="126"/>
      <c r="O598" s="124"/>
    </row>
    <row r="599" spans="1:15" ht="30" customHeight="1" x14ac:dyDescent="0.3">
      <c r="A599" s="123">
        <f t="shared" si="37"/>
        <v>595</v>
      </c>
      <c r="B599" s="127"/>
      <c r="C599" s="96"/>
      <c r="D599" s="83"/>
      <c r="E599" s="83"/>
      <c r="F599" s="96"/>
      <c r="G599" s="96"/>
      <c r="H599" s="70"/>
      <c r="I599" s="70"/>
      <c r="J599" s="70"/>
      <c r="K599" s="70">
        <f t="shared" si="38"/>
        <v>0</v>
      </c>
      <c r="L599" s="70">
        <f t="shared" si="39"/>
        <v>0</v>
      </c>
      <c r="M599" s="70">
        <f t="shared" si="40"/>
        <v>0</v>
      </c>
      <c r="N599" s="126"/>
      <c r="O599" s="124"/>
    </row>
    <row r="600" spans="1:15" ht="30" customHeight="1" x14ac:dyDescent="0.3">
      <c r="A600" s="123">
        <f t="shared" si="37"/>
        <v>596</v>
      </c>
      <c r="B600" s="127"/>
      <c r="C600" s="96"/>
      <c r="D600" s="83"/>
      <c r="E600" s="83"/>
      <c r="F600" s="96"/>
      <c r="G600" s="96"/>
      <c r="H600" s="70"/>
      <c r="I600" s="70"/>
      <c r="J600" s="70"/>
      <c r="K600" s="70">
        <f t="shared" si="38"/>
        <v>0</v>
      </c>
      <c r="L600" s="70">
        <f t="shared" si="39"/>
        <v>0</v>
      </c>
      <c r="M600" s="70">
        <f t="shared" si="40"/>
        <v>0</v>
      </c>
      <c r="N600" s="126"/>
      <c r="O600" s="124"/>
    </row>
    <row r="601" spans="1:15" ht="30" customHeight="1" x14ac:dyDescent="0.3">
      <c r="A601" s="123">
        <f t="shared" si="37"/>
        <v>597</v>
      </c>
      <c r="B601" s="127"/>
      <c r="C601" s="96"/>
      <c r="D601" s="83"/>
      <c r="E601" s="83"/>
      <c r="F601" s="96"/>
      <c r="G601" s="96"/>
      <c r="H601" s="70"/>
      <c r="I601" s="70"/>
      <c r="J601" s="70"/>
      <c r="K601" s="70">
        <f t="shared" si="38"/>
        <v>0</v>
      </c>
      <c r="L601" s="70">
        <f t="shared" si="39"/>
        <v>0</v>
      </c>
      <c r="M601" s="70">
        <f t="shared" si="40"/>
        <v>0</v>
      </c>
      <c r="N601" s="126"/>
      <c r="O601" s="124"/>
    </row>
    <row r="602" spans="1:15" ht="30" customHeight="1" x14ac:dyDescent="0.3">
      <c r="A602" s="123">
        <f t="shared" si="37"/>
        <v>598</v>
      </c>
      <c r="B602" s="127"/>
      <c r="C602" s="96"/>
      <c r="D602" s="83"/>
      <c r="E602" s="83"/>
      <c r="F602" s="96"/>
      <c r="G602" s="96"/>
      <c r="H602" s="70"/>
      <c r="I602" s="70"/>
      <c r="J602" s="70"/>
      <c r="K602" s="70">
        <f t="shared" si="38"/>
        <v>0</v>
      </c>
      <c r="L602" s="70">
        <f t="shared" si="39"/>
        <v>0</v>
      </c>
      <c r="M602" s="70">
        <f t="shared" si="40"/>
        <v>0</v>
      </c>
      <c r="N602" s="126"/>
      <c r="O602" s="124"/>
    </row>
    <row r="603" spans="1:15" ht="30" customHeight="1" x14ac:dyDescent="0.3">
      <c r="A603" s="123">
        <f t="shared" si="37"/>
        <v>599</v>
      </c>
      <c r="B603" s="127"/>
      <c r="C603" s="96"/>
      <c r="D603" s="83"/>
      <c r="E603" s="83"/>
      <c r="F603" s="96"/>
      <c r="G603" s="96"/>
      <c r="H603" s="70"/>
      <c r="I603" s="70"/>
      <c r="J603" s="70"/>
      <c r="K603" s="70">
        <f t="shared" si="38"/>
        <v>0</v>
      </c>
      <c r="L603" s="70">
        <f t="shared" si="39"/>
        <v>0</v>
      </c>
      <c r="M603" s="70">
        <f t="shared" si="40"/>
        <v>0</v>
      </c>
      <c r="N603" s="126"/>
      <c r="O603" s="124"/>
    </row>
    <row r="604" spans="1:15" ht="30" customHeight="1" x14ac:dyDescent="0.3">
      <c r="A604" s="123">
        <f t="shared" si="37"/>
        <v>600</v>
      </c>
      <c r="B604" s="127"/>
      <c r="C604" s="96"/>
      <c r="D604" s="83"/>
      <c r="E604" s="83"/>
      <c r="F604" s="96"/>
      <c r="G604" s="96"/>
      <c r="H604" s="70"/>
      <c r="I604" s="70"/>
      <c r="J604" s="70"/>
      <c r="K604" s="70">
        <f t="shared" si="38"/>
        <v>0</v>
      </c>
      <c r="L604" s="70">
        <f t="shared" si="39"/>
        <v>0</v>
      </c>
      <c r="M604" s="70">
        <f t="shared" si="40"/>
        <v>0</v>
      </c>
      <c r="N604" s="126"/>
      <c r="O604" s="124"/>
    </row>
    <row r="605" spans="1:15" ht="30" customHeight="1" x14ac:dyDescent="0.3">
      <c r="A605" s="123">
        <f t="shared" si="37"/>
        <v>601</v>
      </c>
      <c r="B605" s="127"/>
      <c r="C605" s="96"/>
      <c r="D605" s="83"/>
      <c r="E605" s="83"/>
      <c r="F605" s="96"/>
      <c r="G605" s="96"/>
      <c r="H605" s="70"/>
      <c r="I605" s="70"/>
      <c r="J605" s="70"/>
      <c r="K605" s="70">
        <f t="shared" si="38"/>
        <v>0</v>
      </c>
      <c r="L605" s="70">
        <f t="shared" si="39"/>
        <v>0</v>
      </c>
      <c r="M605" s="70">
        <f t="shared" si="40"/>
        <v>0</v>
      </c>
      <c r="N605" s="126"/>
      <c r="O605" s="124"/>
    </row>
    <row r="606" spans="1:15" ht="30" customHeight="1" x14ac:dyDescent="0.3">
      <c r="A606" s="123">
        <f t="shared" si="37"/>
        <v>602</v>
      </c>
      <c r="B606" s="127"/>
      <c r="C606" s="96"/>
      <c r="D606" s="83"/>
      <c r="E606" s="83"/>
      <c r="F606" s="96"/>
      <c r="G606" s="96"/>
      <c r="H606" s="70"/>
      <c r="I606" s="70"/>
      <c r="J606" s="70"/>
      <c r="K606" s="70">
        <f t="shared" si="38"/>
        <v>0</v>
      </c>
      <c r="L606" s="70">
        <f t="shared" si="39"/>
        <v>0</v>
      </c>
      <c r="M606" s="70">
        <f t="shared" si="40"/>
        <v>0</v>
      </c>
      <c r="N606" s="126"/>
      <c r="O606" s="124"/>
    </row>
    <row r="607" spans="1:15" ht="30" customHeight="1" x14ac:dyDescent="0.3">
      <c r="A607" s="123">
        <f t="shared" si="37"/>
        <v>603</v>
      </c>
      <c r="B607" s="127"/>
      <c r="C607" s="96"/>
      <c r="D607" s="83"/>
      <c r="E607" s="83"/>
      <c r="F607" s="96"/>
      <c r="G607" s="96"/>
      <c r="H607" s="70"/>
      <c r="I607" s="70"/>
      <c r="J607" s="70"/>
      <c r="K607" s="70">
        <f t="shared" si="38"/>
        <v>0</v>
      </c>
      <c r="L607" s="70">
        <f t="shared" si="39"/>
        <v>0</v>
      </c>
      <c r="M607" s="70">
        <f t="shared" si="40"/>
        <v>0</v>
      </c>
      <c r="N607" s="126"/>
      <c r="O607" s="124"/>
    </row>
    <row r="608" spans="1:15" ht="30" customHeight="1" x14ac:dyDescent="0.3">
      <c r="A608" s="123">
        <f t="shared" si="37"/>
        <v>604</v>
      </c>
      <c r="B608" s="127"/>
      <c r="C608" s="96"/>
      <c r="D608" s="83"/>
      <c r="E608" s="83"/>
      <c r="F608" s="96"/>
      <c r="G608" s="96"/>
      <c r="H608" s="70"/>
      <c r="I608" s="70"/>
      <c r="J608" s="70"/>
      <c r="K608" s="70">
        <f t="shared" si="38"/>
        <v>0</v>
      </c>
      <c r="L608" s="70">
        <f t="shared" si="39"/>
        <v>0</v>
      </c>
      <c r="M608" s="70">
        <f t="shared" si="40"/>
        <v>0</v>
      </c>
      <c r="N608" s="126"/>
      <c r="O608" s="124"/>
    </row>
    <row r="609" spans="1:15" ht="30" customHeight="1" x14ac:dyDescent="0.3">
      <c r="A609" s="123">
        <f t="shared" si="37"/>
        <v>605</v>
      </c>
      <c r="B609" s="127"/>
      <c r="C609" s="96"/>
      <c r="D609" s="83"/>
      <c r="E609" s="83"/>
      <c r="F609" s="96"/>
      <c r="G609" s="96"/>
      <c r="H609" s="70"/>
      <c r="I609" s="70"/>
      <c r="J609" s="70"/>
      <c r="K609" s="70">
        <f t="shared" si="38"/>
        <v>0</v>
      </c>
      <c r="L609" s="70">
        <f t="shared" si="39"/>
        <v>0</v>
      </c>
      <c r="M609" s="70">
        <f t="shared" si="40"/>
        <v>0</v>
      </c>
      <c r="N609" s="126"/>
      <c r="O609" s="124"/>
    </row>
    <row r="610" spans="1:15" ht="30" customHeight="1" x14ac:dyDescent="0.3">
      <c r="A610" s="123">
        <f t="shared" si="37"/>
        <v>606</v>
      </c>
      <c r="B610" s="127"/>
      <c r="C610" s="96"/>
      <c r="D610" s="83"/>
      <c r="E610" s="83"/>
      <c r="F610" s="96"/>
      <c r="G610" s="96"/>
      <c r="H610" s="70"/>
      <c r="I610" s="70"/>
      <c r="J610" s="70"/>
      <c r="K610" s="70">
        <f t="shared" si="38"/>
        <v>0</v>
      </c>
      <c r="L610" s="70">
        <f t="shared" si="39"/>
        <v>0</v>
      </c>
      <c r="M610" s="70">
        <f t="shared" si="40"/>
        <v>0</v>
      </c>
      <c r="N610" s="126"/>
      <c r="O610" s="124"/>
    </row>
    <row r="611" spans="1:15" ht="30" customHeight="1" x14ac:dyDescent="0.3">
      <c r="A611" s="123">
        <f t="shared" si="37"/>
        <v>607</v>
      </c>
      <c r="B611" s="127"/>
      <c r="C611" s="96"/>
      <c r="D611" s="83"/>
      <c r="E611" s="83"/>
      <c r="F611" s="96"/>
      <c r="G611" s="96"/>
      <c r="H611" s="70"/>
      <c r="I611" s="70"/>
      <c r="J611" s="70"/>
      <c r="K611" s="70">
        <f t="shared" si="38"/>
        <v>0</v>
      </c>
      <c r="L611" s="70">
        <f t="shared" si="39"/>
        <v>0</v>
      </c>
      <c r="M611" s="70">
        <f t="shared" si="40"/>
        <v>0</v>
      </c>
      <c r="N611" s="126"/>
      <c r="O611" s="124"/>
    </row>
    <row r="612" spans="1:15" ht="30" customHeight="1" x14ac:dyDescent="0.3">
      <c r="A612" s="123">
        <f t="shared" si="37"/>
        <v>608</v>
      </c>
      <c r="B612" s="127"/>
      <c r="C612" s="96"/>
      <c r="D612" s="83"/>
      <c r="E612" s="83"/>
      <c r="F612" s="96"/>
      <c r="G612" s="96"/>
      <c r="H612" s="70"/>
      <c r="I612" s="70"/>
      <c r="J612" s="70"/>
      <c r="K612" s="70">
        <f t="shared" si="38"/>
        <v>0</v>
      </c>
      <c r="L612" s="70">
        <f t="shared" si="39"/>
        <v>0</v>
      </c>
      <c r="M612" s="70">
        <f t="shared" si="40"/>
        <v>0</v>
      </c>
      <c r="N612" s="126"/>
      <c r="O612" s="124"/>
    </row>
    <row r="613" spans="1:15" ht="30" customHeight="1" x14ac:dyDescent="0.3">
      <c r="A613" s="123">
        <f t="shared" si="37"/>
        <v>609</v>
      </c>
      <c r="B613" s="127"/>
      <c r="C613" s="96"/>
      <c r="D613" s="83"/>
      <c r="E613" s="83"/>
      <c r="F613" s="96"/>
      <c r="G613" s="96"/>
      <c r="H613" s="70"/>
      <c r="I613" s="70"/>
      <c r="J613" s="70"/>
      <c r="K613" s="70">
        <f t="shared" si="38"/>
        <v>0</v>
      </c>
      <c r="L613" s="70">
        <f t="shared" si="39"/>
        <v>0</v>
      </c>
      <c r="M613" s="70">
        <f t="shared" si="40"/>
        <v>0</v>
      </c>
      <c r="N613" s="126"/>
      <c r="O613" s="124"/>
    </row>
    <row r="614" spans="1:15" ht="30" customHeight="1" x14ac:dyDescent="0.3">
      <c r="A614" s="123">
        <f t="shared" si="37"/>
        <v>610</v>
      </c>
      <c r="B614" s="127"/>
      <c r="C614" s="96"/>
      <c r="D614" s="83"/>
      <c r="E614" s="83"/>
      <c r="F614" s="96"/>
      <c r="G614" s="96"/>
      <c r="H614" s="70"/>
      <c r="I614" s="70"/>
      <c r="J614" s="70"/>
      <c r="K614" s="70">
        <f t="shared" si="38"/>
        <v>0</v>
      </c>
      <c r="L614" s="70">
        <f t="shared" si="39"/>
        <v>0</v>
      </c>
      <c r="M614" s="70">
        <f t="shared" si="40"/>
        <v>0</v>
      </c>
      <c r="N614" s="126"/>
      <c r="O614" s="124"/>
    </row>
    <row r="615" spans="1:15" ht="30" customHeight="1" x14ac:dyDescent="0.3">
      <c r="A615" s="123">
        <f t="shared" si="37"/>
        <v>611</v>
      </c>
      <c r="B615" s="127"/>
      <c r="C615" s="96"/>
      <c r="D615" s="83"/>
      <c r="E615" s="83"/>
      <c r="F615" s="96"/>
      <c r="G615" s="96"/>
      <c r="H615" s="70"/>
      <c r="I615" s="70"/>
      <c r="J615" s="70"/>
      <c r="K615" s="70">
        <f t="shared" si="38"/>
        <v>0</v>
      </c>
      <c r="L615" s="70">
        <f t="shared" si="39"/>
        <v>0</v>
      </c>
      <c r="M615" s="70">
        <f t="shared" si="40"/>
        <v>0</v>
      </c>
      <c r="N615" s="126"/>
      <c r="O615" s="124"/>
    </row>
    <row r="616" spans="1:15" ht="30" customHeight="1" x14ac:dyDescent="0.3">
      <c r="A616" s="123">
        <f t="shared" si="37"/>
        <v>612</v>
      </c>
      <c r="B616" s="127"/>
      <c r="C616" s="96"/>
      <c r="D616" s="83"/>
      <c r="E616" s="83"/>
      <c r="F616" s="96"/>
      <c r="G616" s="96"/>
      <c r="H616" s="70"/>
      <c r="I616" s="70"/>
      <c r="J616" s="70"/>
      <c r="K616" s="70">
        <f t="shared" si="38"/>
        <v>0</v>
      </c>
      <c r="L616" s="70">
        <f t="shared" si="39"/>
        <v>0</v>
      </c>
      <c r="M616" s="70">
        <f t="shared" si="40"/>
        <v>0</v>
      </c>
      <c r="N616" s="126"/>
      <c r="O616" s="124"/>
    </row>
    <row r="617" spans="1:15" ht="30" customHeight="1" x14ac:dyDescent="0.3">
      <c r="A617" s="123">
        <f t="shared" si="37"/>
        <v>613</v>
      </c>
      <c r="B617" s="127"/>
      <c r="C617" s="96"/>
      <c r="D617" s="83"/>
      <c r="E617" s="83"/>
      <c r="F617" s="96"/>
      <c r="G617" s="96"/>
      <c r="H617" s="70"/>
      <c r="I617" s="70"/>
      <c r="J617" s="70"/>
      <c r="K617" s="70">
        <f t="shared" si="38"/>
        <v>0</v>
      </c>
      <c r="L617" s="70">
        <f t="shared" si="39"/>
        <v>0</v>
      </c>
      <c r="M617" s="70">
        <f t="shared" si="40"/>
        <v>0</v>
      </c>
      <c r="N617" s="126"/>
      <c r="O617" s="124"/>
    </row>
    <row r="618" spans="1:15" ht="30" customHeight="1" x14ac:dyDescent="0.3">
      <c r="A618" s="123">
        <f t="shared" si="37"/>
        <v>614</v>
      </c>
      <c r="B618" s="127"/>
      <c r="C618" s="96"/>
      <c r="D618" s="83"/>
      <c r="E618" s="83"/>
      <c r="F618" s="96"/>
      <c r="G618" s="96"/>
      <c r="H618" s="70"/>
      <c r="I618" s="70"/>
      <c r="J618" s="70"/>
      <c r="K618" s="70">
        <f t="shared" si="38"/>
        <v>0</v>
      </c>
      <c r="L618" s="70">
        <f t="shared" si="39"/>
        <v>0</v>
      </c>
      <c r="M618" s="70">
        <f t="shared" si="40"/>
        <v>0</v>
      </c>
      <c r="N618" s="126"/>
      <c r="O618" s="124"/>
    </row>
    <row r="619" spans="1:15" ht="30" customHeight="1" x14ac:dyDescent="0.3">
      <c r="A619" s="123">
        <f t="shared" si="37"/>
        <v>615</v>
      </c>
      <c r="B619" s="127"/>
      <c r="C619" s="96"/>
      <c r="D619" s="83"/>
      <c r="E619" s="83"/>
      <c r="F619" s="96"/>
      <c r="G619" s="96"/>
      <c r="H619" s="70"/>
      <c r="I619" s="70"/>
      <c r="J619" s="70"/>
      <c r="K619" s="70">
        <f t="shared" si="38"/>
        <v>0</v>
      </c>
      <c r="L619" s="70">
        <f t="shared" si="39"/>
        <v>0</v>
      </c>
      <c r="M619" s="70">
        <f t="shared" si="40"/>
        <v>0</v>
      </c>
      <c r="N619" s="126"/>
      <c r="O619" s="124"/>
    </row>
    <row r="620" spans="1:15" ht="30" customHeight="1" x14ac:dyDescent="0.3">
      <c r="A620" s="123">
        <f t="shared" si="37"/>
        <v>616</v>
      </c>
      <c r="B620" s="127"/>
      <c r="C620" s="96"/>
      <c r="D620" s="83"/>
      <c r="E620" s="83"/>
      <c r="F620" s="96"/>
      <c r="G620" s="96"/>
      <c r="H620" s="70"/>
      <c r="I620" s="70"/>
      <c r="J620" s="70"/>
      <c r="K620" s="70">
        <f t="shared" si="38"/>
        <v>0</v>
      </c>
      <c r="L620" s="70">
        <f t="shared" si="39"/>
        <v>0</v>
      </c>
      <c r="M620" s="70">
        <f t="shared" si="40"/>
        <v>0</v>
      </c>
      <c r="N620" s="126"/>
      <c r="O620" s="124"/>
    </row>
    <row r="621" spans="1:15" ht="30" customHeight="1" x14ac:dyDescent="0.3">
      <c r="A621" s="123">
        <f t="shared" si="37"/>
        <v>617</v>
      </c>
      <c r="B621" s="127"/>
      <c r="C621" s="96"/>
      <c r="D621" s="83"/>
      <c r="E621" s="83"/>
      <c r="F621" s="96"/>
      <c r="G621" s="96"/>
      <c r="H621" s="70"/>
      <c r="I621" s="70"/>
      <c r="J621" s="70"/>
      <c r="K621" s="70">
        <f t="shared" si="38"/>
        <v>0</v>
      </c>
      <c r="L621" s="70">
        <f t="shared" si="39"/>
        <v>0</v>
      </c>
      <c r="M621" s="70">
        <f t="shared" si="40"/>
        <v>0</v>
      </c>
      <c r="N621" s="126"/>
      <c r="O621" s="124"/>
    </row>
    <row r="622" spans="1:15" ht="30" customHeight="1" x14ac:dyDescent="0.3">
      <c r="A622" s="123">
        <f t="shared" si="37"/>
        <v>618</v>
      </c>
      <c r="B622" s="127"/>
      <c r="C622" s="96"/>
      <c r="D622" s="83"/>
      <c r="E622" s="83"/>
      <c r="F622" s="96"/>
      <c r="G622" s="96"/>
      <c r="H622" s="70"/>
      <c r="I622" s="70"/>
      <c r="J622" s="70"/>
      <c r="K622" s="70">
        <f t="shared" si="38"/>
        <v>0</v>
      </c>
      <c r="L622" s="70">
        <f t="shared" si="39"/>
        <v>0</v>
      </c>
      <c r="M622" s="70">
        <f t="shared" si="40"/>
        <v>0</v>
      </c>
      <c r="N622" s="126"/>
      <c r="O622" s="124"/>
    </row>
    <row r="623" spans="1:15" ht="30" customHeight="1" x14ac:dyDescent="0.3">
      <c r="A623" s="123">
        <f t="shared" si="37"/>
        <v>619</v>
      </c>
      <c r="B623" s="127"/>
      <c r="C623" s="96"/>
      <c r="D623" s="83"/>
      <c r="E623" s="83"/>
      <c r="F623" s="96"/>
      <c r="G623" s="96"/>
      <c r="H623" s="70"/>
      <c r="I623" s="70"/>
      <c r="J623" s="70"/>
      <c r="K623" s="70">
        <f t="shared" si="38"/>
        <v>0</v>
      </c>
      <c r="L623" s="70">
        <f t="shared" si="39"/>
        <v>0</v>
      </c>
      <c r="M623" s="70">
        <f t="shared" si="40"/>
        <v>0</v>
      </c>
      <c r="N623" s="126"/>
      <c r="O623" s="124"/>
    </row>
    <row r="624" spans="1:15" ht="30" customHeight="1" x14ac:dyDescent="0.3">
      <c r="A624" s="123">
        <f t="shared" si="37"/>
        <v>620</v>
      </c>
      <c r="B624" s="127"/>
      <c r="C624" s="96"/>
      <c r="D624" s="83"/>
      <c r="E624" s="83"/>
      <c r="F624" s="96"/>
      <c r="G624" s="96"/>
      <c r="H624" s="70"/>
      <c r="I624" s="70"/>
      <c r="J624" s="70"/>
      <c r="K624" s="70">
        <f t="shared" si="38"/>
        <v>0</v>
      </c>
      <c r="L624" s="70">
        <f t="shared" si="39"/>
        <v>0</v>
      </c>
      <c r="M624" s="70">
        <f t="shared" si="40"/>
        <v>0</v>
      </c>
      <c r="N624" s="126"/>
      <c r="O624" s="124"/>
    </row>
    <row r="625" spans="1:15" ht="30" customHeight="1" x14ac:dyDescent="0.3">
      <c r="A625" s="123">
        <f t="shared" si="37"/>
        <v>621</v>
      </c>
      <c r="B625" s="127"/>
      <c r="C625" s="96"/>
      <c r="D625" s="83"/>
      <c r="E625" s="83"/>
      <c r="F625" s="96"/>
      <c r="G625" s="96"/>
      <c r="H625" s="70"/>
      <c r="I625" s="70"/>
      <c r="J625" s="70"/>
      <c r="K625" s="70">
        <f t="shared" si="38"/>
        <v>0</v>
      </c>
      <c r="L625" s="70">
        <f t="shared" si="39"/>
        <v>0</v>
      </c>
      <c r="M625" s="70">
        <f t="shared" si="40"/>
        <v>0</v>
      </c>
      <c r="N625" s="126"/>
      <c r="O625" s="124"/>
    </row>
    <row r="626" spans="1:15" ht="30" customHeight="1" x14ac:dyDescent="0.3">
      <c r="A626" s="123">
        <f t="shared" si="37"/>
        <v>622</v>
      </c>
      <c r="B626" s="127"/>
      <c r="C626" s="96"/>
      <c r="D626" s="83"/>
      <c r="E626" s="83"/>
      <c r="F626" s="96"/>
      <c r="G626" s="96"/>
      <c r="H626" s="70"/>
      <c r="I626" s="70"/>
      <c r="J626" s="70"/>
      <c r="K626" s="70">
        <f t="shared" si="38"/>
        <v>0</v>
      </c>
      <c r="L626" s="70">
        <f t="shared" si="39"/>
        <v>0</v>
      </c>
      <c r="M626" s="70">
        <f t="shared" si="40"/>
        <v>0</v>
      </c>
      <c r="N626" s="126"/>
      <c r="O626" s="124"/>
    </row>
    <row r="627" spans="1:15" ht="30" customHeight="1" x14ac:dyDescent="0.3">
      <c r="A627" s="123">
        <f t="shared" si="37"/>
        <v>623</v>
      </c>
      <c r="B627" s="127"/>
      <c r="C627" s="96"/>
      <c r="D627" s="83"/>
      <c r="E627" s="83"/>
      <c r="F627" s="96"/>
      <c r="G627" s="96"/>
      <c r="H627" s="70"/>
      <c r="I627" s="70"/>
      <c r="J627" s="70"/>
      <c r="K627" s="70">
        <f t="shared" si="38"/>
        <v>0</v>
      </c>
      <c r="L627" s="70">
        <f t="shared" si="39"/>
        <v>0</v>
      </c>
      <c r="M627" s="70">
        <f t="shared" si="40"/>
        <v>0</v>
      </c>
      <c r="N627" s="126"/>
      <c r="O627" s="124"/>
    </row>
    <row r="628" spans="1:15" ht="30" customHeight="1" x14ac:dyDescent="0.3">
      <c r="A628" s="123">
        <f t="shared" si="37"/>
        <v>624</v>
      </c>
      <c r="B628" s="127"/>
      <c r="C628" s="96"/>
      <c r="D628" s="83"/>
      <c r="E628" s="83"/>
      <c r="F628" s="96"/>
      <c r="G628" s="96"/>
      <c r="H628" s="70"/>
      <c r="I628" s="70"/>
      <c r="J628" s="70"/>
      <c r="K628" s="70">
        <f t="shared" si="38"/>
        <v>0</v>
      </c>
      <c r="L628" s="70">
        <f t="shared" si="39"/>
        <v>0</v>
      </c>
      <c r="M628" s="70">
        <f t="shared" si="40"/>
        <v>0</v>
      </c>
      <c r="N628" s="126"/>
      <c r="O628" s="124"/>
    </row>
    <row r="629" spans="1:15" ht="30" customHeight="1" x14ac:dyDescent="0.3">
      <c r="A629" s="123">
        <f t="shared" si="37"/>
        <v>625</v>
      </c>
      <c r="B629" s="127"/>
      <c r="C629" s="96"/>
      <c r="D629" s="83"/>
      <c r="E629" s="83"/>
      <c r="F629" s="96"/>
      <c r="G629" s="96"/>
      <c r="H629" s="70"/>
      <c r="I629" s="70"/>
      <c r="J629" s="70"/>
      <c r="K629" s="70">
        <f t="shared" si="38"/>
        <v>0</v>
      </c>
      <c r="L629" s="70">
        <f t="shared" si="39"/>
        <v>0</v>
      </c>
      <c r="M629" s="70">
        <f t="shared" si="40"/>
        <v>0</v>
      </c>
      <c r="N629" s="126"/>
      <c r="O629" s="124"/>
    </row>
    <row r="630" spans="1:15" ht="30" customHeight="1" x14ac:dyDescent="0.3">
      <c r="A630" s="123">
        <f t="shared" si="37"/>
        <v>626</v>
      </c>
      <c r="B630" s="127"/>
      <c r="C630" s="96"/>
      <c r="D630" s="83"/>
      <c r="E630" s="83"/>
      <c r="F630" s="96"/>
      <c r="G630" s="96"/>
      <c r="H630" s="70"/>
      <c r="I630" s="70"/>
      <c r="J630" s="70"/>
      <c r="K630" s="70">
        <f t="shared" si="38"/>
        <v>0</v>
      </c>
      <c r="L630" s="70">
        <f t="shared" si="39"/>
        <v>0</v>
      </c>
      <c r="M630" s="70">
        <f t="shared" si="40"/>
        <v>0</v>
      </c>
      <c r="N630" s="126"/>
      <c r="O630" s="124"/>
    </row>
    <row r="631" spans="1:15" ht="30" customHeight="1" x14ac:dyDescent="0.3">
      <c r="A631" s="123">
        <f t="shared" si="37"/>
        <v>627</v>
      </c>
      <c r="B631" s="127"/>
      <c r="C631" s="96"/>
      <c r="D631" s="83"/>
      <c r="E631" s="83"/>
      <c r="F631" s="96"/>
      <c r="G631" s="96"/>
      <c r="H631" s="70"/>
      <c r="I631" s="70"/>
      <c r="J631" s="70"/>
      <c r="K631" s="70">
        <f t="shared" si="38"/>
        <v>0</v>
      </c>
      <c r="L631" s="70">
        <f t="shared" si="39"/>
        <v>0</v>
      </c>
      <c r="M631" s="70">
        <f t="shared" si="40"/>
        <v>0</v>
      </c>
      <c r="N631" s="126"/>
      <c r="O631" s="124"/>
    </row>
    <row r="632" spans="1:15" ht="30" customHeight="1" x14ac:dyDescent="0.3">
      <c r="A632" s="123">
        <f t="shared" si="37"/>
        <v>628</v>
      </c>
      <c r="B632" s="127"/>
      <c r="C632" s="96"/>
      <c r="D632" s="83"/>
      <c r="E632" s="83"/>
      <c r="F632" s="96"/>
      <c r="G632" s="96"/>
      <c r="H632" s="70"/>
      <c r="I632" s="70"/>
      <c r="J632" s="70"/>
      <c r="K632" s="70">
        <f t="shared" si="38"/>
        <v>0</v>
      </c>
      <c r="L632" s="70">
        <f t="shared" si="39"/>
        <v>0</v>
      </c>
      <c r="M632" s="70">
        <f t="shared" si="40"/>
        <v>0</v>
      </c>
      <c r="N632" s="126"/>
      <c r="O632" s="124"/>
    </row>
    <row r="633" spans="1:15" ht="30" customHeight="1" x14ac:dyDescent="0.3">
      <c r="A633" s="123">
        <f t="shared" si="37"/>
        <v>629</v>
      </c>
      <c r="B633" s="127"/>
      <c r="C633" s="96"/>
      <c r="D633" s="83"/>
      <c r="E633" s="83"/>
      <c r="F633" s="96"/>
      <c r="G633" s="96"/>
      <c r="H633" s="70"/>
      <c r="I633" s="70"/>
      <c r="J633" s="70"/>
      <c r="K633" s="70">
        <f t="shared" si="38"/>
        <v>0</v>
      </c>
      <c r="L633" s="70">
        <f t="shared" si="39"/>
        <v>0</v>
      </c>
      <c r="M633" s="70">
        <f t="shared" si="40"/>
        <v>0</v>
      </c>
      <c r="N633" s="126"/>
      <c r="O633" s="124"/>
    </row>
    <row r="634" spans="1:15" ht="30" customHeight="1" x14ac:dyDescent="0.3">
      <c r="A634" s="123">
        <f t="shared" si="37"/>
        <v>630</v>
      </c>
      <c r="B634" s="127"/>
      <c r="C634" s="96"/>
      <c r="D634" s="83"/>
      <c r="E634" s="83"/>
      <c r="F634" s="96"/>
      <c r="G634" s="96"/>
      <c r="H634" s="70"/>
      <c r="I634" s="70"/>
      <c r="J634" s="70"/>
      <c r="K634" s="70">
        <f t="shared" si="38"/>
        <v>0</v>
      </c>
      <c r="L634" s="70">
        <f t="shared" si="39"/>
        <v>0</v>
      </c>
      <c r="M634" s="70">
        <f t="shared" si="40"/>
        <v>0</v>
      </c>
      <c r="N634" s="126"/>
      <c r="O634" s="124"/>
    </row>
    <row r="635" spans="1:15" ht="30" customHeight="1" x14ac:dyDescent="0.3">
      <c r="A635" s="123">
        <f t="shared" si="37"/>
        <v>631</v>
      </c>
      <c r="B635" s="127"/>
      <c r="C635" s="96"/>
      <c r="D635" s="83"/>
      <c r="E635" s="83"/>
      <c r="F635" s="96"/>
      <c r="G635" s="96"/>
      <c r="H635" s="70"/>
      <c r="I635" s="70"/>
      <c r="J635" s="70"/>
      <c r="K635" s="70">
        <f t="shared" si="38"/>
        <v>0</v>
      </c>
      <c r="L635" s="70">
        <f t="shared" si="39"/>
        <v>0</v>
      </c>
      <c r="M635" s="70">
        <f t="shared" si="40"/>
        <v>0</v>
      </c>
      <c r="N635" s="126"/>
      <c r="O635" s="124"/>
    </row>
    <row r="636" spans="1:15" ht="30" customHeight="1" x14ac:dyDescent="0.3">
      <c r="A636" s="123">
        <f t="shared" si="37"/>
        <v>632</v>
      </c>
      <c r="B636" s="127"/>
      <c r="C636" s="96"/>
      <c r="D636" s="83"/>
      <c r="E636" s="83"/>
      <c r="F636" s="96"/>
      <c r="G636" s="96"/>
      <c r="H636" s="70"/>
      <c r="I636" s="70"/>
      <c r="J636" s="70"/>
      <c r="K636" s="70">
        <f t="shared" si="38"/>
        <v>0</v>
      </c>
      <c r="L636" s="70">
        <f t="shared" si="39"/>
        <v>0</v>
      </c>
      <c r="M636" s="70">
        <f t="shared" si="40"/>
        <v>0</v>
      </c>
      <c r="N636" s="126"/>
      <c r="O636" s="124"/>
    </row>
    <row r="637" spans="1:15" ht="30" customHeight="1" x14ac:dyDescent="0.3">
      <c r="A637" s="123">
        <f t="shared" si="37"/>
        <v>633</v>
      </c>
      <c r="B637" s="127"/>
      <c r="C637" s="96"/>
      <c r="D637" s="83"/>
      <c r="E637" s="83"/>
      <c r="F637" s="96"/>
      <c r="G637" s="96"/>
      <c r="H637" s="70"/>
      <c r="I637" s="70"/>
      <c r="J637" s="70"/>
      <c r="K637" s="70">
        <f t="shared" si="38"/>
        <v>0</v>
      </c>
      <c r="L637" s="70">
        <f t="shared" si="39"/>
        <v>0</v>
      </c>
      <c r="M637" s="70">
        <f t="shared" si="40"/>
        <v>0</v>
      </c>
      <c r="N637" s="126"/>
      <c r="O637" s="124"/>
    </row>
    <row r="638" spans="1:15" ht="30" customHeight="1" x14ac:dyDescent="0.3">
      <c r="A638" s="123">
        <f t="shared" si="37"/>
        <v>634</v>
      </c>
      <c r="B638" s="127"/>
      <c r="C638" s="96"/>
      <c r="D638" s="83"/>
      <c r="E638" s="83"/>
      <c r="F638" s="96"/>
      <c r="G638" s="96"/>
      <c r="H638" s="70"/>
      <c r="I638" s="70"/>
      <c r="J638" s="70"/>
      <c r="K638" s="70">
        <f t="shared" si="38"/>
        <v>0</v>
      </c>
      <c r="L638" s="70">
        <f t="shared" si="39"/>
        <v>0</v>
      </c>
      <c r="M638" s="70">
        <f t="shared" si="40"/>
        <v>0</v>
      </c>
      <c r="N638" s="126"/>
      <c r="O638" s="124"/>
    </row>
    <row r="639" spans="1:15" ht="30" customHeight="1" x14ac:dyDescent="0.3">
      <c r="A639" s="123">
        <f t="shared" si="37"/>
        <v>635</v>
      </c>
      <c r="B639" s="127"/>
      <c r="C639" s="96"/>
      <c r="D639" s="83"/>
      <c r="E639" s="83"/>
      <c r="F639" s="96"/>
      <c r="G639" s="96"/>
      <c r="H639" s="70"/>
      <c r="I639" s="70"/>
      <c r="J639" s="70"/>
      <c r="K639" s="70">
        <f t="shared" si="38"/>
        <v>0</v>
      </c>
      <c r="L639" s="70">
        <f t="shared" si="39"/>
        <v>0</v>
      </c>
      <c r="M639" s="70">
        <f t="shared" si="40"/>
        <v>0</v>
      </c>
      <c r="N639" s="126"/>
      <c r="O639" s="124"/>
    </row>
    <row r="640" spans="1:15" ht="30" customHeight="1" x14ac:dyDescent="0.3">
      <c r="A640" s="123">
        <f t="shared" si="37"/>
        <v>636</v>
      </c>
      <c r="B640" s="127"/>
      <c r="C640" s="96"/>
      <c r="D640" s="83"/>
      <c r="E640" s="83"/>
      <c r="F640" s="96"/>
      <c r="G640" s="96"/>
      <c r="H640" s="70"/>
      <c r="I640" s="70"/>
      <c r="J640" s="70"/>
      <c r="K640" s="70">
        <f t="shared" si="38"/>
        <v>0</v>
      </c>
      <c r="L640" s="70">
        <f t="shared" si="39"/>
        <v>0</v>
      </c>
      <c r="M640" s="70">
        <f t="shared" si="40"/>
        <v>0</v>
      </c>
      <c r="N640" s="126"/>
      <c r="O640" s="124"/>
    </row>
    <row r="641" spans="1:15" ht="30" customHeight="1" x14ac:dyDescent="0.3">
      <c r="A641" s="123">
        <f t="shared" si="37"/>
        <v>637</v>
      </c>
      <c r="B641" s="127"/>
      <c r="C641" s="96"/>
      <c r="D641" s="83"/>
      <c r="E641" s="83"/>
      <c r="F641" s="96"/>
      <c r="G641" s="96"/>
      <c r="H641" s="70"/>
      <c r="I641" s="70"/>
      <c r="J641" s="70"/>
      <c r="K641" s="70">
        <f t="shared" si="38"/>
        <v>0</v>
      </c>
      <c r="L641" s="70">
        <f t="shared" si="39"/>
        <v>0</v>
      </c>
      <c r="M641" s="70">
        <f t="shared" si="40"/>
        <v>0</v>
      </c>
      <c r="N641" s="126"/>
      <c r="O641" s="124"/>
    </row>
    <row r="642" spans="1:15" ht="30" customHeight="1" x14ac:dyDescent="0.3">
      <c r="A642" s="123">
        <f t="shared" si="37"/>
        <v>638</v>
      </c>
      <c r="B642" s="127"/>
      <c r="C642" s="96"/>
      <c r="D642" s="83"/>
      <c r="E642" s="83"/>
      <c r="F642" s="96"/>
      <c r="G642" s="96"/>
      <c r="H642" s="70"/>
      <c r="I642" s="70"/>
      <c r="J642" s="70"/>
      <c r="K642" s="70">
        <f t="shared" si="38"/>
        <v>0</v>
      </c>
      <c r="L642" s="70">
        <f t="shared" si="39"/>
        <v>0</v>
      </c>
      <c r="M642" s="70">
        <f t="shared" si="40"/>
        <v>0</v>
      </c>
      <c r="N642" s="126"/>
      <c r="O642" s="124"/>
    </row>
    <row r="643" spans="1:15" ht="30" customHeight="1" x14ac:dyDescent="0.3">
      <c r="A643" s="123">
        <f t="shared" si="37"/>
        <v>639</v>
      </c>
      <c r="B643" s="127"/>
      <c r="C643" s="96"/>
      <c r="D643" s="83"/>
      <c r="E643" s="83"/>
      <c r="F643" s="96"/>
      <c r="G643" s="96"/>
      <c r="H643" s="70"/>
      <c r="I643" s="70"/>
      <c r="J643" s="70"/>
      <c r="K643" s="70">
        <f t="shared" si="38"/>
        <v>0</v>
      </c>
      <c r="L643" s="70">
        <f t="shared" si="39"/>
        <v>0</v>
      </c>
      <c r="M643" s="70">
        <f t="shared" si="40"/>
        <v>0</v>
      </c>
      <c r="N643" s="126"/>
      <c r="O643" s="124"/>
    </row>
    <row r="644" spans="1:15" ht="30" customHeight="1" x14ac:dyDescent="0.3">
      <c r="A644" s="123">
        <f t="shared" si="37"/>
        <v>640</v>
      </c>
      <c r="B644" s="127"/>
      <c r="C644" s="96"/>
      <c r="D644" s="83"/>
      <c r="E644" s="83"/>
      <c r="F644" s="96"/>
      <c r="G644" s="96"/>
      <c r="H644" s="70"/>
      <c r="I644" s="70"/>
      <c r="J644" s="70"/>
      <c r="K644" s="70">
        <f t="shared" si="38"/>
        <v>0</v>
      </c>
      <c r="L644" s="70">
        <f t="shared" si="39"/>
        <v>0</v>
      </c>
      <c r="M644" s="70">
        <f t="shared" si="40"/>
        <v>0</v>
      </c>
      <c r="N644" s="126"/>
      <c r="O644" s="124"/>
    </row>
    <row r="645" spans="1:15" ht="30" customHeight="1" x14ac:dyDescent="0.3">
      <c r="A645" s="123">
        <f t="shared" si="37"/>
        <v>641</v>
      </c>
      <c r="B645" s="127"/>
      <c r="C645" s="96"/>
      <c r="D645" s="83"/>
      <c r="E645" s="83"/>
      <c r="F645" s="96"/>
      <c r="G645" s="96"/>
      <c r="H645" s="70"/>
      <c r="I645" s="70"/>
      <c r="J645" s="70"/>
      <c r="K645" s="70">
        <f t="shared" si="38"/>
        <v>0</v>
      </c>
      <c r="L645" s="70">
        <f t="shared" si="39"/>
        <v>0</v>
      </c>
      <c r="M645" s="70">
        <f t="shared" si="40"/>
        <v>0</v>
      </c>
      <c r="N645" s="126"/>
      <c r="O645" s="124"/>
    </row>
    <row r="646" spans="1:15" ht="30" customHeight="1" x14ac:dyDescent="0.3">
      <c r="A646" s="123">
        <f t="shared" si="37"/>
        <v>642</v>
      </c>
      <c r="B646" s="127"/>
      <c r="C646" s="96"/>
      <c r="D646" s="83"/>
      <c r="E646" s="83"/>
      <c r="F646" s="96"/>
      <c r="G646" s="96"/>
      <c r="H646" s="70"/>
      <c r="I646" s="70"/>
      <c r="J646" s="70"/>
      <c r="K646" s="70">
        <f t="shared" si="38"/>
        <v>0</v>
      </c>
      <c r="L646" s="70">
        <f t="shared" si="39"/>
        <v>0</v>
      </c>
      <c r="M646" s="70">
        <f t="shared" si="40"/>
        <v>0</v>
      </c>
      <c r="N646" s="126"/>
      <c r="O646" s="124"/>
    </row>
    <row r="647" spans="1:15" ht="30" customHeight="1" x14ac:dyDescent="0.3">
      <c r="A647" s="123">
        <f t="shared" si="37"/>
        <v>643</v>
      </c>
      <c r="B647" s="127"/>
      <c r="C647" s="96"/>
      <c r="D647" s="83"/>
      <c r="E647" s="83"/>
      <c r="F647" s="96"/>
      <c r="G647" s="96"/>
      <c r="H647" s="70"/>
      <c r="I647" s="70"/>
      <c r="J647" s="70"/>
      <c r="K647" s="70">
        <f t="shared" si="38"/>
        <v>0</v>
      </c>
      <c r="L647" s="70">
        <f t="shared" si="39"/>
        <v>0</v>
      </c>
      <c r="M647" s="70">
        <f t="shared" si="40"/>
        <v>0</v>
      </c>
      <c r="N647" s="126"/>
      <c r="O647" s="124"/>
    </row>
    <row r="648" spans="1:15" ht="30" customHeight="1" x14ac:dyDescent="0.3">
      <c r="A648" s="123">
        <f t="shared" si="37"/>
        <v>644</v>
      </c>
      <c r="B648" s="127"/>
      <c r="C648" s="96"/>
      <c r="D648" s="83"/>
      <c r="E648" s="83"/>
      <c r="F648" s="96"/>
      <c r="G648" s="96"/>
      <c r="H648" s="70"/>
      <c r="I648" s="70"/>
      <c r="J648" s="70"/>
      <c r="K648" s="70">
        <f t="shared" si="38"/>
        <v>0</v>
      </c>
      <c r="L648" s="70">
        <f t="shared" si="39"/>
        <v>0</v>
      </c>
      <c r="M648" s="70">
        <f t="shared" si="40"/>
        <v>0</v>
      </c>
      <c r="N648" s="126"/>
      <c r="O648" s="124"/>
    </row>
    <row r="649" spans="1:15" ht="30" customHeight="1" x14ac:dyDescent="0.3">
      <c r="A649" s="123">
        <f t="shared" si="37"/>
        <v>645</v>
      </c>
      <c r="B649" s="127"/>
      <c r="C649" s="96"/>
      <c r="D649" s="83"/>
      <c r="E649" s="83"/>
      <c r="F649" s="96"/>
      <c r="G649" s="96"/>
      <c r="H649" s="70"/>
      <c r="I649" s="70"/>
      <c r="J649" s="70"/>
      <c r="K649" s="70">
        <f t="shared" si="38"/>
        <v>0</v>
      </c>
      <c r="L649" s="70">
        <f t="shared" si="39"/>
        <v>0</v>
      </c>
      <c r="M649" s="70">
        <f t="shared" si="40"/>
        <v>0</v>
      </c>
      <c r="N649" s="126"/>
      <c r="O649" s="124"/>
    </row>
    <row r="650" spans="1:15" ht="30" customHeight="1" x14ac:dyDescent="0.3">
      <c r="A650" s="123">
        <f t="shared" si="37"/>
        <v>646</v>
      </c>
      <c r="B650" s="127"/>
      <c r="C650" s="96"/>
      <c r="D650" s="83"/>
      <c r="E650" s="83"/>
      <c r="F650" s="96"/>
      <c r="G650" s="96"/>
      <c r="H650" s="70"/>
      <c r="I650" s="70"/>
      <c r="J650" s="70"/>
      <c r="K650" s="70">
        <f t="shared" si="38"/>
        <v>0</v>
      </c>
      <c r="L650" s="70">
        <f t="shared" si="39"/>
        <v>0</v>
      </c>
      <c r="M650" s="70">
        <f t="shared" si="40"/>
        <v>0</v>
      </c>
      <c r="N650" s="126"/>
      <c r="O650" s="124"/>
    </row>
    <row r="651" spans="1:15" ht="30" customHeight="1" x14ac:dyDescent="0.3">
      <c r="A651" s="123">
        <f t="shared" si="37"/>
        <v>647</v>
      </c>
      <c r="B651" s="127"/>
      <c r="C651" s="96"/>
      <c r="D651" s="83"/>
      <c r="E651" s="83"/>
      <c r="F651" s="96"/>
      <c r="G651" s="96"/>
      <c r="H651" s="70"/>
      <c r="I651" s="70"/>
      <c r="J651" s="70"/>
      <c r="K651" s="70">
        <f t="shared" si="38"/>
        <v>0</v>
      </c>
      <c r="L651" s="70">
        <f t="shared" si="39"/>
        <v>0</v>
      </c>
      <c r="M651" s="70">
        <f t="shared" si="40"/>
        <v>0</v>
      </c>
      <c r="N651" s="126"/>
      <c r="O651" s="124"/>
    </row>
    <row r="652" spans="1:15" ht="30" customHeight="1" x14ac:dyDescent="0.3">
      <c r="A652" s="123">
        <f t="shared" si="37"/>
        <v>648</v>
      </c>
      <c r="B652" s="127"/>
      <c r="C652" s="96"/>
      <c r="D652" s="83"/>
      <c r="E652" s="83"/>
      <c r="F652" s="96"/>
      <c r="G652" s="96"/>
      <c r="H652" s="70"/>
      <c r="I652" s="70"/>
      <c r="J652" s="70"/>
      <c r="K652" s="70">
        <f t="shared" si="38"/>
        <v>0</v>
      </c>
      <c r="L652" s="70">
        <f t="shared" si="39"/>
        <v>0</v>
      </c>
      <c r="M652" s="70">
        <f t="shared" si="40"/>
        <v>0</v>
      </c>
      <c r="N652" s="126"/>
      <c r="O652" s="124"/>
    </row>
    <row r="653" spans="1:15" ht="30" customHeight="1" x14ac:dyDescent="0.3">
      <c r="A653" s="123">
        <f t="shared" si="37"/>
        <v>649</v>
      </c>
      <c r="B653" s="127"/>
      <c r="C653" s="96"/>
      <c r="D653" s="83"/>
      <c r="E653" s="83"/>
      <c r="F653" s="96"/>
      <c r="G653" s="96"/>
      <c r="H653" s="70"/>
      <c r="I653" s="70"/>
      <c r="J653" s="70"/>
      <c r="K653" s="70">
        <f t="shared" si="38"/>
        <v>0</v>
      </c>
      <c r="L653" s="70">
        <f t="shared" si="39"/>
        <v>0</v>
      </c>
      <c r="M653" s="70">
        <f t="shared" si="40"/>
        <v>0</v>
      </c>
      <c r="N653" s="126"/>
      <c r="O653" s="124"/>
    </row>
    <row r="654" spans="1:15" x14ac:dyDescent="0.3">
      <c r="B654" s="114"/>
      <c r="C654" s="120"/>
      <c r="D654" s="120"/>
      <c r="E654" s="120"/>
      <c r="F654" s="120"/>
      <c r="G654" s="120"/>
      <c r="H654" s="120"/>
      <c r="I654" s="120"/>
      <c r="J654" s="120"/>
      <c r="K654" s="120"/>
      <c r="L654" s="120"/>
      <c r="M654" s="120"/>
      <c r="N654" s="121"/>
    </row>
    <row r="655" spans="1:15" x14ac:dyDescent="0.3">
      <c r="B655" s="178" t="s">
        <v>12</v>
      </c>
      <c r="C655" s="179"/>
      <c r="D655" s="179"/>
      <c r="E655" s="179"/>
      <c r="F655" s="179"/>
      <c r="G655" s="179"/>
      <c r="H655" s="179"/>
      <c r="I655" s="179"/>
      <c r="J655" s="179"/>
      <c r="K655" s="179"/>
      <c r="L655" s="179"/>
      <c r="M655" s="179"/>
      <c r="N655" s="180"/>
    </row>
    <row r="656" spans="1:15" x14ac:dyDescent="0.3">
      <c r="B656" s="128" t="s">
        <v>13</v>
      </c>
      <c r="C656" s="88"/>
      <c r="D656" s="88"/>
      <c r="E656" s="88"/>
      <c r="F656" s="88"/>
      <c r="G656" s="88"/>
      <c r="H656" s="67">
        <f>PERCENTILE($H$6:$H$653,0.9)</f>
        <v>76053058.599999994</v>
      </c>
      <c r="I656" s="67">
        <f>PERCENTILE($I$6:$I$653,0.9)</f>
        <v>44438132.5</v>
      </c>
      <c r="J656" s="67">
        <f>PERCENTILE($J$6:$J$653,0.9)</f>
        <v>39885508.100000001</v>
      </c>
      <c r="K656" s="67">
        <f>PERCENTILE($K$6:$K$653,0.9)</f>
        <v>0</v>
      </c>
      <c r="L656" s="67">
        <f>PERCENTILE($L$6:$L$653,0.9)</f>
        <v>0</v>
      </c>
      <c r="M656" s="67">
        <f>PERCENTILE($M$6:$M$653,0.9)</f>
        <v>0</v>
      </c>
      <c r="N656" s="125">
        <f>IFERROR(PERCENTILE($N$6:$N$653,0.9),"---")</f>
        <v>1.9</v>
      </c>
    </row>
    <row r="657" spans="1:14" x14ac:dyDescent="0.3">
      <c r="B657" s="127" t="s">
        <v>14</v>
      </c>
      <c r="C657" s="96"/>
      <c r="D657" s="96"/>
      <c r="E657" s="96"/>
      <c r="F657" s="96"/>
      <c r="G657" s="96"/>
      <c r="H657" s="70">
        <f>PERCENTILE($H$6:$H$653,0.75)</f>
        <v>74088755.5</v>
      </c>
      <c r="I657" s="70">
        <f>PERCENTILE($I$6:$I$653,0.75)</f>
        <v>42919203.25</v>
      </c>
      <c r="J657" s="70">
        <f>PERCENTILE($J$6:$J$653,0.75)</f>
        <v>39181325.75</v>
      </c>
      <c r="K657" s="70">
        <f>PERCENTILE($K$6:$K$653,0.75)</f>
        <v>0</v>
      </c>
      <c r="L657" s="70">
        <f>PERCENTILE($L$6:$L$653,0.75)</f>
        <v>0</v>
      </c>
      <c r="M657" s="70">
        <f>PERCENTILE($M$6:$M$653,0.75)</f>
        <v>0</v>
      </c>
      <c r="N657" s="126">
        <f>IFERROR(PERCENTILE($N$6:$N$653,0.75),"---")</f>
        <v>1.75</v>
      </c>
    </row>
    <row r="658" spans="1:14" x14ac:dyDescent="0.3">
      <c r="B658" s="129" t="s">
        <v>15</v>
      </c>
      <c r="C658" s="90"/>
      <c r="D658" s="90"/>
      <c r="E658" s="90"/>
      <c r="F658" s="90"/>
      <c r="G658" s="90"/>
      <c r="H658" s="92">
        <f t="shared" ref="H658:M658" si="41">MEDIAN(H6:H653)</f>
        <v>70814917</v>
      </c>
      <c r="I658" s="92">
        <f t="shared" si="41"/>
        <v>40387654.5</v>
      </c>
      <c r="J658" s="92">
        <f t="shared" si="41"/>
        <v>38007688.5</v>
      </c>
      <c r="K658" s="92">
        <f t="shared" si="41"/>
        <v>0</v>
      </c>
      <c r="L658" s="92">
        <f t="shared" si="41"/>
        <v>0</v>
      </c>
      <c r="M658" s="92">
        <f t="shared" si="41"/>
        <v>0</v>
      </c>
      <c r="N658" s="130">
        <f>IFERROR(MEDIAN(N6:N653),"---")</f>
        <v>1.5</v>
      </c>
    </row>
    <row r="659" spans="1:14" x14ac:dyDescent="0.3">
      <c r="B659" s="127" t="s">
        <v>16</v>
      </c>
      <c r="C659" s="96"/>
      <c r="D659" s="96"/>
      <c r="E659" s="96"/>
      <c r="F659" s="96"/>
      <c r="G659" s="96"/>
      <c r="H659" s="70">
        <f>PERCENTILE($H$6:$H$653,0.25)</f>
        <v>67541078.5</v>
      </c>
      <c r="I659" s="70">
        <f>PERCENTILE($I$6:$I$653,0.25)</f>
        <v>37856105.75</v>
      </c>
      <c r="J659" s="70">
        <f>PERCENTILE($J$6:$J$653,0.25)</f>
        <v>36834051.25</v>
      </c>
      <c r="K659" s="70">
        <f>PERCENTILE($K$6:$K$653,0.25)</f>
        <v>0</v>
      </c>
      <c r="L659" s="70">
        <f>PERCENTILE($L$6:$L$653,0.25)</f>
        <v>0</v>
      </c>
      <c r="M659" s="70">
        <f>PERCENTILE($M$6:$M$653,0.25)</f>
        <v>0</v>
      </c>
      <c r="N659" s="126">
        <f>IFERROR(PERCENTILE($N$6:$N$653,0.25),"---")</f>
        <v>1.25</v>
      </c>
    </row>
    <row r="660" spans="1:14" x14ac:dyDescent="0.3">
      <c r="N660" s="12"/>
    </row>
    <row r="661" spans="1:14" x14ac:dyDescent="0.3">
      <c r="A661" s="122">
        <v>100</v>
      </c>
      <c r="B661" s="35" t="str">
        <f>B2</f>
        <v>NFP Organization XYZ</v>
      </c>
      <c r="C661" s="36"/>
      <c r="D661" s="36"/>
      <c r="E661" s="36"/>
      <c r="F661" s="36" t="str">
        <f>SETUP!C9</f>
        <v>Cambridge</v>
      </c>
      <c r="G661" s="119" t="str">
        <f>SETUP!C10</f>
        <v>Massachusetts</v>
      </c>
      <c r="H661" s="39">
        <f>SETUP!C11</f>
        <v>999999</v>
      </c>
      <c r="I661" s="39">
        <f>SETUP!C13</f>
        <v>999999</v>
      </c>
      <c r="J661" s="39">
        <f>SETUP!C12</f>
        <v>999999</v>
      </c>
      <c r="K661" s="39">
        <f>H661/1000000</f>
        <v>0.99999899999999997</v>
      </c>
      <c r="L661" s="39">
        <f>I661/1000000</f>
        <v>0.99999899999999997</v>
      </c>
      <c r="M661" s="39">
        <f>J661/1000000</f>
        <v>0.99999899999999997</v>
      </c>
      <c r="N661" s="97">
        <f>SETUP!C14</f>
        <v>50</v>
      </c>
    </row>
  </sheetData>
  <autoFilter ref="A5:O5" xr:uid="{0BB2107F-3F47-4C6C-A971-3D6217FC4528}"/>
  <mergeCells count="1">
    <mergeCell ref="B655:N655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661"/>
  <sheetViews>
    <sheetView showGridLines="0" zoomScale="80" zoomScaleNormal="85" zoomScaleSheetLayoutView="85" workbookViewId="0">
      <selection activeCell="I9" sqref="I9"/>
    </sheetView>
  </sheetViews>
  <sheetFormatPr defaultColWidth="9.1796875" defaultRowHeight="13" outlineLevelRow="1" outlineLevelCol="1" x14ac:dyDescent="0.3"/>
  <cols>
    <col min="1" max="1" width="7.54296875" style="13" bestFit="1" customWidth="1"/>
    <col min="2" max="2" width="34.1796875" style="13" customWidth="1"/>
    <col min="3" max="3" width="10.81640625" style="13" customWidth="1" outlineLevel="1"/>
    <col min="4" max="4" width="11" style="13" bestFit="1" customWidth="1" outlineLevel="1"/>
    <col min="5" max="5" width="10.36328125" style="13" customWidth="1" outlineLevel="1"/>
    <col min="6" max="6" width="10.90625" style="13" bestFit="1" customWidth="1"/>
    <col min="7" max="7" width="11.81640625" style="13" customWidth="1"/>
    <col min="8" max="8" width="16.1796875" style="13" bestFit="1" customWidth="1"/>
    <col min="9" max="9" width="31.54296875" style="13" bestFit="1" customWidth="1"/>
    <col min="10" max="10" width="15.90625" style="13" bestFit="1" customWidth="1"/>
    <col min="11" max="11" width="20.08984375" style="13" bestFit="1" customWidth="1"/>
    <col min="12" max="12" width="17.08984375" style="13" bestFit="1" customWidth="1"/>
    <col min="13" max="13" width="16.90625" style="13" bestFit="1" customWidth="1"/>
    <col min="14" max="14" width="13.81640625" style="13" customWidth="1" outlineLevel="1"/>
    <col min="15" max="15" width="12.81640625" style="13" customWidth="1" outlineLevel="1"/>
    <col min="16" max="16" width="11.1796875" style="13" customWidth="1" outlineLevel="1"/>
    <col min="17" max="17" width="14.1796875" style="13" customWidth="1" outlineLevel="1"/>
    <col min="18" max="18" width="10.54296875" style="13" customWidth="1" outlineLevel="1"/>
    <col min="19" max="19" width="11" style="13" customWidth="1" outlineLevel="1"/>
    <col min="20" max="20" width="16.54296875" style="13" customWidth="1" outlineLevel="1"/>
    <col min="21" max="21" width="10.81640625" style="13" customWidth="1" outlineLevel="1"/>
    <col min="22" max="22" width="15.54296875" style="13" customWidth="1" outlineLevel="1"/>
    <col min="23" max="23" width="11.54296875" style="13" customWidth="1" outlineLevel="1"/>
    <col min="24" max="27" width="16.81640625" style="13" customWidth="1"/>
    <col min="28" max="28" width="17.54296875" style="13" customWidth="1"/>
    <col min="29" max="30" width="16.81640625" style="13" customWidth="1"/>
    <col min="31" max="31" width="16.81640625" style="13" customWidth="1" outlineLevel="1"/>
    <col min="32" max="32" width="4.453125" style="22" customWidth="1"/>
    <col min="33" max="46" width="16.81640625" style="13" customWidth="1" outlineLevel="1"/>
    <col min="47" max="16384" width="9.1796875" style="13"/>
  </cols>
  <sheetData>
    <row r="1" spans="1:46" s="7" customFormat="1" ht="25.5" x14ac:dyDescent="0.55000000000000004">
      <c r="B1" s="28" t="str">
        <f>SETUP!$C$4</f>
        <v>NFP Organization XYZ</v>
      </c>
      <c r="C1" s="8"/>
      <c r="J1" s="14"/>
      <c r="U1" s="183" t="s">
        <v>47</v>
      </c>
      <c r="V1" s="183"/>
      <c r="W1" s="72">
        <f>DataEffDate</f>
        <v>45292</v>
      </c>
      <c r="AF1" s="15"/>
    </row>
    <row r="2" spans="1:46" s="7" customFormat="1" ht="18" x14ac:dyDescent="0.4">
      <c r="B2" s="16" t="s">
        <v>63</v>
      </c>
      <c r="C2" s="16"/>
      <c r="D2" s="17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8" t="s">
        <v>33</v>
      </c>
      <c r="AE2" s="10"/>
      <c r="AF2" s="15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</row>
    <row r="3" spans="1:46" s="7" customFormat="1" ht="14.5" x14ac:dyDescent="0.35">
      <c r="AF3" s="15"/>
    </row>
    <row r="4" spans="1:46" s="19" customFormat="1" ht="15" customHeight="1" x14ac:dyDescent="0.35">
      <c r="B4" s="186" t="str">
        <f>"Peer Group Data ($000) - Effective: "&amp;TEXT(W1,"mmmm d, Yyyy")</f>
        <v>Peer Group Data ($000) - Effective: January 1, 2024</v>
      </c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75"/>
      <c r="O4" s="75"/>
      <c r="P4" s="187" t="s">
        <v>28</v>
      </c>
      <c r="Q4" s="187"/>
      <c r="R4" s="187"/>
      <c r="S4" s="187"/>
      <c r="T4" s="187"/>
      <c r="U4" s="187"/>
      <c r="V4" s="187"/>
      <c r="W4" s="76"/>
      <c r="X4" s="181"/>
      <c r="Y4" s="181"/>
      <c r="Z4" s="181"/>
      <c r="AA4" s="181"/>
      <c r="AB4" s="181"/>
      <c r="AC4" s="181"/>
      <c r="AD4" s="181"/>
      <c r="AE4" s="41" t="s">
        <v>11</v>
      </c>
      <c r="AF4" s="20"/>
      <c r="AG4" s="185" t="s">
        <v>30</v>
      </c>
      <c r="AH4" s="185"/>
      <c r="AI4" s="185"/>
      <c r="AJ4" s="185"/>
      <c r="AK4" s="185"/>
      <c r="AL4" s="185"/>
      <c r="AM4" s="185"/>
      <c r="AN4" s="184" t="s">
        <v>31</v>
      </c>
      <c r="AO4" s="184"/>
      <c r="AP4" s="184"/>
      <c r="AQ4" s="184"/>
      <c r="AR4" s="184"/>
      <c r="AS4" s="184"/>
      <c r="AT4" s="184"/>
    </row>
    <row r="5" spans="1:46" ht="36" customHeight="1" x14ac:dyDescent="0.3">
      <c r="A5" s="73" t="s">
        <v>1</v>
      </c>
      <c r="B5" s="134" t="s">
        <v>2</v>
      </c>
      <c r="C5" s="134" t="s">
        <v>3</v>
      </c>
      <c r="D5" s="134" t="s">
        <v>4</v>
      </c>
      <c r="E5" s="134" t="s">
        <v>5</v>
      </c>
      <c r="F5" s="134" t="s">
        <v>6</v>
      </c>
      <c r="G5" s="134" t="s">
        <v>7</v>
      </c>
      <c r="H5" s="135" t="s">
        <v>18</v>
      </c>
      <c r="I5" s="135" t="s">
        <v>17</v>
      </c>
      <c r="J5" s="136" t="s">
        <v>8</v>
      </c>
      <c r="K5" s="136" t="s">
        <v>64</v>
      </c>
      <c r="L5" s="136" t="s">
        <v>9</v>
      </c>
      <c r="M5" s="136" t="s">
        <v>10</v>
      </c>
      <c r="N5" s="75" t="s">
        <v>19</v>
      </c>
      <c r="O5" s="75" t="s">
        <v>20</v>
      </c>
      <c r="P5" s="77" t="s">
        <v>21</v>
      </c>
      <c r="Q5" s="77" t="s">
        <v>22</v>
      </c>
      <c r="R5" s="77" t="s">
        <v>24</v>
      </c>
      <c r="S5" s="77" t="s">
        <v>23</v>
      </c>
      <c r="T5" s="77" t="s">
        <v>25</v>
      </c>
      <c r="U5" s="77" t="s">
        <v>26</v>
      </c>
      <c r="V5" s="77" t="s">
        <v>27</v>
      </c>
      <c r="W5" s="76" t="s">
        <v>29</v>
      </c>
      <c r="X5" s="137" t="s">
        <v>21</v>
      </c>
      <c r="Y5" s="137" t="s">
        <v>22</v>
      </c>
      <c r="Z5" s="137" t="s">
        <v>60</v>
      </c>
      <c r="AA5" s="137" t="s">
        <v>23</v>
      </c>
      <c r="AB5" s="137" t="s">
        <v>62</v>
      </c>
      <c r="AC5" s="137" t="s">
        <v>26</v>
      </c>
      <c r="AD5" s="137" t="s">
        <v>61</v>
      </c>
      <c r="AE5" s="42"/>
      <c r="AF5" s="20"/>
      <c r="AG5" s="50" t="s">
        <v>21</v>
      </c>
      <c r="AH5" s="50" t="s">
        <v>22</v>
      </c>
      <c r="AI5" s="50" t="s">
        <v>24</v>
      </c>
      <c r="AJ5" s="50" t="s">
        <v>23</v>
      </c>
      <c r="AK5" s="50" t="s">
        <v>25</v>
      </c>
      <c r="AL5" s="50" t="s">
        <v>26</v>
      </c>
      <c r="AM5" s="50" t="s">
        <v>27</v>
      </c>
      <c r="AN5" s="51" t="s">
        <v>21</v>
      </c>
      <c r="AO5" s="51" t="s">
        <v>22</v>
      </c>
      <c r="AP5" s="51" t="s">
        <v>24</v>
      </c>
      <c r="AQ5" s="51" t="s">
        <v>23</v>
      </c>
      <c r="AR5" s="51" t="s">
        <v>25</v>
      </c>
      <c r="AS5" s="51" t="s">
        <v>26</v>
      </c>
      <c r="AT5" s="51" t="s">
        <v>27</v>
      </c>
    </row>
    <row r="6" spans="1:46" ht="30" customHeight="1" x14ac:dyDescent="0.3">
      <c r="A6" s="73">
        <v>1</v>
      </c>
      <c r="B6" s="139" t="str">
        <f>INDEX('PEER GROUP'!B:B,MATCH($A6,'PEER GROUP'!$A:$A,0))</f>
        <v>Org A</v>
      </c>
      <c r="C6" s="78">
        <f>INDEX('PEER GROUP'!C:C,MATCH($A6,'PEER GROUP'!$A:$A,0))</f>
        <v>0</v>
      </c>
      <c r="D6" s="78">
        <f>INDEX('PEER GROUP'!D:D,MATCH($A6,'PEER GROUP'!$A:$A,0))</f>
        <v>44651</v>
      </c>
      <c r="E6" s="78">
        <f>INDEX('PEER GROUP'!E:E,MATCH(A6,'PEER GROUP'!$A:$A,0))</f>
        <v>44561</v>
      </c>
      <c r="F6" s="79">
        <f>INDEX('PEER GROUP'!F:F,MATCH($A6,'PEER GROUP'!$A:$A,0))</f>
        <v>0</v>
      </c>
      <c r="G6" s="79">
        <f>INDEX('PEER GROUP'!G:G,MATCH($A6,'PEER GROUP'!$A:$A,0))</f>
        <v>0</v>
      </c>
      <c r="H6" s="80"/>
      <c r="I6" s="80"/>
      <c r="J6" s="67">
        <f>INDEX('PEER GROUP'!K:K,MATCH($A6,'PEER GROUP'!$A:$A,0))</f>
        <v>77.362594000000001</v>
      </c>
      <c r="K6" s="67">
        <f>INDEX('PEER GROUP'!L:L,MATCH($A6,'PEER GROUP'!$A:$A,0))</f>
        <v>45.450752000000001</v>
      </c>
      <c r="L6" s="67">
        <f>INDEX('PEER GROUP'!M:M,MATCH($A6,'PEER GROUP'!$A:$A,0))</f>
        <v>40.354962999999998</v>
      </c>
      <c r="M6" s="81">
        <f>INDEX('PEER GROUP'!N:N,MATCH($A6,'PEER GROUP'!$A:$A,0))</f>
        <v>1</v>
      </c>
      <c r="N6" s="116"/>
      <c r="O6" s="89"/>
      <c r="P6" s="116"/>
      <c r="Q6" s="82"/>
      <c r="R6" s="82">
        <f t="shared" ref="R6:R34" si="0">SUM(P6:Q6)</f>
        <v>0</v>
      </c>
      <c r="S6" s="82"/>
      <c r="T6" s="82"/>
      <c r="U6" s="82"/>
      <c r="V6" s="82">
        <f t="shared" ref="V6:V34" si="1">SUM(R6:U6)</f>
        <v>0</v>
      </c>
      <c r="W6" s="112">
        <f t="shared" ref="W6:W34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X6" s="66">
        <f t="shared" ref="X6:X34" si="3">P6*$W6</f>
        <v>0</v>
      </c>
      <c r="Y6" s="67">
        <f t="shared" ref="Y6:Y34" si="4">Q6*$W6</f>
        <v>0</v>
      </c>
      <c r="Z6" s="67">
        <f t="shared" ref="Z6:Z34" si="5">SUM(X6:Y6)</f>
        <v>0</v>
      </c>
      <c r="AA6" s="67">
        <f t="shared" ref="AA6:AA34" si="6">S6*$W6</f>
        <v>0</v>
      </c>
      <c r="AB6" s="67">
        <f t="shared" ref="AB6:AB34" si="7">T6*$W6</f>
        <v>0</v>
      </c>
      <c r="AC6" s="67">
        <f t="shared" ref="AC6:AC34" si="8">U6*$W6</f>
        <v>0</v>
      </c>
      <c r="AD6" s="68">
        <f t="shared" ref="AD6:AD34" si="9">SUM(Z6:AC6)</f>
        <v>0</v>
      </c>
      <c r="AE6" s="49"/>
      <c r="AF6" s="21"/>
      <c r="AG6" s="66"/>
      <c r="AH6" s="67"/>
      <c r="AI6" s="67"/>
      <c r="AJ6" s="67"/>
      <c r="AK6" s="67"/>
      <c r="AL6" s="67"/>
      <c r="AM6" s="67"/>
      <c r="AN6" s="67" t="str">
        <f t="shared" ref="AN6:AN34" si="10">IFERROR(P6/AG6-1,"---")</f>
        <v>---</v>
      </c>
      <c r="AO6" s="67" t="str">
        <f t="shared" ref="AO6:AO34" si="11">IFERROR(Q6/AH6-1,"---")</f>
        <v>---</v>
      </c>
      <c r="AP6" s="67" t="str">
        <f t="shared" ref="AP6:AP34" si="12">IFERROR(R6/AI6-1,"---")</f>
        <v>---</v>
      </c>
      <c r="AQ6" s="67" t="str">
        <f t="shared" ref="AQ6:AQ34" si="13">IFERROR(S6/AJ6-1,"---")</f>
        <v>---</v>
      </c>
      <c r="AR6" s="67" t="str">
        <f t="shared" ref="AR6:AR34" si="14">IFERROR(T6/AK6-1,"---")</f>
        <v>---</v>
      </c>
      <c r="AS6" s="67" t="str">
        <f t="shared" ref="AS6:AS34" si="15">IFERROR(U6/AL6-1,"---")</f>
        <v>---</v>
      </c>
      <c r="AT6" s="68" t="str">
        <f t="shared" ref="AT6:AT34" si="16">IFERROR(V6/AM6-1,"---")</f>
        <v>---</v>
      </c>
    </row>
    <row r="7" spans="1:46" ht="30" customHeight="1" x14ac:dyDescent="0.3">
      <c r="A7" s="73">
        <v>2</v>
      </c>
      <c r="B7" s="140" t="str">
        <f>INDEX('PEER GROUP'!B:B,MATCH($A7,'PEER GROUP'!$A:$A,0))</f>
        <v>Org B</v>
      </c>
      <c r="C7" s="83">
        <f>INDEX('PEER GROUP'!C:C,MATCH($A7,'PEER GROUP'!$A:$A,0))</f>
        <v>0</v>
      </c>
      <c r="D7" s="83">
        <f>INDEX('PEER GROUP'!D:D,MATCH($A7,'PEER GROUP'!$A:$A,0))</f>
        <v>44561</v>
      </c>
      <c r="E7" s="83">
        <f>INDEX('PEER GROUP'!E:E,MATCH(A7,'PEER GROUP'!$A:$A,0))</f>
        <v>44561</v>
      </c>
      <c r="F7" s="84">
        <f>INDEX('PEER GROUP'!F:F,MATCH($A7,'PEER GROUP'!$A:$A,0))</f>
        <v>0</v>
      </c>
      <c r="G7" s="84">
        <f>INDEX('PEER GROUP'!G:G,MATCH($A7,'PEER GROUP'!$A:$A,0))</f>
        <v>0</v>
      </c>
      <c r="H7" s="85"/>
      <c r="I7" s="85"/>
      <c r="J7" s="70">
        <f>INDEX('PEER GROUP'!K:K,MATCH($A7,'PEER GROUP'!$A:$A,0))</f>
        <v>64.267240000000001</v>
      </c>
      <c r="K7" s="70">
        <f>INDEX('PEER GROUP'!L:L,MATCH($A7,'PEER GROUP'!$A:$A,0))</f>
        <v>35.324556999999999</v>
      </c>
      <c r="L7" s="70">
        <f>INDEX('PEER GROUP'!M:M,MATCH($A7,'PEER GROUP'!$A:$A,0))</f>
        <v>35.660414000000003</v>
      </c>
      <c r="M7" s="86">
        <f>INDEX('PEER GROUP'!N:N,MATCH($A7,'PEER GROUP'!$A:$A,0))</f>
        <v>2</v>
      </c>
      <c r="N7" s="118"/>
      <c r="O7" s="115"/>
      <c r="P7" s="117"/>
      <c r="Q7" s="87"/>
      <c r="R7" s="87">
        <f t="shared" si="0"/>
        <v>0</v>
      </c>
      <c r="S7" s="87"/>
      <c r="T7" s="87"/>
      <c r="U7" s="87"/>
      <c r="V7" s="87">
        <f t="shared" si="1"/>
        <v>0</v>
      </c>
      <c r="W7" s="113">
        <f t="shared" si="2"/>
        <v>1.0816035782601312</v>
      </c>
      <c r="X7" s="69">
        <f t="shared" si="3"/>
        <v>0</v>
      </c>
      <c r="Y7" s="70">
        <f t="shared" si="4"/>
        <v>0</v>
      </c>
      <c r="Z7" s="70">
        <f t="shared" si="5"/>
        <v>0</v>
      </c>
      <c r="AA7" s="70">
        <f t="shared" si="6"/>
        <v>0</v>
      </c>
      <c r="AB7" s="70">
        <f t="shared" si="7"/>
        <v>0</v>
      </c>
      <c r="AC7" s="70">
        <f t="shared" si="8"/>
        <v>0</v>
      </c>
      <c r="AD7" s="71">
        <f t="shared" si="9"/>
        <v>0</v>
      </c>
      <c r="AE7" s="49"/>
      <c r="AF7" s="21"/>
      <c r="AG7" s="69"/>
      <c r="AH7" s="70"/>
      <c r="AI7" s="70"/>
      <c r="AJ7" s="70"/>
      <c r="AK7" s="70"/>
      <c r="AL7" s="70"/>
      <c r="AM7" s="70"/>
      <c r="AN7" s="70" t="str">
        <f t="shared" si="10"/>
        <v>---</v>
      </c>
      <c r="AO7" s="70" t="str">
        <f t="shared" si="11"/>
        <v>---</v>
      </c>
      <c r="AP7" s="70" t="str">
        <f t="shared" si="12"/>
        <v>---</v>
      </c>
      <c r="AQ7" s="70" t="str">
        <f t="shared" si="13"/>
        <v>---</v>
      </c>
      <c r="AR7" s="70" t="str">
        <f t="shared" si="14"/>
        <v>---</v>
      </c>
      <c r="AS7" s="70" t="str">
        <f t="shared" si="15"/>
        <v>---</v>
      </c>
      <c r="AT7" s="71" t="str">
        <f t="shared" si="16"/>
        <v>---</v>
      </c>
    </row>
    <row r="8" spans="1:46" ht="30" customHeight="1" x14ac:dyDescent="0.3">
      <c r="A8" s="73">
        <v>3</v>
      </c>
      <c r="B8" s="140">
        <f>INDEX('PEER GROUP'!B:B,MATCH($A8,'PEER GROUP'!$A:$A,0))</f>
        <v>0</v>
      </c>
      <c r="C8" s="83">
        <f>INDEX('PEER GROUP'!C:C,MATCH($A8,'PEER GROUP'!$A:$A,0))</f>
        <v>0</v>
      </c>
      <c r="D8" s="83">
        <f>INDEX('PEER GROUP'!D:D,MATCH($A8,'PEER GROUP'!$A:$A,0))</f>
        <v>0</v>
      </c>
      <c r="E8" s="83">
        <f>INDEX('PEER GROUP'!E:E,MATCH(A8,'PEER GROUP'!$A:$A,0))</f>
        <v>0</v>
      </c>
      <c r="F8" s="84">
        <f>INDEX('PEER GROUP'!F:F,MATCH($A8,'PEER GROUP'!$A:$A,0))</f>
        <v>0</v>
      </c>
      <c r="G8" s="84">
        <f>INDEX('PEER GROUP'!G:G,MATCH($A8,'PEER GROUP'!$A:$A,0))</f>
        <v>0</v>
      </c>
      <c r="H8" s="85"/>
      <c r="I8" s="85"/>
      <c r="J8" s="70">
        <f>INDEX('PEER GROUP'!K:K,MATCH($A8,'PEER GROUP'!$A:$A,0))</f>
        <v>0</v>
      </c>
      <c r="K8" s="70">
        <f>INDEX('PEER GROUP'!L:L,MATCH($A8,'PEER GROUP'!$A:$A,0))</f>
        <v>0</v>
      </c>
      <c r="L8" s="70">
        <f>INDEX('PEER GROUP'!M:M,MATCH($A8,'PEER GROUP'!$A:$A,0))</f>
        <v>0</v>
      </c>
      <c r="M8" s="86">
        <f>INDEX('PEER GROUP'!N:N,MATCH($A8,'PEER GROUP'!$A:$A,0))</f>
        <v>0</v>
      </c>
      <c r="N8" s="118"/>
      <c r="O8" s="115"/>
      <c r="P8" s="117"/>
      <c r="Q8" s="87"/>
      <c r="R8" s="87">
        <f t="shared" si="0"/>
        <v>0</v>
      </c>
      <c r="S8" s="87"/>
      <c r="T8" s="87"/>
      <c r="U8" s="87"/>
      <c r="V8" s="87">
        <f t="shared" si="1"/>
        <v>0</v>
      </c>
      <c r="W8" s="113">
        <f t="shared" si="2"/>
        <v>36.913096727263202</v>
      </c>
      <c r="X8" s="69">
        <f t="shared" si="3"/>
        <v>0</v>
      </c>
      <c r="Y8" s="70">
        <f t="shared" si="4"/>
        <v>0</v>
      </c>
      <c r="Z8" s="70">
        <f t="shared" si="5"/>
        <v>0</v>
      </c>
      <c r="AA8" s="70">
        <f t="shared" si="6"/>
        <v>0</v>
      </c>
      <c r="AB8" s="70">
        <f t="shared" si="7"/>
        <v>0</v>
      </c>
      <c r="AC8" s="70">
        <f t="shared" si="8"/>
        <v>0</v>
      </c>
      <c r="AD8" s="71">
        <f t="shared" si="9"/>
        <v>0</v>
      </c>
      <c r="AE8" s="49"/>
      <c r="AF8" s="21"/>
      <c r="AG8" s="69"/>
      <c r="AH8" s="70"/>
      <c r="AI8" s="70"/>
      <c r="AJ8" s="70"/>
      <c r="AK8" s="70"/>
      <c r="AL8" s="70"/>
      <c r="AM8" s="70"/>
      <c r="AN8" s="70" t="str">
        <f t="shared" si="10"/>
        <v>---</v>
      </c>
      <c r="AO8" s="70" t="str">
        <f t="shared" si="11"/>
        <v>---</v>
      </c>
      <c r="AP8" s="70" t="str">
        <f t="shared" si="12"/>
        <v>---</v>
      </c>
      <c r="AQ8" s="70" t="str">
        <f t="shared" si="13"/>
        <v>---</v>
      </c>
      <c r="AR8" s="70" t="str">
        <f t="shared" si="14"/>
        <v>---</v>
      </c>
      <c r="AS8" s="70" t="str">
        <f t="shared" si="15"/>
        <v>---</v>
      </c>
      <c r="AT8" s="71" t="str">
        <f t="shared" si="16"/>
        <v>---</v>
      </c>
    </row>
    <row r="9" spans="1:46" ht="30" customHeight="1" x14ac:dyDescent="0.3">
      <c r="A9" s="73">
        <v>4</v>
      </c>
      <c r="B9" s="140">
        <f>INDEX('PEER GROUP'!B:B,MATCH($A9,'PEER GROUP'!$A:$A,0))</f>
        <v>0</v>
      </c>
      <c r="C9" s="83">
        <f>INDEX('PEER GROUP'!C:C,MATCH($A9,'PEER GROUP'!$A:$A,0))</f>
        <v>0</v>
      </c>
      <c r="D9" s="83">
        <f>INDEX('PEER GROUP'!D:D,MATCH($A9,'PEER GROUP'!$A:$A,0))</f>
        <v>0</v>
      </c>
      <c r="E9" s="83">
        <f>INDEX('PEER GROUP'!E:E,MATCH(A9,'PEER GROUP'!$A:$A,0))</f>
        <v>0</v>
      </c>
      <c r="F9" s="84">
        <f>INDEX('PEER GROUP'!F:F,MATCH($A9,'PEER GROUP'!$A:$A,0))</f>
        <v>0</v>
      </c>
      <c r="G9" s="84">
        <f>INDEX('PEER GROUP'!G:G,MATCH($A9,'PEER GROUP'!$A:$A,0))</f>
        <v>0</v>
      </c>
      <c r="H9" s="85"/>
      <c r="I9" s="85"/>
      <c r="J9" s="70">
        <f>INDEX('PEER GROUP'!K:K,MATCH($A9,'PEER GROUP'!$A:$A,0))</f>
        <v>0</v>
      </c>
      <c r="K9" s="70">
        <f>INDEX('PEER GROUP'!L:L,MATCH($A9,'PEER GROUP'!$A:$A,0))</f>
        <v>0</v>
      </c>
      <c r="L9" s="70">
        <f>INDEX('PEER GROUP'!M:M,MATCH($A9,'PEER GROUP'!$A:$A,0))</f>
        <v>0</v>
      </c>
      <c r="M9" s="86">
        <f>INDEX('PEER GROUP'!N:N,MATCH($A9,'PEER GROUP'!$A:$A,0))</f>
        <v>0</v>
      </c>
      <c r="N9" s="118"/>
      <c r="O9" s="115"/>
      <c r="P9" s="117"/>
      <c r="Q9" s="87"/>
      <c r="R9" s="87">
        <f t="shared" si="0"/>
        <v>0</v>
      </c>
      <c r="S9" s="87"/>
      <c r="T9" s="87"/>
      <c r="U9" s="87"/>
      <c r="V9" s="87">
        <f t="shared" si="1"/>
        <v>0</v>
      </c>
      <c r="W9" s="113">
        <f t="shared" si="2"/>
        <v>36.913096727263202</v>
      </c>
      <c r="X9" s="69">
        <f t="shared" si="3"/>
        <v>0</v>
      </c>
      <c r="Y9" s="70">
        <f t="shared" si="4"/>
        <v>0</v>
      </c>
      <c r="Z9" s="70">
        <f t="shared" si="5"/>
        <v>0</v>
      </c>
      <c r="AA9" s="70">
        <f t="shared" si="6"/>
        <v>0</v>
      </c>
      <c r="AB9" s="70">
        <f t="shared" si="7"/>
        <v>0</v>
      </c>
      <c r="AC9" s="70">
        <f t="shared" si="8"/>
        <v>0</v>
      </c>
      <c r="AD9" s="71">
        <f t="shared" si="9"/>
        <v>0</v>
      </c>
      <c r="AE9" s="49"/>
      <c r="AF9" s="21"/>
      <c r="AG9" s="69"/>
      <c r="AH9" s="70"/>
      <c r="AI9" s="70"/>
      <c r="AJ9" s="70"/>
      <c r="AK9" s="70"/>
      <c r="AL9" s="70"/>
      <c r="AM9" s="70"/>
      <c r="AN9" s="70" t="str">
        <f t="shared" si="10"/>
        <v>---</v>
      </c>
      <c r="AO9" s="70" t="str">
        <f t="shared" si="11"/>
        <v>---</v>
      </c>
      <c r="AP9" s="70" t="str">
        <f t="shared" si="12"/>
        <v>---</v>
      </c>
      <c r="AQ9" s="70" t="str">
        <f t="shared" si="13"/>
        <v>---</v>
      </c>
      <c r="AR9" s="70" t="str">
        <f t="shared" si="14"/>
        <v>---</v>
      </c>
      <c r="AS9" s="70" t="str">
        <f t="shared" si="15"/>
        <v>---</v>
      </c>
      <c r="AT9" s="71" t="str">
        <f t="shared" si="16"/>
        <v>---</v>
      </c>
    </row>
    <row r="10" spans="1:46" ht="30" customHeight="1" x14ac:dyDescent="0.3">
      <c r="A10" s="73">
        <v>5</v>
      </c>
      <c r="B10" s="140">
        <f>INDEX('PEER GROUP'!B:B,MATCH($A10,'PEER GROUP'!$A:$A,0))</f>
        <v>0</v>
      </c>
      <c r="C10" s="83">
        <f>INDEX('PEER GROUP'!C:C,MATCH($A10,'PEER GROUP'!$A:$A,0))</f>
        <v>0</v>
      </c>
      <c r="D10" s="83">
        <f>INDEX('PEER GROUP'!D:D,MATCH($A10,'PEER GROUP'!$A:$A,0))</f>
        <v>0</v>
      </c>
      <c r="E10" s="83">
        <f>INDEX('PEER GROUP'!E:E,MATCH(A10,'PEER GROUP'!$A:$A,0))</f>
        <v>0</v>
      </c>
      <c r="F10" s="84">
        <f>INDEX('PEER GROUP'!F:F,MATCH($A10,'PEER GROUP'!$A:$A,0))</f>
        <v>0</v>
      </c>
      <c r="G10" s="84">
        <f>INDEX('PEER GROUP'!G:G,MATCH($A10,'PEER GROUP'!$A:$A,0))</f>
        <v>0</v>
      </c>
      <c r="H10" s="85"/>
      <c r="I10" s="85"/>
      <c r="J10" s="70">
        <f>INDEX('PEER GROUP'!K:K,MATCH($A10,'PEER GROUP'!$A:$A,0))</f>
        <v>0</v>
      </c>
      <c r="K10" s="70">
        <f>INDEX('PEER GROUP'!L:L,MATCH($A10,'PEER GROUP'!$A:$A,0))</f>
        <v>0</v>
      </c>
      <c r="L10" s="70">
        <f>INDEX('PEER GROUP'!M:M,MATCH($A10,'PEER GROUP'!$A:$A,0))</f>
        <v>0</v>
      </c>
      <c r="M10" s="86">
        <f>INDEX('PEER GROUP'!N:N,MATCH($A10,'PEER GROUP'!$A:$A,0))</f>
        <v>0</v>
      </c>
      <c r="N10" s="118"/>
      <c r="O10" s="115"/>
      <c r="P10" s="117"/>
      <c r="Q10" s="87"/>
      <c r="R10" s="87">
        <f t="shared" si="0"/>
        <v>0</v>
      </c>
      <c r="S10" s="87"/>
      <c r="T10" s="87"/>
      <c r="U10" s="87"/>
      <c r="V10" s="87">
        <f t="shared" si="1"/>
        <v>0</v>
      </c>
      <c r="W10" s="113">
        <f t="shared" si="2"/>
        <v>36.913096727263202</v>
      </c>
      <c r="X10" s="69">
        <f t="shared" si="3"/>
        <v>0</v>
      </c>
      <c r="Y10" s="70">
        <f t="shared" si="4"/>
        <v>0</v>
      </c>
      <c r="Z10" s="70">
        <f t="shared" si="5"/>
        <v>0</v>
      </c>
      <c r="AA10" s="70">
        <f t="shared" si="6"/>
        <v>0</v>
      </c>
      <c r="AB10" s="70">
        <f t="shared" si="7"/>
        <v>0</v>
      </c>
      <c r="AC10" s="70">
        <f t="shared" si="8"/>
        <v>0</v>
      </c>
      <c r="AD10" s="71">
        <f t="shared" si="9"/>
        <v>0</v>
      </c>
      <c r="AE10" s="49"/>
      <c r="AF10" s="21"/>
      <c r="AG10" s="69"/>
      <c r="AH10" s="70"/>
      <c r="AI10" s="70"/>
      <c r="AJ10" s="70"/>
      <c r="AK10" s="70"/>
      <c r="AL10" s="70"/>
      <c r="AM10" s="70"/>
      <c r="AN10" s="70" t="str">
        <f t="shared" si="10"/>
        <v>---</v>
      </c>
      <c r="AO10" s="70" t="str">
        <f t="shared" si="11"/>
        <v>---</v>
      </c>
      <c r="AP10" s="70" t="str">
        <f t="shared" si="12"/>
        <v>---</v>
      </c>
      <c r="AQ10" s="70" t="str">
        <f t="shared" si="13"/>
        <v>---</v>
      </c>
      <c r="AR10" s="70" t="str">
        <f t="shared" si="14"/>
        <v>---</v>
      </c>
      <c r="AS10" s="70" t="str">
        <f t="shared" si="15"/>
        <v>---</v>
      </c>
      <c r="AT10" s="71" t="str">
        <f t="shared" si="16"/>
        <v>---</v>
      </c>
    </row>
    <row r="11" spans="1:46" ht="30" customHeight="1" x14ac:dyDescent="0.3">
      <c r="A11" s="73">
        <v>6</v>
      </c>
      <c r="B11" s="140">
        <f>INDEX('PEER GROUP'!B:B,MATCH($A11,'PEER GROUP'!$A:$A,0))</f>
        <v>0</v>
      </c>
      <c r="C11" s="83">
        <f>INDEX('PEER GROUP'!C:C,MATCH($A11,'PEER GROUP'!$A:$A,0))</f>
        <v>0</v>
      </c>
      <c r="D11" s="83">
        <f>INDEX('PEER GROUP'!D:D,MATCH($A11,'PEER GROUP'!$A:$A,0))</f>
        <v>0</v>
      </c>
      <c r="E11" s="83">
        <f>INDEX('PEER GROUP'!E:E,MATCH(A11,'PEER GROUP'!$A:$A,0))</f>
        <v>0</v>
      </c>
      <c r="F11" s="84">
        <f>INDEX('PEER GROUP'!F:F,MATCH($A11,'PEER GROUP'!$A:$A,0))</f>
        <v>0</v>
      </c>
      <c r="G11" s="84">
        <f>INDEX('PEER GROUP'!G:G,MATCH($A11,'PEER GROUP'!$A:$A,0))</f>
        <v>0</v>
      </c>
      <c r="H11" s="85"/>
      <c r="I11" s="85"/>
      <c r="J11" s="70">
        <f>INDEX('PEER GROUP'!K:K,MATCH($A11,'PEER GROUP'!$A:$A,0))</f>
        <v>0</v>
      </c>
      <c r="K11" s="70">
        <f>INDEX('PEER GROUP'!L:L,MATCH($A11,'PEER GROUP'!$A:$A,0))</f>
        <v>0</v>
      </c>
      <c r="L11" s="70">
        <f>INDEX('PEER GROUP'!M:M,MATCH($A11,'PEER GROUP'!$A:$A,0))</f>
        <v>0</v>
      </c>
      <c r="M11" s="86">
        <f>INDEX('PEER GROUP'!N:N,MATCH($A11,'PEER GROUP'!$A:$A,0))</f>
        <v>0</v>
      </c>
      <c r="N11" s="118"/>
      <c r="O11" s="115"/>
      <c r="P11" s="117"/>
      <c r="Q11" s="87"/>
      <c r="R11" s="87">
        <f t="shared" si="0"/>
        <v>0</v>
      </c>
      <c r="S11" s="87"/>
      <c r="T11" s="87"/>
      <c r="U11" s="87"/>
      <c r="V11" s="87">
        <f t="shared" si="1"/>
        <v>0</v>
      </c>
      <c r="W11" s="113">
        <f t="shared" si="2"/>
        <v>36.913096727263202</v>
      </c>
      <c r="X11" s="69">
        <f t="shared" si="3"/>
        <v>0</v>
      </c>
      <c r="Y11" s="70">
        <f t="shared" si="4"/>
        <v>0</v>
      </c>
      <c r="Z11" s="70">
        <f t="shared" si="5"/>
        <v>0</v>
      </c>
      <c r="AA11" s="70">
        <f t="shared" si="6"/>
        <v>0</v>
      </c>
      <c r="AB11" s="70">
        <f t="shared" si="7"/>
        <v>0</v>
      </c>
      <c r="AC11" s="70">
        <f t="shared" si="8"/>
        <v>0</v>
      </c>
      <c r="AD11" s="71">
        <f t="shared" si="9"/>
        <v>0</v>
      </c>
      <c r="AE11" s="49"/>
      <c r="AF11" s="21"/>
      <c r="AG11" s="69"/>
      <c r="AH11" s="70"/>
      <c r="AI11" s="70"/>
      <c r="AJ11" s="70"/>
      <c r="AK11" s="70"/>
      <c r="AL11" s="70"/>
      <c r="AM11" s="70"/>
      <c r="AN11" s="70" t="str">
        <f t="shared" si="10"/>
        <v>---</v>
      </c>
      <c r="AO11" s="70" t="str">
        <f t="shared" si="11"/>
        <v>---</v>
      </c>
      <c r="AP11" s="70" t="str">
        <f t="shared" si="12"/>
        <v>---</v>
      </c>
      <c r="AQ11" s="70" t="str">
        <f t="shared" si="13"/>
        <v>---</v>
      </c>
      <c r="AR11" s="70" t="str">
        <f t="shared" si="14"/>
        <v>---</v>
      </c>
      <c r="AS11" s="70" t="str">
        <f t="shared" si="15"/>
        <v>---</v>
      </c>
      <c r="AT11" s="71" t="str">
        <f t="shared" si="16"/>
        <v>---</v>
      </c>
    </row>
    <row r="12" spans="1:46" ht="30" customHeight="1" x14ac:dyDescent="0.3">
      <c r="A12" s="73">
        <v>7</v>
      </c>
      <c r="B12" s="140">
        <f>INDEX('PEER GROUP'!B:B,MATCH($A12,'PEER GROUP'!$A:$A,0))</f>
        <v>0</v>
      </c>
      <c r="C12" s="83">
        <f>INDEX('PEER GROUP'!C:C,MATCH($A12,'PEER GROUP'!$A:$A,0))</f>
        <v>0</v>
      </c>
      <c r="D12" s="83">
        <f>INDEX('PEER GROUP'!D:D,MATCH($A12,'PEER GROUP'!$A:$A,0))</f>
        <v>0</v>
      </c>
      <c r="E12" s="83">
        <f>INDEX('PEER GROUP'!E:E,MATCH(A12,'PEER GROUP'!$A:$A,0))</f>
        <v>0</v>
      </c>
      <c r="F12" s="84">
        <f>INDEX('PEER GROUP'!F:F,MATCH($A12,'PEER GROUP'!$A:$A,0))</f>
        <v>0</v>
      </c>
      <c r="G12" s="84">
        <f>INDEX('PEER GROUP'!G:G,MATCH($A12,'PEER GROUP'!$A:$A,0))</f>
        <v>0</v>
      </c>
      <c r="H12" s="85"/>
      <c r="I12" s="85"/>
      <c r="J12" s="70">
        <f>INDEX('PEER GROUP'!K:K,MATCH($A12,'PEER GROUP'!$A:$A,0))</f>
        <v>0</v>
      </c>
      <c r="K12" s="70">
        <f>INDEX('PEER GROUP'!L:L,MATCH($A12,'PEER GROUP'!$A:$A,0))</f>
        <v>0</v>
      </c>
      <c r="L12" s="70">
        <f>INDEX('PEER GROUP'!M:M,MATCH($A12,'PEER GROUP'!$A:$A,0))</f>
        <v>0</v>
      </c>
      <c r="M12" s="86">
        <f>INDEX('PEER GROUP'!N:N,MATCH($A12,'PEER GROUP'!$A:$A,0))</f>
        <v>0</v>
      </c>
      <c r="N12" s="118"/>
      <c r="O12" s="115"/>
      <c r="P12" s="117"/>
      <c r="Q12" s="87"/>
      <c r="R12" s="87">
        <f t="shared" si="0"/>
        <v>0</v>
      </c>
      <c r="S12" s="87"/>
      <c r="T12" s="87"/>
      <c r="U12" s="87"/>
      <c r="V12" s="87">
        <f t="shared" si="1"/>
        <v>0</v>
      </c>
      <c r="W12" s="113">
        <f t="shared" si="2"/>
        <v>36.913096727263202</v>
      </c>
      <c r="X12" s="69">
        <f t="shared" si="3"/>
        <v>0</v>
      </c>
      <c r="Y12" s="70">
        <f t="shared" si="4"/>
        <v>0</v>
      </c>
      <c r="Z12" s="70">
        <f t="shared" si="5"/>
        <v>0</v>
      </c>
      <c r="AA12" s="70">
        <f t="shared" si="6"/>
        <v>0</v>
      </c>
      <c r="AB12" s="70">
        <f t="shared" si="7"/>
        <v>0</v>
      </c>
      <c r="AC12" s="70">
        <f t="shared" si="8"/>
        <v>0</v>
      </c>
      <c r="AD12" s="71">
        <f t="shared" si="9"/>
        <v>0</v>
      </c>
      <c r="AE12" s="49"/>
      <c r="AF12" s="21"/>
      <c r="AG12" s="69"/>
      <c r="AH12" s="70"/>
      <c r="AI12" s="70"/>
      <c r="AJ12" s="70"/>
      <c r="AK12" s="70"/>
      <c r="AL12" s="70"/>
      <c r="AM12" s="70"/>
      <c r="AN12" s="70" t="str">
        <f t="shared" si="10"/>
        <v>---</v>
      </c>
      <c r="AO12" s="70" t="str">
        <f t="shared" si="11"/>
        <v>---</v>
      </c>
      <c r="AP12" s="70" t="str">
        <f t="shared" si="12"/>
        <v>---</v>
      </c>
      <c r="AQ12" s="70" t="str">
        <f t="shared" si="13"/>
        <v>---</v>
      </c>
      <c r="AR12" s="70" t="str">
        <f t="shared" si="14"/>
        <v>---</v>
      </c>
      <c r="AS12" s="70" t="str">
        <f t="shared" si="15"/>
        <v>---</v>
      </c>
      <c r="AT12" s="71" t="str">
        <f t="shared" si="16"/>
        <v>---</v>
      </c>
    </row>
    <row r="13" spans="1:46" ht="30" customHeight="1" x14ac:dyDescent="0.3">
      <c r="A13" s="73">
        <v>8</v>
      </c>
      <c r="B13" s="140">
        <f>INDEX('PEER GROUP'!B:B,MATCH($A13,'PEER GROUP'!$A:$A,0))</f>
        <v>0</v>
      </c>
      <c r="C13" s="83">
        <f>INDEX('PEER GROUP'!C:C,MATCH($A13,'PEER GROUP'!$A:$A,0))</f>
        <v>0</v>
      </c>
      <c r="D13" s="83">
        <f>INDEX('PEER GROUP'!D:D,MATCH($A13,'PEER GROUP'!$A:$A,0))</f>
        <v>0</v>
      </c>
      <c r="E13" s="83">
        <f>INDEX('PEER GROUP'!E:E,MATCH(A13,'PEER GROUP'!$A:$A,0))</f>
        <v>0</v>
      </c>
      <c r="F13" s="84">
        <f>INDEX('PEER GROUP'!F:F,MATCH($A13,'PEER GROUP'!$A:$A,0))</f>
        <v>0</v>
      </c>
      <c r="G13" s="84">
        <f>INDEX('PEER GROUP'!G:G,MATCH($A13,'PEER GROUP'!$A:$A,0))</f>
        <v>0</v>
      </c>
      <c r="H13" s="85"/>
      <c r="I13" s="85"/>
      <c r="J13" s="70">
        <f>INDEX('PEER GROUP'!K:K,MATCH($A13,'PEER GROUP'!$A:$A,0))</f>
        <v>0</v>
      </c>
      <c r="K13" s="70">
        <f>INDEX('PEER GROUP'!L:L,MATCH($A13,'PEER GROUP'!$A:$A,0))</f>
        <v>0</v>
      </c>
      <c r="L13" s="70">
        <f>INDEX('PEER GROUP'!M:M,MATCH($A13,'PEER GROUP'!$A:$A,0))</f>
        <v>0</v>
      </c>
      <c r="M13" s="86">
        <f>INDEX('PEER GROUP'!N:N,MATCH($A13,'PEER GROUP'!$A:$A,0))</f>
        <v>0</v>
      </c>
      <c r="N13" s="118"/>
      <c r="O13" s="115"/>
      <c r="P13" s="117"/>
      <c r="Q13" s="87"/>
      <c r="R13" s="87">
        <f t="shared" si="0"/>
        <v>0</v>
      </c>
      <c r="S13" s="87"/>
      <c r="T13" s="87"/>
      <c r="U13" s="87"/>
      <c r="V13" s="87">
        <f t="shared" si="1"/>
        <v>0</v>
      </c>
      <c r="W13" s="113">
        <f t="shared" si="2"/>
        <v>36.913096727263202</v>
      </c>
      <c r="X13" s="69">
        <f t="shared" si="3"/>
        <v>0</v>
      </c>
      <c r="Y13" s="70">
        <f t="shared" si="4"/>
        <v>0</v>
      </c>
      <c r="Z13" s="70">
        <f t="shared" si="5"/>
        <v>0</v>
      </c>
      <c r="AA13" s="70">
        <f t="shared" si="6"/>
        <v>0</v>
      </c>
      <c r="AB13" s="70">
        <f t="shared" si="7"/>
        <v>0</v>
      </c>
      <c r="AC13" s="70">
        <f t="shared" si="8"/>
        <v>0</v>
      </c>
      <c r="AD13" s="71">
        <f t="shared" si="9"/>
        <v>0</v>
      </c>
      <c r="AE13" s="49"/>
      <c r="AF13" s="21"/>
      <c r="AG13" s="69"/>
      <c r="AH13" s="70"/>
      <c r="AI13" s="70"/>
      <c r="AJ13" s="70"/>
      <c r="AK13" s="70"/>
      <c r="AL13" s="70"/>
      <c r="AM13" s="70"/>
      <c r="AN13" s="70" t="str">
        <f t="shared" si="10"/>
        <v>---</v>
      </c>
      <c r="AO13" s="70" t="str">
        <f t="shared" si="11"/>
        <v>---</v>
      </c>
      <c r="AP13" s="70" t="str">
        <f t="shared" si="12"/>
        <v>---</v>
      </c>
      <c r="AQ13" s="70" t="str">
        <f t="shared" si="13"/>
        <v>---</v>
      </c>
      <c r="AR13" s="70" t="str">
        <f t="shared" si="14"/>
        <v>---</v>
      </c>
      <c r="AS13" s="70" t="str">
        <f t="shared" si="15"/>
        <v>---</v>
      </c>
      <c r="AT13" s="71" t="str">
        <f t="shared" si="16"/>
        <v>---</v>
      </c>
    </row>
    <row r="14" spans="1:46" ht="30" customHeight="1" x14ac:dyDescent="0.3">
      <c r="A14" s="73">
        <v>9</v>
      </c>
      <c r="B14" s="140">
        <f>INDEX('PEER GROUP'!B:B,MATCH($A14,'PEER GROUP'!$A:$A,0))</f>
        <v>0</v>
      </c>
      <c r="C14" s="83">
        <f>INDEX('PEER GROUP'!C:C,MATCH($A14,'PEER GROUP'!$A:$A,0))</f>
        <v>0</v>
      </c>
      <c r="D14" s="83">
        <f>INDEX('PEER GROUP'!D:D,MATCH($A14,'PEER GROUP'!$A:$A,0))</f>
        <v>0</v>
      </c>
      <c r="E14" s="83">
        <f>INDEX('PEER GROUP'!E:E,MATCH(A14,'PEER GROUP'!$A:$A,0))</f>
        <v>0</v>
      </c>
      <c r="F14" s="84">
        <f>INDEX('PEER GROUP'!F:F,MATCH($A14,'PEER GROUP'!$A:$A,0))</f>
        <v>0</v>
      </c>
      <c r="G14" s="84">
        <f>INDEX('PEER GROUP'!G:G,MATCH($A14,'PEER GROUP'!$A:$A,0))</f>
        <v>0</v>
      </c>
      <c r="H14" s="85"/>
      <c r="I14" s="85"/>
      <c r="J14" s="70">
        <f>INDEX('PEER GROUP'!K:K,MATCH($A14,'PEER GROUP'!$A:$A,0))</f>
        <v>0</v>
      </c>
      <c r="K14" s="70">
        <f>INDEX('PEER GROUP'!L:L,MATCH($A14,'PEER GROUP'!$A:$A,0))</f>
        <v>0</v>
      </c>
      <c r="L14" s="70">
        <f>INDEX('PEER GROUP'!M:M,MATCH($A14,'PEER GROUP'!$A:$A,0))</f>
        <v>0</v>
      </c>
      <c r="M14" s="86">
        <f>INDEX('PEER GROUP'!N:N,MATCH($A14,'PEER GROUP'!$A:$A,0))</f>
        <v>0</v>
      </c>
      <c r="N14" s="118"/>
      <c r="O14" s="115"/>
      <c r="P14" s="117"/>
      <c r="Q14" s="87"/>
      <c r="R14" s="87">
        <f t="shared" si="0"/>
        <v>0</v>
      </c>
      <c r="S14" s="87"/>
      <c r="T14" s="87"/>
      <c r="U14" s="87"/>
      <c r="V14" s="87">
        <f t="shared" si="1"/>
        <v>0</v>
      </c>
      <c r="W14" s="113">
        <f t="shared" si="2"/>
        <v>36.913096727263202</v>
      </c>
      <c r="X14" s="69">
        <f t="shared" si="3"/>
        <v>0</v>
      </c>
      <c r="Y14" s="70">
        <f t="shared" si="4"/>
        <v>0</v>
      </c>
      <c r="Z14" s="70">
        <f t="shared" si="5"/>
        <v>0</v>
      </c>
      <c r="AA14" s="70">
        <f t="shared" si="6"/>
        <v>0</v>
      </c>
      <c r="AB14" s="70">
        <f t="shared" si="7"/>
        <v>0</v>
      </c>
      <c r="AC14" s="70">
        <f t="shared" si="8"/>
        <v>0</v>
      </c>
      <c r="AD14" s="71">
        <f t="shared" si="9"/>
        <v>0</v>
      </c>
      <c r="AE14" s="49"/>
      <c r="AF14" s="21"/>
      <c r="AG14" s="69"/>
      <c r="AH14" s="70"/>
      <c r="AI14" s="70"/>
      <c r="AJ14" s="70"/>
      <c r="AK14" s="70"/>
      <c r="AL14" s="70"/>
      <c r="AM14" s="70"/>
      <c r="AN14" s="70" t="str">
        <f t="shared" si="10"/>
        <v>---</v>
      </c>
      <c r="AO14" s="70" t="str">
        <f t="shared" si="11"/>
        <v>---</v>
      </c>
      <c r="AP14" s="70" t="str">
        <f t="shared" si="12"/>
        <v>---</v>
      </c>
      <c r="AQ14" s="70" t="str">
        <f t="shared" si="13"/>
        <v>---</v>
      </c>
      <c r="AR14" s="70" t="str">
        <f t="shared" si="14"/>
        <v>---</v>
      </c>
      <c r="AS14" s="70" t="str">
        <f t="shared" si="15"/>
        <v>---</v>
      </c>
      <c r="AT14" s="71" t="str">
        <f t="shared" si="16"/>
        <v>---</v>
      </c>
    </row>
    <row r="15" spans="1:46" ht="30" customHeight="1" x14ac:dyDescent="0.3">
      <c r="A15" s="73">
        <v>10</v>
      </c>
      <c r="B15" s="140">
        <f>INDEX('PEER GROUP'!B:B,MATCH($A15,'PEER GROUP'!$A:$A,0))</f>
        <v>0</v>
      </c>
      <c r="C15" s="83">
        <f>INDEX('PEER GROUP'!C:C,MATCH($A15,'PEER GROUP'!$A:$A,0))</f>
        <v>0</v>
      </c>
      <c r="D15" s="83">
        <f>INDEX('PEER GROUP'!D:D,MATCH($A15,'PEER GROUP'!$A:$A,0))</f>
        <v>0</v>
      </c>
      <c r="E15" s="83">
        <f>INDEX('PEER GROUP'!E:E,MATCH(A15,'PEER GROUP'!$A:$A,0))</f>
        <v>0</v>
      </c>
      <c r="F15" s="84">
        <f>INDEX('PEER GROUP'!F:F,MATCH($A15,'PEER GROUP'!$A:$A,0))</f>
        <v>0</v>
      </c>
      <c r="G15" s="84">
        <f>INDEX('PEER GROUP'!G:G,MATCH($A15,'PEER GROUP'!$A:$A,0))</f>
        <v>0</v>
      </c>
      <c r="H15" s="85"/>
      <c r="I15" s="85"/>
      <c r="J15" s="70">
        <f>INDEX('PEER GROUP'!K:K,MATCH($A15,'PEER GROUP'!$A:$A,0))</f>
        <v>0</v>
      </c>
      <c r="K15" s="70">
        <f>INDEX('PEER GROUP'!L:L,MATCH($A15,'PEER GROUP'!$A:$A,0))</f>
        <v>0</v>
      </c>
      <c r="L15" s="70">
        <f>INDEX('PEER GROUP'!M:M,MATCH($A15,'PEER GROUP'!$A:$A,0))</f>
        <v>0</v>
      </c>
      <c r="M15" s="86">
        <f>INDEX('PEER GROUP'!N:N,MATCH($A15,'PEER GROUP'!$A:$A,0))</f>
        <v>0</v>
      </c>
      <c r="N15" s="118"/>
      <c r="O15" s="115"/>
      <c r="P15" s="117"/>
      <c r="Q15" s="87"/>
      <c r="R15" s="87">
        <f t="shared" si="0"/>
        <v>0</v>
      </c>
      <c r="S15" s="87"/>
      <c r="T15" s="87"/>
      <c r="U15" s="87"/>
      <c r="V15" s="87">
        <f t="shared" si="1"/>
        <v>0</v>
      </c>
      <c r="W15" s="113">
        <f t="shared" si="2"/>
        <v>36.913096727263202</v>
      </c>
      <c r="X15" s="69">
        <f t="shared" si="3"/>
        <v>0</v>
      </c>
      <c r="Y15" s="70">
        <f t="shared" si="4"/>
        <v>0</v>
      </c>
      <c r="Z15" s="70">
        <f t="shared" si="5"/>
        <v>0</v>
      </c>
      <c r="AA15" s="70">
        <f t="shared" si="6"/>
        <v>0</v>
      </c>
      <c r="AB15" s="70">
        <f t="shared" si="7"/>
        <v>0</v>
      </c>
      <c r="AC15" s="70">
        <f t="shared" si="8"/>
        <v>0</v>
      </c>
      <c r="AD15" s="71">
        <f t="shared" si="9"/>
        <v>0</v>
      </c>
      <c r="AE15" s="49"/>
      <c r="AF15" s="21"/>
      <c r="AG15" s="69"/>
      <c r="AH15" s="70"/>
      <c r="AI15" s="70"/>
      <c r="AJ15" s="70"/>
      <c r="AK15" s="70"/>
      <c r="AL15" s="70"/>
      <c r="AM15" s="70"/>
      <c r="AN15" s="70" t="str">
        <f t="shared" si="10"/>
        <v>---</v>
      </c>
      <c r="AO15" s="70" t="str">
        <f t="shared" si="11"/>
        <v>---</v>
      </c>
      <c r="AP15" s="70" t="str">
        <f t="shared" si="12"/>
        <v>---</v>
      </c>
      <c r="AQ15" s="70" t="str">
        <f t="shared" si="13"/>
        <v>---</v>
      </c>
      <c r="AR15" s="70" t="str">
        <f t="shared" si="14"/>
        <v>---</v>
      </c>
      <c r="AS15" s="70" t="str">
        <f t="shared" si="15"/>
        <v>---</v>
      </c>
      <c r="AT15" s="71" t="str">
        <f t="shared" si="16"/>
        <v>---</v>
      </c>
    </row>
    <row r="16" spans="1:46" ht="30" customHeight="1" x14ac:dyDescent="0.3">
      <c r="A16" s="73">
        <v>11</v>
      </c>
      <c r="B16" s="140">
        <f>INDEX('PEER GROUP'!B:B,MATCH($A16,'PEER GROUP'!$A:$A,0))</f>
        <v>0</v>
      </c>
      <c r="C16" s="83">
        <f>INDEX('PEER GROUP'!C:C,MATCH($A16,'PEER GROUP'!$A:$A,0))</f>
        <v>0</v>
      </c>
      <c r="D16" s="83">
        <f>INDEX('PEER GROUP'!D:D,MATCH($A16,'PEER GROUP'!$A:$A,0))</f>
        <v>0</v>
      </c>
      <c r="E16" s="83">
        <f>INDEX('PEER GROUP'!E:E,MATCH(A16,'PEER GROUP'!$A:$A,0))</f>
        <v>0</v>
      </c>
      <c r="F16" s="84">
        <f>INDEX('PEER GROUP'!F:F,MATCH($A16,'PEER GROUP'!$A:$A,0))</f>
        <v>0</v>
      </c>
      <c r="G16" s="84">
        <f>INDEX('PEER GROUP'!G:G,MATCH($A16,'PEER GROUP'!$A:$A,0))</f>
        <v>0</v>
      </c>
      <c r="H16" s="85"/>
      <c r="I16" s="85"/>
      <c r="J16" s="70">
        <f>INDEX('PEER GROUP'!K:K,MATCH($A16,'PEER GROUP'!$A:$A,0))</f>
        <v>0</v>
      </c>
      <c r="K16" s="70">
        <f>INDEX('PEER GROUP'!L:L,MATCH($A16,'PEER GROUP'!$A:$A,0))</f>
        <v>0</v>
      </c>
      <c r="L16" s="70">
        <f>INDEX('PEER GROUP'!M:M,MATCH($A16,'PEER GROUP'!$A:$A,0))</f>
        <v>0</v>
      </c>
      <c r="M16" s="86">
        <f>INDEX('PEER GROUP'!N:N,MATCH($A16,'PEER GROUP'!$A:$A,0))</f>
        <v>0</v>
      </c>
      <c r="N16" s="118"/>
      <c r="O16" s="115"/>
      <c r="P16" s="117"/>
      <c r="Q16" s="87"/>
      <c r="R16" s="87">
        <f t="shared" si="0"/>
        <v>0</v>
      </c>
      <c r="S16" s="87"/>
      <c r="T16" s="87"/>
      <c r="U16" s="87"/>
      <c r="V16" s="87">
        <f t="shared" si="1"/>
        <v>0</v>
      </c>
      <c r="W16" s="113">
        <f t="shared" si="2"/>
        <v>36.913096727263202</v>
      </c>
      <c r="X16" s="69">
        <f t="shared" si="3"/>
        <v>0</v>
      </c>
      <c r="Y16" s="70">
        <f t="shared" si="4"/>
        <v>0</v>
      </c>
      <c r="Z16" s="70">
        <f t="shared" si="5"/>
        <v>0</v>
      </c>
      <c r="AA16" s="70">
        <f t="shared" si="6"/>
        <v>0</v>
      </c>
      <c r="AB16" s="70">
        <f t="shared" si="7"/>
        <v>0</v>
      </c>
      <c r="AC16" s="70">
        <f t="shared" si="8"/>
        <v>0</v>
      </c>
      <c r="AD16" s="71">
        <f t="shared" si="9"/>
        <v>0</v>
      </c>
      <c r="AE16" s="49"/>
      <c r="AF16" s="21"/>
      <c r="AG16" s="69"/>
      <c r="AH16" s="70"/>
      <c r="AI16" s="70"/>
      <c r="AJ16" s="70"/>
      <c r="AK16" s="70"/>
      <c r="AL16" s="70"/>
      <c r="AM16" s="70"/>
      <c r="AN16" s="70" t="str">
        <f t="shared" si="10"/>
        <v>---</v>
      </c>
      <c r="AO16" s="70" t="str">
        <f t="shared" si="11"/>
        <v>---</v>
      </c>
      <c r="AP16" s="70" t="str">
        <f t="shared" si="12"/>
        <v>---</v>
      </c>
      <c r="AQ16" s="70" t="str">
        <f t="shared" si="13"/>
        <v>---</v>
      </c>
      <c r="AR16" s="70" t="str">
        <f t="shared" si="14"/>
        <v>---</v>
      </c>
      <c r="AS16" s="70" t="str">
        <f t="shared" si="15"/>
        <v>---</v>
      </c>
      <c r="AT16" s="71" t="str">
        <f t="shared" si="16"/>
        <v>---</v>
      </c>
    </row>
    <row r="17" spans="1:46" ht="30" customHeight="1" x14ac:dyDescent="0.3">
      <c r="A17" s="73">
        <v>12</v>
      </c>
      <c r="B17" s="140">
        <f>INDEX('PEER GROUP'!B:B,MATCH($A17,'PEER GROUP'!$A:$A,0))</f>
        <v>0</v>
      </c>
      <c r="C17" s="83">
        <f>INDEX('PEER GROUP'!C:C,MATCH($A17,'PEER GROUP'!$A:$A,0))</f>
        <v>0</v>
      </c>
      <c r="D17" s="83">
        <f>INDEX('PEER GROUP'!D:D,MATCH($A17,'PEER GROUP'!$A:$A,0))</f>
        <v>0</v>
      </c>
      <c r="E17" s="83">
        <f>INDEX('PEER GROUP'!E:E,MATCH(A17,'PEER GROUP'!$A:$A,0))</f>
        <v>0</v>
      </c>
      <c r="F17" s="84">
        <f>INDEX('PEER GROUP'!F:F,MATCH($A17,'PEER GROUP'!$A:$A,0))</f>
        <v>0</v>
      </c>
      <c r="G17" s="84">
        <f>INDEX('PEER GROUP'!G:G,MATCH($A17,'PEER GROUP'!$A:$A,0))</f>
        <v>0</v>
      </c>
      <c r="H17" s="85"/>
      <c r="I17" s="85"/>
      <c r="J17" s="70">
        <f>INDEX('PEER GROUP'!K:K,MATCH($A17,'PEER GROUP'!$A:$A,0))</f>
        <v>0</v>
      </c>
      <c r="K17" s="70">
        <f>INDEX('PEER GROUP'!L:L,MATCH($A17,'PEER GROUP'!$A:$A,0))</f>
        <v>0</v>
      </c>
      <c r="L17" s="70">
        <f>INDEX('PEER GROUP'!M:M,MATCH($A17,'PEER GROUP'!$A:$A,0))</f>
        <v>0</v>
      </c>
      <c r="M17" s="86">
        <f>INDEX('PEER GROUP'!N:N,MATCH($A17,'PEER GROUP'!$A:$A,0))</f>
        <v>0</v>
      </c>
      <c r="N17" s="118"/>
      <c r="O17" s="115"/>
      <c r="P17" s="117"/>
      <c r="Q17" s="87"/>
      <c r="R17" s="87">
        <f t="shared" si="0"/>
        <v>0</v>
      </c>
      <c r="S17" s="87"/>
      <c r="T17" s="87"/>
      <c r="U17" s="87"/>
      <c r="V17" s="87">
        <f t="shared" si="1"/>
        <v>0</v>
      </c>
      <c r="W17" s="113">
        <f t="shared" si="2"/>
        <v>36.913096727263202</v>
      </c>
      <c r="X17" s="69">
        <f t="shared" si="3"/>
        <v>0</v>
      </c>
      <c r="Y17" s="70">
        <f t="shared" si="4"/>
        <v>0</v>
      </c>
      <c r="Z17" s="70">
        <f t="shared" si="5"/>
        <v>0</v>
      </c>
      <c r="AA17" s="70">
        <f t="shared" si="6"/>
        <v>0</v>
      </c>
      <c r="AB17" s="70">
        <f t="shared" si="7"/>
        <v>0</v>
      </c>
      <c r="AC17" s="70">
        <f t="shared" si="8"/>
        <v>0</v>
      </c>
      <c r="AD17" s="71">
        <f t="shared" si="9"/>
        <v>0</v>
      </c>
      <c r="AE17" s="49"/>
      <c r="AF17" s="21"/>
      <c r="AG17" s="69"/>
      <c r="AH17" s="70"/>
      <c r="AI17" s="70"/>
      <c r="AJ17" s="70"/>
      <c r="AK17" s="70"/>
      <c r="AL17" s="70"/>
      <c r="AM17" s="70"/>
      <c r="AN17" s="70" t="str">
        <f t="shared" si="10"/>
        <v>---</v>
      </c>
      <c r="AO17" s="70" t="str">
        <f t="shared" si="11"/>
        <v>---</v>
      </c>
      <c r="AP17" s="70" t="str">
        <f t="shared" si="12"/>
        <v>---</v>
      </c>
      <c r="AQ17" s="70" t="str">
        <f t="shared" si="13"/>
        <v>---</v>
      </c>
      <c r="AR17" s="70" t="str">
        <f t="shared" si="14"/>
        <v>---</v>
      </c>
      <c r="AS17" s="70" t="str">
        <f t="shared" si="15"/>
        <v>---</v>
      </c>
      <c r="AT17" s="71" t="str">
        <f t="shared" si="16"/>
        <v>---</v>
      </c>
    </row>
    <row r="18" spans="1:46" ht="30" customHeight="1" x14ac:dyDescent="0.3">
      <c r="A18" s="73">
        <v>13</v>
      </c>
      <c r="B18" s="140">
        <f>INDEX('PEER GROUP'!B:B,MATCH($A18,'PEER GROUP'!$A:$A,0))</f>
        <v>0</v>
      </c>
      <c r="C18" s="83">
        <f>INDEX('PEER GROUP'!C:C,MATCH($A18,'PEER GROUP'!$A:$A,0))</f>
        <v>0</v>
      </c>
      <c r="D18" s="83">
        <f>INDEX('PEER GROUP'!D:D,MATCH($A18,'PEER GROUP'!$A:$A,0))</f>
        <v>0</v>
      </c>
      <c r="E18" s="83">
        <f>INDEX('PEER GROUP'!E:E,MATCH(A18,'PEER GROUP'!$A:$A,0))</f>
        <v>0</v>
      </c>
      <c r="F18" s="84">
        <f>INDEX('PEER GROUP'!F:F,MATCH($A18,'PEER GROUP'!$A:$A,0))</f>
        <v>0</v>
      </c>
      <c r="G18" s="84">
        <f>INDEX('PEER GROUP'!G:G,MATCH($A18,'PEER GROUP'!$A:$A,0))</f>
        <v>0</v>
      </c>
      <c r="H18" s="85"/>
      <c r="I18" s="85"/>
      <c r="J18" s="70">
        <f>INDEX('PEER GROUP'!K:K,MATCH($A18,'PEER GROUP'!$A:$A,0))</f>
        <v>0</v>
      </c>
      <c r="K18" s="70">
        <f>INDEX('PEER GROUP'!L:L,MATCH($A18,'PEER GROUP'!$A:$A,0))</f>
        <v>0</v>
      </c>
      <c r="L18" s="70">
        <f>INDEX('PEER GROUP'!M:M,MATCH($A18,'PEER GROUP'!$A:$A,0))</f>
        <v>0</v>
      </c>
      <c r="M18" s="86">
        <f>INDEX('PEER GROUP'!N:N,MATCH($A18,'PEER GROUP'!$A:$A,0))</f>
        <v>0</v>
      </c>
      <c r="N18" s="118"/>
      <c r="O18" s="115"/>
      <c r="P18" s="117"/>
      <c r="Q18" s="87"/>
      <c r="R18" s="87">
        <f t="shared" si="0"/>
        <v>0</v>
      </c>
      <c r="S18" s="87"/>
      <c r="T18" s="87"/>
      <c r="U18" s="87"/>
      <c r="V18" s="87">
        <f t="shared" si="1"/>
        <v>0</v>
      </c>
      <c r="W18" s="113">
        <f t="shared" si="2"/>
        <v>36.913096727263202</v>
      </c>
      <c r="X18" s="69">
        <f t="shared" si="3"/>
        <v>0</v>
      </c>
      <c r="Y18" s="70">
        <f t="shared" si="4"/>
        <v>0</v>
      </c>
      <c r="Z18" s="70">
        <f t="shared" si="5"/>
        <v>0</v>
      </c>
      <c r="AA18" s="70">
        <f t="shared" si="6"/>
        <v>0</v>
      </c>
      <c r="AB18" s="70">
        <f t="shared" si="7"/>
        <v>0</v>
      </c>
      <c r="AC18" s="70">
        <f t="shared" si="8"/>
        <v>0</v>
      </c>
      <c r="AD18" s="71">
        <f t="shared" si="9"/>
        <v>0</v>
      </c>
      <c r="AE18" s="49"/>
      <c r="AF18" s="21"/>
      <c r="AG18" s="69"/>
      <c r="AH18" s="70"/>
      <c r="AI18" s="70"/>
      <c r="AJ18" s="70"/>
      <c r="AK18" s="70"/>
      <c r="AL18" s="70"/>
      <c r="AM18" s="70"/>
      <c r="AN18" s="70" t="str">
        <f t="shared" si="10"/>
        <v>---</v>
      </c>
      <c r="AO18" s="70" t="str">
        <f t="shared" si="11"/>
        <v>---</v>
      </c>
      <c r="AP18" s="70" t="str">
        <f t="shared" si="12"/>
        <v>---</v>
      </c>
      <c r="AQ18" s="70" t="str">
        <f t="shared" si="13"/>
        <v>---</v>
      </c>
      <c r="AR18" s="70" t="str">
        <f t="shared" si="14"/>
        <v>---</v>
      </c>
      <c r="AS18" s="70" t="str">
        <f t="shared" si="15"/>
        <v>---</v>
      </c>
      <c r="AT18" s="71" t="str">
        <f t="shared" si="16"/>
        <v>---</v>
      </c>
    </row>
    <row r="19" spans="1:46" ht="30" customHeight="1" x14ac:dyDescent="0.3">
      <c r="A19" s="73">
        <v>14</v>
      </c>
      <c r="B19" s="140">
        <f>INDEX('PEER GROUP'!B:B,MATCH($A19,'PEER GROUP'!$A:$A,0))</f>
        <v>0</v>
      </c>
      <c r="C19" s="83">
        <f>INDEX('PEER GROUP'!C:C,MATCH($A19,'PEER GROUP'!$A:$A,0))</f>
        <v>0</v>
      </c>
      <c r="D19" s="83">
        <f>INDEX('PEER GROUP'!D:D,MATCH($A19,'PEER GROUP'!$A:$A,0))</f>
        <v>0</v>
      </c>
      <c r="E19" s="83">
        <f>INDEX('PEER GROUP'!E:E,MATCH(A19,'PEER GROUP'!$A:$A,0))</f>
        <v>0</v>
      </c>
      <c r="F19" s="84">
        <f>INDEX('PEER GROUP'!F:F,MATCH($A19,'PEER GROUP'!$A:$A,0))</f>
        <v>0</v>
      </c>
      <c r="G19" s="84">
        <f>INDEX('PEER GROUP'!G:G,MATCH($A19,'PEER GROUP'!$A:$A,0))</f>
        <v>0</v>
      </c>
      <c r="H19" s="85"/>
      <c r="I19" s="85"/>
      <c r="J19" s="70">
        <f>INDEX('PEER GROUP'!K:K,MATCH($A19,'PEER GROUP'!$A:$A,0))</f>
        <v>0</v>
      </c>
      <c r="K19" s="70">
        <f>INDEX('PEER GROUP'!L:L,MATCH($A19,'PEER GROUP'!$A:$A,0))</f>
        <v>0</v>
      </c>
      <c r="L19" s="70">
        <f>INDEX('PEER GROUP'!M:M,MATCH($A19,'PEER GROUP'!$A:$A,0))</f>
        <v>0</v>
      </c>
      <c r="M19" s="86">
        <f>INDEX('PEER GROUP'!N:N,MATCH($A19,'PEER GROUP'!$A:$A,0))</f>
        <v>0</v>
      </c>
      <c r="N19" s="118"/>
      <c r="O19" s="115"/>
      <c r="P19" s="117"/>
      <c r="Q19" s="87"/>
      <c r="R19" s="87">
        <f t="shared" si="0"/>
        <v>0</v>
      </c>
      <c r="S19" s="87"/>
      <c r="T19" s="87"/>
      <c r="U19" s="87"/>
      <c r="V19" s="87">
        <f t="shared" si="1"/>
        <v>0</v>
      </c>
      <c r="W19" s="113">
        <f t="shared" si="2"/>
        <v>36.913096727263202</v>
      </c>
      <c r="X19" s="69">
        <f t="shared" si="3"/>
        <v>0</v>
      </c>
      <c r="Y19" s="70">
        <f t="shared" si="4"/>
        <v>0</v>
      </c>
      <c r="Z19" s="70">
        <f t="shared" si="5"/>
        <v>0</v>
      </c>
      <c r="AA19" s="70">
        <f t="shared" si="6"/>
        <v>0</v>
      </c>
      <c r="AB19" s="70">
        <f t="shared" si="7"/>
        <v>0</v>
      </c>
      <c r="AC19" s="70">
        <f t="shared" si="8"/>
        <v>0</v>
      </c>
      <c r="AD19" s="71">
        <f t="shared" si="9"/>
        <v>0</v>
      </c>
      <c r="AE19" s="49"/>
      <c r="AF19" s="21"/>
      <c r="AG19" s="69"/>
      <c r="AH19" s="70"/>
      <c r="AI19" s="70"/>
      <c r="AJ19" s="70"/>
      <c r="AK19" s="70"/>
      <c r="AL19" s="70"/>
      <c r="AM19" s="70"/>
      <c r="AN19" s="70" t="str">
        <f t="shared" si="10"/>
        <v>---</v>
      </c>
      <c r="AO19" s="70" t="str">
        <f t="shared" si="11"/>
        <v>---</v>
      </c>
      <c r="AP19" s="70" t="str">
        <f t="shared" si="12"/>
        <v>---</v>
      </c>
      <c r="AQ19" s="70" t="str">
        <f t="shared" si="13"/>
        <v>---</v>
      </c>
      <c r="AR19" s="70" t="str">
        <f t="shared" si="14"/>
        <v>---</v>
      </c>
      <c r="AS19" s="70" t="str">
        <f t="shared" si="15"/>
        <v>---</v>
      </c>
      <c r="AT19" s="71" t="str">
        <f t="shared" si="16"/>
        <v>---</v>
      </c>
    </row>
    <row r="20" spans="1:46" ht="30" customHeight="1" x14ac:dyDescent="0.3">
      <c r="A20" s="73">
        <v>15</v>
      </c>
      <c r="B20" s="140">
        <f>INDEX('PEER GROUP'!B:B,MATCH($A20,'PEER GROUP'!$A:$A,0))</f>
        <v>0</v>
      </c>
      <c r="C20" s="83">
        <f>INDEX('PEER GROUP'!C:C,MATCH($A20,'PEER GROUP'!$A:$A,0))</f>
        <v>0</v>
      </c>
      <c r="D20" s="83">
        <f>INDEX('PEER GROUP'!D:D,MATCH($A20,'PEER GROUP'!$A:$A,0))</f>
        <v>0</v>
      </c>
      <c r="E20" s="83">
        <f>INDEX('PEER GROUP'!E:E,MATCH(A20,'PEER GROUP'!$A:$A,0))</f>
        <v>0</v>
      </c>
      <c r="F20" s="84">
        <f>INDEX('PEER GROUP'!F:F,MATCH($A20,'PEER GROUP'!$A:$A,0))</f>
        <v>0</v>
      </c>
      <c r="G20" s="84">
        <f>INDEX('PEER GROUP'!G:G,MATCH($A20,'PEER GROUP'!$A:$A,0))</f>
        <v>0</v>
      </c>
      <c r="H20" s="85"/>
      <c r="I20" s="85"/>
      <c r="J20" s="70">
        <f>INDEX('PEER GROUP'!K:K,MATCH($A20,'PEER GROUP'!$A:$A,0))</f>
        <v>0</v>
      </c>
      <c r="K20" s="70">
        <f>INDEX('PEER GROUP'!L:L,MATCH($A20,'PEER GROUP'!$A:$A,0))</f>
        <v>0</v>
      </c>
      <c r="L20" s="70">
        <f>INDEX('PEER GROUP'!M:M,MATCH($A20,'PEER GROUP'!$A:$A,0))</f>
        <v>0</v>
      </c>
      <c r="M20" s="86">
        <f>INDEX('PEER GROUP'!N:N,MATCH($A20,'PEER GROUP'!$A:$A,0))</f>
        <v>0</v>
      </c>
      <c r="N20" s="118"/>
      <c r="O20" s="115"/>
      <c r="P20" s="117"/>
      <c r="Q20" s="87"/>
      <c r="R20" s="87">
        <f t="shared" si="0"/>
        <v>0</v>
      </c>
      <c r="S20" s="87"/>
      <c r="T20" s="87"/>
      <c r="U20" s="87"/>
      <c r="V20" s="87">
        <f t="shared" si="1"/>
        <v>0</v>
      </c>
      <c r="W20" s="113">
        <f t="shared" si="2"/>
        <v>36.913096727263202</v>
      </c>
      <c r="X20" s="69">
        <f t="shared" si="3"/>
        <v>0</v>
      </c>
      <c r="Y20" s="70">
        <f t="shared" si="4"/>
        <v>0</v>
      </c>
      <c r="Z20" s="70">
        <f t="shared" si="5"/>
        <v>0</v>
      </c>
      <c r="AA20" s="70">
        <f t="shared" si="6"/>
        <v>0</v>
      </c>
      <c r="AB20" s="70">
        <f t="shared" si="7"/>
        <v>0</v>
      </c>
      <c r="AC20" s="70">
        <f t="shared" si="8"/>
        <v>0</v>
      </c>
      <c r="AD20" s="71">
        <f t="shared" si="9"/>
        <v>0</v>
      </c>
      <c r="AE20" s="49"/>
      <c r="AF20" s="21"/>
      <c r="AG20" s="69"/>
      <c r="AH20" s="70"/>
      <c r="AI20" s="70"/>
      <c r="AJ20" s="70"/>
      <c r="AK20" s="70"/>
      <c r="AL20" s="70"/>
      <c r="AM20" s="70"/>
      <c r="AN20" s="70" t="str">
        <f t="shared" si="10"/>
        <v>---</v>
      </c>
      <c r="AO20" s="70" t="str">
        <f t="shared" si="11"/>
        <v>---</v>
      </c>
      <c r="AP20" s="70" t="str">
        <f t="shared" si="12"/>
        <v>---</v>
      </c>
      <c r="AQ20" s="70" t="str">
        <f t="shared" si="13"/>
        <v>---</v>
      </c>
      <c r="AR20" s="70" t="str">
        <f t="shared" si="14"/>
        <v>---</v>
      </c>
      <c r="AS20" s="70" t="str">
        <f t="shared" si="15"/>
        <v>---</v>
      </c>
      <c r="AT20" s="71" t="str">
        <f t="shared" si="16"/>
        <v>---</v>
      </c>
    </row>
    <row r="21" spans="1:46" ht="30" customHeight="1" x14ac:dyDescent="0.3">
      <c r="A21" s="73">
        <v>16</v>
      </c>
      <c r="B21" s="140">
        <f>INDEX('PEER GROUP'!B:B,MATCH($A21,'PEER GROUP'!$A:$A,0))</f>
        <v>0</v>
      </c>
      <c r="C21" s="83">
        <f>INDEX('PEER GROUP'!C:C,MATCH($A21,'PEER GROUP'!$A:$A,0))</f>
        <v>0</v>
      </c>
      <c r="D21" s="83">
        <f>INDEX('PEER GROUP'!D:D,MATCH($A21,'PEER GROUP'!$A:$A,0))</f>
        <v>0</v>
      </c>
      <c r="E21" s="83">
        <f>INDEX('PEER GROUP'!E:E,MATCH(A21,'PEER GROUP'!$A:$A,0))</f>
        <v>0</v>
      </c>
      <c r="F21" s="84">
        <f>INDEX('PEER GROUP'!F:F,MATCH($A21,'PEER GROUP'!$A:$A,0))</f>
        <v>0</v>
      </c>
      <c r="G21" s="84">
        <f>INDEX('PEER GROUP'!G:G,MATCH($A21,'PEER GROUP'!$A:$A,0))</f>
        <v>0</v>
      </c>
      <c r="H21" s="85"/>
      <c r="I21" s="85"/>
      <c r="J21" s="70">
        <f>INDEX('PEER GROUP'!K:K,MATCH($A21,'PEER GROUP'!$A:$A,0))</f>
        <v>0</v>
      </c>
      <c r="K21" s="70">
        <f>INDEX('PEER GROUP'!L:L,MATCH($A21,'PEER GROUP'!$A:$A,0))</f>
        <v>0</v>
      </c>
      <c r="L21" s="70">
        <f>INDEX('PEER GROUP'!M:M,MATCH($A21,'PEER GROUP'!$A:$A,0))</f>
        <v>0</v>
      </c>
      <c r="M21" s="86">
        <f>INDEX('PEER GROUP'!N:N,MATCH($A21,'PEER GROUP'!$A:$A,0))</f>
        <v>0</v>
      </c>
      <c r="N21" s="117"/>
      <c r="O21" s="94"/>
      <c r="P21" s="117"/>
      <c r="Q21" s="87"/>
      <c r="R21" s="87">
        <f t="shared" si="0"/>
        <v>0</v>
      </c>
      <c r="S21" s="87"/>
      <c r="T21" s="87"/>
      <c r="U21" s="87"/>
      <c r="V21" s="87">
        <f t="shared" si="1"/>
        <v>0</v>
      </c>
      <c r="W21" s="113">
        <f t="shared" si="2"/>
        <v>36.913096727263202</v>
      </c>
      <c r="X21" s="69">
        <f t="shared" si="3"/>
        <v>0</v>
      </c>
      <c r="Y21" s="70">
        <f t="shared" si="4"/>
        <v>0</v>
      </c>
      <c r="Z21" s="70">
        <f t="shared" si="5"/>
        <v>0</v>
      </c>
      <c r="AA21" s="70">
        <f t="shared" si="6"/>
        <v>0</v>
      </c>
      <c r="AB21" s="70">
        <f t="shared" si="7"/>
        <v>0</v>
      </c>
      <c r="AC21" s="70">
        <f t="shared" si="8"/>
        <v>0</v>
      </c>
      <c r="AD21" s="71">
        <f t="shared" si="9"/>
        <v>0</v>
      </c>
      <c r="AE21" s="49"/>
      <c r="AF21" s="21"/>
      <c r="AG21" s="69"/>
      <c r="AH21" s="70"/>
      <c r="AI21" s="70"/>
      <c r="AJ21" s="70"/>
      <c r="AK21" s="70"/>
      <c r="AL21" s="70"/>
      <c r="AM21" s="70"/>
      <c r="AN21" s="70" t="str">
        <f t="shared" si="10"/>
        <v>---</v>
      </c>
      <c r="AO21" s="70" t="str">
        <f t="shared" si="11"/>
        <v>---</v>
      </c>
      <c r="AP21" s="70" t="str">
        <f t="shared" si="12"/>
        <v>---</v>
      </c>
      <c r="AQ21" s="70" t="str">
        <f t="shared" si="13"/>
        <v>---</v>
      </c>
      <c r="AR21" s="70" t="str">
        <f t="shared" si="14"/>
        <v>---</v>
      </c>
      <c r="AS21" s="70" t="str">
        <f t="shared" si="15"/>
        <v>---</v>
      </c>
      <c r="AT21" s="71" t="str">
        <f t="shared" si="16"/>
        <v>---</v>
      </c>
    </row>
    <row r="22" spans="1:46" ht="30" customHeight="1" x14ac:dyDescent="0.3">
      <c r="A22" s="73">
        <v>17</v>
      </c>
      <c r="B22" s="140">
        <f>INDEX('PEER GROUP'!B:B,MATCH($A22,'PEER GROUP'!$A:$A,0))</f>
        <v>0</v>
      </c>
      <c r="C22" s="83">
        <f>INDEX('PEER GROUP'!C:C,MATCH($A22,'PEER GROUP'!$A:$A,0))</f>
        <v>0</v>
      </c>
      <c r="D22" s="83">
        <f>INDEX('PEER GROUP'!D:D,MATCH($A22,'PEER GROUP'!$A:$A,0))</f>
        <v>0</v>
      </c>
      <c r="E22" s="83">
        <f>INDEX('PEER GROUP'!E:E,MATCH(A22,'PEER GROUP'!$A:$A,0))</f>
        <v>0</v>
      </c>
      <c r="F22" s="84">
        <f>INDEX('PEER GROUP'!F:F,MATCH($A22,'PEER GROUP'!$A:$A,0))</f>
        <v>0</v>
      </c>
      <c r="G22" s="84">
        <f>INDEX('PEER GROUP'!G:G,MATCH($A22,'PEER GROUP'!$A:$A,0))</f>
        <v>0</v>
      </c>
      <c r="H22" s="85"/>
      <c r="I22" s="85"/>
      <c r="J22" s="70">
        <f>INDEX('PEER GROUP'!K:K,MATCH($A22,'PEER GROUP'!$A:$A,0))</f>
        <v>0</v>
      </c>
      <c r="K22" s="70">
        <f>INDEX('PEER GROUP'!L:L,MATCH($A22,'PEER GROUP'!$A:$A,0))</f>
        <v>0</v>
      </c>
      <c r="L22" s="70">
        <f>INDEX('PEER GROUP'!M:M,MATCH($A22,'PEER GROUP'!$A:$A,0))</f>
        <v>0</v>
      </c>
      <c r="M22" s="86">
        <f>INDEX('PEER GROUP'!N:N,MATCH($A22,'PEER GROUP'!$A:$A,0))</f>
        <v>0</v>
      </c>
      <c r="N22" s="118"/>
      <c r="O22" s="115"/>
      <c r="P22" s="117"/>
      <c r="Q22" s="87"/>
      <c r="R22" s="87">
        <f t="shared" si="0"/>
        <v>0</v>
      </c>
      <c r="S22" s="87"/>
      <c r="T22" s="87"/>
      <c r="U22" s="87"/>
      <c r="V22" s="87">
        <f t="shared" si="1"/>
        <v>0</v>
      </c>
      <c r="W22" s="113">
        <f t="shared" si="2"/>
        <v>36.913096727263202</v>
      </c>
      <c r="X22" s="69">
        <f t="shared" si="3"/>
        <v>0</v>
      </c>
      <c r="Y22" s="70">
        <f t="shared" si="4"/>
        <v>0</v>
      </c>
      <c r="Z22" s="70">
        <f t="shared" si="5"/>
        <v>0</v>
      </c>
      <c r="AA22" s="70">
        <f t="shared" si="6"/>
        <v>0</v>
      </c>
      <c r="AB22" s="70">
        <f t="shared" si="7"/>
        <v>0</v>
      </c>
      <c r="AC22" s="70">
        <f t="shared" si="8"/>
        <v>0</v>
      </c>
      <c r="AD22" s="71">
        <f t="shared" si="9"/>
        <v>0</v>
      </c>
      <c r="AE22" s="49"/>
      <c r="AF22" s="21"/>
      <c r="AG22" s="69"/>
      <c r="AH22" s="70"/>
      <c r="AI22" s="70"/>
      <c r="AJ22" s="70"/>
      <c r="AK22" s="70"/>
      <c r="AL22" s="70"/>
      <c r="AM22" s="70"/>
      <c r="AN22" s="70" t="str">
        <f t="shared" si="10"/>
        <v>---</v>
      </c>
      <c r="AO22" s="70" t="str">
        <f t="shared" si="11"/>
        <v>---</v>
      </c>
      <c r="AP22" s="70" t="str">
        <f t="shared" si="12"/>
        <v>---</v>
      </c>
      <c r="AQ22" s="70" t="str">
        <f t="shared" si="13"/>
        <v>---</v>
      </c>
      <c r="AR22" s="70" t="str">
        <f t="shared" si="14"/>
        <v>---</v>
      </c>
      <c r="AS22" s="70" t="str">
        <f t="shared" si="15"/>
        <v>---</v>
      </c>
      <c r="AT22" s="71" t="str">
        <f t="shared" si="16"/>
        <v>---</v>
      </c>
    </row>
    <row r="23" spans="1:46" ht="30" customHeight="1" x14ac:dyDescent="0.3">
      <c r="A23" s="73">
        <v>18</v>
      </c>
      <c r="B23" s="140">
        <f>INDEX('PEER GROUP'!B:B,MATCH($A23,'PEER GROUP'!$A:$A,0))</f>
        <v>0</v>
      </c>
      <c r="C23" s="83">
        <f>INDEX('PEER GROUP'!C:C,MATCH($A23,'PEER GROUP'!$A:$A,0))</f>
        <v>0</v>
      </c>
      <c r="D23" s="83">
        <f>INDEX('PEER GROUP'!D:D,MATCH($A23,'PEER GROUP'!$A:$A,0))</f>
        <v>0</v>
      </c>
      <c r="E23" s="83">
        <f>INDEX('PEER GROUP'!E:E,MATCH(A23,'PEER GROUP'!$A:$A,0))</f>
        <v>0</v>
      </c>
      <c r="F23" s="84">
        <f>INDEX('PEER GROUP'!F:F,MATCH($A23,'PEER GROUP'!$A:$A,0))</f>
        <v>0</v>
      </c>
      <c r="G23" s="84">
        <f>INDEX('PEER GROUP'!G:G,MATCH($A23,'PEER GROUP'!$A:$A,0))</f>
        <v>0</v>
      </c>
      <c r="H23" s="85"/>
      <c r="I23" s="85"/>
      <c r="J23" s="70">
        <f>INDEX('PEER GROUP'!K:K,MATCH($A23,'PEER GROUP'!$A:$A,0))</f>
        <v>0</v>
      </c>
      <c r="K23" s="70">
        <f>INDEX('PEER GROUP'!L:L,MATCH($A23,'PEER GROUP'!$A:$A,0))</f>
        <v>0</v>
      </c>
      <c r="L23" s="70">
        <f>INDEX('PEER GROUP'!M:M,MATCH($A23,'PEER GROUP'!$A:$A,0))</f>
        <v>0</v>
      </c>
      <c r="M23" s="86">
        <f>INDEX('PEER GROUP'!N:N,MATCH($A23,'PEER GROUP'!$A:$A,0))</f>
        <v>0</v>
      </c>
      <c r="N23" s="118"/>
      <c r="O23" s="115"/>
      <c r="P23" s="117"/>
      <c r="Q23" s="87"/>
      <c r="R23" s="87">
        <f t="shared" si="0"/>
        <v>0</v>
      </c>
      <c r="S23" s="87"/>
      <c r="T23" s="87"/>
      <c r="U23" s="87"/>
      <c r="V23" s="87">
        <f t="shared" si="1"/>
        <v>0</v>
      </c>
      <c r="W23" s="113">
        <f t="shared" si="2"/>
        <v>36.913096727263202</v>
      </c>
      <c r="X23" s="69">
        <f t="shared" si="3"/>
        <v>0</v>
      </c>
      <c r="Y23" s="70">
        <f t="shared" si="4"/>
        <v>0</v>
      </c>
      <c r="Z23" s="70">
        <f t="shared" si="5"/>
        <v>0</v>
      </c>
      <c r="AA23" s="70">
        <f t="shared" si="6"/>
        <v>0</v>
      </c>
      <c r="AB23" s="70">
        <f t="shared" si="7"/>
        <v>0</v>
      </c>
      <c r="AC23" s="70">
        <f t="shared" si="8"/>
        <v>0</v>
      </c>
      <c r="AD23" s="71">
        <f t="shared" si="9"/>
        <v>0</v>
      </c>
      <c r="AE23" s="49"/>
      <c r="AF23" s="21"/>
      <c r="AG23" s="69"/>
      <c r="AH23" s="70"/>
      <c r="AI23" s="70"/>
      <c r="AJ23" s="70"/>
      <c r="AK23" s="70"/>
      <c r="AL23" s="70"/>
      <c r="AM23" s="70"/>
      <c r="AN23" s="70" t="str">
        <f t="shared" si="10"/>
        <v>---</v>
      </c>
      <c r="AO23" s="70" t="str">
        <f t="shared" si="11"/>
        <v>---</v>
      </c>
      <c r="AP23" s="70" t="str">
        <f t="shared" si="12"/>
        <v>---</v>
      </c>
      <c r="AQ23" s="70" t="str">
        <f t="shared" si="13"/>
        <v>---</v>
      </c>
      <c r="AR23" s="70" t="str">
        <f t="shared" si="14"/>
        <v>---</v>
      </c>
      <c r="AS23" s="70" t="str">
        <f t="shared" si="15"/>
        <v>---</v>
      </c>
      <c r="AT23" s="71" t="str">
        <f t="shared" si="16"/>
        <v>---</v>
      </c>
    </row>
    <row r="24" spans="1:46" ht="30" customHeight="1" x14ac:dyDescent="0.3">
      <c r="A24" s="73">
        <v>19</v>
      </c>
      <c r="B24" s="140">
        <f>INDEX('PEER GROUP'!B:B,MATCH($A24,'PEER GROUP'!$A:$A,0))</f>
        <v>0</v>
      </c>
      <c r="C24" s="83">
        <f>INDEX('PEER GROUP'!C:C,MATCH($A24,'PEER GROUP'!$A:$A,0))</f>
        <v>0</v>
      </c>
      <c r="D24" s="83">
        <f>INDEX('PEER GROUP'!D:D,MATCH($A24,'PEER GROUP'!$A:$A,0))</f>
        <v>0</v>
      </c>
      <c r="E24" s="83">
        <f>INDEX('PEER GROUP'!E:E,MATCH(A24,'PEER GROUP'!$A:$A,0))</f>
        <v>0</v>
      </c>
      <c r="F24" s="84">
        <f>INDEX('PEER GROUP'!F:F,MATCH($A24,'PEER GROUP'!$A:$A,0))</f>
        <v>0</v>
      </c>
      <c r="G24" s="84">
        <f>INDEX('PEER GROUP'!G:G,MATCH($A24,'PEER GROUP'!$A:$A,0))</f>
        <v>0</v>
      </c>
      <c r="H24" s="85"/>
      <c r="I24" s="85"/>
      <c r="J24" s="70">
        <f>INDEX('PEER GROUP'!K:K,MATCH($A24,'PEER GROUP'!$A:$A,0))</f>
        <v>0</v>
      </c>
      <c r="K24" s="70">
        <f>INDEX('PEER GROUP'!L:L,MATCH($A24,'PEER GROUP'!$A:$A,0))</f>
        <v>0</v>
      </c>
      <c r="L24" s="70">
        <f>INDEX('PEER GROUP'!M:M,MATCH($A24,'PEER GROUP'!$A:$A,0))</f>
        <v>0</v>
      </c>
      <c r="M24" s="86">
        <f>INDEX('PEER GROUP'!N:N,MATCH($A24,'PEER GROUP'!$A:$A,0))</f>
        <v>0</v>
      </c>
      <c r="N24" s="118"/>
      <c r="O24" s="115"/>
      <c r="P24" s="117"/>
      <c r="Q24" s="87"/>
      <c r="R24" s="87">
        <f t="shared" si="0"/>
        <v>0</v>
      </c>
      <c r="S24" s="87"/>
      <c r="T24" s="87"/>
      <c r="U24" s="87"/>
      <c r="V24" s="87">
        <f t="shared" si="1"/>
        <v>0</v>
      </c>
      <c r="W24" s="113">
        <f t="shared" si="2"/>
        <v>36.913096727263202</v>
      </c>
      <c r="X24" s="69">
        <f t="shared" si="3"/>
        <v>0</v>
      </c>
      <c r="Y24" s="70">
        <f t="shared" si="4"/>
        <v>0</v>
      </c>
      <c r="Z24" s="70">
        <f t="shared" si="5"/>
        <v>0</v>
      </c>
      <c r="AA24" s="70">
        <f t="shared" si="6"/>
        <v>0</v>
      </c>
      <c r="AB24" s="70">
        <f t="shared" si="7"/>
        <v>0</v>
      </c>
      <c r="AC24" s="70">
        <f t="shared" si="8"/>
        <v>0</v>
      </c>
      <c r="AD24" s="71">
        <f t="shared" si="9"/>
        <v>0</v>
      </c>
      <c r="AE24" s="49"/>
      <c r="AF24" s="21"/>
      <c r="AG24" s="69"/>
      <c r="AH24" s="70"/>
      <c r="AI24" s="70"/>
      <c r="AJ24" s="70"/>
      <c r="AK24" s="70"/>
      <c r="AL24" s="70"/>
      <c r="AM24" s="70"/>
      <c r="AN24" s="70" t="str">
        <f t="shared" si="10"/>
        <v>---</v>
      </c>
      <c r="AO24" s="70" t="str">
        <f t="shared" si="11"/>
        <v>---</v>
      </c>
      <c r="AP24" s="70" t="str">
        <f t="shared" si="12"/>
        <v>---</v>
      </c>
      <c r="AQ24" s="70" t="str">
        <f t="shared" si="13"/>
        <v>---</v>
      </c>
      <c r="AR24" s="70" t="str">
        <f t="shared" si="14"/>
        <v>---</v>
      </c>
      <c r="AS24" s="70" t="str">
        <f t="shared" si="15"/>
        <v>---</v>
      </c>
      <c r="AT24" s="71" t="str">
        <f t="shared" si="16"/>
        <v>---</v>
      </c>
    </row>
    <row r="25" spans="1:46" ht="30" customHeight="1" x14ac:dyDescent="0.3">
      <c r="A25" s="73">
        <v>20</v>
      </c>
      <c r="B25" s="140">
        <f>INDEX('PEER GROUP'!B:B,MATCH($A25,'PEER GROUP'!$A:$A,0))</f>
        <v>0</v>
      </c>
      <c r="C25" s="83">
        <f>INDEX('PEER GROUP'!C:C,MATCH($A25,'PEER GROUP'!$A:$A,0))</f>
        <v>0</v>
      </c>
      <c r="D25" s="83">
        <f>INDEX('PEER GROUP'!D:D,MATCH($A25,'PEER GROUP'!$A:$A,0))</f>
        <v>0</v>
      </c>
      <c r="E25" s="83">
        <f>INDEX('PEER GROUP'!E:E,MATCH(A25,'PEER GROUP'!$A:$A,0))</f>
        <v>0</v>
      </c>
      <c r="F25" s="84">
        <f>INDEX('PEER GROUP'!F:F,MATCH($A25,'PEER GROUP'!$A:$A,0))</f>
        <v>0</v>
      </c>
      <c r="G25" s="84">
        <f>INDEX('PEER GROUP'!G:G,MATCH($A25,'PEER GROUP'!$A:$A,0))</f>
        <v>0</v>
      </c>
      <c r="H25" s="85"/>
      <c r="I25" s="85"/>
      <c r="J25" s="70">
        <f>INDEX('PEER GROUP'!K:K,MATCH($A25,'PEER GROUP'!$A:$A,0))</f>
        <v>0</v>
      </c>
      <c r="K25" s="70">
        <f>INDEX('PEER GROUP'!L:L,MATCH($A25,'PEER GROUP'!$A:$A,0))</f>
        <v>0</v>
      </c>
      <c r="L25" s="70">
        <f>INDEX('PEER GROUP'!M:M,MATCH($A25,'PEER GROUP'!$A:$A,0))</f>
        <v>0</v>
      </c>
      <c r="M25" s="86">
        <f>INDEX('PEER GROUP'!N:N,MATCH($A25,'PEER GROUP'!$A:$A,0))</f>
        <v>0</v>
      </c>
      <c r="N25" s="118"/>
      <c r="O25" s="115"/>
      <c r="P25" s="117"/>
      <c r="Q25" s="87"/>
      <c r="R25" s="87">
        <f t="shared" si="0"/>
        <v>0</v>
      </c>
      <c r="S25" s="87"/>
      <c r="T25" s="87"/>
      <c r="U25" s="87"/>
      <c r="V25" s="87">
        <f t="shared" si="1"/>
        <v>0</v>
      </c>
      <c r="W25" s="113">
        <f t="shared" si="2"/>
        <v>36.913096727263202</v>
      </c>
      <c r="X25" s="69">
        <f t="shared" si="3"/>
        <v>0</v>
      </c>
      <c r="Y25" s="70">
        <f t="shared" si="4"/>
        <v>0</v>
      </c>
      <c r="Z25" s="70">
        <f t="shared" si="5"/>
        <v>0</v>
      </c>
      <c r="AA25" s="70">
        <f t="shared" si="6"/>
        <v>0</v>
      </c>
      <c r="AB25" s="70">
        <f t="shared" si="7"/>
        <v>0</v>
      </c>
      <c r="AC25" s="70">
        <f t="shared" si="8"/>
        <v>0</v>
      </c>
      <c r="AD25" s="71">
        <f t="shared" si="9"/>
        <v>0</v>
      </c>
      <c r="AE25" s="49"/>
      <c r="AF25" s="21"/>
      <c r="AG25" s="69"/>
      <c r="AH25" s="70"/>
      <c r="AI25" s="70"/>
      <c r="AJ25" s="70"/>
      <c r="AK25" s="70"/>
      <c r="AL25" s="70"/>
      <c r="AM25" s="70"/>
      <c r="AN25" s="70" t="str">
        <f t="shared" si="10"/>
        <v>---</v>
      </c>
      <c r="AO25" s="70" t="str">
        <f t="shared" si="11"/>
        <v>---</v>
      </c>
      <c r="AP25" s="70" t="str">
        <f t="shared" si="12"/>
        <v>---</v>
      </c>
      <c r="AQ25" s="70" t="str">
        <f t="shared" si="13"/>
        <v>---</v>
      </c>
      <c r="AR25" s="70" t="str">
        <f t="shared" si="14"/>
        <v>---</v>
      </c>
      <c r="AS25" s="70" t="str">
        <f t="shared" si="15"/>
        <v>---</v>
      </c>
      <c r="AT25" s="71" t="str">
        <f t="shared" si="16"/>
        <v>---</v>
      </c>
    </row>
    <row r="26" spans="1:46" ht="30" customHeight="1" x14ac:dyDescent="0.3">
      <c r="A26" s="73">
        <v>21</v>
      </c>
      <c r="B26" s="140">
        <f>INDEX('PEER GROUP'!B:B,MATCH($A26,'PEER GROUP'!$A:$A,0))</f>
        <v>0</v>
      </c>
      <c r="C26" s="83">
        <f>INDEX('PEER GROUP'!C:C,MATCH($A26,'PEER GROUP'!$A:$A,0))</f>
        <v>0</v>
      </c>
      <c r="D26" s="83">
        <f>INDEX('PEER GROUP'!D:D,MATCH($A26,'PEER GROUP'!$A:$A,0))</f>
        <v>0</v>
      </c>
      <c r="E26" s="83">
        <f>INDEX('PEER GROUP'!E:E,MATCH(A26,'PEER GROUP'!$A:$A,0))</f>
        <v>0</v>
      </c>
      <c r="F26" s="84">
        <f>INDEX('PEER GROUP'!F:F,MATCH($A26,'PEER GROUP'!$A:$A,0))</f>
        <v>0</v>
      </c>
      <c r="G26" s="84">
        <f>INDEX('PEER GROUP'!G:G,MATCH($A26,'PEER GROUP'!$A:$A,0))</f>
        <v>0</v>
      </c>
      <c r="H26" s="85"/>
      <c r="I26" s="85"/>
      <c r="J26" s="70">
        <f>INDEX('PEER GROUP'!K:K,MATCH($A26,'PEER GROUP'!$A:$A,0))</f>
        <v>0</v>
      </c>
      <c r="K26" s="70">
        <f>INDEX('PEER GROUP'!L:L,MATCH($A26,'PEER GROUP'!$A:$A,0))</f>
        <v>0</v>
      </c>
      <c r="L26" s="70">
        <f>INDEX('PEER GROUP'!M:M,MATCH($A26,'PEER GROUP'!$A:$A,0))</f>
        <v>0</v>
      </c>
      <c r="M26" s="86">
        <f>INDEX('PEER GROUP'!N:N,MATCH($A26,'PEER GROUP'!$A:$A,0))</f>
        <v>0</v>
      </c>
      <c r="N26" s="118"/>
      <c r="O26" s="115"/>
      <c r="P26" s="117"/>
      <c r="Q26" s="87"/>
      <c r="R26" s="87">
        <f t="shared" si="0"/>
        <v>0</v>
      </c>
      <c r="S26" s="87"/>
      <c r="T26" s="87"/>
      <c r="U26" s="87"/>
      <c r="V26" s="87">
        <f t="shared" si="1"/>
        <v>0</v>
      </c>
      <c r="W26" s="113">
        <f t="shared" si="2"/>
        <v>36.913096727263202</v>
      </c>
      <c r="X26" s="69">
        <f t="shared" si="3"/>
        <v>0</v>
      </c>
      <c r="Y26" s="70">
        <f t="shared" si="4"/>
        <v>0</v>
      </c>
      <c r="Z26" s="70">
        <f t="shared" si="5"/>
        <v>0</v>
      </c>
      <c r="AA26" s="70">
        <f t="shared" si="6"/>
        <v>0</v>
      </c>
      <c r="AB26" s="70">
        <f t="shared" si="7"/>
        <v>0</v>
      </c>
      <c r="AC26" s="70">
        <f t="shared" si="8"/>
        <v>0</v>
      </c>
      <c r="AD26" s="71">
        <f t="shared" si="9"/>
        <v>0</v>
      </c>
      <c r="AE26" s="49"/>
      <c r="AF26" s="21"/>
      <c r="AG26" s="69"/>
      <c r="AH26" s="70"/>
      <c r="AI26" s="70"/>
      <c r="AJ26" s="70"/>
      <c r="AK26" s="70"/>
      <c r="AL26" s="70"/>
      <c r="AM26" s="70"/>
      <c r="AN26" s="70" t="str">
        <f t="shared" si="10"/>
        <v>---</v>
      </c>
      <c r="AO26" s="70" t="str">
        <f t="shared" si="11"/>
        <v>---</v>
      </c>
      <c r="AP26" s="70" t="str">
        <f t="shared" si="12"/>
        <v>---</v>
      </c>
      <c r="AQ26" s="70" t="str">
        <f t="shared" si="13"/>
        <v>---</v>
      </c>
      <c r="AR26" s="70" t="str">
        <f t="shared" si="14"/>
        <v>---</v>
      </c>
      <c r="AS26" s="70" t="str">
        <f t="shared" si="15"/>
        <v>---</v>
      </c>
      <c r="AT26" s="71" t="str">
        <f t="shared" si="16"/>
        <v>---</v>
      </c>
    </row>
    <row r="27" spans="1:46" ht="30" customHeight="1" x14ac:dyDescent="0.3">
      <c r="A27" s="73">
        <v>22</v>
      </c>
      <c r="B27" s="140">
        <f>INDEX('PEER GROUP'!B:B,MATCH($A27,'PEER GROUP'!$A:$A,0))</f>
        <v>0</v>
      </c>
      <c r="C27" s="83">
        <f>INDEX('PEER GROUP'!C:C,MATCH($A27,'PEER GROUP'!$A:$A,0))</f>
        <v>0</v>
      </c>
      <c r="D27" s="83">
        <f>INDEX('PEER GROUP'!D:D,MATCH($A27,'PEER GROUP'!$A:$A,0))</f>
        <v>0</v>
      </c>
      <c r="E27" s="83">
        <f>INDEX('PEER GROUP'!E:E,MATCH(A27,'PEER GROUP'!$A:$A,0))</f>
        <v>0</v>
      </c>
      <c r="F27" s="84">
        <f>INDEX('PEER GROUP'!F:F,MATCH($A27,'PEER GROUP'!$A:$A,0))</f>
        <v>0</v>
      </c>
      <c r="G27" s="84">
        <f>INDEX('PEER GROUP'!G:G,MATCH($A27,'PEER GROUP'!$A:$A,0))</f>
        <v>0</v>
      </c>
      <c r="H27" s="85"/>
      <c r="I27" s="85"/>
      <c r="J27" s="70">
        <f>INDEX('PEER GROUP'!K:K,MATCH($A27,'PEER GROUP'!$A:$A,0))</f>
        <v>0</v>
      </c>
      <c r="K27" s="70">
        <f>INDEX('PEER GROUP'!L:L,MATCH($A27,'PEER GROUP'!$A:$A,0))</f>
        <v>0</v>
      </c>
      <c r="L27" s="70">
        <f>INDEX('PEER GROUP'!M:M,MATCH($A27,'PEER GROUP'!$A:$A,0))</f>
        <v>0</v>
      </c>
      <c r="M27" s="86">
        <f>INDEX('PEER GROUP'!N:N,MATCH($A27,'PEER GROUP'!$A:$A,0))</f>
        <v>0</v>
      </c>
      <c r="N27" s="118"/>
      <c r="O27" s="115"/>
      <c r="P27" s="117"/>
      <c r="Q27" s="87"/>
      <c r="R27" s="87">
        <f t="shared" si="0"/>
        <v>0</v>
      </c>
      <c r="S27" s="87"/>
      <c r="T27" s="87"/>
      <c r="U27" s="87"/>
      <c r="V27" s="87">
        <f t="shared" si="1"/>
        <v>0</v>
      </c>
      <c r="W27" s="113">
        <f t="shared" si="2"/>
        <v>36.913096727263202</v>
      </c>
      <c r="X27" s="69">
        <f t="shared" si="3"/>
        <v>0</v>
      </c>
      <c r="Y27" s="70">
        <f t="shared" si="4"/>
        <v>0</v>
      </c>
      <c r="Z27" s="70">
        <f t="shared" si="5"/>
        <v>0</v>
      </c>
      <c r="AA27" s="70">
        <f t="shared" si="6"/>
        <v>0</v>
      </c>
      <c r="AB27" s="70">
        <f t="shared" si="7"/>
        <v>0</v>
      </c>
      <c r="AC27" s="70">
        <f t="shared" si="8"/>
        <v>0</v>
      </c>
      <c r="AD27" s="71">
        <f t="shared" si="9"/>
        <v>0</v>
      </c>
      <c r="AE27" s="49"/>
      <c r="AF27" s="21"/>
      <c r="AG27" s="69"/>
      <c r="AH27" s="70"/>
      <c r="AI27" s="70"/>
      <c r="AJ27" s="70"/>
      <c r="AK27" s="70"/>
      <c r="AL27" s="70"/>
      <c r="AM27" s="70"/>
      <c r="AN27" s="70" t="str">
        <f t="shared" si="10"/>
        <v>---</v>
      </c>
      <c r="AO27" s="70" t="str">
        <f t="shared" si="11"/>
        <v>---</v>
      </c>
      <c r="AP27" s="70" t="str">
        <f t="shared" si="12"/>
        <v>---</v>
      </c>
      <c r="AQ27" s="70" t="str">
        <f t="shared" si="13"/>
        <v>---</v>
      </c>
      <c r="AR27" s="70" t="str">
        <f t="shared" si="14"/>
        <v>---</v>
      </c>
      <c r="AS27" s="70" t="str">
        <f t="shared" si="15"/>
        <v>---</v>
      </c>
      <c r="AT27" s="71" t="str">
        <f t="shared" si="16"/>
        <v>---</v>
      </c>
    </row>
    <row r="28" spans="1:46" ht="30" customHeight="1" x14ac:dyDescent="0.3">
      <c r="A28" s="73">
        <v>23</v>
      </c>
      <c r="B28" s="140">
        <f>INDEX('PEER GROUP'!B:B,MATCH($A28,'PEER GROUP'!$A:$A,0))</f>
        <v>0</v>
      </c>
      <c r="C28" s="83">
        <f>INDEX('PEER GROUP'!C:C,MATCH($A28,'PEER GROUP'!$A:$A,0))</f>
        <v>0</v>
      </c>
      <c r="D28" s="83">
        <f>INDEX('PEER GROUP'!D:D,MATCH($A28,'PEER GROUP'!$A:$A,0))</f>
        <v>0</v>
      </c>
      <c r="E28" s="83">
        <f>INDEX('PEER GROUP'!E:E,MATCH(A28,'PEER GROUP'!$A:$A,0))</f>
        <v>0</v>
      </c>
      <c r="F28" s="84">
        <f>INDEX('PEER GROUP'!F:F,MATCH($A28,'PEER GROUP'!$A:$A,0))</f>
        <v>0</v>
      </c>
      <c r="G28" s="84">
        <f>INDEX('PEER GROUP'!G:G,MATCH($A28,'PEER GROUP'!$A:$A,0))</f>
        <v>0</v>
      </c>
      <c r="H28" s="85"/>
      <c r="I28" s="85"/>
      <c r="J28" s="70">
        <f>INDEX('PEER GROUP'!K:K,MATCH($A28,'PEER GROUP'!$A:$A,0))</f>
        <v>0</v>
      </c>
      <c r="K28" s="70">
        <f>INDEX('PEER GROUP'!L:L,MATCH($A28,'PEER GROUP'!$A:$A,0))</f>
        <v>0</v>
      </c>
      <c r="L28" s="70">
        <f>INDEX('PEER GROUP'!M:M,MATCH($A28,'PEER GROUP'!$A:$A,0))</f>
        <v>0</v>
      </c>
      <c r="M28" s="86">
        <f>INDEX('PEER GROUP'!N:N,MATCH($A28,'PEER GROUP'!$A:$A,0))</f>
        <v>0</v>
      </c>
      <c r="N28" s="118"/>
      <c r="O28" s="115"/>
      <c r="P28" s="117"/>
      <c r="Q28" s="87"/>
      <c r="R28" s="87">
        <f t="shared" si="0"/>
        <v>0</v>
      </c>
      <c r="S28" s="87"/>
      <c r="T28" s="87"/>
      <c r="U28" s="87"/>
      <c r="V28" s="87">
        <f t="shared" si="1"/>
        <v>0</v>
      </c>
      <c r="W28" s="113">
        <f t="shared" si="2"/>
        <v>36.913096727263202</v>
      </c>
      <c r="X28" s="69">
        <f t="shared" si="3"/>
        <v>0</v>
      </c>
      <c r="Y28" s="70">
        <f t="shared" si="4"/>
        <v>0</v>
      </c>
      <c r="Z28" s="70">
        <f t="shared" si="5"/>
        <v>0</v>
      </c>
      <c r="AA28" s="70">
        <f t="shared" si="6"/>
        <v>0</v>
      </c>
      <c r="AB28" s="70">
        <f t="shared" si="7"/>
        <v>0</v>
      </c>
      <c r="AC28" s="70">
        <f t="shared" si="8"/>
        <v>0</v>
      </c>
      <c r="AD28" s="71">
        <f t="shared" si="9"/>
        <v>0</v>
      </c>
      <c r="AE28" s="49"/>
      <c r="AF28" s="21"/>
      <c r="AG28" s="69"/>
      <c r="AH28" s="70"/>
      <c r="AI28" s="70"/>
      <c r="AJ28" s="70"/>
      <c r="AK28" s="70"/>
      <c r="AL28" s="70"/>
      <c r="AM28" s="70"/>
      <c r="AN28" s="70" t="str">
        <f t="shared" si="10"/>
        <v>---</v>
      </c>
      <c r="AO28" s="70" t="str">
        <f t="shared" si="11"/>
        <v>---</v>
      </c>
      <c r="AP28" s="70" t="str">
        <f t="shared" si="12"/>
        <v>---</v>
      </c>
      <c r="AQ28" s="70" t="str">
        <f t="shared" si="13"/>
        <v>---</v>
      </c>
      <c r="AR28" s="70" t="str">
        <f t="shared" si="14"/>
        <v>---</v>
      </c>
      <c r="AS28" s="70" t="str">
        <f t="shared" si="15"/>
        <v>---</v>
      </c>
      <c r="AT28" s="71" t="str">
        <f t="shared" si="16"/>
        <v>---</v>
      </c>
    </row>
    <row r="29" spans="1:46" ht="30" customHeight="1" x14ac:dyDescent="0.3">
      <c r="A29" s="73">
        <v>24</v>
      </c>
      <c r="B29" s="140">
        <f>INDEX('PEER GROUP'!B:B,MATCH($A29,'PEER GROUP'!$A:$A,0))</f>
        <v>0</v>
      </c>
      <c r="C29" s="83">
        <f>INDEX('PEER GROUP'!C:C,MATCH($A29,'PEER GROUP'!$A:$A,0))</f>
        <v>0</v>
      </c>
      <c r="D29" s="83">
        <f>INDEX('PEER GROUP'!D:D,MATCH($A29,'PEER GROUP'!$A:$A,0))</f>
        <v>0</v>
      </c>
      <c r="E29" s="83">
        <f>INDEX('PEER GROUP'!E:E,MATCH(A29,'PEER GROUP'!$A:$A,0))</f>
        <v>0</v>
      </c>
      <c r="F29" s="84">
        <f>INDEX('PEER GROUP'!F:F,MATCH($A29,'PEER GROUP'!$A:$A,0))</f>
        <v>0</v>
      </c>
      <c r="G29" s="84">
        <f>INDEX('PEER GROUP'!G:G,MATCH($A29,'PEER GROUP'!$A:$A,0))</f>
        <v>0</v>
      </c>
      <c r="H29" s="85"/>
      <c r="I29" s="85"/>
      <c r="J29" s="70">
        <f>INDEX('PEER GROUP'!K:K,MATCH($A29,'PEER GROUP'!$A:$A,0))</f>
        <v>0</v>
      </c>
      <c r="K29" s="70">
        <f>INDEX('PEER GROUP'!L:L,MATCH($A29,'PEER GROUP'!$A:$A,0))</f>
        <v>0</v>
      </c>
      <c r="L29" s="70">
        <f>INDEX('PEER GROUP'!M:M,MATCH($A29,'PEER GROUP'!$A:$A,0))</f>
        <v>0</v>
      </c>
      <c r="M29" s="86">
        <f>INDEX('PEER GROUP'!N:N,MATCH($A29,'PEER GROUP'!$A:$A,0))</f>
        <v>0</v>
      </c>
      <c r="N29" s="118"/>
      <c r="O29" s="115"/>
      <c r="P29" s="117"/>
      <c r="Q29" s="87"/>
      <c r="R29" s="87">
        <f t="shared" si="0"/>
        <v>0</v>
      </c>
      <c r="S29" s="87"/>
      <c r="T29" s="87"/>
      <c r="U29" s="87"/>
      <c r="V29" s="87">
        <f t="shared" si="1"/>
        <v>0</v>
      </c>
      <c r="W29" s="113">
        <f t="shared" si="2"/>
        <v>36.913096727263202</v>
      </c>
      <c r="X29" s="69">
        <f t="shared" si="3"/>
        <v>0</v>
      </c>
      <c r="Y29" s="70">
        <f t="shared" si="4"/>
        <v>0</v>
      </c>
      <c r="Z29" s="70">
        <f t="shared" si="5"/>
        <v>0</v>
      </c>
      <c r="AA29" s="70">
        <f t="shared" si="6"/>
        <v>0</v>
      </c>
      <c r="AB29" s="70">
        <f t="shared" si="7"/>
        <v>0</v>
      </c>
      <c r="AC29" s="70">
        <f t="shared" si="8"/>
        <v>0</v>
      </c>
      <c r="AD29" s="71">
        <f t="shared" si="9"/>
        <v>0</v>
      </c>
      <c r="AE29" s="49"/>
      <c r="AF29" s="21"/>
      <c r="AG29" s="69"/>
      <c r="AH29" s="70"/>
      <c r="AI29" s="70"/>
      <c r="AJ29" s="70"/>
      <c r="AK29" s="70"/>
      <c r="AL29" s="70"/>
      <c r="AM29" s="70"/>
      <c r="AN29" s="70" t="str">
        <f t="shared" si="10"/>
        <v>---</v>
      </c>
      <c r="AO29" s="70" t="str">
        <f t="shared" si="11"/>
        <v>---</v>
      </c>
      <c r="AP29" s="70" t="str">
        <f t="shared" si="12"/>
        <v>---</v>
      </c>
      <c r="AQ29" s="70" t="str">
        <f t="shared" si="13"/>
        <v>---</v>
      </c>
      <c r="AR29" s="70" t="str">
        <f t="shared" si="14"/>
        <v>---</v>
      </c>
      <c r="AS29" s="70" t="str">
        <f t="shared" si="15"/>
        <v>---</v>
      </c>
      <c r="AT29" s="71" t="str">
        <f t="shared" si="16"/>
        <v>---</v>
      </c>
    </row>
    <row r="30" spans="1:46" ht="30" customHeight="1" x14ac:dyDescent="0.3">
      <c r="A30" s="73">
        <v>25</v>
      </c>
      <c r="B30" s="140">
        <f>INDEX('PEER GROUP'!B:B,MATCH($A30,'PEER GROUP'!$A:$A,0))</f>
        <v>0</v>
      </c>
      <c r="C30" s="83">
        <f>INDEX('PEER GROUP'!C:C,MATCH($A30,'PEER GROUP'!$A:$A,0))</f>
        <v>0</v>
      </c>
      <c r="D30" s="83">
        <f>INDEX('PEER GROUP'!D:D,MATCH($A30,'PEER GROUP'!$A:$A,0))</f>
        <v>0</v>
      </c>
      <c r="E30" s="83">
        <f>INDEX('PEER GROUP'!E:E,MATCH(A30,'PEER GROUP'!$A:$A,0))</f>
        <v>0</v>
      </c>
      <c r="F30" s="84">
        <f>INDEX('PEER GROUP'!F:F,MATCH($A30,'PEER GROUP'!$A:$A,0))</f>
        <v>0</v>
      </c>
      <c r="G30" s="84">
        <f>INDEX('PEER GROUP'!G:G,MATCH($A30,'PEER GROUP'!$A:$A,0))</f>
        <v>0</v>
      </c>
      <c r="H30" s="85"/>
      <c r="I30" s="85"/>
      <c r="J30" s="70">
        <f>INDEX('PEER GROUP'!K:K,MATCH($A30,'PEER GROUP'!$A:$A,0))</f>
        <v>0</v>
      </c>
      <c r="K30" s="70">
        <f>INDEX('PEER GROUP'!L:L,MATCH($A30,'PEER GROUP'!$A:$A,0))</f>
        <v>0</v>
      </c>
      <c r="L30" s="70">
        <f>INDEX('PEER GROUP'!M:M,MATCH($A30,'PEER GROUP'!$A:$A,0))</f>
        <v>0</v>
      </c>
      <c r="M30" s="86">
        <f>INDEX('PEER GROUP'!N:N,MATCH($A30,'PEER GROUP'!$A:$A,0))</f>
        <v>0</v>
      </c>
      <c r="N30" s="118"/>
      <c r="O30" s="115"/>
      <c r="P30" s="117"/>
      <c r="Q30" s="87"/>
      <c r="R30" s="87">
        <f t="shared" si="0"/>
        <v>0</v>
      </c>
      <c r="S30" s="87"/>
      <c r="T30" s="87"/>
      <c r="U30" s="87"/>
      <c r="V30" s="87">
        <f t="shared" si="1"/>
        <v>0</v>
      </c>
      <c r="W30" s="113">
        <f t="shared" si="2"/>
        <v>36.913096727263202</v>
      </c>
      <c r="X30" s="69">
        <f t="shared" si="3"/>
        <v>0</v>
      </c>
      <c r="Y30" s="70">
        <f t="shared" si="4"/>
        <v>0</v>
      </c>
      <c r="Z30" s="70">
        <f t="shared" si="5"/>
        <v>0</v>
      </c>
      <c r="AA30" s="70">
        <f t="shared" si="6"/>
        <v>0</v>
      </c>
      <c r="AB30" s="70">
        <f t="shared" si="7"/>
        <v>0</v>
      </c>
      <c r="AC30" s="70">
        <f t="shared" si="8"/>
        <v>0</v>
      </c>
      <c r="AD30" s="71">
        <f t="shared" si="9"/>
        <v>0</v>
      </c>
      <c r="AE30" s="49"/>
      <c r="AF30" s="21"/>
      <c r="AG30" s="66"/>
      <c r="AH30" s="67"/>
      <c r="AI30" s="67"/>
      <c r="AJ30" s="67"/>
      <c r="AK30" s="67"/>
      <c r="AL30" s="67"/>
      <c r="AM30" s="67"/>
      <c r="AN30" s="67" t="str">
        <f t="shared" si="10"/>
        <v>---</v>
      </c>
      <c r="AO30" s="67" t="str">
        <f t="shared" si="11"/>
        <v>---</v>
      </c>
      <c r="AP30" s="67" t="str">
        <f t="shared" si="12"/>
        <v>---</v>
      </c>
      <c r="AQ30" s="67" t="str">
        <f t="shared" si="13"/>
        <v>---</v>
      </c>
      <c r="AR30" s="67" t="str">
        <f t="shared" si="14"/>
        <v>---</v>
      </c>
      <c r="AS30" s="67" t="str">
        <f t="shared" si="15"/>
        <v>---</v>
      </c>
      <c r="AT30" s="68" t="str">
        <f t="shared" si="16"/>
        <v>---</v>
      </c>
    </row>
    <row r="31" spans="1:46" ht="30" customHeight="1" x14ac:dyDescent="0.3">
      <c r="A31" s="73">
        <v>26</v>
      </c>
      <c r="B31" s="140">
        <f>INDEX('PEER GROUP'!B:B,MATCH($A31,'PEER GROUP'!$A:$A,0))</f>
        <v>0</v>
      </c>
      <c r="C31" s="83">
        <f>INDEX('PEER GROUP'!C:C,MATCH($A31,'PEER GROUP'!$A:$A,0))</f>
        <v>0</v>
      </c>
      <c r="D31" s="83">
        <f>INDEX('PEER GROUP'!D:D,MATCH($A31,'PEER GROUP'!$A:$A,0))</f>
        <v>0</v>
      </c>
      <c r="E31" s="83">
        <f>INDEX('PEER GROUP'!E:E,MATCH(A31,'PEER GROUP'!$A:$A,0))</f>
        <v>0</v>
      </c>
      <c r="F31" s="84">
        <f>INDEX('PEER GROUP'!F:F,MATCH($A31,'PEER GROUP'!$A:$A,0))</f>
        <v>0</v>
      </c>
      <c r="G31" s="84">
        <f>INDEX('PEER GROUP'!G:G,MATCH($A31,'PEER GROUP'!$A:$A,0))</f>
        <v>0</v>
      </c>
      <c r="H31" s="85"/>
      <c r="I31" s="85"/>
      <c r="J31" s="70">
        <f>INDEX('PEER GROUP'!K:K,MATCH($A31,'PEER GROUP'!$A:$A,0))</f>
        <v>0</v>
      </c>
      <c r="K31" s="70">
        <f>INDEX('PEER GROUP'!L:L,MATCH($A31,'PEER GROUP'!$A:$A,0))</f>
        <v>0</v>
      </c>
      <c r="L31" s="70">
        <f>INDEX('PEER GROUP'!M:M,MATCH($A31,'PEER GROUP'!$A:$A,0))</f>
        <v>0</v>
      </c>
      <c r="M31" s="86">
        <f>INDEX('PEER GROUP'!N:N,MATCH($A31,'PEER GROUP'!$A:$A,0))</f>
        <v>0</v>
      </c>
      <c r="N31" s="118"/>
      <c r="O31" s="115"/>
      <c r="P31" s="117"/>
      <c r="Q31" s="87"/>
      <c r="R31" s="87">
        <f t="shared" si="0"/>
        <v>0</v>
      </c>
      <c r="S31" s="87"/>
      <c r="T31" s="87"/>
      <c r="U31" s="87"/>
      <c r="V31" s="87">
        <f t="shared" si="1"/>
        <v>0</v>
      </c>
      <c r="W31" s="113">
        <f t="shared" si="2"/>
        <v>36.913096727263202</v>
      </c>
      <c r="X31" s="69">
        <f t="shared" si="3"/>
        <v>0</v>
      </c>
      <c r="Y31" s="70">
        <f t="shared" si="4"/>
        <v>0</v>
      </c>
      <c r="Z31" s="70">
        <f t="shared" si="5"/>
        <v>0</v>
      </c>
      <c r="AA31" s="70">
        <f t="shared" si="6"/>
        <v>0</v>
      </c>
      <c r="AB31" s="70">
        <f t="shared" si="7"/>
        <v>0</v>
      </c>
      <c r="AC31" s="70">
        <f t="shared" si="8"/>
        <v>0</v>
      </c>
      <c r="AD31" s="71">
        <f t="shared" si="9"/>
        <v>0</v>
      </c>
      <c r="AE31" s="49"/>
      <c r="AF31" s="21"/>
      <c r="AG31" s="69"/>
      <c r="AH31" s="70"/>
      <c r="AI31" s="70"/>
      <c r="AJ31" s="70"/>
      <c r="AK31" s="70"/>
      <c r="AL31" s="70"/>
      <c r="AM31" s="70"/>
      <c r="AN31" s="70" t="str">
        <f t="shared" si="10"/>
        <v>---</v>
      </c>
      <c r="AO31" s="70" t="str">
        <f t="shared" si="11"/>
        <v>---</v>
      </c>
      <c r="AP31" s="70" t="str">
        <f t="shared" si="12"/>
        <v>---</v>
      </c>
      <c r="AQ31" s="70" t="str">
        <f t="shared" si="13"/>
        <v>---</v>
      </c>
      <c r="AR31" s="70" t="str">
        <f t="shared" si="14"/>
        <v>---</v>
      </c>
      <c r="AS31" s="70" t="str">
        <f t="shared" si="15"/>
        <v>---</v>
      </c>
      <c r="AT31" s="71" t="str">
        <f t="shared" si="16"/>
        <v>---</v>
      </c>
    </row>
    <row r="32" spans="1:46" ht="30" customHeight="1" x14ac:dyDescent="0.3">
      <c r="A32" s="73">
        <v>27</v>
      </c>
      <c r="B32" s="140">
        <f>INDEX('PEER GROUP'!B:B,MATCH($A32,'PEER GROUP'!$A:$A,0))</f>
        <v>0</v>
      </c>
      <c r="C32" s="83">
        <f>INDEX('PEER GROUP'!C:C,MATCH($A32,'PEER GROUP'!$A:$A,0))</f>
        <v>0</v>
      </c>
      <c r="D32" s="83">
        <f>INDEX('PEER GROUP'!D:D,MATCH($A32,'PEER GROUP'!$A:$A,0))</f>
        <v>0</v>
      </c>
      <c r="E32" s="83">
        <f>INDEX('PEER GROUP'!E:E,MATCH(A32,'PEER GROUP'!$A:$A,0))</f>
        <v>0</v>
      </c>
      <c r="F32" s="84">
        <f>INDEX('PEER GROUP'!F:F,MATCH($A32,'PEER GROUP'!$A:$A,0))</f>
        <v>0</v>
      </c>
      <c r="G32" s="84">
        <f>INDEX('PEER GROUP'!G:G,MATCH($A32,'PEER GROUP'!$A:$A,0))</f>
        <v>0</v>
      </c>
      <c r="H32" s="85"/>
      <c r="I32" s="85"/>
      <c r="J32" s="70">
        <f>INDEX('PEER GROUP'!K:K,MATCH($A32,'PEER GROUP'!$A:$A,0))</f>
        <v>0</v>
      </c>
      <c r="K32" s="70">
        <f>INDEX('PEER GROUP'!L:L,MATCH($A32,'PEER GROUP'!$A:$A,0))</f>
        <v>0</v>
      </c>
      <c r="L32" s="70">
        <f>INDEX('PEER GROUP'!M:M,MATCH($A32,'PEER GROUP'!$A:$A,0))</f>
        <v>0</v>
      </c>
      <c r="M32" s="86">
        <f>INDEX('PEER GROUP'!N:N,MATCH($A32,'PEER GROUP'!$A:$A,0))</f>
        <v>0</v>
      </c>
      <c r="N32" s="118"/>
      <c r="O32" s="115"/>
      <c r="P32" s="117"/>
      <c r="Q32" s="87"/>
      <c r="R32" s="87">
        <f t="shared" si="0"/>
        <v>0</v>
      </c>
      <c r="S32" s="87"/>
      <c r="T32" s="87"/>
      <c r="U32" s="87"/>
      <c r="V32" s="87">
        <f t="shared" si="1"/>
        <v>0</v>
      </c>
      <c r="W32" s="113">
        <f t="shared" si="2"/>
        <v>36.913096727263202</v>
      </c>
      <c r="X32" s="69">
        <f t="shared" si="3"/>
        <v>0</v>
      </c>
      <c r="Y32" s="70">
        <f t="shared" si="4"/>
        <v>0</v>
      </c>
      <c r="Z32" s="70">
        <f t="shared" si="5"/>
        <v>0</v>
      </c>
      <c r="AA32" s="70">
        <f t="shared" si="6"/>
        <v>0</v>
      </c>
      <c r="AB32" s="70">
        <f t="shared" si="7"/>
        <v>0</v>
      </c>
      <c r="AC32" s="70">
        <f t="shared" si="8"/>
        <v>0</v>
      </c>
      <c r="AD32" s="71">
        <f t="shared" si="9"/>
        <v>0</v>
      </c>
      <c r="AE32" s="49"/>
      <c r="AF32" s="21"/>
      <c r="AG32" s="69"/>
      <c r="AH32" s="70"/>
      <c r="AI32" s="70"/>
      <c r="AJ32" s="70"/>
      <c r="AK32" s="70"/>
      <c r="AL32" s="70"/>
      <c r="AM32" s="70"/>
      <c r="AN32" s="70" t="str">
        <f t="shared" si="10"/>
        <v>---</v>
      </c>
      <c r="AO32" s="70" t="str">
        <f t="shared" si="11"/>
        <v>---</v>
      </c>
      <c r="AP32" s="70" t="str">
        <f t="shared" si="12"/>
        <v>---</v>
      </c>
      <c r="AQ32" s="70" t="str">
        <f t="shared" si="13"/>
        <v>---</v>
      </c>
      <c r="AR32" s="70" t="str">
        <f t="shared" si="14"/>
        <v>---</v>
      </c>
      <c r="AS32" s="70" t="str">
        <f t="shared" si="15"/>
        <v>---</v>
      </c>
      <c r="AT32" s="71" t="str">
        <f t="shared" si="16"/>
        <v>---</v>
      </c>
    </row>
    <row r="33" spans="1:46" ht="30" customHeight="1" x14ac:dyDescent="0.3">
      <c r="A33" s="73">
        <v>28</v>
      </c>
      <c r="B33" s="140">
        <f>INDEX('PEER GROUP'!B:B,MATCH($A33,'PEER GROUP'!$A:$A,0))</f>
        <v>0</v>
      </c>
      <c r="C33" s="83">
        <f>INDEX('PEER GROUP'!C:C,MATCH($A33,'PEER GROUP'!$A:$A,0))</f>
        <v>0</v>
      </c>
      <c r="D33" s="83">
        <f>INDEX('PEER GROUP'!D:D,MATCH($A33,'PEER GROUP'!$A:$A,0))</f>
        <v>0</v>
      </c>
      <c r="E33" s="83">
        <f>INDEX('PEER GROUP'!E:E,MATCH(A33,'PEER GROUP'!$A:$A,0))</f>
        <v>0</v>
      </c>
      <c r="F33" s="84">
        <f>INDEX('PEER GROUP'!F:F,MATCH($A33,'PEER GROUP'!$A:$A,0))</f>
        <v>0</v>
      </c>
      <c r="G33" s="84">
        <f>INDEX('PEER GROUP'!G:G,MATCH($A33,'PEER GROUP'!$A:$A,0))</f>
        <v>0</v>
      </c>
      <c r="H33" s="85"/>
      <c r="I33" s="85"/>
      <c r="J33" s="70">
        <f>INDEX('PEER GROUP'!K:K,MATCH($A33,'PEER GROUP'!$A:$A,0))</f>
        <v>0</v>
      </c>
      <c r="K33" s="70">
        <f>INDEX('PEER GROUP'!L:L,MATCH($A33,'PEER GROUP'!$A:$A,0))</f>
        <v>0</v>
      </c>
      <c r="L33" s="70">
        <f>INDEX('PEER GROUP'!M:M,MATCH($A33,'PEER GROUP'!$A:$A,0))</f>
        <v>0</v>
      </c>
      <c r="M33" s="86">
        <f>INDEX('PEER GROUP'!N:N,MATCH($A33,'PEER GROUP'!$A:$A,0))</f>
        <v>0</v>
      </c>
      <c r="N33" s="118"/>
      <c r="O33" s="115"/>
      <c r="P33" s="117"/>
      <c r="Q33" s="87"/>
      <c r="R33" s="87">
        <f t="shared" si="0"/>
        <v>0</v>
      </c>
      <c r="S33" s="87"/>
      <c r="T33" s="87"/>
      <c r="U33" s="87"/>
      <c r="V33" s="87">
        <f t="shared" si="1"/>
        <v>0</v>
      </c>
      <c r="W33" s="113">
        <f t="shared" si="2"/>
        <v>36.913096727263202</v>
      </c>
      <c r="X33" s="69">
        <f t="shared" si="3"/>
        <v>0</v>
      </c>
      <c r="Y33" s="70">
        <f t="shared" si="4"/>
        <v>0</v>
      </c>
      <c r="Z33" s="70">
        <f t="shared" si="5"/>
        <v>0</v>
      </c>
      <c r="AA33" s="70">
        <f t="shared" si="6"/>
        <v>0</v>
      </c>
      <c r="AB33" s="70">
        <f t="shared" si="7"/>
        <v>0</v>
      </c>
      <c r="AC33" s="70">
        <f t="shared" si="8"/>
        <v>0</v>
      </c>
      <c r="AD33" s="71">
        <f t="shared" si="9"/>
        <v>0</v>
      </c>
      <c r="AE33" s="49"/>
      <c r="AF33" s="21"/>
      <c r="AG33" s="69"/>
      <c r="AH33" s="70"/>
      <c r="AI33" s="70"/>
      <c r="AJ33" s="70"/>
      <c r="AK33" s="70"/>
      <c r="AL33" s="70"/>
      <c r="AM33" s="70"/>
      <c r="AN33" s="70" t="str">
        <f t="shared" si="10"/>
        <v>---</v>
      </c>
      <c r="AO33" s="70" t="str">
        <f t="shared" si="11"/>
        <v>---</v>
      </c>
      <c r="AP33" s="70" t="str">
        <f t="shared" si="12"/>
        <v>---</v>
      </c>
      <c r="AQ33" s="70" t="str">
        <f t="shared" si="13"/>
        <v>---</v>
      </c>
      <c r="AR33" s="70" t="str">
        <f t="shared" si="14"/>
        <v>---</v>
      </c>
      <c r="AS33" s="70" t="str">
        <f t="shared" si="15"/>
        <v>---</v>
      </c>
      <c r="AT33" s="71" t="str">
        <f t="shared" si="16"/>
        <v>---</v>
      </c>
    </row>
    <row r="34" spans="1:46" ht="30" customHeight="1" x14ac:dyDescent="0.3">
      <c r="A34" s="73">
        <v>29</v>
      </c>
      <c r="B34" s="140">
        <f>INDEX('PEER GROUP'!B:B,MATCH($A34,'PEER GROUP'!$A:$A,0))</f>
        <v>0</v>
      </c>
      <c r="C34" s="83">
        <f>INDEX('PEER GROUP'!C:C,MATCH($A34,'PEER GROUP'!$A:$A,0))</f>
        <v>0</v>
      </c>
      <c r="D34" s="83">
        <f>INDEX('PEER GROUP'!D:D,MATCH($A34,'PEER GROUP'!$A:$A,0))</f>
        <v>0</v>
      </c>
      <c r="E34" s="83">
        <f>INDEX('PEER GROUP'!E:E,MATCH(A34,'PEER GROUP'!$A:$A,0))</f>
        <v>0</v>
      </c>
      <c r="F34" s="84">
        <f>INDEX('PEER GROUP'!F:F,MATCH($A34,'PEER GROUP'!$A:$A,0))</f>
        <v>0</v>
      </c>
      <c r="G34" s="84">
        <f>INDEX('PEER GROUP'!G:G,MATCH($A34,'PEER GROUP'!$A:$A,0))</f>
        <v>0</v>
      </c>
      <c r="H34" s="85"/>
      <c r="I34" s="85"/>
      <c r="J34" s="70">
        <f>INDEX('PEER GROUP'!K:K,MATCH($A34,'PEER GROUP'!$A:$A,0))</f>
        <v>0</v>
      </c>
      <c r="K34" s="70">
        <f>INDEX('PEER GROUP'!L:L,MATCH($A34,'PEER GROUP'!$A:$A,0))</f>
        <v>0</v>
      </c>
      <c r="L34" s="70">
        <f>INDEX('PEER GROUP'!M:M,MATCH($A34,'PEER GROUP'!$A:$A,0))</f>
        <v>0</v>
      </c>
      <c r="M34" s="86">
        <f>INDEX('PEER GROUP'!N:N,MATCH($A34,'PEER GROUP'!$A:$A,0))</f>
        <v>0</v>
      </c>
      <c r="N34" s="118"/>
      <c r="O34" s="115"/>
      <c r="P34" s="117"/>
      <c r="Q34" s="87"/>
      <c r="R34" s="87">
        <f t="shared" si="0"/>
        <v>0</v>
      </c>
      <c r="S34" s="87"/>
      <c r="T34" s="87"/>
      <c r="U34" s="87"/>
      <c r="V34" s="87">
        <f t="shared" si="1"/>
        <v>0</v>
      </c>
      <c r="W34" s="113">
        <f t="shared" si="2"/>
        <v>36.913096727263202</v>
      </c>
      <c r="X34" s="69">
        <f t="shared" si="3"/>
        <v>0</v>
      </c>
      <c r="Y34" s="70">
        <f t="shared" si="4"/>
        <v>0</v>
      </c>
      <c r="Z34" s="70">
        <f t="shared" si="5"/>
        <v>0</v>
      </c>
      <c r="AA34" s="70">
        <f t="shared" si="6"/>
        <v>0</v>
      </c>
      <c r="AB34" s="70">
        <f t="shared" si="7"/>
        <v>0</v>
      </c>
      <c r="AC34" s="70">
        <f t="shared" si="8"/>
        <v>0</v>
      </c>
      <c r="AD34" s="71">
        <f t="shared" si="9"/>
        <v>0</v>
      </c>
      <c r="AE34" s="49"/>
      <c r="AF34" s="21"/>
      <c r="AG34" s="69"/>
      <c r="AH34" s="70"/>
      <c r="AI34" s="70"/>
      <c r="AJ34" s="70"/>
      <c r="AK34" s="70"/>
      <c r="AL34" s="70"/>
      <c r="AM34" s="70"/>
      <c r="AN34" s="70" t="str">
        <f t="shared" si="10"/>
        <v>---</v>
      </c>
      <c r="AO34" s="70" t="str">
        <f t="shared" si="11"/>
        <v>---</v>
      </c>
      <c r="AP34" s="70" t="str">
        <f t="shared" si="12"/>
        <v>---</v>
      </c>
      <c r="AQ34" s="70" t="str">
        <f t="shared" si="13"/>
        <v>---</v>
      </c>
      <c r="AR34" s="70" t="str">
        <f t="shared" si="14"/>
        <v>---</v>
      </c>
      <c r="AS34" s="70" t="str">
        <f t="shared" si="15"/>
        <v>---</v>
      </c>
      <c r="AT34" s="71" t="str">
        <f t="shared" si="16"/>
        <v>---</v>
      </c>
    </row>
    <row r="35" spans="1:46" ht="30" customHeight="1" x14ac:dyDescent="0.3">
      <c r="A35" s="73">
        <v>30</v>
      </c>
      <c r="B35" s="140">
        <f>INDEX('PEER GROUP'!B:B,MATCH($A35,'PEER GROUP'!$A:$A,0))</f>
        <v>0</v>
      </c>
      <c r="C35" s="83">
        <f>INDEX('PEER GROUP'!C:C,MATCH($A35,'PEER GROUP'!$A:$A,0))</f>
        <v>0</v>
      </c>
      <c r="D35" s="83">
        <f>INDEX('PEER GROUP'!D:D,MATCH($A35,'PEER GROUP'!$A:$A,0))</f>
        <v>0</v>
      </c>
      <c r="E35" s="83">
        <f>INDEX('PEER GROUP'!E:E,MATCH(A35,'PEER GROUP'!$A:$A,0))</f>
        <v>0</v>
      </c>
      <c r="F35" s="84">
        <f>INDEX('PEER GROUP'!F:F,MATCH($A35,'PEER GROUP'!$A:$A,0))</f>
        <v>0</v>
      </c>
      <c r="G35" s="84">
        <f>INDEX('PEER GROUP'!G:G,MATCH($A35,'PEER GROUP'!$A:$A,0))</f>
        <v>0</v>
      </c>
      <c r="H35" s="85"/>
      <c r="I35" s="85"/>
      <c r="J35" s="70">
        <f>INDEX('PEER GROUP'!K:K,MATCH($A35,'PEER GROUP'!$A:$A,0))</f>
        <v>0</v>
      </c>
      <c r="K35" s="70">
        <f>INDEX('PEER GROUP'!L:L,MATCH($A35,'PEER GROUP'!$A:$A,0))</f>
        <v>0</v>
      </c>
      <c r="L35" s="70">
        <f>INDEX('PEER GROUP'!M:M,MATCH($A35,'PEER GROUP'!$A:$A,0))</f>
        <v>0</v>
      </c>
      <c r="M35" s="86">
        <f>INDEX('PEER GROUP'!N:N,MATCH($A35,'PEER GROUP'!$A:$A,0))</f>
        <v>0</v>
      </c>
      <c r="N35" s="118"/>
      <c r="O35" s="115"/>
      <c r="P35" s="117"/>
      <c r="Q35" s="87"/>
      <c r="R35" s="87">
        <f>SUM(P35:Q35)</f>
        <v>0</v>
      </c>
      <c r="S35" s="87"/>
      <c r="T35" s="87"/>
      <c r="U35" s="87"/>
      <c r="V35" s="87">
        <f>SUM(R35:U35)</f>
        <v>0</v>
      </c>
      <c r="W35" s="113">
        <f t="shared" ref="W35:W98" si="17">IF(DataEffDate&gt;DATE(2022,1,1),
IF(E35&lt;DATE(2022,1,1),
(1+UpdateFactor)^(IF(E35&lt;DataEffDate,1,-1)*YEARFRAC(E35,DATE(2022,1,1),1))+(1+UpdateFactor_TEMP)^(IF(DATE(2022,1,1)&lt;DataEffDate,1,-1)*YEARFRAC(DATE(2022,1,1),DataEffDate,1))-1,
(1+UpdateFactor_TEMP)^(IF(E35&lt;DataEffDate,1,-1)*YEARFRAC(E35,DataEffDate,1))),
(1+UpdateFactor)^(IF(E35&lt;DataEffDate,1,-1)*YEARFRAC(E35,DataEffDate,1)))</f>
        <v>36.913096727263202</v>
      </c>
      <c r="X35" s="69">
        <f>P35*$W35</f>
        <v>0</v>
      </c>
      <c r="Y35" s="70">
        <f>Q35*$W35</f>
        <v>0</v>
      </c>
      <c r="Z35" s="70">
        <f>SUM(X35:Y35)</f>
        <v>0</v>
      </c>
      <c r="AA35" s="70">
        <f>S35*$W35</f>
        <v>0</v>
      </c>
      <c r="AB35" s="70">
        <f>T35*$W35</f>
        <v>0</v>
      </c>
      <c r="AC35" s="70">
        <f>U35*$W35</f>
        <v>0</v>
      </c>
      <c r="AD35" s="71">
        <f>SUM(Z35:AC35)</f>
        <v>0</v>
      </c>
      <c r="AE35" s="49"/>
      <c r="AF35" s="21"/>
      <c r="AG35" s="69"/>
      <c r="AH35" s="70"/>
      <c r="AI35" s="70"/>
      <c r="AJ35" s="70"/>
      <c r="AK35" s="70"/>
      <c r="AL35" s="70"/>
      <c r="AM35" s="70"/>
      <c r="AN35" s="70" t="str">
        <f t="shared" ref="AN35:AT35" si="18">IFERROR(P35/AG35-1,"---")</f>
        <v>---</v>
      </c>
      <c r="AO35" s="70" t="str">
        <f t="shared" si="18"/>
        <v>---</v>
      </c>
      <c r="AP35" s="70" t="str">
        <f t="shared" si="18"/>
        <v>---</v>
      </c>
      <c r="AQ35" s="70" t="str">
        <f t="shared" si="18"/>
        <v>---</v>
      </c>
      <c r="AR35" s="70" t="str">
        <f t="shared" si="18"/>
        <v>---</v>
      </c>
      <c r="AS35" s="70" t="str">
        <f t="shared" si="18"/>
        <v>---</v>
      </c>
      <c r="AT35" s="71" t="str">
        <f t="shared" si="18"/>
        <v>---</v>
      </c>
    </row>
    <row r="36" spans="1:46" ht="30" customHeight="1" outlineLevel="1" x14ac:dyDescent="0.3">
      <c r="A36" s="123">
        <f t="shared" ref="A36:A99" si="19">A35+1</f>
        <v>31</v>
      </c>
      <c r="B36" s="140">
        <f>INDEX('PEER GROUP'!B:B,MATCH($A36,'PEER GROUP'!$A:$A,0))</f>
        <v>0</v>
      </c>
      <c r="C36" s="83">
        <f>INDEX('PEER GROUP'!C:C,MATCH($A36,'PEER GROUP'!$A:$A,0))</f>
        <v>0</v>
      </c>
      <c r="D36" s="83">
        <f>INDEX('PEER GROUP'!D:D,MATCH($A36,'PEER GROUP'!$A:$A,0))</f>
        <v>0</v>
      </c>
      <c r="E36" s="83">
        <f>INDEX('PEER GROUP'!E:E,MATCH(A36,'PEER GROUP'!$A:$A,0))</f>
        <v>0</v>
      </c>
      <c r="F36" s="84">
        <f>INDEX('PEER GROUP'!F:F,MATCH($A36,'PEER GROUP'!$A:$A,0))</f>
        <v>0</v>
      </c>
      <c r="G36" s="84">
        <f>INDEX('PEER GROUP'!G:G,MATCH($A36,'PEER GROUP'!$A:$A,0))</f>
        <v>0</v>
      </c>
      <c r="H36" s="85"/>
      <c r="I36" s="85"/>
      <c r="J36" s="70">
        <f>INDEX('PEER GROUP'!K:K,MATCH($A36,'PEER GROUP'!$A:$A,0))</f>
        <v>0</v>
      </c>
      <c r="K36" s="70">
        <f>INDEX('PEER GROUP'!L:L,MATCH($A36,'PEER GROUP'!$A:$A,0))</f>
        <v>0</v>
      </c>
      <c r="L36" s="70">
        <f>INDEX('PEER GROUP'!M:M,MATCH($A36,'PEER GROUP'!$A:$A,0))</f>
        <v>0</v>
      </c>
      <c r="M36" s="86">
        <f>INDEX('PEER GROUP'!N:N,MATCH($A36,'PEER GROUP'!$A:$A,0))</f>
        <v>0</v>
      </c>
      <c r="N36" s="118"/>
      <c r="O36" s="115"/>
      <c r="P36" s="117"/>
      <c r="Q36" s="87"/>
      <c r="R36" s="87">
        <f t="shared" ref="R36:R99" si="20">SUM(P36:Q36)</f>
        <v>0</v>
      </c>
      <c r="S36" s="87"/>
      <c r="T36" s="87"/>
      <c r="U36" s="87"/>
      <c r="V36" s="87">
        <f t="shared" ref="V36:V99" si="21">SUM(R36:U36)</f>
        <v>0</v>
      </c>
      <c r="W36" s="113">
        <f t="shared" si="17"/>
        <v>36.913096727263202</v>
      </c>
      <c r="X36" s="69">
        <f t="shared" ref="X36:X99" si="22">P36*$W36</f>
        <v>0</v>
      </c>
      <c r="Y36" s="70">
        <f t="shared" ref="Y36:Y99" si="23">Q36*$W36</f>
        <v>0</v>
      </c>
      <c r="Z36" s="70">
        <f t="shared" ref="Z36:Z99" si="24">SUM(X36:Y36)</f>
        <v>0</v>
      </c>
      <c r="AA36" s="70">
        <f t="shared" ref="AA36:AA99" si="25">S36*$W36</f>
        <v>0</v>
      </c>
      <c r="AB36" s="70">
        <f t="shared" ref="AB36:AB99" si="26">T36*$W36</f>
        <v>0</v>
      </c>
      <c r="AC36" s="70">
        <f t="shared" ref="AC36:AC99" si="27">U36*$W36</f>
        <v>0</v>
      </c>
      <c r="AD36" s="71">
        <f t="shared" ref="AD36:AD99" si="28">SUM(Z36:AC36)</f>
        <v>0</v>
      </c>
      <c r="AE36" s="49"/>
      <c r="AF36" s="21"/>
      <c r="AG36" s="69"/>
      <c r="AH36" s="70"/>
      <c r="AI36" s="70"/>
      <c r="AJ36" s="70"/>
      <c r="AK36" s="70"/>
      <c r="AL36" s="70"/>
      <c r="AM36" s="70"/>
      <c r="AN36" s="70" t="str">
        <f t="shared" ref="AN36:AN99" si="29">IFERROR(P36/AG36-1,"---")</f>
        <v>---</v>
      </c>
      <c r="AO36" s="70" t="str">
        <f t="shared" ref="AO36:AO99" si="30">IFERROR(Q36/AH36-1,"---")</f>
        <v>---</v>
      </c>
      <c r="AP36" s="70" t="str">
        <f t="shared" ref="AP36:AP99" si="31">IFERROR(R36/AI36-1,"---")</f>
        <v>---</v>
      </c>
      <c r="AQ36" s="70" t="str">
        <f t="shared" ref="AQ36:AQ99" si="32">IFERROR(S36/AJ36-1,"---")</f>
        <v>---</v>
      </c>
      <c r="AR36" s="70" t="str">
        <f t="shared" ref="AR36:AR99" si="33">IFERROR(T36/AK36-1,"---")</f>
        <v>---</v>
      </c>
      <c r="AS36" s="70" t="str">
        <f t="shared" ref="AS36:AS99" si="34">IFERROR(U36/AL36-1,"---")</f>
        <v>---</v>
      </c>
      <c r="AT36" s="71" t="str">
        <f t="shared" ref="AT36:AT99" si="35">IFERROR(V36/AM36-1,"---")</f>
        <v>---</v>
      </c>
    </row>
    <row r="37" spans="1:46" ht="30" customHeight="1" x14ac:dyDescent="0.3">
      <c r="A37" s="123">
        <f t="shared" si="19"/>
        <v>32</v>
      </c>
      <c r="B37" s="140">
        <f>INDEX('PEER GROUP'!B:B,MATCH($A37,'PEER GROUP'!$A:$A,0))</f>
        <v>0</v>
      </c>
      <c r="C37" s="83">
        <f>INDEX('PEER GROUP'!C:C,MATCH($A37,'PEER GROUP'!$A:$A,0))</f>
        <v>0</v>
      </c>
      <c r="D37" s="83">
        <f>INDEX('PEER GROUP'!D:D,MATCH($A37,'PEER GROUP'!$A:$A,0))</f>
        <v>0</v>
      </c>
      <c r="E37" s="83">
        <f>INDEX('PEER GROUP'!E:E,MATCH(A37,'PEER GROUP'!$A:$A,0))</f>
        <v>0</v>
      </c>
      <c r="F37" s="84">
        <f>INDEX('PEER GROUP'!F:F,MATCH($A37,'PEER GROUP'!$A:$A,0))</f>
        <v>0</v>
      </c>
      <c r="G37" s="84">
        <f>INDEX('PEER GROUP'!G:G,MATCH($A37,'PEER GROUP'!$A:$A,0))</f>
        <v>0</v>
      </c>
      <c r="H37" s="85"/>
      <c r="I37" s="85"/>
      <c r="J37" s="70">
        <f>INDEX('PEER GROUP'!K:K,MATCH($A37,'PEER GROUP'!$A:$A,0))</f>
        <v>0</v>
      </c>
      <c r="K37" s="70">
        <f>INDEX('PEER GROUP'!L:L,MATCH($A37,'PEER GROUP'!$A:$A,0))</f>
        <v>0</v>
      </c>
      <c r="L37" s="70">
        <f>INDEX('PEER GROUP'!M:M,MATCH($A37,'PEER GROUP'!$A:$A,0))</f>
        <v>0</v>
      </c>
      <c r="M37" s="86">
        <f>INDEX('PEER GROUP'!N:N,MATCH($A37,'PEER GROUP'!$A:$A,0))</f>
        <v>0</v>
      </c>
      <c r="N37" s="118"/>
      <c r="O37" s="115"/>
      <c r="P37" s="117"/>
      <c r="Q37" s="87"/>
      <c r="R37" s="87">
        <f t="shared" si="20"/>
        <v>0</v>
      </c>
      <c r="S37" s="87"/>
      <c r="T37" s="87"/>
      <c r="U37" s="87"/>
      <c r="V37" s="87">
        <f t="shared" si="21"/>
        <v>0</v>
      </c>
      <c r="W37" s="113">
        <f t="shared" si="17"/>
        <v>36.913096727263202</v>
      </c>
      <c r="X37" s="69">
        <f t="shared" si="22"/>
        <v>0</v>
      </c>
      <c r="Y37" s="70">
        <f t="shared" si="23"/>
        <v>0</v>
      </c>
      <c r="Z37" s="70">
        <f t="shared" si="24"/>
        <v>0</v>
      </c>
      <c r="AA37" s="70">
        <f t="shared" si="25"/>
        <v>0</v>
      </c>
      <c r="AB37" s="70">
        <f t="shared" si="26"/>
        <v>0</v>
      </c>
      <c r="AC37" s="70">
        <f t="shared" si="27"/>
        <v>0</v>
      </c>
      <c r="AD37" s="71">
        <f t="shared" si="28"/>
        <v>0</v>
      </c>
      <c r="AE37" s="49"/>
      <c r="AF37" s="21"/>
      <c r="AG37" s="69"/>
      <c r="AH37" s="70"/>
      <c r="AI37" s="70"/>
      <c r="AJ37" s="70"/>
      <c r="AK37" s="70"/>
      <c r="AL37" s="70"/>
      <c r="AM37" s="70"/>
      <c r="AN37" s="70" t="str">
        <f t="shared" si="29"/>
        <v>---</v>
      </c>
      <c r="AO37" s="70" t="str">
        <f t="shared" si="30"/>
        <v>---</v>
      </c>
      <c r="AP37" s="70" t="str">
        <f t="shared" si="31"/>
        <v>---</v>
      </c>
      <c r="AQ37" s="70" t="str">
        <f t="shared" si="32"/>
        <v>---</v>
      </c>
      <c r="AR37" s="70" t="str">
        <f t="shared" si="33"/>
        <v>---</v>
      </c>
      <c r="AS37" s="70" t="str">
        <f t="shared" si="34"/>
        <v>---</v>
      </c>
      <c r="AT37" s="71" t="str">
        <f t="shared" si="35"/>
        <v>---</v>
      </c>
    </row>
    <row r="38" spans="1:46" ht="30" customHeight="1" x14ac:dyDescent="0.3">
      <c r="A38" s="123">
        <f t="shared" si="19"/>
        <v>33</v>
      </c>
      <c r="B38" s="140">
        <f>INDEX('PEER GROUP'!B:B,MATCH($A38,'PEER GROUP'!$A:$A,0))</f>
        <v>0</v>
      </c>
      <c r="C38" s="83">
        <f>INDEX('PEER GROUP'!C:C,MATCH($A38,'PEER GROUP'!$A:$A,0))</f>
        <v>0</v>
      </c>
      <c r="D38" s="83">
        <f>INDEX('PEER GROUP'!D:D,MATCH($A38,'PEER GROUP'!$A:$A,0))</f>
        <v>0</v>
      </c>
      <c r="E38" s="83">
        <f>INDEX('PEER GROUP'!E:E,MATCH(A38,'PEER GROUP'!$A:$A,0))</f>
        <v>0</v>
      </c>
      <c r="F38" s="84">
        <f>INDEX('PEER GROUP'!F:F,MATCH($A38,'PEER GROUP'!$A:$A,0))</f>
        <v>0</v>
      </c>
      <c r="G38" s="84">
        <f>INDEX('PEER GROUP'!G:G,MATCH($A38,'PEER GROUP'!$A:$A,0))</f>
        <v>0</v>
      </c>
      <c r="H38" s="85"/>
      <c r="I38" s="85"/>
      <c r="J38" s="70">
        <f>INDEX('PEER GROUP'!K:K,MATCH($A38,'PEER GROUP'!$A:$A,0))</f>
        <v>0</v>
      </c>
      <c r="K38" s="70">
        <f>INDEX('PEER GROUP'!L:L,MATCH($A38,'PEER GROUP'!$A:$A,0))</f>
        <v>0</v>
      </c>
      <c r="L38" s="70">
        <f>INDEX('PEER GROUP'!M:M,MATCH($A38,'PEER GROUP'!$A:$A,0))</f>
        <v>0</v>
      </c>
      <c r="M38" s="86">
        <f>INDEX('PEER GROUP'!N:N,MATCH($A38,'PEER GROUP'!$A:$A,0))</f>
        <v>0</v>
      </c>
      <c r="N38" s="118"/>
      <c r="O38" s="115"/>
      <c r="P38" s="117"/>
      <c r="Q38" s="87"/>
      <c r="R38" s="87">
        <f t="shared" si="20"/>
        <v>0</v>
      </c>
      <c r="S38" s="87"/>
      <c r="T38" s="87"/>
      <c r="U38" s="87"/>
      <c r="V38" s="87">
        <f t="shared" si="21"/>
        <v>0</v>
      </c>
      <c r="W38" s="113">
        <f t="shared" si="17"/>
        <v>36.913096727263202</v>
      </c>
      <c r="X38" s="69">
        <f t="shared" si="22"/>
        <v>0</v>
      </c>
      <c r="Y38" s="70">
        <f t="shared" si="23"/>
        <v>0</v>
      </c>
      <c r="Z38" s="70">
        <f t="shared" si="24"/>
        <v>0</v>
      </c>
      <c r="AA38" s="70">
        <f t="shared" si="25"/>
        <v>0</v>
      </c>
      <c r="AB38" s="70">
        <f t="shared" si="26"/>
        <v>0</v>
      </c>
      <c r="AC38" s="70">
        <f t="shared" si="27"/>
        <v>0</v>
      </c>
      <c r="AD38" s="71">
        <f t="shared" si="28"/>
        <v>0</v>
      </c>
      <c r="AE38" s="49"/>
      <c r="AF38" s="21"/>
      <c r="AG38" s="69"/>
      <c r="AH38" s="70"/>
      <c r="AI38" s="70"/>
      <c r="AJ38" s="70"/>
      <c r="AK38" s="70"/>
      <c r="AL38" s="70"/>
      <c r="AM38" s="70"/>
      <c r="AN38" s="70" t="str">
        <f t="shared" si="29"/>
        <v>---</v>
      </c>
      <c r="AO38" s="70" t="str">
        <f t="shared" si="30"/>
        <v>---</v>
      </c>
      <c r="AP38" s="70" t="str">
        <f t="shared" si="31"/>
        <v>---</v>
      </c>
      <c r="AQ38" s="70" t="str">
        <f t="shared" si="32"/>
        <v>---</v>
      </c>
      <c r="AR38" s="70" t="str">
        <f t="shared" si="33"/>
        <v>---</v>
      </c>
      <c r="AS38" s="70" t="str">
        <f t="shared" si="34"/>
        <v>---</v>
      </c>
      <c r="AT38" s="71" t="str">
        <f t="shared" si="35"/>
        <v>---</v>
      </c>
    </row>
    <row r="39" spans="1:46" ht="30" customHeight="1" x14ac:dyDescent="0.3">
      <c r="A39" s="123">
        <f t="shared" si="19"/>
        <v>34</v>
      </c>
      <c r="B39" s="140">
        <f>INDEX('PEER GROUP'!B:B,MATCH($A39,'PEER GROUP'!$A:$A,0))</f>
        <v>0</v>
      </c>
      <c r="C39" s="83">
        <f>INDEX('PEER GROUP'!C:C,MATCH($A39,'PEER GROUP'!$A:$A,0))</f>
        <v>0</v>
      </c>
      <c r="D39" s="83">
        <f>INDEX('PEER GROUP'!D:D,MATCH($A39,'PEER GROUP'!$A:$A,0))</f>
        <v>0</v>
      </c>
      <c r="E39" s="83">
        <f>INDEX('PEER GROUP'!E:E,MATCH(A39,'PEER GROUP'!$A:$A,0))</f>
        <v>0</v>
      </c>
      <c r="F39" s="84">
        <f>INDEX('PEER GROUP'!F:F,MATCH($A39,'PEER GROUP'!$A:$A,0))</f>
        <v>0</v>
      </c>
      <c r="G39" s="84">
        <f>INDEX('PEER GROUP'!G:G,MATCH($A39,'PEER GROUP'!$A:$A,0))</f>
        <v>0</v>
      </c>
      <c r="H39" s="85"/>
      <c r="I39" s="85"/>
      <c r="J39" s="70">
        <f>INDEX('PEER GROUP'!K:K,MATCH($A39,'PEER GROUP'!$A:$A,0))</f>
        <v>0</v>
      </c>
      <c r="K39" s="70">
        <f>INDEX('PEER GROUP'!L:L,MATCH($A39,'PEER GROUP'!$A:$A,0))</f>
        <v>0</v>
      </c>
      <c r="L39" s="70">
        <f>INDEX('PEER GROUP'!M:M,MATCH($A39,'PEER GROUP'!$A:$A,0))</f>
        <v>0</v>
      </c>
      <c r="M39" s="86">
        <f>INDEX('PEER GROUP'!N:N,MATCH($A39,'PEER GROUP'!$A:$A,0))</f>
        <v>0</v>
      </c>
      <c r="N39" s="118"/>
      <c r="O39" s="115"/>
      <c r="P39" s="117"/>
      <c r="Q39" s="87"/>
      <c r="R39" s="87">
        <f t="shared" si="20"/>
        <v>0</v>
      </c>
      <c r="S39" s="87"/>
      <c r="T39" s="87"/>
      <c r="U39" s="87"/>
      <c r="V39" s="87">
        <f t="shared" si="21"/>
        <v>0</v>
      </c>
      <c r="W39" s="113">
        <f t="shared" si="17"/>
        <v>36.913096727263202</v>
      </c>
      <c r="X39" s="69">
        <f t="shared" si="22"/>
        <v>0</v>
      </c>
      <c r="Y39" s="70">
        <f t="shared" si="23"/>
        <v>0</v>
      </c>
      <c r="Z39" s="70">
        <f t="shared" si="24"/>
        <v>0</v>
      </c>
      <c r="AA39" s="70">
        <f t="shared" si="25"/>
        <v>0</v>
      </c>
      <c r="AB39" s="70">
        <f t="shared" si="26"/>
        <v>0</v>
      </c>
      <c r="AC39" s="70">
        <f t="shared" si="27"/>
        <v>0</v>
      </c>
      <c r="AD39" s="71">
        <f t="shared" si="28"/>
        <v>0</v>
      </c>
      <c r="AE39" s="49"/>
      <c r="AF39" s="21"/>
      <c r="AG39" s="69"/>
      <c r="AH39" s="70"/>
      <c r="AI39" s="70"/>
      <c r="AJ39" s="70"/>
      <c r="AK39" s="70"/>
      <c r="AL39" s="70"/>
      <c r="AM39" s="70"/>
      <c r="AN39" s="70" t="str">
        <f t="shared" si="29"/>
        <v>---</v>
      </c>
      <c r="AO39" s="70" t="str">
        <f t="shared" si="30"/>
        <v>---</v>
      </c>
      <c r="AP39" s="70" t="str">
        <f t="shared" si="31"/>
        <v>---</v>
      </c>
      <c r="AQ39" s="70" t="str">
        <f t="shared" si="32"/>
        <v>---</v>
      </c>
      <c r="AR39" s="70" t="str">
        <f t="shared" si="33"/>
        <v>---</v>
      </c>
      <c r="AS39" s="70" t="str">
        <f t="shared" si="34"/>
        <v>---</v>
      </c>
      <c r="AT39" s="71" t="str">
        <f t="shared" si="35"/>
        <v>---</v>
      </c>
    </row>
    <row r="40" spans="1:46" ht="30" customHeight="1" x14ac:dyDescent="0.3">
      <c r="A40" s="123">
        <f t="shared" si="19"/>
        <v>35</v>
      </c>
      <c r="B40" s="140">
        <f>INDEX('PEER GROUP'!B:B,MATCH($A40,'PEER GROUP'!$A:$A,0))</f>
        <v>0</v>
      </c>
      <c r="C40" s="83">
        <f>INDEX('PEER GROUP'!C:C,MATCH($A40,'PEER GROUP'!$A:$A,0))</f>
        <v>0</v>
      </c>
      <c r="D40" s="83">
        <f>INDEX('PEER GROUP'!D:D,MATCH($A40,'PEER GROUP'!$A:$A,0))</f>
        <v>0</v>
      </c>
      <c r="E40" s="83">
        <f>INDEX('PEER GROUP'!E:E,MATCH(A40,'PEER GROUP'!$A:$A,0))</f>
        <v>0</v>
      </c>
      <c r="F40" s="84">
        <f>INDEX('PEER GROUP'!F:F,MATCH($A40,'PEER GROUP'!$A:$A,0))</f>
        <v>0</v>
      </c>
      <c r="G40" s="84">
        <f>INDEX('PEER GROUP'!G:G,MATCH($A40,'PEER GROUP'!$A:$A,0))</f>
        <v>0</v>
      </c>
      <c r="H40" s="85"/>
      <c r="I40" s="85"/>
      <c r="J40" s="70">
        <f>INDEX('PEER GROUP'!K:K,MATCH($A40,'PEER GROUP'!$A:$A,0))</f>
        <v>0</v>
      </c>
      <c r="K40" s="70">
        <f>INDEX('PEER GROUP'!L:L,MATCH($A40,'PEER GROUP'!$A:$A,0))</f>
        <v>0</v>
      </c>
      <c r="L40" s="70">
        <f>INDEX('PEER GROUP'!M:M,MATCH($A40,'PEER GROUP'!$A:$A,0))</f>
        <v>0</v>
      </c>
      <c r="M40" s="86">
        <f>INDEX('PEER GROUP'!N:N,MATCH($A40,'PEER GROUP'!$A:$A,0))</f>
        <v>0</v>
      </c>
      <c r="N40" s="118"/>
      <c r="O40" s="115"/>
      <c r="P40" s="117"/>
      <c r="Q40" s="87"/>
      <c r="R40" s="87">
        <f t="shared" si="20"/>
        <v>0</v>
      </c>
      <c r="S40" s="87"/>
      <c r="T40" s="87"/>
      <c r="U40" s="87"/>
      <c r="V40" s="87">
        <f t="shared" si="21"/>
        <v>0</v>
      </c>
      <c r="W40" s="113">
        <f t="shared" si="17"/>
        <v>36.913096727263202</v>
      </c>
      <c r="X40" s="69">
        <f t="shared" si="22"/>
        <v>0</v>
      </c>
      <c r="Y40" s="70">
        <f t="shared" si="23"/>
        <v>0</v>
      </c>
      <c r="Z40" s="70">
        <f t="shared" si="24"/>
        <v>0</v>
      </c>
      <c r="AA40" s="70">
        <f t="shared" si="25"/>
        <v>0</v>
      </c>
      <c r="AB40" s="70">
        <f t="shared" si="26"/>
        <v>0</v>
      </c>
      <c r="AC40" s="70">
        <f t="shared" si="27"/>
        <v>0</v>
      </c>
      <c r="AD40" s="71">
        <f t="shared" si="28"/>
        <v>0</v>
      </c>
      <c r="AE40" s="49"/>
      <c r="AF40" s="21"/>
      <c r="AG40" s="69"/>
      <c r="AH40" s="70"/>
      <c r="AI40" s="70"/>
      <c r="AJ40" s="70"/>
      <c r="AK40" s="70"/>
      <c r="AL40" s="70"/>
      <c r="AM40" s="70"/>
      <c r="AN40" s="70" t="str">
        <f t="shared" si="29"/>
        <v>---</v>
      </c>
      <c r="AO40" s="70" t="str">
        <f t="shared" si="30"/>
        <v>---</v>
      </c>
      <c r="AP40" s="70" t="str">
        <f t="shared" si="31"/>
        <v>---</v>
      </c>
      <c r="AQ40" s="70" t="str">
        <f t="shared" si="32"/>
        <v>---</v>
      </c>
      <c r="AR40" s="70" t="str">
        <f t="shared" si="33"/>
        <v>---</v>
      </c>
      <c r="AS40" s="70" t="str">
        <f t="shared" si="34"/>
        <v>---</v>
      </c>
      <c r="AT40" s="71" t="str">
        <f t="shared" si="35"/>
        <v>---</v>
      </c>
    </row>
    <row r="41" spans="1:46" ht="30" customHeight="1" x14ac:dyDescent="0.3">
      <c r="A41" s="123">
        <f t="shared" si="19"/>
        <v>36</v>
      </c>
      <c r="B41" s="140">
        <f>INDEX('PEER GROUP'!B:B,MATCH($A41,'PEER GROUP'!$A:$A,0))</f>
        <v>0</v>
      </c>
      <c r="C41" s="83">
        <f>INDEX('PEER GROUP'!C:C,MATCH($A41,'PEER GROUP'!$A:$A,0))</f>
        <v>0</v>
      </c>
      <c r="D41" s="83">
        <f>INDEX('PEER GROUP'!D:D,MATCH($A41,'PEER GROUP'!$A:$A,0))</f>
        <v>0</v>
      </c>
      <c r="E41" s="83">
        <f>INDEX('PEER GROUP'!E:E,MATCH(A41,'PEER GROUP'!$A:$A,0))</f>
        <v>0</v>
      </c>
      <c r="F41" s="84">
        <f>INDEX('PEER GROUP'!F:F,MATCH($A41,'PEER GROUP'!$A:$A,0))</f>
        <v>0</v>
      </c>
      <c r="G41" s="84">
        <f>INDEX('PEER GROUP'!G:G,MATCH($A41,'PEER GROUP'!$A:$A,0))</f>
        <v>0</v>
      </c>
      <c r="H41" s="85"/>
      <c r="I41" s="85"/>
      <c r="J41" s="70">
        <f>INDEX('PEER GROUP'!K:K,MATCH($A41,'PEER GROUP'!$A:$A,0))</f>
        <v>0</v>
      </c>
      <c r="K41" s="70">
        <f>INDEX('PEER GROUP'!L:L,MATCH($A41,'PEER GROUP'!$A:$A,0))</f>
        <v>0</v>
      </c>
      <c r="L41" s="70">
        <f>INDEX('PEER GROUP'!M:M,MATCH($A41,'PEER GROUP'!$A:$A,0))</f>
        <v>0</v>
      </c>
      <c r="M41" s="86">
        <f>INDEX('PEER GROUP'!N:N,MATCH($A41,'PEER GROUP'!$A:$A,0))</f>
        <v>0</v>
      </c>
      <c r="N41" s="118"/>
      <c r="O41" s="115"/>
      <c r="P41" s="117"/>
      <c r="Q41" s="87"/>
      <c r="R41" s="87">
        <f t="shared" si="20"/>
        <v>0</v>
      </c>
      <c r="S41" s="87"/>
      <c r="T41" s="87"/>
      <c r="U41" s="87"/>
      <c r="V41" s="87">
        <f t="shared" si="21"/>
        <v>0</v>
      </c>
      <c r="W41" s="113">
        <f t="shared" si="17"/>
        <v>36.913096727263202</v>
      </c>
      <c r="X41" s="69">
        <f t="shared" si="22"/>
        <v>0</v>
      </c>
      <c r="Y41" s="70">
        <f t="shared" si="23"/>
        <v>0</v>
      </c>
      <c r="Z41" s="70">
        <f t="shared" si="24"/>
        <v>0</v>
      </c>
      <c r="AA41" s="70">
        <f t="shared" si="25"/>
        <v>0</v>
      </c>
      <c r="AB41" s="70">
        <f t="shared" si="26"/>
        <v>0</v>
      </c>
      <c r="AC41" s="70">
        <f t="shared" si="27"/>
        <v>0</v>
      </c>
      <c r="AD41" s="71">
        <f t="shared" si="28"/>
        <v>0</v>
      </c>
      <c r="AE41" s="49"/>
      <c r="AF41" s="21"/>
      <c r="AG41" s="69"/>
      <c r="AH41" s="70"/>
      <c r="AI41" s="70"/>
      <c r="AJ41" s="70"/>
      <c r="AK41" s="70"/>
      <c r="AL41" s="70"/>
      <c r="AM41" s="70"/>
      <c r="AN41" s="70" t="str">
        <f t="shared" si="29"/>
        <v>---</v>
      </c>
      <c r="AO41" s="70" t="str">
        <f t="shared" si="30"/>
        <v>---</v>
      </c>
      <c r="AP41" s="70" t="str">
        <f t="shared" si="31"/>
        <v>---</v>
      </c>
      <c r="AQ41" s="70" t="str">
        <f t="shared" si="32"/>
        <v>---</v>
      </c>
      <c r="AR41" s="70" t="str">
        <f t="shared" si="33"/>
        <v>---</v>
      </c>
      <c r="AS41" s="70" t="str">
        <f t="shared" si="34"/>
        <v>---</v>
      </c>
      <c r="AT41" s="71" t="str">
        <f t="shared" si="35"/>
        <v>---</v>
      </c>
    </row>
    <row r="42" spans="1:46" ht="30" customHeight="1" x14ac:dyDescent="0.3">
      <c r="A42" s="123">
        <f t="shared" si="19"/>
        <v>37</v>
      </c>
      <c r="B42" s="140">
        <f>INDEX('PEER GROUP'!B:B,MATCH($A42,'PEER GROUP'!$A:$A,0))</f>
        <v>0</v>
      </c>
      <c r="C42" s="83">
        <f>INDEX('PEER GROUP'!C:C,MATCH($A42,'PEER GROUP'!$A:$A,0))</f>
        <v>0</v>
      </c>
      <c r="D42" s="83">
        <f>INDEX('PEER GROUP'!D:D,MATCH($A42,'PEER GROUP'!$A:$A,0))</f>
        <v>0</v>
      </c>
      <c r="E42" s="83">
        <f>INDEX('PEER GROUP'!E:E,MATCH(A42,'PEER GROUP'!$A:$A,0))</f>
        <v>0</v>
      </c>
      <c r="F42" s="84">
        <f>INDEX('PEER GROUP'!F:F,MATCH($A42,'PEER GROUP'!$A:$A,0))</f>
        <v>0</v>
      </c>
      <c r="G42" s="84">
        <f>INDEX('PEER GROUP'!G:G,MATCH($A42,'PEER GROUP'!$A:$A,0))</f>
        <v>0</v>
      </c>
      <c r="H42" s="85"/>
      <c r="I42" s="85"/>
      <c r="J42" s="70">
        <f>INDEX('PEER GROUP'!K:K,MATCH($A42,'PEER GROUP'!$A:$A,0))</f>
        <v>0</v>
      </c>
      <c r="K42" s="70">
        <f>INDEX('PEER GROUP'!L:L,MATCH($A42,'PEER GROUP'!$A:$A,0))</f>
        <v>0</v>
      </c>
      <c r="L42" s="70">
        <f>INDEX('PEER GROUP'!M:M,MATCH($A42,'PEER GROUP'!$A:$A,0))</f>
        <v>0</v>
      </c>
      <c r="M42" s="86">
        <f>INDEX('PEER GROUP'!N:N,MATCH($A42,'PEER GROUP'!$A:$A,0))</f>
        <v>0</v>
      </c>
      <c r="N42" s="118"/>
      <c r="O42" s="115"/>
      <c r="P42" s="117"/>
      <c r="Q42" s="87"/>
      <c r="R42" s="87">
        <f t="shared" si="20"/>
        <v>0</v>
      </c>
      <c r="S42" s="87"/>
      <c r="T42" s="87"/>
      <c r="U42" s="87"/>
      <c r="V42" s="87">
        <f t="shared" si="21"/>
        <v>0</v>
      </c>
      <c r="W42" s="113">
        <f t="shared" si="17"/>
        <v>36.913096727263202</v>
      </c>
      <c r="X42" s="69">
        <f t="shared" si="22"/>
        <v>0</v>
      </c>
      <c r="Y42" s="70">
        <f t="shared" si="23"/>
        <v>0</v>
      </c>
      <c r="Z42" s="70">
        <f t="shared" si="24"/>
        <v>0</v>
      </c>
      <c r="AA42" s="70">
        <f t="shared" si="25"/>
        <v>0</v>
      </c>
      <c r="AB42" s="70">
        <f t="shared" si="26"/>
        <v>0</v>
      </c>
      <c r="AC42" s="70">
        <f t="shared" si="27"/>
        <v>0</v>
      </c>
      <c r="AD42" s="71">
        <f t="shared" si="28"/>
        <v>0</v>
      </c>
      <c r="AE42" s="49"/>
      <c r="AF42" s="21"/>
      <c r="AG42" s="69"/>
      <c r="AH42" s="70"/>
      <c r="AI42" s="70"/>
      <c r="AJ42" s="70"/>
      <c r="AK42" s="70"/>
      <c r="AL42" s="70"/>
      <c r="AM42" s="70"/>
      <c r="AN42" s="70" t="str">
        <f t="shared" si="29"/>
        <v>---</v>
      </c>
      <c r="AO42" s="70" t="str">
        <f t="shared" si="30"/>
        <v>---</v>
      </c>
      <c r="AP42" s="70" t="str">
        <f t="shared" si="31"/>
        <v>---</v>
      </c>
      <c r="AQ42" s="70" t="str">
        <f t="shared" si="32"/>
        <v>---</v>
      </c>
      <c r="AR42" s="70" t="str">
        <f t="shared" si="33"/>
        <v>---</v>
      </c>
      <c r="AS42" s="70" t="str">
        <f t="shared" si="34"/>
        <v>---</v>
      </c>
      <c r="AT42" s="71" t="str">
        <f t="shared" si="35"/>
        <v>---</v>
      </c>
    </row>
    <row r="43" spans="1:46" ht="30" customHeight="1" x14ac:dyDescent="0.3">
      <c r="A43" s="123">
        <f t="shared" si="19"/>
        <v>38</v>
      </c>
      <c r="B43" s="140">
        <f>INDEX('PEER GROUP'!B:B,MATCH($A43,'PEER GROUP'!$A:$A,0))</f>
        <v>0</v>
      </c>
      <c r="C43" s="83">
        <f>INDEX('PEER GROUP'!C:C,MATCH($A43,'PEER GROUP'!$A:$A,0))</f>
        <v>0</v>
      </c>
      <c r="D43" s="83">
        <f>INDEX('PEER GROUP'!D:D,MATCH($A43,'PEER GROUP'!$A:$A,0))</f>
        <v>0</v>
      </c>
      <c r="E43" s="83">
        <f>INDEX('PEER GROUP'!E:E,MATCH(A43,'PEER GROUP'!$A:$A,0))</f>
        <v>0</v>
      </c>
      <c r="F43" s="84">
        <f>INDEX('PEER GROUP'!F:F,MATCH($A43,'PEER GROUP'!$A:$A,0))</f>
        <v>0</v>
      </c>
      <c r="G43" s="84">
        <f>INDEX('PEER GROUP'!G:G,MATCH($A43,'PEER GROUP'!$A:$A,0))</f>
        <v>0</v>
      </c>
      <c r="H43" s="85"/>
      <c r="I43" s="85"/>
      <c r="J43" s="70">
        <f>INDEX('PEER GROUP'!K:K,MATCH($A43,'PEER GROUP'!$A:$A,0))</f>
        <v>0</v>
      </c>
      <c r="K43" s="70">
        <f>INDEX('PEER GROUP'!L:L,MATCH($A43,'PEER GROUP'!$A:$A,0))</f>
        <v>0</v>
      </c>
      <c r="L43" s="70">
        <f>INDEX('PEER GROUP'!M:M,MATCH($A43,'PEER GROUP'!$A:$A,0))</f>
        <v>0</v>
      </c>
      <c r="M43" s="86">
        <f>INDEX('PEER GROUP'!N:N,MATCH($A43,'PEER GROUP'!$A:$A,0))</f>
        <v>0</v>
      </c>
      <c r="N43" s="118"/>
      <c r="O43" s="115"/>
      <c r="P43" s="117"/>
      <c r="Q43" s="87"/>
      <c r="R43" s="87">
        <f t="shared" si="20"/>
        <v>0</v>
      </c>
      <c r="S43" s="87"/>
      <c r="T43" s="87"/>
      <c r="U43" s="87"/>
      <c r="V43" s="87">
        <f t="shared" si="21"/>
        <v>0</v>
      </c>
      <c r="W43" s="113">
        <f t="shared" si="17"/>
        <v>36.913096727263202</v>
      </c>
      <c r="X43" s="69">
        <f t="shared" si="22"/>
        <v>0</v>
      </c>
      <c r="Y43" s="70">
        <f t="shared" si="23"/>
        <v>0</v>
      </c>
      <c r="Z43" s="70">
        <f t="shared" si="24"/>
        <v>0</v>
      </c>
      <c r="AA43" s="70">
        <f t="shared" si="25"/>
        <v>0</v>
      </c>
      <c r="AB43" s="70">
        <f t="shared" si="26"/>
        <v>0</v>
      </c>
      <c r="AC43" s="70">
        <f t="shared" si="27"/>
        <v>0</v>
      </c>
      <c r="AD43" s="71">
        <f t="shared" si="28"/>
        <v>0</v>
      </c>
      <c r="AE43" s="49"/>
      <c r="AF43" s="21"/>
      <c r="AG43" s="69"/>
      <c r="AH43" s="70"/>
      <c r="AI43" s="70"/>
      <c r="AJ43" s="70"/>
      <c r="AK43" s="70"/>
      <c r="AL43" s="70"/>
      <c r="AM43" s="70"/>
      <c r="AN43" s="70" t="str">
        <f t="shared" si="29"/>
        <v>---</v>
      </c>
      <c r="AO43" s="70" t="str">
        <f t="shared" si="30"/>
        <v>---</v>
      </c>
      <c r="AP43" s="70" t="str">
        <f t="shared" si="31"/>
        <v>---</v>
      </c>
      <c r="AQ43" s="70" t="str">
        <f t="shared" si="32"/>
        <v>---</v>
      </c>
      <c r="AR43" s="70" t="str">
        <f t="shared" si="33"/>
        <v>---</v>
      </c>
      <c r="AS43" s="70" t="str">
        <f t="shared" si="34"/>
        <v>---</v>
      </c>
      <c r="AT43" s="71" t="str">
        <f t="shared" si="35"/>
        <v>---</v>
      </c>
    </row>
    <row r="44" spans="1:46" ht="30" customHeight="1" x14ac:dyDescent="0.3">
      <c r="A44" s="123">
        <f t="shared" si="19"/>
        <v>39</v>
      </c>
      <c r="B44" s="140">
        <f>INDEX('PEER GROUP'!B:B,MATCH($A44,'PEER GROUP'!$A:$A,0))</f>
        <v>0</v>
      </c>
      <c r="C44" s="83">
        <f>INDEX('PEER GROUP'!C:C,MATCH($A44,'PEER GROUP'!$A:$A,0))</f>
        <v>0</v>
      </c>
      <c r="D44" s="83">
        <f>INDEX('PEER GROUP'!D:D,MATCH($A44,'PEER GROUP'!$A:$A,0))</f>
        <v>0</v>
      </c>
      <c r="E44" s="83">
        <f>INDEX('PEER GROUP'!E:E,MATCH(A44,'PEER GROUP'!$A:$A,0))</f>
        <v>0</v>
      </c>
      <c r="F44" s="84">
        <f>INDEX('PEER GROUP'!F:F,MATCH($A44,'PEER GROUP'!$A:$A,0))</f>
        <v>0</v>
      </c>
      <c r="G44" s="84">
        <f>INDEX('PEER GROUP'!G:G,MATCH($A44,'PEER GROUP'!$A:$A,0))</f>
        <v>0</v>
      </c>
      <c r="H44" s="85"/>
      <c r="I44" s="85"/>
      <c r="J44" s="70">
        <f>INDEX('PEER GROUP'!K:K,MATCH($A44,'PEER GROUP'!$A:$A,0))</f>
        <v>0</v>
      </c>
      <c r="K44" s="70">
        <f>INDEX('PEER GROUP'!L:L,MATCH($A44,'PEER GROUP'!$A:$A,0))</f>
        <v>0</v>
      </c>
      <c r="L44" s="70">
        <f>INDEX('PEER GROUP'!M:M,MATCH($A44,'PEER GROUP'!$A:$A,0))</f>
        <v>0</v>
      </c>
      <c r="M44" s="86">
        <f>INDEX('PEER GROUP'!N:N,MATCH($A44,'PEER GROUP'!$A:$A,0))</f>
        <v>0</v>
      </c>
      <c r="N44" s="118"/>
      <c r="O44" s="115"/>
      <c r="P44" s="117"/>
      <c r="Q44" s="87"/>
      <c r="R44" s="87">
        <f t="shared" si="20"/>
        <v>0</v>
      </c>
      <c r="S44" s="87"/>
      <c r="T44" s="87"/>
      <c r="U44" s="87"/>
      <c r="V44" s="87">
        <f t="shared" si="21"/>
        <v>0</v>
      </c>
      <c r="W44" s="113">
        <f t="shared" si="17"/>
        <v>36.913096727263202</v>
      </c>
      <c r="X44" s="69">
        <f t="shared" si="22"/>
        <v>0</v>
      </c>
      <c r="Y44" s="70">
        <f t="shared" si="23"/>
        <v>0</v>
      </c>
      <c r="Z44" s="70">
        <f t="shared" si="24"/>
        <v>0</v>
      </c>
      <c r="AA44" s="70">
        <f t="shared" si="25"/>
        <v>0</v>
      </c>
      <c r="AB44" s="70">
        <f t="shared" si="26"/>
        <v>0</v>
      </c>
      <c r="AC44" s="70">
        <f t="shared" si="27"/>
        <v>0</v>
      </c>
      <c r="AD44" s="71">
        <f t="shared" si="28"/>
        <v>0</v>
      </c>
      <c r="AE44" s="49"/>
      <c r="AF44" s="21"/>
      <c r="AG44" s="69"/>
      <c r="AH44" s="70"/>
      <c r="AI44" s="70"/>
      <c r="AJ44" s="70"/>
      <c r="AK44" s="70"/>
      <c r="AL44" s="70"/>
      <c r="AM44" s="70"/>
      <c r="AN44" s="70" t="str">
        <f t="shared" si="29"/>
        <v>---</v>
      </c>
      <c r="AO44" s="70" t="str">
        <f t="shared" si="30"/>
        <v>---</v>
      </c>
      <c r="AP44" s="70" t="str">
        <f t="shared" si="31"/>
        <v>---</v>
      </c>
      <c r="AQ44" s="70" t="str">
        <f t="shared" si="32"/>
        <v>---</v>
      </c>
      <c r="AR44" s="70" t="str">
        <f t="shared" si="33"/>
        <v>---</v>
      </c>
      <c r="AS44" s="70" t="str">
        <f t="shared" si="34"/>
        <v>---</v>
      </c>
      <c r="AT44" s="71" t="str">
        <f t="shared" si="35"/>
        <v>---</v>
      </c>
    </row>
    <row r="45" spans="1:46" ht="30" customHeight="1" x14ac:dyDescent="0.3">
      <c r="A45" s="123">
        <f t="shared" si="19"/>
        <v>40</v>
      </c>
      <c r="B45" s="140">
        <f>INDEX('PEER GROUP'!B:B,MATCH($A45,'PEER GROUP'!$A:$A,0))</f>
        <v>0</v>
      </c>
      <c r="C45" s="83">
        <f>INDEX('PEER GROUP'!C:C,MATCH($A45,'PEER GROUP'!$A:$A,0))</f>
        <v>0</v>
      </c>
      <c r="D45" s="83">
        <f>INDEX('PEER GROUP'!D:D,MATCH($A45,'PEER GROUP'!$A:$A,0))</f>
        <v>0</v>
      </c>
      <c r="E45" s="83">
        <f>INDEX('PEER GROUP'!E:E,MATCH(A45,'PEER GROUP'!$A:$A,0))</f>
        <v>0</v>
      </c>
      <c r="F45" s="84">
        <f>INDEX('PEER GROUP'!F:F,MATCH($A45,'PEER GROUP'!$A:$A,0))</f>
        <v>0</v>
      </c>
      <c r="G45" s="84">
        <f>INDEX('PEER GROUP'!G:G,MATCH($A45,'PEER GROUP'!$A:$A,0))</f>
        <v>0</v>
      </c>
      <c r="H45" s="85"/>
      <c r="I45" s="85"/>
      <c r="J45" s="70">
        <f>INDEX('PEER GROUP'!K:K,MATCH($A45,'PEER GROUP'!$A:$A,0))</f>
        <v>0</v>
      </c>
      <c r="K45" s="70">
        <f>INDEX('PEER GROUP'!L:L,MATCH($A45,'PEER GROUP'!$A:$A,0))</f>
        <v>0</v>
      </c>
      <c r="L45" s="70">
        <f>INDEX('PEER GROUP'!M:M,MATCH($A45,'PEER GROUP'!$A:$A,0))</f>
        <v>0</v>
      </c>
      <c r="M45" s="86">
        <f>INDEX('PEER GROUP'!N:N,MATCH($A45,'PEER GROUP'!$A:$A,0))</f>
        <v>0</v>
      </c>
      <c r="N45" s="118"/>
      <c r="O45" s="115"/>
      <c r="P45" s="117"/>
      <c r="Q45" s="87"/>
      <c r="R45" s="87">
        <f t="shared" si="20"/>
        <v>0</v>
      </c>
      <c r="S45" s="87"/>
      <c r="T45" s="87"/>
      <c r="U45" s="87"/>
      <c r="V45" s="87">
        <f t="shared" si="21"/>
        <v>0</v>
      </c>
      <c r="W45" s="113">
        <f t="shared" si="17"/>
        <v>36.913096727263202</v>
      </c>
      <c r="X45" s="69">
        <f t="shared" si="22"/>
        <v>0</v>
      </c>
      <c r="Y45" s="70">
        <f t="shared" si="23"/>
        <v>0</v>
      </c>
      <c r="Z45" s="70">
        <f t="shared" si="24"/>
        <v>0</v>
      </c>
      <c r="AA45" s="70">
        <f t="shared" si="25"/>
        <v>0</v>
      </c>
      <c r="AB45" s="70">
        <f t="shared" si="26"/>
        <v>0</v>
      </c>
      <c r="AC45" s="70">
        <f t="shared" si="27"/>
        <v>0</v>
      </c>
      <c r="AD45" s="71">
        <f t="shared" si="28"/>
        <v>0</v>
      </c>
      <c r="AE45" s="49"/>
      <c r="AF45" s="21"/>
      <c r="AG45" s="69"/>
      <c r="AH45" s="70"/>
      <c r="AI45" s="70"/>
      <c r="AJ45" s="70"/>
      <c r="AK45" s="70"/>
      <c r="AL45" s="70"/>
      <c r="AM45" s="70"/>
      <c r="AN45" s="70" t="str">
        <f t="shared" si="29"/>
        <v>---</v>
      </c>
      <c r="AO45" s="70" t="str">
        <f t="shared" si="30"/>
        <v>---</v>
      </c>
      <c r="AP45" s="70" t="str">
        <f t="shared" si="31"/>
        <v>---</v>
      </c>
      <c r="AQ45" s="70" t="str">
        <f t="shared" si="32"/>
        <v>---</v>
      </c>
      <c r="AR45" s="70" t="str">
        <f t="shared" si="33"/>
        <v>---</v>
      </c>
      <c r="AS45" s="70" t="str">
        <f t="shared" si="34"/>
        <v>---</v>
      </c>
      <c r="AT45" s="71" t="str">
        <f t="shared" si="35"/>
        <v>---</v>
      </c>
    </row>
    <row r="46" spans="1:46" ht="30" customHeight="1" x14ac:dyDescent="0.3">
      <c r="A46" s="123">
        <f t="shared" si="19"/>
        <v>41</v>
      </c>
      <c r="B46" s="140">
        <f>INDEX('PEER GROUP'!B:B,MATCH($A46,'PEER GROUP'!$A:$A,0))</f>
        <v>0</v>
      </c>
      <c r="C46" s="83">
        <f>INDEX('PEER GROUP'!C:C,MATCH($A46,'PEER GROUP'!$A:$A,0))</f>
        <v>0</v>
      </c>
      <c r="D46" s="83">
        <f>INDEX('PEER GROUP'!D:D,MATCH($A46,'PEER GROUP'!$A:$A,0))</f>
        <v>0</v>
      </c>
      <c r="E46" s="83">
        <f>INDEX('PEER GROUP'!E:E,MATCH(A46,'PEER GROUP'!$A:$A,0))</f>
        <v>0</v>
      </c>
      <c r="F46" s="84">
        <f>INDEX('PEER GROUP'!F:F,MATCH($A46,'PEER GROUP'!$A:$A,0))</f>
        <v>0</v>
      </c>
      <c r="G46" s="84">
        <f>INDEX('PEER GROUP'!G:G,MATCH($A46,'PEER GROUP'!$A:$A,0))</f>
        <v>0</v>
      </c>
      <c r="H46" s="85"/>
      <c r="I46" s="85"/>
      <c r="J46" s="70">
        <f>INDEX('PEER GROUP'!K:K,MATCH($A46,'PEER GROUP'!$A:$A,0))</f>
        <v>0</v>
      </c>
      <c r="K46" s="70">
        <f>INDEX('PEER GROUP'!L:L,MATCH($A46,'PEER GROUP'!$A:$A,0))</f>
        <v>0</v>
      </c>
      <c r="L46" s="70">
        <f>INDEX('PEER GROUP'!M:M,MATCH($A46,'PEER GROUP'!$A:$A,0))</f>
        <v>0</v>
      </c>
      <c r="M46" s="86">
        <f>INDEX('PEER GROUP'!N:N,MATCH($A46,'PEER GROUP'!$A:$A,0))</f>
        <v>0</v>
      </c>
      <c r="N46" s="118"/>
      <c r="O46" s="115"/>
      <c r="P46" s="117"/>
      <c r="Q46" s="87"/>
      <c r="R46" s="87">
        <f t="shared" si="20"/>
        <v>0</v>
      </c>
      <c r="S46" s="87"/>
      <c r="T46" s="87"/>
      <c r="U46" s="87"/>
      <c r="V46" s="87">
        <f t="shared" si="21"/>
        <v>0</v>
      </c>
      <c r="W46" s="113">
        <f t="shared" si="17"/>
        <v>36.913096727263202</v>
      </c>
      <c r="X46" s="69">
        <f t="shared" si="22"/>
        <v>0</v>
      </c>
      <c r="Y46" s="70">
        <f t="shared" si="23"/>
        <v>0</v>
      </c>
      <c r="Z46" s="70">
        <f t="shared" si="24"/>
        <v>0</v>
      </c>
      <c r="AA46" s="70">
        <f t="shared" si="25"/>
        <v>0</v>
      </c>
      <c r="AB46" s="70">
        <f t="shared" si="26"/>
        <v>0</v>
      </c>
      <c r="AC46" s="70">
        <f t="shared" si="27"/>
        <v>0</v>
      </c>
      <c r="AD46" s="71">
        <f t="shared" si="28"/>
        <v>0</v>
      </c>
      <c r="AE46" s="49"/>
      <c r="AF46" s="21"/>
      <c r="AG46" s="69"/>
      <c r="AH46" s="70"/>
      <c r="AI46" s="70"/>
      <c r="AJ46" s="70"/>
      <c r="AK46" s="70"/>
      <c r="AL46" s="70"/>
      <c r="AM46" s="70"/>
      <c r="AN46" s="70" t="str">
        <f t="shared" si="29"/>
        <v>---</v>
      </c>
      <c r="AO46" s="70" t="str">
        <f t="shared" si="30"/>
        <v>---</v>
      </c>
      <c r="AP46" s="70" t="str">
        <f t="shared" si="31"/>
        <v>---</v>
      </c>
      <c r="AQ46" s="70" t="str">
        <f t="shared" si="32"/>
        <v>---</v>
      </c>
      <c r="AR46" s="70" t="str">
        <f t="shared" si="33"/>
        <v>---</v>
      </c>
      <c r="AS46" s="70" t="str">
        <f t="shared" si="34"/>
        <v>---</v>
      </c>
      <c r="AT46" s="71" t="str">
        <f t="shared" si="35"/>
        <v>---</v>
      </c>
    </row>
    <row r="47" spans="1:46" ht="30" customHeight="1" x14ac:dyDescent="0.3">
      <c r="A47" s="123">
        <f t="shared" si="19"/>
        <v>42</v>
      </c>
      <c r="B47" s="140">
        <f>INDEX('PEER GROUP'!B:B,MATCH($A47,'PEER GROUP'!$A:$A,0))</f>
        <v>0</v>
      </c>
      <c r="C47" s="83">
        <f>INDEX('PEER GROUP'!C:C,MATCH($A47,'PEER GROUP'!$A:$A,0))</f>
        <v>0</v>
      </c>
      <c r="D47" s="83">
        <f>INDEX('PEER GROUP'!D:D,MATCH($A47,'PEER GROUP'!$A:$A,0))</f>
        <v>0</v>
      </c>
      <c r="E47" s="83">
        <f>INDEX('PEER GROUP'!E:E,MATCH(A47,'PEER GROUP'!$A:$A,0))</f>
        <v>0</v>
      </c>
      <c r="F47" s="84">
        <f>INDEX('PEER GROUP'!F:F,MATCH($A47,'PEER GROUP'!$A:$A,0))</f>
        <v>0</v>
      </c>
      <c r="G47" s="84">
        <f>INDEX('PEER GROUP'!G:G,MATCH($A47,'PEER GROUP'!$A:$A,0))</f>
        <v>0</v>
      </c>
      <c r="H47" s="85"/>
      <c r="I47" s="85"/>
      <c r="J47" s="70">
        <f>INDEX('PEER GROUP'!K:K,MATCH($A47,'PEER GROUP'!$A:$A,0))</f>
        <v>0</v>
      </c>
      <c r="K47" s="70">
        <f>INDEX('PEER GROUP'!L:L,MATCH($A47,'PEER GROUP'!$A:$A,0))</f>
        <v>0</v>
      </c>
      <c r="L47" s="70">
        <f>INDEX('PEER GROUP'!M:M,MATCH($A47,'PEER GROUP'!$A:$A,0))</f>
        <v>0</v>
      </c>
      <c r="M47" s="86">
        <f>INDEX('PEER GROUP'!N:N,MATCH($A47,'PEER GROUP'!$A:$A,0))</f>
        <v>0</v>
      </c>
      <c r="N47" s="118"/>
      <c r="O47" s="115"/>
      <c r="P47" s="117"/>
      <c r="Q47" s="87"/>
      <c r="R47" s="87">
        <f t="shared" si="20"/>
        <v>0</v>
      </c>
      <c r="S47" s="87"/>
      <c r="T47" s="87"/>
      <c r="U47" s="87"/>
      <c r="V47" s="87">
        <f t="shared" si="21"/>
        <v>0</v>
      </c>
      <c r="W47" s="113">
        <f t="shared" si="17"/>
        <v>36.913096727263202</v>
      </c>
      <c r="X47" s="69">
        <f t="shared" si="22"/>
        <v>0</v>
      </c>
      <c r="Y47" s="70">
        <f t="shared" si="23"/>
        <v>0</v>
      </c>
      <c r="Z47" s="70">
        <f t="shared" si="24"/>
        <v>0</v>
      </c>
      <c r="AA47" s="70">
        <f t="shared" si="25"/>
        <v>0</v>
      </c>
      <c r="AB47" s="70">
        <f t="shared" si="26"/>
        <v>0</v>
      </c>
      <c r="AC47" s="70">
        <f t="shared" si="27"/>
        <v>0</v>
      </c>
      <c r="AD47" s="71">
        <f t="shared" si="28"/>
        <v>0</v>
      </c>
      <c r="AE47" s="49"/>
      <c r="AF47" s="21"/>
      <c r="AG47" s="69"/>
      <c r="AH47" s="70"/>
      <c r="AI47" s="70"/>
      <c r="AJ47" s="70"/>
      <c r="AK47" s="70"/>
      <c r="AL47" s="70"/>
      <c r="AM47" s="70"/>
      <c r="AN47" s="70" t="str">
        <f t="shared" si="29"/>
        <v>---</v>
      </c>
      <c r="AO47" s="70" t="str">
        <f t="shared" si="30"/>
        <v>---</v>
      </c>
      <c r="AP47" s="70" t="str">
        <f t="shared" si="31"/>
        <v>---</v>
      </c>
      <c r="AQ47" s="70" t="str">
        <f t="shared" si="32"/>
        <v>---</v>
      </c>
      <c r="AR47" s="70" t="str">
        <f t="shared" si="33"/>
        <v>---</v>
      </c>
      <c r="AS47" s="70" t="str">
        <f t="shared" si="34"/>
        <v>---</v>
      </c>
      <c r="AT47" s="71" t="str">
        <f t="shared" si="35"/>
        <v>---</v>
      </c>
    </row>
    <row r="48" spans="1:46" ht="30" customHeight="1" x14ac:dyDescent="0.3">
      <c r="A48" s="123">
        <f t="shared" si="19"/>
        <v>43</v>
      </c>
      <c r="B48" s="140">
        <f>INDEX('PEER GROUP'!B:B,MATCH($A48,'PEER GROUP'!$A:$A,0))</f>
        <v>0</v>
      </c>
      <c r="C48" s="83">
        <f>INDEX('PEER GROUP'!C:C,MATCH($A48,'PEER GROUP'!$A:$A,0))</f>
        <v>0</v>
      </c>
      <c r="D48" s="83">
        <f>INDEX('PEER GROUP'!D:D,MATCH($A48,'PEER GROUP'!$A:$A,0))</f>
        <v>0</v>
      </c>
      <c r="E48" s="83">
        <f>INDEX('PEER GROUP'!E:E,MATCH(A48,'PEER GROUP'!$A:$A,0))</f>
        <v>0</v>
      </c>
      <c r="F48" s="84">
        <f>INDEX('PEER GROUP'!F:F,MATCH($A48,'PEER GROUP'!$A:$A,0))</f>
        <v>0</v>
      </c>
      <c r="G48" s="84">
        <f>INDEX('PEER GROUP'!G:G,MATCH($A48,'PEER GROUP'!$A:$A,0))</f>
        <v>0</v>
      </c>
      <c r="H48" s="85"/>
      <c r="I48" s="85"/>
      <c r="J48" s="70">
        <f>INDEX('PEER GROUP'!K:K,MATCH($A48,'PEER GROUP'!$A:$A,0))</f>
        <v>0</v>
      </c>
      <c r="K48" s="70">
        <f>INDEX('PEER GROUP'!L:L,MATCH($A48,'PEER GROUP'!$A:$A,0))</f>
        <v>0</v>
      </c>
      <c r="L48" s="70">
        <f>INDEX('PEER GROUP'!M:M,MATCH($A48,'PEER GROUP'!$A:$A,0))</f>
        <v>0</v>
      </c>
      <c r="M48" s="86">
        <f>INDEX('PEER GROUP'!N:N,MATCH($A48,'PEER GROUP'!$A:$A,0))</f>
        <v>0</v>
      </c>
      <c r="N48" s="118"/>
      <c r="O48" s="115"/>
      <c r="P48" s="117"/>
      <c r="Q48" s="87"/>
      <c r="R48" s="87">
        <f t="shared" si="20"/>
        <v>0</v>
      </c>
      <c r="S48" s="87"/>
      <c r="T48" s="87"/>
      <c r="U48" s="87"/>
      <c r="V48" s="87">
        <f t="shared" si="21"/>
        <v>0</v>
      </c>
      <c r="W48" s="113">
        <f t="shared" si="17"/>
        <v>36.913096727263202</v>
      </c>
      <c r="X48" s="69">
        <f t="shared" si="22"/>
        <v>0</v>
      </c>
      <c r="Y48" s="70">
        <f t="shared" si="23"/>
        <v>0</v>
      </c>
      <c r="Z48" s="70">
        <f t="shared" si="24"/>
        <v>0</v>
      </c>
      <c r="AA48" s="70">
        <f t="shared" si="25"/>
        <v>0</v>
      </c>
      <c r="AB48" s="70">
        <f t="shared" si="26"/>
        <v>0</v>
      </c>
      <c r="AC48" s="70">
        <f t="shared" si="27"/>
        <v>0</v>
      </c>
      <c r="AD48" s="71">
        <f t="shared" si="28"/>
        <v>0</v>
      </c>
      <c r="AE48" s="49"/>
      <c r="AF48" s="21"/>
      <c r="AG48" s="69"/>
      <c r="AH48" s="70"/>
      <c r="AI48" s="70"/>
      <c r="AJ48" s="70"/>
      <c r="AK48" s="70"/>
      <c r="AL48" s="70"/>
      <c r="AM48" s="70"/>
      <c r="AN48" s="70" t="str">
        <f t="shared" si="29"/>
        <v>---</v>
      </c>
      <c r="AO48" s="70" t="str">
        <f t="shared" si="30"/>
        <v>---</v>
      </c>
      <c r="AP48" s="70" t="str">
        <f t="shared" si="31"/>
        <v>---</v>
      </c>
      <c r="AQ48" s="70" t="str">
        <f t="shared" si="32"/>
        <v>---</v>
      </c>
      <c r="AR48" s="70" t="str">
        <f t="shared" si="33"/>
        <v>---</v>
      </c>
      <c r="AS48" s="70" t="str">
        <f t="shared" si="34"/>
        <v>---</v>
      </c>
      <c r="AT48" s="71" t="str">
        <f t="shared" si="35"/>
        <v>---</v>
      </c>
    </row>
    <row r="49" spans="1:46" ht="30" customHeight="1" x14ac:dyDescent="0.3">
      <c r="A49" s="123">
        <f t="shared" si="19"/>
        <v>44</v>
      </c>
      <c r="B49" s="140">
        <f>INDEX('PEER GROUP'!B:B,MATCH($A49,'PEER GROUP'!$A:$A,0))</f>
        <v>0</v>
      </c>
      <c r="C49" s="83">
        <f>INDEX('PEER GROUP'!C:C,MATCH($A49,'PEER GROUP'!$A:$A,0))</f>
        <v>0</v>
      </c>
      <c r="D49" s="83">
        <f>INDEX('PEER GROUP'!D:D,MATCH($A49,'PEER GROUP'!$A:$A,0))</f>
        <v>0</v>
      </c>
      <c r="E49" s="83">
        <f>INDEX('PEER GROUP'!E:E,MATCH(A49,'PEER GROUP'!$A:$A,0))</f>
        <v>0</v>
      </c>
      <c r="F49" s="84">
        <f>INDEX('PEER GROUP'!F:F,MATCH($A49,'PEER GROUP'!$A:$A,0))</f>
        <v>0</v>
      </c>
      <c r="G49" s="84">
        <f>INDEX('PEER GROUP'!G:G,MATCH($A49,'PEER GROUP'!$A:$A,0))</f>
        <v>0</v>
      </c>
      <c r="H49" s="85"/>
      <c r="I49" s="85"/>
      <c r="J49" s="70">
        <f>INDEX('PEER GROUP'!K:K,MATCH($A49,'PEER GROUP'!$A:$A,0))</f>
        <v>0</v>
      </c>
      <c r="K49" s="70">
        <f>INDEX('PEER GROUP'!L:L,MATCH($A49,'PEER GROUP'!$A:$A,0))</f>
        <v>0</v>
      </c>
      <c r="L49" s="70">
        <f>INDEX('PEER GROUP'!M:M,MATCH($A49,'PEER GROUP'!$A:$A,0))</f>
        <v>0</v>
      </c>
      <c r="M49" s="86">
        <f>INDEX('PEER GROUP'!N:N,MATCH($A49,'PEER GROUP'!$A:$A,0))</f>
        <v>0</v>
      </c>
      <c r="N49" s="118"/>
      <c r="O49" s="115"/>
      <c r="P49" s="117"/>
      <c r="Q49" s="87"/>
      <c r="R49" s="87">
        <f t="shared" si="20"/>
        <v>0</v>
      </c>
      <c r="S49" s="87"/>
      <c r="T49" s="87"/>
      <c r="U49" s="87"/>
      <c r="V49" s="87">
        <f t="shared" si="21"/>
        <v>0</v>
      </c>
      <c r="W49" s="113">
        <f t="shared" si="17"/>
        <v>36.913096727263202</v>
      </c>
      <c r="X49" s="69">
        <f t="shared" si="22"/>
        <v>0</v>
      </c>
      <c r="Y49" s="70">
        <f t="shared" si="23"/>
        <v>0</v>
      </c>
      <c r="Z49" s="70">
        <f t="shared" si="24"/>
        <v>0</v>
      </c>
      <c r="AA49" s="70">
        <f t="shared" si="25"/>
        <v>0</v>
      </c>
      <c r="AB49" s="70">
        <f t="shared" si="26"/>
        <v>0</v>
      </c>
      <c r="AC49" s="70">
        <f t="shared" si="27"/>
        <v>0</v>
      </c>
      <c r="AD49" s="71">
        <f t="shared" si="28"/>
        <v>0</v>
      </c>
      <c r="AE49" s="49"/>
      <c r="AF49" s="21"/>
      <c r="AG49" s="69"/>
      <c r="AH49" s="70"/>
      <c r="AI49" s="70"/>
      <c r="AJ49" s="70"/>
      <c r="AK49" s="70"/>
      <c r="AL49" s="70"/>
      <c r="AM49" s="70"/>
      <c r="AN49" s="70" t="str">
        <f t="shared" si="29"/>
        <v>---</v>
      </c>
      <c r="AO49" s="70" t="str">
        <f t="shared" si="30"/>
        <v>---</v>
      </c>
      <c r="AP49" s="70" t="str">
        <f t="shared" si="31"/>
        <v>---</v>
      </c>
      <c r="AQ49" s="70" t="str">
        <f t="shared" si="32"/>
        <v>---</v>
      </c>
      <c r="AR49" s="70" t="str">
        <f t="shared" si="33"/>
        <v>---</v>
      </c>
      <c r="AS49" s="70" t="str">
        <f t="shared" si="34"/>
        <v>---</v>
      </c>
      <c r="AT49" s="71" t="str">
        <f t="shared" si="35"/>
        <v>---</v>
      </c>
    </row>
    <row r="50" spans="1:46" ht="30" customHeight="1" x14ac:dyDescent="0.3">
      <c r="A50" s="123">
        <f t="shared" si="19"/>
        <v>45</v>
      </c>
      <c r="B50" s="140">
        <f>INDEX('PEER GROUP'!B:B,MATCH($A50,'PEER GROUP'!$A:$A,0))</f>
        <v>0</v>
      </c>
      <c r="C50" s="83">
        <f>INDEX('PEER GROUP'!C:C,MATCH($A50,'PEER GROUP'!$A:$A,0))</f>
        <v>0</v>
      </c>
      <c r="D50" s="83">
        <f>INDEX('PEER GROUP'!D:D,MATCH($A50,'PEER GROUP'!$A:$A,0))</f>
        <v>0</v>
      </c>
      <c r="E50" s="83">
        <f>INDEX('PEER GROUP'!E:E,MATCH(A50,'PEER GROUP'!$A:$A,0))</f>
        <v>0</v>
      </c>
      <c r="F50" s="84">
        <f>INDEX('PEER GROUP'!F:F,MATCH($A50,'PEER GROUP'!$A:$A,0))</f>
        <v>0</v>
      </c>
      <c r="G50" s="84">
        <f>INDEX('PEER GROUP'!G:G,MATCH($A50,'PEER GROUP'!$A:$A,0))</f>
        <v>0</v>
      </c>
      <c r="H50" s="85"/>
      <c r="I50" s="85"/>
      <c r="J50" s="70">
        <f>INDEX('PEER GROUP'!K:K,MATCH($A50,'PEER GROUP'!$A:$A,0))</f>
        <v>0</v>
      </c>
      <c r="K50" s="70">
        <f>INDEX('PEER GROUP'!L:L,MATCH($A50,'PEER GROUP'!$A:$A,0))</f>
        <v>0</v>
      </c>
      <c r="L50" s="70">
        <f>INDEX('PEER GROUP'!M:M,MATCH($A50,'PEER GROUP'!$A:$A,0))</f>
        <v>0</v>
      </c>
      <c r="M50" s="86">
        <f>INDEX('PEER GROUP'!N:N,MATCH($A50,'PEER GROUP'!$A:$A,0))</f>
        <v>0</v>
      </c>
      <c r="N50" s="118"/>
      <c r="O50" s="115"/>
      <c r="P50" s="117"/>
      <c r="Q50" s="87"/>
      <c r="R50" s="87">
        <f t="shared" si="20"/>
        <v>0</v>
      </c>
      <c r="S50" s="87"/>
      <c r="T50" s="87"/>
      <c r="U50" s="87"/>
      <c r="V50" s="87">
        <f t="shared" si="21"/>
        <v>0</v>
      </c>
      <c r="W50" s="113">
        <f t="shared" si="17"/>
        <v>36.913096727263202</v>
      </c>
      <c r="X50" s="69">
        <f t="shared" si="22"/>
        <v>0</v>
      </c>
      <c r="Y50" s="70">
        <f t="shared" si="23"/>
        <v>0</v>
      </c>
      <c r="Z50" s="70">
        <f t="shared" si="24"/>
        <v>0</v>
      </c>
      <c r="AA50" s="70">
        <f t="shared" si="25"/>
        <v>0</v>
      </c>
      <c r="AB50" s="70">
        <f t="shared" si="26"/>
        <v>0</v>
      </c>
      <c r="AC50" s="70">
        <f t="shared" si="27"/>
        <v>0</v>
      </c>
      <c r="AD50" s="71">
        <f t="shared" si="28"/>
        <v>0</v>
      </c>
      <c r="AE50" s="49"/>
      <c r="AF50" s="21"/>
      <c r="AG50" s="69"/>
      <c r="AH50" s="70"/>
      <c r="AI50" s="70"/>
      <c r="AJ50" s="70"/>
      <c r="AK50" s="70"/>
      <c r="AL50" s="70"/>
      <c r="AM50" s="70"/>
      <c r="AN50" s="70" t="str">
        <f t="shared" si="29"/>
        <v>---</v>
      </c>
      <c r="AO50" s="70" t="str">
        <f t="shared" si="30"/>
        <v>---</v>
      </c>
      <c r="AP50" s="70" t="str">
        <f t="shared" si="31"/>
        <v>---</v>
      </c>
      <c r="AQ50" s="70" t="str">
        <f t="shared" si="32"/>
        <v>---</v>
      </c>
      <c r="AR50" s="70" t="str">
        <f t="shared" si="33"/>
        <v>---</v>
      </c>
      <c r="AS50" s="70" t="str">
        <f t="shared" si="34"/>
        <v>---</v>
      </c>
      <c r="AT50" s="71" t="str">
        <f t="shared" si="35"/>
        <v>---</v>
      </c>
    </row>
    <row r="51" spans="1:46" ht="30" customHeight="1" x14ac:dyDescent="0.3">
      <c r="A51" s="123">
        <f t="shared" si="19"/>
        <v>46</v>
      </c>
      <c r="B51" s="140">
        <f>INDEX('PEER GROUP'!B:B,MATCH($A51,'PEER GROUP'!$A:$A,0))</f>
        <v>0</v>
      </c>
      <c r="C51" s="83">
        <f>INDEX('PEER GROUP'!C:C,MATCH($A51,'PEER GROUP'!$A:$A,0))</f>
        <v>0</v>
      </c>
      <c r="D51" s="83">
        <f>INDEX('PEER GROUP'!D:D,MATCH($A51,'PEER GROUP'!$A:$A,0))</f>
        <v>0</v>
      </c>
      <c r="E51" s="83">
        <f>INDEX('PEER GROUP'!E:E,MATCH(A51,'PEER GROUP'!$A:$A,0))</f>
        <v>0</v>
      </c>
      <c r="F51" s="84">
        <f>INDEX('PEER GROUP'!F:F,MATCH($A51,'PEER GROUP'!$A:$A,0))</f>
        <v>0</v>
      </c>
      <c r="G51" s="84">
        <f>INDEX('PEER GROUP'!G:G,MATCH($A51,'PEER GROUP'!$A:$A,0))</f>
        <v>0</v>
      </c>
      <c r="H51" s="85"/>
      <c r="I51" s="85"/>
      <c r="J51" s="70">
        <f>INDEX('PEER GROUP'!K:K,MATCH($A51,'PEER GROUP'!$A:$A,0))</f>
        <v>0</v>
      </c>
      <c r="K51" s="70">
        <f>INDEX('PEER GROUP'!L:L,MATCH($A51,'PEER GROUP'!$A:$A,0))</f>
        <v>0</v>
      </c>
      <c r="L51" s="70">
        <f>INDEX('PEER GROUP'!M:M,MATCH($A51,'PEER GROUP'!$A:$A,0))</f>
        <v>0</v>
      </c>
      <c r="M51" s="86">
        <f>INDEX('PEER GROUP'!N:N,MATCH($A51,'PEER GROUP'!$A:$A,0))</f>
        <v>0</v>
      </c>
      <c r="N51" s="118"/>
      <c r="O51" s="115"/>
      <c r="P51" s="117"/>
      <c r="Q51" s="87"/>
      <c r="R51" s="87">
        <f t="shared" si="20"/>
        <v>0</v>
      </c>
      <c r="S51" s="87"/>
      <c r="T51" s="87"/>
      <c r="U51" s="87"/>
      <c r="V51" s="87">
        <f t="shared" si="21"/>
        <v>0</v>
      </c>
      <c r="W51" s="113">
        <f t="shared" si="17"/>
        <v>36.913096727263202</v>
      </c>
      <c r="X51" s="69">
        <f t="shared" si="22"/>
        <v>0</v>
      </c>
      <c r="Y51" s="70">
        <f t="shared" si="23"/>
        <v>0</v>
      </c>
      <c r="Z51" s="70">
        <f t="shared" si="24"/>
        <v>0</v>
      </c>
      <c r="AA51" s="70">
        <f t="shared" si="25"/>
        <v>0</v>
      </c>
      <c r="AB51" s="70">
        <f t="shared" si="26"/>
        <v>0</v>
      </c>
      <c r="AC51" s="70">
        <f t="shared" si="27"/>
        <v>0</v>
      </c>
      <c r="AD51" s="71">
        <f t="shared" si="28"/>
        <v>0</v>
      </c>
      <c r="AE51" s="49"/>
      <c r="AF51" s="21"/>
      <c r="AG51" s="69"/>
      <c r="AH51" s="70"/>
      <c r="AI51" s="70"/>
      <c r="AJ51" s="70"/>
      <c r="AK51" s="70"/>
      <c r="AL51" s="70"/>
      <c r="AM51" s="70"/>
      <c r="AN51" s="70" t="str">
        <f t="shared" si="29"/>
        <v>---</v>
      </c>
      <c r="AO51" s="70" t="str">
        <f t="shared" si="30"/>
        <v>---</v>
      </c>
      <c r="AP51" s="70" t="str">
        <f t="shared" si="31"/>
        <v>---</v>
      </c>
      <c r="AQ51" s="70" t="str">
        <f t="shared" si="32"/>
        <v>---</v>
      </c>
      <c r="AR51" s="70" t="str">
        <f t="shared" si="33"/>
        <v>---</v>
      </c>
      <c r="AS51" s="70" t="str">
        <f t="shared" si="34"/>
        <v>---</v>
      </c>
      <c r="AT51" s="71" t="str">
        <f t="shared" si="35"/>
        <v>---</v>
      </c>
    </row>
    <row r="52" spans="1:46" ht="30" customHeight="1" x14ac:dyDescent="0.3">
      <c r="A52" s="123">
        <f t="shared" si="19"/>
        <v>47</v>
      </c>
      <c r="B52" s="140">
        <f>INDEX('PEER GROUP'!B:B,MATCH($A52,'PEER GROUP'!$A:$A,0))</f>
        <v>0</v>
      </c>
      <c r="C52" s="83">
        <f>INDEX('PEER GROUP'!C:C,MATCH($A52,'PEER GROUP'!$A:$A,0))</f>
        <v>0</v>
      </c>
      <c r="D52" s="83">
        <f>INDEX('PEER GROUP'!D:D,MATCH($A52,'PEER GROUP'!$A:$A,0))</f>
        <v>0</v>
      </c>
      <c r="E52" s="83">
        <f>INDEX('PEER GROUP'!E:E,MATCH(A52,'PEER GROUP'!$A:$A,0))</f>
        <v>0</v>
      </c>
      <c r="F52" s="84">
        <f>INDEX('PEER GROUP'!F:F,MATCH($A52,'PEER GROUP'!$A:$A,0))</f>
        <v>0</v>
      </c>
      <c r="G52" s="84">
        <f>INDEX('PEER GROUP'!G:G,MATCH($A52,'PEER GROUP'!$A:$A,0))</f>
        <v>0</v>
      </c>
      <c r="H52" s="85"/>
      <c r="I52" s="85"/>
      <c r="J52" s="70">
        <f>INDEX('PEER GROUP'!K:K,MATCH($A52,'PEER GROUP'!$A:$A,0))</f>
        <v>0</v>
      </c>
      <c r="K52" s="70">
        <f>INDEX('PEER GROUP'!L:L,MATCH($A52,'PEER GROUP'!$A:$A,0))</f>
        <v>0</v>
      </c>
      <c r="L52" s="70">
        <f>INDEX('PEER GROUP'!M:M,MATCH($A52,'PEER GROUP'!$A:$A,0))</f>
        <v>0</v>
      </c>
      <c r="M52" s="86">
        <f>INDEX('PEER GROUP'!N:N,MATCH($A52,'PEER GROUP'!$A:$A,0))</f>
        <v>0</v>
      </c>
      <c r="N52" s="118"/>
      <c r="O52" s="115"/>
      <c r="P52" s="117"/>
      <c r="Q52" s="87"/>
      <c r="R52" s="87">
        <f t="shared" si="20"/>
        <v>0</v>
      </c>
      <c r="S52" s="87"/>
      <c r="T52" s="87"/>
      <c r="U52" s="87"/>
      <c r="V52" s="87">
        <f t="shared" si="21"/>
        <v>0</v>
      </c>
      <c r="W52" s="113">
        <f t="shared" si="17"/>
        <v>36.913096727263202</v>
      </c>
      <c r="X52" s="69">
        <f t="shared" si="22"/>
        <v>0</v>
      </c>
      <c r="Y52" s="70">
        <f t="shared" si="23"/>
        <v>0</v>
      </c>
      <c r="Z52" s="70">
        <f t="shared" si="24"/>
        <v>0</v>
      </c>
      <c r="AA52" s="70">
        <f t="shared" si="25"/>
        <v>0</v>
      </c>
      <c r="AB52" s="70">
        <f t="shared" si="26"/>
        <v>0</v>
      </c>
      <c r="AC52" s="70">
        <f t="shared" si="27"/>
        <v>0</v>
      </c>
      <c r="AD52" s="71">
        <f t="shared" si="28"/>
        <v>0</v>
      </c>
      <c r="AE52" s="49"/>
      <c r="AF52" s="21"/>
      <c r="AG52" s="69"/>
      <c r="AH52" s="70"/>
      <c r="AI52" s="70"/>
      <c r="AJ52" s="70"/>
      <c r="AK52" s="70"/>
      <c r="AL52" s="70"/>
      <c r="AM52" s="70"/>
      <c r="AN52" s="70" t="str">
        <f t="shared" si="29"/>
        <v>---</v>
      </c>
      <c r="AO52" s="70" t="str">
        <f t="shared" si="30"/>
        <v>---</v>
      </c>
      <c r="AP52" s="70" t="str">
        <f t="shared" si="31"/>
        <v>---</v>
      </c>
      <c r="AQ52" s="70" t="str">
        <f t="shared" si="32"/>
        <v>---</v>
      </c>
      <c r="AR52" s="70" t="str">
        <f t="shared" si="33"/>
        <v>---</v>
      </c>
      <c r="AS52" s="70" t="str">
        <f t="shared" si="34"/>
        <v>---</v>
      </c>
      <c r="AT52" s="71" t="str">
        <f t="shared" si="35"/>
        <v>---</v>
      </c>
    </row>
    <row r="53" spans="1:46" ht="30" customHeight="1" x14ac:dyDescent="0.3">
      <c r="A53" s="123">
        <f t="shared" si="19"/>
        <v>48</v>
      </c>
      <c r="B53" s="140">
        <f>INDEX('PEER GROUP'!B:B,MATCH($A53,'PEER GROUP'!$A:$A,0))</f>
        <v>0</v>
      </c>
      <c r="C53" s="83">
        <f>INDEX('PEER GROUP'!C:C,MATCH($A53,'PEER GROUP'!$A:$A,0))</f>
        <v>0</v>
      </c>
      <c r="D53" s="83">
        <f>INDEX('PEER GROUP'!D:D,MATCH($A53,'PEER GROUP'!$A:$A,0))</f>
        <v>0</v>
      </c>
      <c r="E53" s="83">
        <f>INDEX('PEER GROUP'!E:E,MATCH(A53,'PEER GROUP'!$A:$A,0))</f>
        <v>0</v>
      </c>
      <c r="F53" s="84">
        <f>INDEX('PEER GROUP'!F:F,MATCH($A53,'PEER GROUP'!$A:$A,0))</f>
        <v>0</v>
      </c>
      <c r="G53" s="84">
        <f>INDEX('PEER GROUP'!G:G,MATCH($A53,'PEER GROUP'!$A:$A,0))</f>
        <v>0</v>
      </c>
      <c r="H53" s="85"/>
      <c r="I53" s="85"/>
      <c r="J53" s="70">
        <f>INDEX('PEER GROUP'!K:K,MATCH($A53,'PEER GROUP'!$A:$A,0))</f>
        <v>0</v>
      </c>
      <c r="K53" s="70">
        <f>INDEX('PEER GROUP'!L:L,MATCH($A53,'PEER GROUP'!$A:$A,0))</f>
        <v>0</v>
      </c>
      <c r="L53" s="70">
        <f>INDEX('PEER GROUP'!M:M,MATCH($A53,'PEER GROUP'!$A:$A,0))</f>
        <v>0</v>
      </c>
      <c r="M53" s="86">
        <f>INDEX('PEER GROUP'!N:N,MATCH($A53,'PEER GROUP'!$A:$A,0))</f>
        <v>0</v>
      </c>
      <c r="N53" s="118"/>
      <c r="O53" s="115"/>
      <c r="P53" s="117"/>
      <c r="Q53" s="87"/>
      <c r="R53" s="87">
        <f t="shared" si="20"/>
        <v>0</v>
      </c>
      <c r="S53" s="87"/>
      <c r="T53" s="87"/>
      <c r="U53" s="87"/>
      <c r="V53" s="87">
        <f t="shared" si="21"/>
        <v>0</v>
      </c>
      <c r="W53" s="113">
        <f t="shared" si="17"/>
        <v>36.913096727263202</v>
      </c>
      <c r="X53" s="69">
        <f t="shared" si="22"/>
        <v>0</v>
      </c>
      <c r="Y53" s="70">
        <f t="shared" si="23"/>
        <v>0</v>
      </c>
      <c r="Z53" s="70">
        <f t="shared" si="24"/>
        <v>0</v>
      </c>
      <c r="AA53" s="70">
        <f t="shared" si="25"/>
        <v>0</v>
      </c>
      <c r="AB53" s="70">
        <f t="shared" si="26"/>
        <v>0</v>
      </c>
      <c r="AC53" s="70">
        <f t="shared" si="27"/>
        <v>0</v>
      </c>
      <c r="AD53" s="71">
        <f t="shared" si="28"/>
        <v>0</v>
      </c>
      <c r="AE53" s="49"/>
      <c r="AF53" s="21"/>
      <c r="AG53" s="69"/>
      <c r="AH53" s="70"/>
      <c r="AI53" s="70"/>
      <c r="AJ53" s="70"/>
      <c r="AK53" s="70"/>
      <c r="AL53" s="70"/>
      <c r="AM53" s="70"/>
      <c r="AN53" s="70" t="str">
        <f t="shared" si="29"/>
        <v>---</v>
      </c>
      <c r="AO53" s="70" t="str">
        <f t="shared" si="30"/>
        <v>---</v>
      </c>
      <c r="AP53" s="70" t="str">
        <f t="shared" si="31"/>
        <v>---</v>
      </c>
      <c r="AQ53" s="70" t="str">
        <f t="shared" si="32"/>
        <v>---</v>
      </c>
      <c r="AR53" s="70" t="str">
        <f t="shared" si="33"/>
        <v>---</v>
      </c>
      <c r="AS53" s="70" t="str">
        <f t="shared" si="34"/>
        <v>---</v>
      </c>
      <c r="AT53" s="71" t="str">
        <f t="shared" si="35"/>
        <v>---</v>
      </c>
    </row>
    <row r="54" spans="1:46" ht="30" customHeight="1" x14ac:dyDescent="0.3">
      <c r="A54" s="123">
        <f t="shared" si="19"/>
        <v>49</v>
      </c>
      <c r="B54" s="140">
        <f>INDEX('PEER GROUP'!B:B,MATCH($A54,'PEER GROUP'!$A:$A,0))</f>
        <v>0</v>
      </c>
      <c r="C54" s="83">
        <f>INDEX('PEER GROUP'!C:C,MATCH($A54,'PEER GROUP'!$A:$A,0))</f>
        <v>0</v>
      </c>
      <c r="D54" s="83">
        <f>INDEX('PEER GROUP'!D:D,MATCH($A54,'PEER GROUP'!$A:$A,0))</f>
        <v>0</v>
      </c>
      <c r="E54" s="83">
        <f>INDEX('PEER GROUP'!E:E,MATCH(A54,'PEER GROUP'!$A:$A,0))</f>
        <v>0</v>
      </c>
      <c r="F54" s="84">
        <f>INDEX('PEER GROUP'!F:F,MATCH($A54,'PEER GROUP'!$A:$A,0))</f>
        <v>0</v>
      </c>
      <c r="G54" s="84">
        <f>INDEX('PEER GROUP'!G:G,MATCH($A54,'PEER GROUP'!$A:$A,0))</f>
        <v>0</v>
      </c>
      <c r="H54" s="85"/>
      <c r="I54" s="85"/>
      <c r="J54" s="70">
        <f>INDEX('PEER GROUP'!K:K,MATCH($A54,'PEER GROUP'!$A:$A,0))</f>
        <v>0</v>
      </c>
      <c r="K54" s="70">
        <f>INDEX('PEER GROUP'!L:L,MATCH($A54,'PEER GROUP'!$A:$A,0))</f>
        <v>0</v>
      </c>
      <c r="L54" s="70">
        <f>INDEX('PEER GROUP'!M:M,MATCH($A54,'PEER GROUP'!$A:$A,0))</f>
        <v>0</v>
      </c>
      <c r="M54" s="86">
        <f>INDEX('PEER GROUP'!N:N,MATCH($A54,'PEER GROUP'!$A:$A,0))</f>
        <v>0</v>
      </c>
      <c r="N54" s="118"/>
      <c r="O54" s="115"/>
      <c r="P54" s="117"/>
      <c r="Q54" s="87"/>
      <c r="R54" s="87">
        <f t="shared" si="20"/>
        <v>0</v>
      </c>
      <c r="S54" s="87"/>
      <c r="T54" s="87"/>
      <c r="U54" s="87"/>
      <c r="V54" s="87">
        <f t="shared" si="21"/>
        <v>0</v>
      </c>
      <c r="W54" s="113">
        <f t="shared" si="17"/>
        <v>36.913096727263202</v>
      </c>
      <c r="X54" s="69">
        <f t="shared" si="22"/>
        <v>0</v>
      </c>
      <c r="Y54" s="70">
        <f t="shared" si="23"/>
        <v>0</v>
      </c>
      <c r="Z54" s="70">
        <f t="shared" si="24"/>
        <v>0</v>
      </c>
      <c r="AA54" s="70">
        <f t="shared" si="25"/>
        <v>0</v>
      </c>
      <c r="AB54" s="70">
        <f t="shared" si="26"/>
        <v>0</v>
      </c>
      <c r="AC54" s="70">
        <f t="shared" si="27"/>
        <v>0</v>
      </c>
      <c r="AD54" s="71">
        <f t="shared" si="28"/>
        <v>0</v>
      </c>
      <c r="AE54" s="49"/>
      <c r="AF54" s="21"/>
      <c r="AG54" s="69"/>
      <c r="AH54" s="70"/>
      <c r="AI54" s="70"/>
      <c r="AJ54" s="70"/>
      <c r="AK54" s="70"/>
      <c r="AL54" s="70"/>
      <c r="AM54" s="70"/>
      <c r="AN54" s="70" t="str">
        <f t="shared" si="29"/>
        <v>---</v>
      </c>
      <c r="AO54" s="70" t="str">
        <f t="shared" si="30"/>
        <v>---</v>
      </c>
      <c r="AP54" s="70" t="str">
        <f t="shared" si="31"/>
        <v>---</v>
      </c>
      <c r="AQ54" s="70" t="str">
        <f t="shared" si="32"/>
        <v>---</v>
      </c>
      <c r="AR54" s="70" t="str">
        <f t="shared" si="33"/>
        <v>---</v>
      </c>
      <c r="AS54" s="70" t="str">
        <f t="shared" si="34"/>
        <v>---</v>
      </c>
      <c r="AT54" s="71" t="str">
        <f t="shared" si="35"/>
        <v>---</v>
      </c>
    </row>
    <row r="55" spans="1:46" ht="30" customHeight="1" x14ac:dyDescent="0.3">
      <c r="A55" s="123">
        <f t="shared" si="19"/>
        <v>50</v>
      </c>
      <c r="B55" s="140">
        <f>INDEX('PEER GROUP'!B:B,MATCH($A55,'PEER GROUP'!$A:$A,0))</f>
        <v>0</v>
      </c>
      <c r="C55" s="83">
        <f>INDEX('PEER GROUP'!C:C,MATCH($A55,'PEER GROUP'!$A:$A,0))</f>
        <v>0</v>
      </c>
      <c r="D55" s="83">
        <f>INDEX('PEER GROUP'!D:D,MATCH($A55,'PEER GROUP'!$A:$A,0))</f>
        <v>0</v>
      </c>
      <c r="E55" s="83">
        <f>INDEX('PEER GROUP'!E:E,MATCH(A55,'PEER GROUP'!$A:$A,0))</f>
        <v>0</v>
      </c>
      <c r="F55" s="84">
        <f>INDEX('PEER GROUP'!F:F,MATCH($A55,'PEER GROUP'!$A:$A,0))</f>
        <v>0</v>
      </c>
      <c r="G55" s="84">
        <f>INDEX('PEER GROUP'!G:G,MATCH($A55,'PEER GROUP'!$A:$A,0))</f>
        <v>0</v>
      </c>
      <c r="H55" s="85"/>
      <c r="I55" s="85"/>
      <c r="J55" s="70">
        <f>INDEX('PEER GROUP'!K:K,MATCH($A55,'PEER GROUP'!$A:$A,0))</f>
        <v>0</v>
      </c>
      <c r="K55" s="70">
        <f>INDEX('PEER GROUP'!L:L,MATCH($A55,'PEER GROUP'!$A:$A,0))</f>
        <v>0</v>
      </c>
      <c r="L55" s="70">
        <f>INDEX('PEER GROUP'!M:M,MATCH($A55,'PEER GROUP'!$A:$A,0))</f>
        <v>0</v>
      </c>
      <c r="M55" s="86">
        <f>INDEX('PEER GROUP'!N:N,MATCH($A55,'PEER GROUP'!$A:$A,0))</f>
        <v>0</v>
      </c>
      <c r="N55" s="118"/>
      <c r="O55" s="115"/>
      <c r="P55" s="117"/>
      <c r="Q55" s="87"/>
      <c r="R55" s="87">
        <f t="shared" si="20"/>
        <v>0</v>
      </c>
      <c r="S55" s="87"/>
      <c r="T55" s="87"/>
      <c r="U55" s="87"/>
      <c r="V55" s="87">
        <f t="shared" si="21"/>
        <v>0</v>
      </c>
      <c r="W55" s="113">
        <f t="shared" si="17"/>
        <v>36.913096727263202</v>
      </c>
      <c r="X55" s="69">
        <f t="shared" si="22"/>
        <v>0</v>
      </c>
      <c r="Y55" s="70">
        <f t="shared" si="23"/>
        <v>0</v>
      </c>
      <c r="Z55" s="70">
        <f t="shared" si="24"/>
        <v>0</v>
      </c>
      <c r="AA55" s="70">
        <f t="shared" si="25"/>
        <v>0</v>
      </c>
      <c r="AB55" s="70">
        <f t="shared" si="26"/>
        <v>0</v>
      </c>
      <c r="AC55" s="70">
        <f t="shared" si="27"/>
        <v>0</v>
      </c>
      <c r="AD55" s="71">
        <f t="shared" si="28"/>
        <v>0</v>
      </c>
      <c r="AE55" s="49"/>
      <c r="AF55" s="21"/>
      <c r="AG55" s="69"/>
      <c r="AH55" s="70"/>
      <c r="AI55" s="70"/>
      <c r="AJ55" s="70"/>
      <c r="AK55" s="70"/>
      <c r="AL55" s="70"/>
      <c r="AM55" s="70"/>
      <c r="AN55" s="70" t="str">
        <f t="shared" si="29"/>
        <v>---</v>
      </c>
      <c r="AO55" s="70" t="str">
        <f t="shared" si="30"/>
        <v>---</v>
      </c>
      <c r="AP55" s="70" t="str">
        <f t="shared" si="31"/>
        <v>---</v>
      </c>
      <c r="AQ55" s="70" t="str">
        <f t="shared" si="32"/>
        <v>---</v>
      </c>
      <c r="AR55" s="70" t="str">
        <f t="shared" si="33"/>
        <v>---</v>
      </c>
      <c r="AS55" s="70" t="str">
        <f t="shared" si="34"/>
        <v>---</v>
      </c>
      <c r="AT55" s="71" t="str">
        <f t="shared" si="35"/>
        <v>---</v>
      </c>
    </row>
    <row r="56" spans="1:46" ht="30" customHeight="1" x14ac:dyDescent="0.3">
      <c r="A56" s="123">
        <f t="shared" si="19"/>
        <v>51</v>
      </c>
      <c r="B56" s="140">
        <f>INDEX('PEER GROUP'!B:B,MATCH($A56,'PEER GROUP'!$A:$A,0))</f>
        <v>0</v>
      </c>
      <c r="C56" s="83">
        <f>INDEX('PEER GROUP'!C:C,MATCH($A56,'PEER GROUP'!$A:$A,0))</f>
        <v>0</v>
      </c>
      <c r="D56" s="83">
        <f>INDEX('PEER GROUP'!D:D,MATCH($A56,'PEER GROUP'!$A:$A,0))</f>
        <v>0</v>
      </c>
      <c r="E56" s="83">
        <f>INDEX('PEER GROUP'!E:E,MATCH(A56,'PEER GROUP'!$A:$A,0))</f>
        <v>0</v>
      </c>
      <c r="F56" s="84">
        <f>INDEX('PEER GROUP'!F:F,MATCH($A56,'PEER GROUP'!$A:$A,0))</f>
        <v>0</v>
      </c>
      <c r="G56" s="84">
        <f>INDEX('PEER GROUP'!G:G,MATCH($A56,'PEER GROUP'!$A:$A,0))</f>
        <v>0</v>
      </c>
      <c r="H56" s="85"/>
      <c r="I56" s="85"/>
      <c r="J56" s="70">
        <f>INDEX('PEER GROUP'!K:K,MATCH($A56,'PEER GROUP'!$A:$A,0))</f>
        <v>0</v>
      </c>
      <c r="K56" s="70">
        <f>INDEX('PEER GROUP'!L:L,MATCH($A56,'PEER GROUP'!$A:$A,0))</f>
        <v>0</v>
      </c>
      <c r="L56" s="70">
        <f>INDEX('PEER GROUP'!M:M,MATCH($A56,'PEER GROUP'!$A:$A,0))</f>
        <v>0</v>
      </c>
      <c r="M56" s="86">
        <f>INDEX('PEER GROUP'!N:N,MATCH($A56,'PEER GROUP'!$A:$A,0))</f>
        <v>0</v>
      </c>
      <c r="N56" s="118"/>
      <c r="O56" s="115"/>
      <c r="P56" s="117"/>
      <c r="Q56" s="87"/>
      <c r="R56" s="87">
        <f t="shared" si="20"/>
        <v>0</v>
      </c>
      <c r="S56" s="87"/>
      <c r="T56" s="87"/>
      <c r="U56" s="87"/>
      <c r="V56" s="87">
        <f t="shared" si="21"/>
        <v>0</v>
      </c>
      <c r="W56" s="113">
        <f t="shared" si="17"/>
        <v>36.913096727263202</v>
      </c>
      <c r="X56" s="69">
        <f t="shared" si="22"/>
        <v>0</v>
      </c>
      <c r="Y56" s="70">
        <f t="shared" si="23"/>
        <v>0</v>
      </c>
      <c r="Z56" s="70">
        <f t="shared" si="24"/>
        <v>0</v>
      </c>
      <c r="AA56" s="70">
        <f t="shared" si="25"/>
        <v>0</v>
      </c>
      <c r="AB56" s="70">
        <f t="shared" si="26"/>
        <v>0</v>
      </c>
      <c r="AC56" s="70">
        <f t="shared" si="27"/>
        <v>0</v>
      </c>
      <c r="AD56" s="71">
        <f t="shared" si="28"/>
        <v>0</v>
      </c>
      <c r="AE56" s="49"/>
      <c r="AF56" s="21"/>
      <c r="AG56" s="69"/>
      <c r="AH56" s="70"/>
      <c r="AI56" s="70"/>
      <c r="AJ56" s="70"/>
      <c r="AK56" s="70"/>
      <c r="AL56" s="70"/>
      <c r="AM56" s="70"/>
      <c r="AN56" s="70" t="str">
        <f t="shared" si="29"/>
        <v>---</v>
      </c>
      <c r="AO56" s="70" t="str">
        <f t="shared" si="30"/>
        <v>---</v>
      </c>
      <c r="AP56" s="70" t="str">
        <f t="shared" si="31"/>
        <v>---</v>
      </c>
      <c r="AQ56" s="70" t="str">
        <f t="shared" si="32"/>
        <v>---</v>
      </c>
      <c r="AR56" s="70" t="str">
        <f t="shared" si="33"/>
        <v>---</v>
      </c>
      <c r="AS56" s="70" t="str">
        <f t="shared" si="34"/>
        <v>---</v>
      </c>
      <c r="AT56" s="71" t="str">
        <f t="shared" si="35"/>
        <v>---</v>
      </c>
    </row>
    <row r="57" spans="1:46" ht="30" customHeight="1" x14ac:dyDescent="0.3">
      <c r="A57" s="123">
        <f t="shared" si="19"/>
        <v>52</v>
      </c>
      <c r="B57" s="140">
        <f>INDEX('PEER GROUP'!B:B,MATCH($A57,'PEER GROUP'!$A:$A,0))</f>
        <v>0</v>
      </c>
      <c r="C57" s="83">
        <f>INDEX('PEER GROUP'!C:C,MATCH($A57,'PEER GROUP'!$A:$A,0))</f>
        <v>0</v>
      </c>
      <c r="D57" s="83">
        <f>INDEX('PEER GROUP'!D:D,MATCH($A57,'PEER GROUP'!$A:$A,0))</f>
        <v>0</v>
      </c>
      <c r="E57" s="83">
        <f>INDEX('PEER GROUP'!E:E,MATCH(A57,'PEER GROUP'!$A:$A,0))</f>
        <v>0</v>
      </c>
      <c r="F57" s="84">
        <f>INDEX('PEER GROUP'!F:F,MATCH($A57,'PEER GROUP'!$A:$A,0))</f>
        <v>0</v>
      </c>
      <c r="G57" s="84">
        <f>INDEX('PEER GROUP'!G:G,MATCH($A57,'PEER GROUP'!$A:$A,0))</f>
        <v>0</v>
      </c>
      <c r="H57" s="85"/>
      <c r="I57" s="85"/>
      <c r="J57" s="70">
        <f>INDEX('PEER GROUP'!K:K,MATCH($A57,'PEER GROUP'!$A:$A,0))</f>
        <v>0</v>
      </c>
      <c r="K57" s="70">
        <f>INDEX('PEER GROUP'!L:L,MATCH($A57,'PEER GROUP'!$A:$A,0))</f>
        <v>0</v>
      </c>
      <c r="L57" s="70">
        <f>INDEX('PEER GROUP'!M:M,MATCH($A57,'PEER GROUP'!$A:$A,0))</f>
        <v>0</v>
      </c>
      <c r="M57" s="86">
        <f>INDEX('PEER GROUP'!N:N,MATCH($A57,'PEER GROUP'!$A:$A,0))</f>
        <v>0</v>
      </c>
      <c r="N57" s="118"/>
      <c r="O57" s="115"/>
      <c r="P57" s="117"/>
      <c r="Q57" s="87"/>
      <c r="R57" s="87">
        <f t="shared" si="20"/>
        <v>0</v>
      </c>
      <c r="S57" s="87"/>
      <c r="T57" s="87"/>
      <c r="U57" s="87"/>
      <c r="V57" s="87">
        <f t="shared" si="21"/>
        <v>0</v>
      </c>
      <c r="W57" s="113">
        <f t="shared" si="17"/>
        <v>36.913096727263202</v>
      </c>
      <c r="X57" s="69">
        <f t="shared" si="22"/>
        <v>0</v>
      </c>
      <c r="Y57" s="70">
        <f t="shared" si="23"/>
        <v>0</v>
      </c>
      <c r="Z57" s="70">
        <f t="shared" si="24"/>
        <v>0</v>
      </c>
      <c r="AA57" s="70">
        <f t="shared" si="25"/>
        <v>0</v>
      </c>
      <c r="AB57" s="70">
        <f t="shared" si="26"/>
        <v>0</v>
      </c>
      <c r="AC57" s="70">
        <f t="shared" si="27"/>
        <v>0</v>
      </c>
      <c r="AD57" s="71">
        <f t="shared" si="28"/>
        <v>0</v>
      </c>
      <c r="AE57" s="49"/>
      <c r="AF57" s="21"/>
      <c r="AG57" s="69"/>
      <c r="AH57" s="70"/>
      <c r="AI57" s="70"/>
      <c r="AJ57" s="70"/>
      <c r="AK57" s="70"/>
      <c r="AL57" s="70"/>
      <c r="AM57" s="70"/>
      <c r="AN57" s="70" t="str">
        <f t="shared" si="29"/>
        <v>---</v>
      </c>
      <c r="AO57" s="70" t="str">
        <f t="shared" si="30"/>
        <v>---</v>
      </c>
      <c r="AP57" s="70" t="str">
        <f t="shared" si="31"/>
        <v>---</v>
      </c>
      <c r="AQ57" s="70" t="str">
        <f t="shared" si="32"/>
        <v>---</v>
      </c>
      <c r="AR57" s="70" t="str">
        <f t="shared" si="33"/>
        <v>---</v>
      </c>
      <c r="AS57" s="70" t="str">
        <f t="shared" si="34"/>
        <v>---</v>
      </c>
      <c r="AT57" s="71" t="str">
        <f t="shared" si="35"/>
        <v>---</v>
      </c>
    </row>
    <row r="58" spans="1:46" ht="30" customHeight="1" x14ac:dyDescent="0.3">
      <c r="A58" s="123">
        <f t="shared" si="19"/>
        <v>53</v>
      </c>
      <c r="B58" s="140">
        <f>INDEX('PEER GROUP'!B:B,MATCH($A58,'PEER GROUP'!$A:$A,0))</f>
        <v>0</v>
      </c>
      <c r="C58" s="83">
        <f>INDEX('PEER GROUP'!C:C,MATCH($A58,'PEER GROUP'!$A:$A,0))</f>
        <v>0</v>
      </c>
      <c r="D58" s="83">
        <f>INDEX('PEER GROUP'!D:D,MATCH($A58,'PEER GROUP'!$A:$A,0))</f>
        <v>0</v>
      </c>
      <c r="E58" s="83">
        <f>INDEX('PEER GROUP'!E:E,MATCH(A58,'PEER GROUP'!$A:$A,0))</f>
        <v>0</v>
      </c>
      <c r="F58" s="84">
        <f>INDEX('PEER GROUP'!F:F,MATCH($A58,'PEER GROUP'!$A:$A,0))</f>
        <v>0</v>
      </c>
      <c r="G58" s="84">
        <f>INDEX('PEER GROUP'!G:G,MATCH($A58,'PEER GROUP'!$A:$A,0))</f>
        <v>0</v>
      </c>
      <c r="H58" s="85"/>
      <c r="I58" s="85"/>
      <c r="J58" s="70">
        <f>INDEX('PEER GROUP'!K:K,MATCH($A58,'PEER GROUP'!$A:$A,0))</f>
        <v>0</v>
      </c>
      <c r="K58" s="70">
        <f>INDEX('PEER GROUP'!L:L,MATCH($A58,'PEER GROUP'!$A:$A,0))</f>
        <v>0</v>
      </c>
      <c r="L58" s="70">
        <f>INDEX('PEER GROUP'!M:M,MATCH($A58,'PEER GROUP'!$A:$A,0))</f>
        <v>0</v>
      </c>
      <c r="M58" s="86">
        <f>INDEX('PEER GROUP'!N:N,MATCH($A58,'PEER GROUP'!$A:$A,0))</f>
        <v>0</v>
      </c>
      <c r="N58" s="118"/>
      <c r="O58" s="115"/>
      <c r="P58" s="117"/>
      <c r="Q58" s="87"/>
      <c r="R58" s="87">
        <f t="shared" si="20"/>
        <v>0</v>
      </c>
      <c r="S58" s="87"/>
      <c r="T58" s="87"/>
      <c r="U58" s="87"/>
      <c r="V58" s="87">
        <f t="shared" si="21"/>
        <v>0</v>
      </c>
      <c r="W58" s="113">
        <f t="shared" si="17"/>
        <v>36.913096727263202</v>
      </c>
      <c r="X58" s="69">
        <f t="shared" si="22"/>
        <v>0</v>
      </c>
      <c r="Y58" s="70">
        <f t="shared" si="23"/>
        <v>0</v>
      </c>
      <c r="Z58" s="70">
        <f t="shared" si="24"/>
        <v>0</v>
      </c>
      <c r="AA58" s="70">
        <f t="shared" si="25"/>
        <v>0</v>
      </c>
      <c r="AB58" s="70">
        <f t="shared" si="26"/>
        <v>0</v>
      </c>
      <c r="AC58" s="70">
        <f t="shared" si="27"/>
        <v>0</v>
      </c>
      <c r="AD58" s="71">
        <f t="shared" si="28"/>
        <v>0</v>
      </c>
      <c r="AE58" s="49"/>
      <c r="AF58" s="21"/>
      <c r="AG58" s="69"/>
      <c r="AH58" s="70"/>
      <c r="AI58" s="70"/>
      <c r="AJ58" s="70"/>
      <c r="AK58" s="70"/>
      <c r="AL58" s="70"/>
      <c r="AM58" s="70"/>
      <c r="AN58" s="70" t="str">
        <f t="shared" si="29"/>
        <v>---</v>
      </c>
      <c r="AO58" s="70" t="str">
        <f t="shared" si="30"/>
        <v>---</v>
      </c>
      <c r="AP58" s="70" t="str">
        <f t="shared" si="31"/>
        <v>---</v>
      </c>
      <c r="AQ58" s="70" t="str">
        <f t="shared" si="32"/>
        <v>---</v>
      </c>
      <c r="AR58" s="70" t="str">
        <f t="shared" si="33"/>
        <v>---</v>
      </c>
      <c r="AS58" s="70" t="str">
        <f t="shared" si="34"/>
        <v>---</v>
      </c>
      <c r="AT58" s="71" t="str">
        <f t="shared" si="35"/>
        <v>---</v>
      </c>
    </row>
    <row r="59" spans="1:46" ht="30" customHeight="1" x14ac:dyDescent="0.3">
      <c r="A59" s="123">
        <f t="shared" si="19"/>
        <v>54</v>
      </c>
      <c r="B59" s="140">
        <f>INDEX('PEER GROUP'!B:B,MATCH($A59,'PEER GROUP'!$A:$A,0))</f>
        <v>0</v>
      </c>
      <c r="C59" s="83">
        <f>INDEX('PEER GROUP'!C:C,MATCH($A59,'PEER GROUP'!$A:$A,0))</f>
        <v>0</v>
      </c>
      <c r="D59" s="83">
        <f>INDEX('PEER GROUP'!D:D,MATCH($A59,'PEER GROUP'!$A:$A,0))</f>
        <v>0</v>
      </c>
      <c r="E59" s="83">
        <f>INDEX('PEER GROUP'!E:E,MATCH(A59,'PEER GROUP'!$A:$A,0))</f>
        <v>0</v>
      </c>
      <c r="F59" s="84">
        <f>INDEX('PEER GROUP'!F:F,MATCH($A59,'PEER GROUP'!$A:$A,0))</f>
        <v>0</v>
      </c>
      <c r="G59" s="84">
        <f>INDEX('PEER GROUP'!G:G,MATCH($A59,'PEER GROUP'!$A:$A,0))</f>
        <v>0</v>
      </c>
      <c r="H59" s="85"/>
      <c r="I59" s="85"/>
      <c r="J59" s="70">
        <f>INDEX('PEER GROUP'!K:K,MATCH($A59,'PEER GROUP'!$A:$A,0))</f>
        <v>0</v>
      </c>
      <c r="K59" s="70">
        <f>INDEX('PEER GROUP'!L:L,MATCH($A59,'PEER GROUP'!$A:$A,0))</f>
        <v>0</v>
      </c>
      <c r="L59" s="70">
        <f>INDEX('PEER GROUP'!M:M,MATCH($A59,'PEER GROUP'!$A:$A,0))</f>
        <v>0</v>
      </c>
      <c r="M59" s="86">
        <f>INDEX('PEER GROUP'!N:N,MATCH($A59,'PEER GROUP'!$A:$A,0))</f>
        <v>0</v>
      </c>
      <c r="N59" s="118"/>
      <c r="O59" s="115"/>
      <c r="P59" s="117"/>
      <c r="Q59" s="87"/>
      <c r="R59" s="87">
        <f t="shared" si="20"/>
        <v>0</v>
      </c>
      <c r="S59" s="87"/>
      <c r="T59" s="87"/>
      <c r="U59" s="87"/>
      <c r="V59" s="87">
        <f t="shared" si="21"/>
        <v>0</v>
      </c>
      <c r="W59" s="113">
        <f t="shared" si="17"/>
        <v>36.913096727263202</v>
      </c>
      <c r="X59" s="69">
        <f t="shared" si="22"/>
        <v>0</v>
      </c>
      <c r="Y59" s="70">
        <f t="shared" si="23"/>
        <v>0</v>
      </c>
      <c r="Z59" s="70">
        <f t="shared" si="24"/>
        <v>0</v>
      </c>
      <c r="AA59" s="70">
        <f t="shared" si="25"/>
        <v>0</v>
      </c>
      <c r="AB59" s="70">
        <f t="shared" si="26"/>
        <v>0</v>
      </c>
      <c r="AC59" s="70">
        <f t="shared" si="27"/>
        <v>0</v>
      </c>
      <c r="AD59" s="71">
        <f t="shared" si="28"/>
        <v>0</v>
      </c>
      <c r="AE59" s="49"/>
      <c r="AF59" s="21"/>
      <c r="AG59" s="69"/>
      <c r="AH59" s="70"/>
      <c r="AI59" s="70"/>
      <c r="AJ59" s="70"/>
      <c r="AK59" s="70"/>
      <c r="AL59" s="70"/>
      <c r="AM59" s="70"/>
      <c r="AN59" s="70" t="str">
        <f t="shared" si="29"/>
        <v>---</v>
      </c>
      <c r="AO59" s="70" t="str">
        <f t="shared" si="30"/>
        <v>---</v>
      </c>
      <c r="AP59" s="70" t="str">
        <f t="shared" si="31"/>
        <v>---</v>
      </c>
      <c r="AQ59" s="70" t="str">
        <f t="shared" si="32"/>
        <v>---</v>
      </c>
      <c r="AR59" s="70" t="str">
        <f t="shared" si="33"/>
        <v>---</v>
      </c>
      <c r="AS59" s="70" t="str">
        <f t="shared" si="34"/>
        <v>---</v>
      </c>
      <c r="AT59" s="71" t="str">
        <f t="shared" si="35"/>
        <v>---</v>
      </c>
    </row>
    <row r="60" spans="1:46" ht="30" customHeight="1" x14ac:dyDescent="0.3">
      <c r="A60" s="123">
        <f t="shared" si="19"/>
        <v>55</v>
      </c>
      <c r="B60" s="140">
        <f>INDEX('PEER GROUP'!B:B,MATCH($A60,'PEER GROUP'!$A:$A,0))</f>
        <v>0</v>
      </c>
      <c r="C60" s="83">
        <f>INDEX('PEER GROUP'!C:C,MATCH($A60,'PEER GROUP'!$A:$A,0))</f>
        <v>0</v>
      </c>
      <c r="D60" s="83">
        <f>INDEX('PEER GROUP'!D:D,MATCH($A60,'PEER GROUP'!$A:$A,0))</f>
        <v>0</v>
      </c>
      <c r="E60" s="83">
        <f>INDEX('PEER GROUP'!E:E,MATCH(A60,'PEER GROUP'!$A:$A,0))</f>
        <v>0</v>
      </c>
      <c r="F60" s="84">
        <f>INDEX('PEER GROUP'!F:F,MATCH($A60,'PEER GROUP'!$A:$A,0))</f>
        <v>0</v>
      </c>
      <c r="G60" s="84">
        <f>INDEX('PEER GROUP'!G:G,MATCH($A60,'PEER GROUP'!$A:$A,0))</f>
        <v>0</v>
      </c>
      <c r="H60" s="85"/>
      <c r="I60" s="85"/>
      <c r="J60" s="70">
        <f>INDEX('PEER GROUP'!K:K,MATCH($A60,'PEER GROUP'!$A:$A,0))</f>
        <v>0</v>
      </c>
      <c r="K60" s="70">
        <f>INDEX('PEER GROUP'!L:L,MATCH($A60,'PEER GROUP'!$A:$A,0))</f>
        <v>0</v>
      </c>
      <c r="L60" s="70">
        <f>INDEX('PEER GROUP'!M:M,MATCH($A60,'PEER GROUP'!$A:$A,0))</f>
        <v>0</v>
      </c>
      <c r="M60" s="86">
        <f>INDEX('PEER GROUP'!N:N,MATCH($A60,'PEER GROUP'!$A:$A,0))</f>
        <v>0</v>
      </c>
      <c r="N60" s="118"/>
      <c r="O60" s="115"/>
      <c r="P60" s="117"/>
      <c r="Q60" s="87"/>
      <c r="R60" s="87">
        <f t="shared" si="20"/>
        <v>0</v>
      </c>
      <c r="S60" s="87"/>
      <c r="T60" s="87"/>
      <c r="U60" s="87"/>
      <c r="V60" s="87">
        <f t="shared" si="21"/>
        <v>0</v>
      </c>
      <c r="W60" s="113">
        <f t="shared" si="17"/>
        <v>36.913096727263202</v>
      </c>
      <c r="X60" s="69">
        <f t="shared" si="22"/>
        <v>0</v>
      </c>
      <c r="Y60" s="70">
        <f t="shared" si="23"/>
        <v>0</v>
      </c>
      <c r="Z60" s="70">
        <f t="shared" si="24"/>
        <v>0</v>
      </c>
      <c r="AA60" s="70">
        <f t="shared" si="25"/>
        <v>0</v>
      </c>
      <c r="AB60" s="70">
        <f t="shared" si="26"/>
        <v>0</v>
      </c>
      <c r="AC60" s="70">
        <f t="shared" si="27"/>
        <v>0</v>
      </c>
      <c r="AD60" s="71">
        <f t="shared" si="28"/>
        <v>0</v>
      </c>
      <c r="AE60" s="49"/>
      <c r="AF60" s="21"/>
      <c r="AG60" s="69"/>
      <c r="AH60" s="70"/>
      <c r="AI60" s="70"/>
      <c r="AJ60" s="70"/>
      <c r="AK60" s="70"/>
      <c r="AL60" s="70"/>
      <c r="AM60" s="70"/>
      <c r="AN60" s="70" t="str">
        <f t="shared" si="29"/>
        <v>---</v>
      </c>
      <c r="AO60" s="70" t="str">
        <f t="shared" si="30"/>
        <v>---</v>
      </c>
      <c r="AP60" s="70" t="str">
        <f t="shared" si="31"/>
        <v>---</v>
      </c>
      <c r="AQ60" s="70" t="str">
        <f t="shared" si="32"/>
        <v>---</v>
      </c>
      <c r="AR60" s="70" t="str">
        <f t="shared" si="33"/>
        <v>---</v>
      </c>
      <c r="AS60" s="70" t="str">
        <f t="shared" si="34"/>
        <v>---</v>
      </c>
      <c r="AT60" s="71" t="str">
        <f t="shared" si="35"/>
        <v>---</v>
      </c>
    </row>
    <row r="61" spans="1:46" ht="30" customHeight="1" x14ac:dyDescent="0.3">
      <c r="A61" s="123">
        <f t="shared" si="19"/>
        <v>56</v>
      </c>
      <c r="B61" s="140">
        <f>INDEX('PEER GROUP'!B:B,MATCH($A61,'PEER GROUP'!$A:$A,0))</f>
        <v>0</v>
      </c>
      <c r="C61" s="83">
        <f>INDEX('PEER GROUP'!C:C,MATCH($A61,'PEER GROUP'!$A:$A,0))</f>
        <v>0</v>
      </c>
      <c r="D61" s="83">
        <f>INDEX('PEER GROUP'!D:D,MATCH($A61,'PEER GROUP'!$A:$A,0))</f>
        <v>0</v>
      </c>
      <c r="E61" s="83">
        <f>INDEX('PEER GROUP'!E:E,MATCH(A61,'PEER GROUP'!$A:$A,0))</f>
        <v>0</v>
      </c>
      <c r="F61" s="84">
        <f>INDEX('PEER GROUP'!F:F,MATCH($A61,'PEER GROUP'!$A:$A,0))</f>
        <v>0</v>
      </c>
      <c r="G61" s="84">
        <f>INDEX('PEER GROUP'!G:G,MATCH($A61,'PEER GROUP'!$A:$A,0))</f>
        <v>0</v>
      </c>
      <c r="H61" s="85"/>
      <c r="I61" s="85"/>
      <c r="J61" s="70">
        <f>INDEX('PEER GROUP'!K:K,MATCH($A61,'PEER GROUP'!$A:$A,0))</f>
        <v>0</v>
      </c>
      <c r="K61" s="70">
        <f>INDEX('PEER GROUP'!L:L,MATCH($A61,'PEER GROUP'!$A:$A,0))</f>
        <v>0</v>
      </c>
      <c r="L61" s="70">
        <f>INDEX('PEER GROUP'!M:M,MATCH($A61,'PEER GROUP'!$A:$A,0))</f>
        <v>0</v>
      </c>
      <c r="M61" s="86">
        <f>INDEX('PEER GROUP'!N:N,MATCH($A61,'PEER GROUP'!$A:$A,0))</f>
        <v>0</v>
      </c>
      <c r="N61" s="118"/>
      <c r="O61" s="115"/>
      <c r="P61" s="117"/>
      <c r="Q61" s="87"/>
      <c r="R61" s="87">
        <f t="shared" si="20"/>
        <v>0</v>
      </c>
      <c r="S61" s="87"/>
      <c r="T61" s="87"/>
      <c r="U61" s="87"/>
      <c r="V61" s="87">
        <f t="shared" si="21"/>
        <v>0</v>
      </c>
      <c r="W61" s="113">
        <f t="shared" si="17"/>
        <v>36.913096727263202</v>
      </c>
      <c r="X61" s="69">
        <f t="shared" si="22"/>
        <v>0</v>
      </c>
      <c r="Y61" s="70">
        <f t="shared" si="23"/>
        <v>0</v>
      </c>
      <c r="Z61" s="70">
        <f t="shared" si="24"/>
        <v>0</v>
      </c>
      <c r="AA61" s="70">
        <f t="shared" si="25"/>
        <v>0</v>
      </c>
      <c r="AB61" s="70">
        <f t="shared" si="26"/>
        <v>0</v>
      </c>
      <c r="AC61" s="70">
        <f t="shared" si="27"/>
        <v>0</v>
      </c>
      <c r="AD61" s="71">
        <f t="shared" si="28"/>
        <v>0</v>
      </c>
      <c r="AE61" s="49"/>
      <c r="AF61" s="21"/>
      <c r="AG61" s="69"/>
      <c r="AH61" s="70"/>
      <c r="AI61" s="70"/>
      <c r="AJ61" s="70"/>
      <c r="AK61" s="70"/>
      <c r="AL61" s="70"/>
      <c r="AM61" s="70"/>
      <c r="AN61" s="70" t="str">
        <f t="shared" si="29"/>
        <v>---</v>
      </c>
      <c r="AO61" s="70" t="str">
        <f t="shared" si="30"/>
        <v>---</v>
      </c>
      <c r="AP61" s="70" t="str">
        <f t="shared" si="31"/>
        <v>---</v>
      </c>
      <c r="AQ61" s="70" t="str">
        <f t="shared" si="32"/>
        <v>---</v>
      </c>
      <c r="AR61" s="70" t="str">
        <f t="shared" si="33"/>
        <v>---</v>
      </c>
      <c r="AS61" s="70" t="str">
        <f t="shared" si="34"/>
        <v>---</v>
      </c>
      <c r="AT61" s="71" t="str">
        <f t="shared" si="35"/>
        <v>---</v>
      </c>
    </row>
    <row r="62" spans="1:46" ht="30" customHeight="1" x14ac:dyDescent="0.3">
      <c r="A62" s="123">
        <f t="shared" si="19"/>
        <v>57</v>
      </c>
      <c r="B62" s="140">
        <f>INDEX('PEER GROUP'!B:B,MATCH($A62,'PEER GROUP'!$A:$A,0))</f>
        <v>0</v>
      </c>
      <c r="C62" s="83">
        <f>INDEX('PEER GROUP'!C:C,MATCH($A62,'PEER GROUP'!$A:$A,0))</f>
        <v>0</v>
      </c>
      <c r="D62" s="83">
        <f>INDEX('PEER GROUP'!D:D,MATCH($A62,'PEER GROUP'!$A:$A,0))</f>
        <v>0</v>
      </c>
      <c r="E62" s="83">
        <f>INDEX('PEER GROUP'!E:E,MATCH(A62,'PEER GROUP'!$A:$A,0))</f>
        <v>0</v>
      </c>
      <c r="F62" s="84">
        <f>INDEX('PEER GROUP'!F:F,MATCH($A62,'PEER GROUP'!$A:$A,0))</f>
        <v>0</v>
      </c>
      <c r="G62" s="84">
        <f>INDEX('PEER GROUP'!G:G,MATCH($A62,'PEER GROUP'!$A:$A,0))</f>
        <v>0</v>
      </c>
      <c r="H62" s="85"/>
      <c r="I62" s="85"/>
      <c r="J62" s="70">
        <f>INDEX('PEER GROUP'!K:K,MATCH($A62,'PEER GROUP'!$A:$A,0))</f>
        <v>0</v>
      </c>
      <c r="K62" s="70">
        <f>INDEX('PEER GROUP'!L:L,MATCH($A62,'PEER GROUP'!$A:$A,0))</f>
        <v>0</v>
      </c>
      <c r="L62" s="70">
        <f>INDEX('PEER GROUP'!M:M,MATCH($A62,'PEER GROUP'!$A:$A,0))</f>
        <v>0</v>
      </c>
      <c r="M62" s="86">
        <f>INDEX('PEER GROUP'!N:N,MATCH($A62,'PEER GROUP'!$A:$A,0))</f>
        <v>0</v>
      </c>
      <c r="N62" s="118"/>
      <c r="O62" s="115"/>
      <c r="P62" s="117"/>
      <c r="Q62" s="87"/>
      <c r="R62" s="87">
        <f t="shared" si="20"/>
        <v>0</v>
      </c>
      <c r="S62" s="87"/>
      <c r="T62" s="87"/>
      <c r="U62" s="87"/>
      <c r="V62" s="87">
        <f t="shared" si="21"/>
        <v>0</v>
      </c>
      <c r="W62" s="113">
        <f t="shared" si="17"/>
        <v>36.913096727263202</v>
      </c>
      <c r="X62" s="69">
        <f t="shared" si="22"/>
        <v>0</v>
      </c>
      <c r="Y62" s="70">
        <f t="shared" si="23"/>
        <v>0</v>
      </c>
      <c r="Z62" s="70">
        <f t="shared" si="24"/>
        <v>0</v>
      </c>
      <c r="AA62" s="70">
        <f t="shared" si="25"/>
        <v>0</v>
      </c>
      <c r="AB62" s="70">
        <f t="shared" si="26"/>
        <v>0</v>
      </c>
      <c r="AC62" s="70">
        <f t="shared" si="27"/>
        <v>0</v>
      </c>
      <c r="AD62" s="71">
        <f t="shared" si="28"/>
        <v>0</v>
      </c>
      <c r="AE62" s="49"/>
      <c r="AF62" s="21"/>
      <c r="AG62" s="69"/>
      <c r="AH62" s="70"/>
      <c r="AI62" s="70"/>
      <c r="AJ62" s="70"/>
      <c r="AK62" s="70"/>
      <c r="AL62" s="70"/>
      <c r="AM62" s="70"/>
      <c r="AN62" s="70" t="str">
        <f t="shared" si="29"/>
        <v>---</v>
      </c>
      <c r="AO62" s="70" t="str">
        <f t="shared" si="30"/>
        <v>---</v>
      </c>
      <c r="AP62" s="70" t="str">
        <f t="shared" si="31"/>
        <v>---</v>
      </c>
      <c r="AQ62" s="70" t="str">
        <f t="shared" si="32"/>
        <v>---</v>
      </c>
      <c r="AR62" s="70" t="str">
        <f t="shared" si="33"/>
        <v>---</v>
      </c>
      <c r="AS62" s="70" t="str">
        <f t="shared" si="34"/>
        <v>---</v>
      </c>
      <c r="AT62" s="71" t="str">
        <f t="shared" si="35"/>
        <v>---</v>
      </c>
    </row>
    <row r="63" spans="1:46" ht="30" customHeight="1" x14ac:dyDescent="0.3">
      <c r="A63" s="123">
        <f t="shared" si="19"/>
        <v>58</v>
      </c>
      <c r="B63" s="140">
        <f>INDEX('PEER GROUP'!B:B,MATCH($A63,'PEER GROUP'!$A:$A,0))</f>
        <v>0</v>
      </c>
      <c r="C63" s="83">
        <f>INDEX('PEER GROUP'!C:C,MATCH($A63,'PEER GROUP'!$A:$A,0))</f>
        <v>0</v>
      </c>
      <c r="D63" s="83">
        <f>INDEX('PEER GROUP'!D:D,MATCH($A63,'PEER GROUP'!$A:$A,0))</f>
        <v>0</v>
      </c>
      <c r="E63" s="83">
        <f>INDEX('PEER GROUP'!E:E,MATCH(A63,'PEER GROUP'!$A:$A,0))</f>
        <v>0</v>
      </c>
      <c r="F63" s="84">
        <f>INDEX('PEER GROUP'!F:F,MATCH($A63,'PEER GROUP'!$A:$A,0))</f>
        <v>0</v>
      </c>
      <c r="G63" s="84">
        <f>INDEX('PEER GROUP'!G:G,MATCH($A63,'PEER GROUP'!$A:$A,0))</f>
        <v>0</v>
      </c>
      <c r="H63" s="85"/>
      <c r="I63" s="85"/>
      <c r="J63" s="70">
        <f>INDEX('PEER GROUP'!K:K,MATCH($A63,'PEER GROUP'!$A:$A,0))</f>
        <v>0</v>
      </c>
      <c r="K63" s="70">
        <f>INDEX('PEER GROUP'!L:L,MATCH($A63,'PEER GROUP'!$A:$A,0))</f>
        <v>0</v>
      </c>
      <c r="L63" s="70">
        <f>INDEX('PEER GROUP'!M:M,MATCH($A63,'PEER GROUP'!$A:$A,0))</f>
        <v>0</v>
      </c>
      <c r="M63" s="86">
        <f>INDEX('PEER GROUP'!N:N,MATCH($A63,'PEER GROUP'!$A:$A,0))</f>
        <v>0</v>
      </c>
      <c r="N63" s="118"/>
      <c r="O63" s="115"/>
      <c r="P63" s="117"/>
      <c r="Q63" s="87"/>
      <c r="R63" s="87">
        <f t="shared" si="20"/>
        <v>0</v>
      </c>
      <c r="S63" s="87"/>
      <c r="T63" s="87"/>
      <c r="U63" s="87"/>
      <c r="V63" s="87">
        <f t="shared" si="21"/>
        <v>0</v>
      </c>
      <c r="W63" s="113">
        <f t="shared" si="17"/>
        <v>36.913096727263202</v>
      </c>
      <c r="X63" s="69">
        <f t="shared" si="22"/>
        <v>0</v>
      </c>
      <c r="Y63" s="70">
        <f t="shared" si="23"/>
        <v>0</v>
      </c>
      <c r="Z63" s="70">
        <f t="shared" si="24"/>
        <v>0</v>
      </c>
      <c r="AA63" s="70">
        <f t="shared" si="25"/>
        <v>0</v>
      </c>
      <c r="AB63" s="70">
        <f t="shared" si="26"/>
        <v>0</v>
      </c>
      <c r="AC63" s="70">
        <f t="shared" si="27"/>
        <v>0</v>
      </c>
      <c r="AD63" s="71">
        <f t="shared" si="28"/>
        <v>0</v>
      </c>
      <c r="AE63" s="49"/>
      <c r="AF63" s="21"/>
      <c r="AG63" s="69"/>
      <c r="AH63" s="70"/>
      <c r="AI63" s="70"/>
      <c r="AJ63" s="70"/>
      <c r="AK63" s="70"/>
      <c r="AL63" s="70"/>
      <c r="AM63" s="70"/>
      <c r="AN63" s="70" t="str">
        <f t="shared" si="29"/>
        <v>---</v>
      </c>
      <c r="AO63" s="70" t="str">
        <f t="shared" si="30"/>
        <v>---</v>
      </c>
      <c r="AP63" s="70" t="str">
        <f t="shared" si="31"/>
        <v>---</v>
      </c>
      <c r="AQ63" s="70" t="str">
        <f t="shared" si="32"/>
        <v>---</v>
      </c>
      <c r="AR63" s="70" t="str">
        <f t="shared" si="33"/>
        <v>---</v>
      </c>
      <c r="AS63" s="70" t="str">
        <f t="shared" si="34"/>
        <v>---</v>
      </c>
      <c r="AT63" s="71" t="str">
        <f t="shared" si="35"/>
        <v>---</v>
      </c>
    </row>
    <row r="64" spans="1:46" ht="30" customHeight="1" x14ac:dyDescent="0.3">
      <c r="A64" s="123">
        <f t="shared" si="19"/>
        <v>59</v>
      </c>
      <c r="B64" s="140">
        <f>INDEX('PEER GROUP'!B:B,MATCH($A64,'PEER GROUP'!$A:$A,0))</f>
        <v>0</v>
      </c>
      <c r="C64" s="83">
        <f>INDEX('PEER GROUP'!C:C,MATCH($A64,'PEER GROUP'!$A:$A,0))</f>
        <v>0</v>
      </c>
      <c r="D64" s="83">
        <f>INDEX('PEER GROUP'!D:D,MATCH($A64,'PEER GROUP'!$A:$A,0))</f>
        <v>0</v>
      </c>
      <c r="E64" s="83">
        <f>INDEX('PEER GROUP'!E:E,MATCH(A64,'PEER GROUP'!$A:$A,0))</f>
        <v>0</v>
      </c>
      <c r="F64" s="84">
        <f>INDEX('PEER GROUP'!F:F,MATCH($A64,'PEER GROUP'!$A:$A,0))</f>
        <v>0</v>
      </c>
      <c r="G64" s="84">
        <f>INDEX('PEER GROUP'!G:G,MATCH($A64,'PEER GROUP'!$A:$A,0))</f>
        <v>0</v>
      </c>
      <c r="H64" s="85"/>
      <c r="I64" s="85"/>
      <c r="J64" s="70">
        <f>INDEX('PEER GROUP'!K:K,MATCH($A64,'PEER GROUP'!$A:$A,0))</f>
        <v>0</v>
      </c>
      <c r="K64" s="70">
        <f>INDEX('PEER GROUP'!L:L,MATCH($A64,'PEER GROUP'!$A:$A,0))</f>
        <v>0</v>
      </c>
      <c r="L64" s="70">
        <f>INDEX('PEER GROUP'!M:M,MATCH($A64,'PEER GROUP'!$A:$A,0))</f>
        <v>0</v>
      </c>
      <c r="M64" s="86">
        <f>INDEX('PEER GROUP'!N:N,MATCH($A64,'PEER GROUP'!$A:$A,0))</f>
        <v>0</v>
      </c>
      <c r="N64" s="118"/>
      <c r="O64" s="115"/>
      <c r="P64" s="117"/>
      <c r="Q64" s="87"/>
      <c r="R64" s="87">
        <f t="shared" si="20"/>
        <v>0</v>
      </c>
      <c r="S64" s="87"/>
      <c r="T64" s="87"/>
      <c r="U64" s="87"/>
      <c r="V64" s="87">
        <f t="shared" si="21"/>
        <v>0</v>
      </c>
      <c r="W64" s="113">
        <f t="shared" si="17"/>
        <v>36.913096727263202</v>
      </c>
      <c r="X64" s="69">
        <f t="shared" si="22"/>
        <v>0</v>
      </c>
      <c r="Y64" s="70">
        <f t="shared" si="23"/>
        <v>0</v>
      </c>
      <c r="Z64" s="70">
        <f t="shared" si="24"/>
        <v>0</v>
      </c>
      <c r="AA64" s="70">
        <f t="shared" si="25"/>
        <v>0</v>
      </c>
      <c r="AB64" s="70">
        <f t="shared" si="26"/>
        <v>0</v>
      </c>
      <c r="AC64" s="70">
        <f t="shared" si="27"/>
        <v>0</v>
      </c>
      <c r="AD64" s="71">
        <f t="shared" si="28"/>
        <v>0</v>
      </c>
      <c r="AE64" s="49"/>
      <c r="AF64" s="21"/>
      <c r="AG64" s="69"/>
      <c r="AH64" s="70"/>
      <c r="AI64" s="70"/>
      <c r="AJ64" s="70"/>
      <c r="AK64" s="70"/>
      <c r="AL64" s="70"/>
      <c r="AM64" s="70"/>
      <c r="AN64" s="70" t="str">
        <f t="shared" si="29"/>
        <v>---</v>
      </c>
      <c r="AO64" s="70" t="str">
        <f t="shared" si="30"/>
        <v>---</v>
      </c>
      <c r="AP64" s="70" t="str">
        <f t="shared" si="31"/>
        <v>---</v>
      </c>
      <c r="AQ64" s="70" t="str">
        <f t="shared" si="32"/>
        <v>---</v>
      </c>
      <c r="AR64" s="70" t="str">
        <f t="shared" si="33"/>
        <v>---</v>
      </c>
      <c r="AS64" s="70" t="str">
        <f t="shared" si="34"/>
        <v>---</v>
      </c>
      <c r="AT64" s="71" t="str">
        <f t="shared" si="35"/>
        <v>---</v>
      </c>
    </row>
    <row r="65" spans="1:46" ht="30" customHeight="1" x14ac:dyDescent="0.3">
      <c r="A65" s="123">
        <f t="shared" si="19"/>
        <v>60</v>
      </c>
      <c r="B65" s="140">
        <f>INDEX('PEER GROUP'!B:B,MATCH($A65,'PEER GROUP'!$A:$A,0))</f>
        <v>0</v>
      </c>
      <c r="C65" s="83">
        <f>INDEX('PEER GROUP'!C:C,MATCH($A65,'PEER GROUP'!$A:$A,0))</f>
        <v>0</v>
      </c>
      <c r="D65" s="83">
        <f>INDEX('PEER GROUP'!D:D,MATCH($A65,'PEER GROUP'!$A:$A,0))</f>
        <v>0</v>
      </c>
      <c r="E65" s="83">
        <f>INDEX('PEER GROUP'!E:E,MATCH(A65,'PEER GROUP'!$A:$A,0))</f>
        <v>0</v>
      </c>
      <c r="F65" s="84">
        <f>INDEX('PEER GROUP'!F:F,MATCH($A65,'PEER GROUP'!$A:$A,0))</f>
        <v>0</v>
      </c>
      <c r="G65" s="84">
        <f>INDEX('PEER GROUP'!G:G,MATCH($A65,'PEER GROUP'!$A:$A,0))</f>
        <v>0</v>
      </c>
      <c r="H65" s="85"/>
      <c r="I65" s="85"/>
      <c r="J65" s="70">
        <f>INDEX('PEER GROUP'!K:K,MATCH($A65,'PEER GROUP'!$A:$A,0))</f>
        <v>0</v>
      </c>
      <c r="K65" s="70">
        <f>INDEX('PEER GROUP'!L:L,MATCH($A65,'PEER GROUP'!$A:$A,0))</f>
        <v>0</v>
      </c>
      <c r="L65" s="70">
        <f>INDEX('PEER GROUP'!M:M,MATCH($A65,'PEER GROUP'!$A:$A,0))</f>
        <v>0</v>
      </c>
      <c r="M65" s="86">
        <f>INDEX('PEER GROUP'!N:N,MATCH($A65,'PEER GROUP'!$A:$A,0))</f>
        <v>0</v>
      </c>
      <c r="N65" s="118"/>
      <c r="O65" s="115"/>
      <c r="P65" s="117"/>
      <c r="Q65" s="87"/>
      <c r="R65" s="87">
        <f t="shared" si="20"/>
        <v>0</v>
      </c>
      <c r="S65" s="87"/>
      <c r="T65" s="87"/>
      <c r="U65" s="87"/>
      <c r="V65" s="87">
        <f t="shared" si="21"/>
        <v>0</v>
      </c>
      <c r="W65" s="113">
        <f t="shared" si="17"/>
        <v>36.913096727263202</v>
      </c>
      <c r="X65" s="69">
        <f t="shared" si="22"/>
        <v>0</v>
      </c>
      <c r="Y65" s="70">
        <f t="shared" si="23"/>
        <v>0</v>
      </c>
      <c r="Z65" s="70">
        <f t="shared" si="24"/>
        <v>0</v>
      </c>
      <c r="AA65" s="70">
        <f t="shared" si="25"/>
        <v>0</v>
      </c>
      <c r="AB65" s="70">
        <f t="shared" si="26"/>
        <v>0</v>
      </c>
      <c r="AC65" s="70">
        <f t="shared" si="27"/>
        <v>0</v>
      </c>
      <c r="AD65" s="71">
        <f t="shared" si="28"/>
        <v>0</v>
      </c>
      <c r="AE65" s="49"/>
      <c r="AF65" s="21"/>
      <c r="AG65" s="69"/>
      <c r="AH65" s="70"/>
      <c r="AI65" s="70"/>
      <c r="AJ65" s="70"/>
      <c r="AK65" s="70"/>
      <c r="AL65" s="70"/>
      <c r="AM65" s="70"/>
      <c r="AN65" s="70" t="str">
        <f t="shared" si="29"/>
        <v>---</v>
      </c>
      <c r="AO65" s="70" t="str">
        <f t="shared" si="30"/>
        <v>---</v>
      </c>
      <c r="AP65" s="70" t="str">
        <f t="shared" si="31"/>
        <v>---</v>
      </c>
      <c r="AQ65" s="70" t="str">
        <f t="shared" si="32"/>
        <v>---</v>
      </c>
      <c r="AR65" s="70" t="str">
        <f t="shared" si="33"/>
        <v>---</v>
      </c>
      <c r="AS65" s="70" t="str">
        <f t="shared" si="34"/>
        <v>---</v>
      </c>
      <c r="AT65" s="71" t="str">
        <f t="shared" si="35"/>
        <v>---</v>
      </c>
    </row>
    <row r="66" spans="1:46" ht="30" customHeight="1" x14ac:dyDescent="0.3">
      <c r="A66" s="123">
        <f t="shared" si="19"/>
        <v>61</v>
      </c>
      <c r="B66" s="140">
        <f>INDEX('PEER GROUP'!B:B,MATCH($A66,'PEER GROUP'!$A:$A,0))</f>
        <v>0</v>
      </c>
      <c r="C66" s="83">
        <f>INDEX('PEER GROUP'!C:C,MATCH($A66,'PEER GROUP'!$A:$A,0))</f>
        <v>0</v>
      </c>
      <c r="D66" s="83">
        <f>INDEX('PEER GROUP'!D:D,MATCH($A66,'PEER GROUP'!$A:$A,0))</f>
        <v>0</v>
      </c>
      <c r="E66" s="83">
        <f>INDEX('PEER GROUP'!E:E,MATCH(A66,'PEER GROUP'!$A:$A,0))</f>
        <v>0</v>
      </c>
      <c r="F66" s="84">
        <f>INDEX('PEER GROUP'!F:F,MATCH($A66,'PEER GROUP'!$A:$A,0))</f>
        <v>0</v>
      </c>
      <c r="G66" s="84">
        <f>INDEX('PEER GROUP'!G:G,MATCH($A66,'PEER GROUP'!$A:$A,0))</f>
        <v>0</v>
      </c>
      <c r="H66" s="85"/>
      <c r="I66" s="85"/>
      <c r="J66" s="70">
        <f>INDEX('PEER GROUP'!K:K,MATCH($A66,'PEER GROUP'!$A:$A,0))</f>
        <v>0</v>
      </c>
      <c r="K66" s="70">
        <f>INDEX('PEER GROUP'!L:L,MATCH($A66,'PEER GROUP'!$A:$A,0))</f>
        <v>0</v>
      </c>
      <c r="L66" s="70">
        <f>INDEX('PEER GROUP'!M:M,MATCH($A66,'PEER GROUP'!$A:$A,0))</f>
        <v>0</v>
      </c>
      <c r="M66" s="86">
        <f>INDEX('PEER GROUP'!N:N,MATCH($A66,'PEER GROUP'!$A:$A,0))</f>
        <v>0</v>
      </c>
      <c r="N66" s="118"/>
      <c r="O66" s="115"/>
      <c r="P66" s="117"/>
      <c r="Q66" s="87"/>
      <c r="R66" s="87">
        <f t="shared" si="20"/>
        <v>0</v>
      </c>
      <c r="S66" s="87"/>
      <c r="T66" s="87"/>
      <c r="U66" s="87"/>
      <c r="V66" s="87">
        <f t="shared" si="21"/>
        <v>0</v>
      </c>
      <c r="W66" s="113">
        <f t="shared" si="17"/>
        <v>36.913096727263202</v>
      </c>
      <c r="X66" s="69">
        <f t="shared" si="22"/>
        <v>0</v>
      </c>
      <c r="Y66" s="70">
        <f t="shared" si="23"/>
        <v>0</v>
      </c>
      <c r="Z66" s="70">
        <f t="shared" si="24"/>
        <v>0</v>
      </c>
      <c r="AA66" s="70">
        <f t="shared" si="25"/>
        <v>0</v>
      </c>
      <c r="AB66" s="70">
        <f t="shared" si="26"/>
        <v>0</v>
      </c>
      <c r="AC66" s="70">
        <f t="shared" si="27"/>
        <v>0</v>
      </c>
      <c r="AD66" s="71">
        <f t="shared" si="28"/>
        <v>0</v>
      </c>
      <c r="AE66" s="49"/>
      <c r="AF66" s="21"/>
      <c r="AG66" s="69"/>
      <c r="AH66" s="70"/>
      <c r="AI66" s="70"/>
      <c r="AJ66" s="70"/>
      <c r="AK66" s="70"/>
      <c r="AL66" s="70"/>
      <c r="AM66" s="70"/>
      <c r="AN66" s="70" t="str">
        <f t="shared" si="29"/>
        <v>---</v>
      </c>
      <c r="AO66" s="70" t="str">
        <f t="shared" si="30"/>
        <v>---</v>
      </c>
      <c r="AP66" s="70" t="str">
        <f t="shared" si="31"/>
        <v>---</v>
      </c>
      <c r="AQ66" s="70" t="str">
        <f t="shared" si="32"/>
        <v>---</v>
      </c>
      <c r="AR66" s="70" t="str">
        <f t="shared" si="33"/>
        <v>---</v>
      </c>
      <c r="AS66" s="70" t="str">
        <f t="shared" si="34"/>
        <v>---</v>
      </c>
      <c r="AT66" s="71" t="str">
        <f t="shared" si="35"/>
        <v>---</v>
      </c>
    </row>
    <row r="67" spans="1:46" ht="30" customHeight="1" x14ac:dyDescent="0.3">
      <c r="A67" s="123">
        <f t="shared" si="19"/>
        <v>62</v>
      </c>
      <c r="B67" s="140">
        <f>INDEX('PEER GROUP'!B:B,MATCH($A67,'PEER GROUP'!$A:$A,0))</f>
        <v>0</v>
      </c>
      <c r="C67" s="83">
        <f>INDEX('PEER GROUP'!C:C,MATCH($A67,'PEER GROUP'!$A:$A,0))</f>
        <v>0</v>
      </c>
      <c r="D67" s="83">
        <f>INDEX('PEER GROUP'!D:D,MATCH($A67,'PEER GROUP'!$A:$A,0))</f>
        <v>0</v>
      </c>
      <c r="E67" s="83">
        <f>INDEX('PEER GROUP'!E:E,MATCH(A67,'PEER GROUP'!$A:$A,0))</f>
        <v>0</v>
      </c>
      <c r="F67" s="84">
        <f>INDEX('PEER GROUP'!F:F,MATCH($A67,'PEER GROUP'!$A:$A,0))</f>
        <v>0</v>
      </c>
      <c r="G67" s="84">
        <f>INDEX('PEER GROUP'!G:G,MATCH($A67,'PEER GROUP'!$A:$A,0))</f>
        <v>0</v>
      </c>
      <c r="H67" s="85"/>
      <c r="I67" s="85"/>
      <c r="J67" s="70">
        <f>INDEX('PEER GROUP'!K:K,MATCH($A67,'PEER GROUP'!$A:$A,0))</f>
        <v>0</v>
      </c>
      <c r="K67" s="70">
        <f>INDEX('PEER GROUP'!L:L,MATCH($A67,'PEER GROUP'!$A:$A,0))</f>
        <v>0</v>
      </c>
      <c r="L67" s="70">
        <f>INDEX('PEER GROUP'!M:M,MATCH($A67,'PEER GROUP'!$A:$A,0))</f>
        <v>0</v>
      </c>
      <c r="M67" s="86">
        <f>INDEX('PEER GROUP'!N:N,MATCH($A67,'PEER GROUP'!$A:$A,0))</f>
        <v>0</v>
      </c>
      <c r="N67" s="118"/>
      <c r="O67" s="115"/>
      <c r="P67" s="117"/>
      <c r="Q67" s="87"/>
      <c r="R67" s="87">
        <f t="shared" si="20"/>
        <v>0</v>
      </c>
      <c r="S67" s="87"/>
      <c r="T67" s="87"/>
      <c r="U67" s="87"/>
      <c r="V67" s="87">
        <f t="shared" si="21"/>
        <v>0</v>
      </c>
      <c r="W67" s="113">
        <f t="shared" si="17"/>
        <v>36.913096727263202</v>
      </c>
      <c r="X67" s="69">
        <f t="shared" si="22"/>
        <v>0</v>
      </c>
      <c r="Y67" s="70">
        <f t="shared" si="23"/>
        <v>0</v>
      </c>
      <c r="Z67" s="70">
        <f t="shared" si="24"/>
        <v>0</v>
      </c>
      <c r="AA67" s="70">
        <f t="shared" si="25"/>
        <v>0</v>
      </c>
      <c r="AB67" s="70">
        <f t="shared" si="26"/>
        <v>0</v>
      </c>
      <c r="AC67" s="70">
        <f t="shared" si="27"/>
        <v>0</v>
      </c>
      <c r="AD67" s="71">
        <f t="shared" si="28"/>
        <v>0</v>
      </c>
      <c r="AE67" s="49"/>
      <c r="AF67" s="21"/>
      <c r="AG67" s="69"/>
      <c r="AH67" s="70"/>
      <c r="AI67" s="70"/>
      <c r="AJ67" s="70"/>
      <c r="AK67" s="70"/>
      <c r="AL67" s="70"/>
      <c r="AM67" s="70"/>
      <c r="AN67" s="70" t="str">
        <f t="shared" si="29"/>
        <v>---</v>
      </c>
      <c r="AO67" s="70" t="str">
        <f t="shared" si="30"/>
        <v>---</v>
      </c>
      <c r="AP67" s="70" t="str">
        <f t="shared" si="31"/>
        <v>---</v>
      </c>
      <c r="AQ67" s="70" t="str">
        <f t="shared" si="32"/>
        <v>---</v>
      </c>
      <c r="AR67" s="70" t="str">
        <f t="shared" si="33"/>
        <v>---</v>
      </c>
      <c r="AS67" s="70" t="str">
        <f t="shared" si="34"/>
        <v>---</v>
      </c>
      <c r="AT67" s="71" t="str">
        <f t="shared" si="35"/>
        <v>---</v>
      </c>
    </row>
    <row r="68" spans="1:46" ht="30" customHeight="1" x14ac:dyDescent="0.3">
      <c r="A68" s="123">
        <f t="shared" si="19"/>
        <v>63</v>
      </c>
      <c r="B68" s="140">
        <f>INDEX('PEER GROUP'!B:B,MATCH($A68,'PEER GROUP'!$A:$A,0))</f>
        <v>0</v>
      </c>
      <c r="C68" s="83">
        <f>INDEX('PEER GROUP'!C:C,MATCH($A68,'PEER GROUP'!$A:$A,0))</f>
        <v>0</v>
      </c>
      <c r="D68" s="83">
        <f>INDEX('PEER GROUP'!D:D,MATCH($A68,'PEER GROUP'!$A:$A,0))</f>
        <v>0</v>
      </c>
      <c r="E68" s="83">
        <f>INDEX('PEER GROUP'!E:E,MATCH(A68,'PEER GROUP'!$A:$A,0))</f>
        <v>0</v>
      </c>
      <c r="F68" s="84">
        <f>INDEX('PEER GROUP'!F:F,MATCH($A68,'PEER GROUP'!$A:$A,0))</f>
        <v>0</v>
      </c>
      <c r="G68" s="84">
        <f>INDEX('PEER GROUP'!G:G,MATCH($A68,'PEER GROUP'!$A:$A,0))</f>
        <v>0</v>
      </c>
      <c r="H68" s="85"/>
      <c r="I68" s="85"/>
      <c r="J68" s="70">
        <f>INDEX('PEER GROUP'!K:K,MATCH($A68,'PEER GROUP'!$A:$A,0))</f>
        <v>0</v>
      </c>
      <c r="K68" s="70">
        <f>INDEX('PEER GROUP'!L:L,MATCH($A68,'PEER GROUP'!$A:$A,0))</f>
        <v>0</v>
      </c>
      <c r="L68" s="70">
        <f>INDEX('PEER GROUP'!M:M,MATCH($A68,'PEER GROUP'!$A:$A,0))</f>
        <v>0</v>
      </c>
      <c r="M68" s="86">
        <f>INDEX('PEER GROUP'!N:N,MATCH($A68,'PEER GROUP'!$A:$A,0))</f>
        <v>0</v>
      </c>
      <c r="N68" s="118"/>
      <c r="O68" s="115"/>
      <c r="P68" s="117"/>
      <c r="Q68" s="87"/>
      <c r="R68" s="87">
        <f t="shared" si="20"/>
        <v>0</v>
      </c>
      <c r="S68" s="87"/>
      <c r="T68" s="87"/>
      <c r="U68" s="87"/>
      <c r="V68" s="87">
        <f t="shared" si="21"/>
        <v>0</v>
      </c>
      <c r="W68" s="113">
        <f t="shared" si="17"/>
        <v>36.913096727263202</v>
      </c>
      <c r="X68" s="69">
        <f t="shared" si="22"/>
        <v>0</v>
      </c>
      <c r="Y68" s="70">
        <f t="shared" si="23"/>
        <v>0</v>
      </c>
      <c r="Z68" s="70">
        <f t="shared" si="24"/>
        <v>0</v>
      </c>
      <c r="AA68" s="70">
        <f t="shared" si="25"/>
        <v>0</v>
      </c>
      <c r="AB68" s="70">
        <f t="shared" si="26"/>
        <v>0</v>
      </c>
      <c r="AC68" s="70">
        <f t="shared" si="27"/>
        <v>0</v>
      </c>
      <c r="AD68" s="71">
        <f t="shared" si="28"/>
        <v>0</v>
      </c>
      <c r="AE68" s="49"/>
      <c r="AF68" s="21"/>
      <c r="AG68" s="69"/>
      <c r="AH68" s="70"/>
      <c r="AI68" s="70"/>
      <c r="AJ68" s="70"/>
      <c r="AK68" s="70"/>
      <c r="AL68" s="70"/>
      <c r="AM68" s="70"/>
      <c r="AN68" s="70" t="str">
        <f t="shared" si="29"/>
        <v>---</v>
      </c>
      <c r="AO68" s="70" t="str">
        <f t="shared" si="30"/>
        <v>---</v>
      </c>
      <c r="AP68" s="70" t="str">
        <f t="shared" si="31"/>
        <v>---</v>
      </c>
      <c r="AQ68" s="70" t="str">
        <f t="shared" si="32"/>
        <v>---</v>
      </c>
      <c r="AR68" s="70" t="str">
        <f t="shared" si="33"/>
        <v>---</v>
      </c>
      <c r="AS68" s="70" t="str">
        <f t="shared" si="34"/>
        <v>---</v>
      </c>
      <c r="AT68" s="71" t="str">
        <f t="shared" si="35"/>
        <v>---</v>
      </c>
    </row>
    <row r="69" spans="1:46" ht="30" customHeight="1" x14ac:dyDescent="0.3">
      <c r="A69" s="123">
        <f t="shared" si="19"/>
        <v>64</v>
      </c>
      <c r="B69" s="140">
        <f>INDEX('PEER GROUP'!B:B,MATCH($A69,'PEER GROUP'!$A:$A,0))</f>
        <v>0</v>
      </c>
      <c r="C69" s="83">
        <f>INDEX('PEER GROUP'!C:C,MATCH($A69,'PEER GROUP'!$A:$A,0))</f>
        <v>0</v>
      </c>
      <c r="D69" s="83">
        <f>INDEX('PEER GROUP'!D:D,MATCH($A69,'PEER GROUP'!$A:$A,0))</f>
        <v>0</v>
      </c>
      <c r="E69" s="83">
        <f>INDEX('PEER GROUP'!E:E,MATCH(A69,'PEER GROUP'!$A:$A,0))</f>
        <v>0</v>
      </c>
      <c r="F69" s="84">
        <f>INDEX('PEER GROUP'!F:F,MATCH($A69,'PEER GROUP'!$A:$A,0))</f>
        <v>0</v>
      </c>
      <c r="G69" s="84">
        <f>INDEX('PEER GROUP'!G:G,MATCH($A69,'PEER GROUP'!$A:$A,0))</f>
        <v>0</v>
      </c>
      <c r="H69" s="85"/>
      <c r="I69" s="85"/>
      <c r="J69" s="70">
        <f>INDEX('PEER GROUP'!K:K,MATCH($A69,'PEER GROUP'!$A:$A,0))</f>
        <v>0</v>
      </c>
      <c r="K69" s="70">
        <f>INDEX('PEER GROUP'!L:L,MATCH($A69,'PEER GROUP'!$A:$A,0))</f>
        <v>0</v>
      </c>
      <c r="L69" s="70">
        <f>INDEX('PEER GROUP'!M:M,MATCH($A69,'PEER GROUP'!$A:$A,0))</f>
        <v>0</v>
      </c>
      <c r="M69" s="86">
        <f>INDEX('PEER GROUP'!N:N,MATCH($A69,'PEER GROUP'!$A:$A,0))</f>
        <v>0</v>
      </c>
      <c r="N69" s="118"/>
      <c r="O69" s="115"/>
      <c r="P69" s="117"/>
      <c r="Q69" s="87"/>
      <c r="R69" s="87">
        <f t="shared" si="20"/>
        <v>0</v>
      </c>
      <c r="S69" s="87"/>
      <c r="T69" s="87"/>
      <c r="U69" s="87"/>
      <c r="V69" s="87">
        <f t="shared" si="21"/>
        <v>0</v>
      </c>
      <c r="W69" s="113">
        <f t="shared" si="17"/>
        <v>36.913096727263202</v>
      </c>
      <c r="X69" s="69">
        <f t="shared" si="22"/>
        <v>0</v>
      </c>
      <c r="Y69" s="70">
        <f t="shared" si="23"/>
        <v>0</v>
      </c>
      <c r="Z69" s="70">
        <f t="shared" si="24"/>
        <v>0</v>
      </c>
      <c r="AA69" s="70">
        <f t="shared" si="25"/>
        <v>0</v>
      </c>
      <c r="AB69" s="70">
        <f t="shared" si="26"/>
        <v>0</v>
      </c>
      <c r="AC69" s="70">
        <f t="shared" si="27"/>
        <v>0</v>
      </c>
      <c r="AD69" s="71">
        <f t="shared" si="28"/>
        <v>0</v>
      </c>
      <c r="AE69" s="49"/>
      <c r="AF69" s="21"/>
      <c r="AG69" s="69"/>
      <c r="AH69" s="70"/>
      <c r="AI69" s="70"/>
      <c r="AJ69" s="70"/>
      <c r="AK69" s="70"/>
      <c r="AL69" s="70"/>
      <c r="AM69" s="70"/>
      <c r="AN69" s="70" t="str">
        <f t="shared" si="29"/>
        <v>---</v>
      </c>
      <c r="AO69" s="70" t="str">
        <f t="shared" si="30"/>
        <v>---</v>
      </c>
      <c r="AP69" s="70" t="str">
        <f t="shared" si="31"/>
        <v>---</v>
      </c>
      <c r="AQ69" s="70" t="str">
        <f t="shared" si="32"/>
        <v>---</v>
      </c>
      <c r="AR69" s="70" t="str">
        <f t="shared" si="33"/>
        <v>---</v>
      </c>
      <c r="AS69" s="70" t="str">
        <f t="shared" si="34"/>
        <v>---</v>
      </c>
      <c r="AT69" s="71" t="str">
        <f t="shared" si="35"/>
        <v>---</v>
      </c>
    </row>
    <row r="70" spans="1:46" ht="30" customHeight="1" x14ac:dyDescent="0.3">
      <c r="A70" s="123">
        <f t="shared" si="19"/>
        <v>65</v>
      </c>
      <c r="B70" s="140">
        <f>INDEX('PEER GROUP'!B:B,MATCH($A70,'PEER GROUP'!$A:$A,0))</f>
        <v>0</v>
      </c>
      <c r="C70" s="83">
        <f>INDEX('PEER GROUP'!C:C,MATCH($A70,'PEER GROUP'!$A:$A,0))</f>
        <v>0</v>
      </c>
      <c r="D70" s="83">
        <f>INDEX('PEER GROUP'!D:D,MATCH($A70,'PEER GROUP'!$A:$A,0))</f>
        <v>0</v>
      </c>
      <c r="E70" s="83">
        <f>INDEX('PEER GROUP'!E:E,MATCH(A70,'PEER GROUP'!$A:$A,0))</f>
        <v>0</v>
      </c>
      <c r="F70" s="84">
        <f>INDEX('PEER GROUP'!F:F,MATCH($A70,'PEER GROUP'!$A:$A,0))</f>
        <v>0</v>
      </c>
      <c r="G70" s="84">
        <f>INDEX('PEER GROUP'!G:G,MATCH($A70,'PEER GROUP'!$A:$A,0))</f>
        <v>0</v>
      </c>
      <c r="H70" s="85"/>
      <c r="I70" s="85"/>
      <c r="J70" s="70">
        <f>INDEX('PEER GROUP'!K:K,MATCH($A70,'PEER GROUP'!$A:$A,0))</f>
        <v>0</v>
      </c>
      <c r="K70" s="70">
        <f>INDEX('PEER GROUP'!L:L,MATCH($A70,'PEER GROUP'!$A:$A,0))</f>
        <v>0</v>
      </c>
      <c r="L70" s="70">
        <f>INDEX('PEER GROUP'!M:M,MATCH($A70,'PEER GROUP'!$A:$A,0))</f>
        <v>0</v>
      </c>
      <c r="M70" s="86">
        <f>INDEX('PEER GROUP'!N:N,MATCH($A70,'PEER GROUP'!$A:$A,0))</f>
        <v>0</v>
      </c>
      <c r="N70" s="118"/>
      <c r="O70" s="115"/>
      <c r="P70" s="117"/>
      <c r="Q70" s="87"/>
      <c r="R70" s="87">
        <f t="shared" si="20"/>
        <v>0</v>
      </c>
      <c r="S70" s="87"/>
      <c r="T70" s="87"/>
      <c r="U70" s="87"/>
      <c r="V70" s="87">
        <f t="shared" si="21"/>
        <v>0</v>
      </c>
      <c r="W70" s="113">
        <f t="shared" si="17"/>
        <v>36.913096727263202</v>
      </c>
      <c r="X70" s="69">
        <f t="shared" si="22"/>
        <v>0</v>
      </c>
      <c r="Y70" s="70">
        <f t="shared" si="23"/>
        <v>0</v>
      </c>
      <c r="Z70" s="70">
        <f t="shared" si="24"/>
        <v>0</v>
      </c>
      <c r="AA70" s="70">
        <f t="shared" si="25"/>
        <v>0</v>
      </c>
      <c r="AB70" s="70">
        <f t="shared" si="26"/>
        <v>0</v>
      </c>
      <c r="AC70" s="70">
        <f t="shared" si="27"/>
        <v>0</v>
      </c>
      <c r="AD70" s="71">
        <f t="shared" si="28"/>
        <v>0</v>
      </c>
      <c r="AE70" s="49"/>
      <c r="AF70" s="21"/>
      <c r="AG70" s="69"/>
      <c r="AH70" s="70"/>
      <c r="AI70" s="70"/>
      <c r="AJ70" s="70"/>
      <c r="AK70" s="70"/>
      <c r="AL70" s="70"/>
      <c r="AM70" s="70"/>
      <c r="AN70" s="70" t="str">
        <f t="shared" si="29"/>
        <v>---</v>
      </c>
      <c r="AO70" s="70" t="str">
        <f t="shared" si="30"/>
        <v>---</v>
      </c>
      <c r="AP70" s="70" t="str">
        <f t="shared" si="31"/>
        <v>---</v>
      </c>
      <c r="AQ70" s="70" t="str">
        <f t="shared" si="32"/>
        <v>---</v>
      </c>
      <c r="AR70" s="70" t="str">
        <f t="shared" si="33"/>
        <v>---</v>
      </c>
      <c r="AS70" s="70" t="str">
        <f t="shared" si="34"/>
        <v>---</v>
      </c>
      <c r="AT70" s="71" t="str">
        <f t="shared" si="35"/>
        <v>---</v>
      </c>
    </row>
    <row r="71" spans="1:46" ht="30" customHeight="1" x14ac:dyDescent="0.3">
      <c r="A71" s="123">
        <f t="shared" si="19"/>
        <v>66</v>
      </c>
      <c r="B71" s="140">
        <f>INDEX('PEER GROUP'!B:B,MATCH($A71,'PEER GROUP'!$A:$A,0))</f>
        <v>0</v>
      </c>
      <c r="C71" s="83">
        <f>INDEX('PEER GROUP'!C:C,MATCH($A71,'PEER GROUP'!$A:$A,0))</f>
        <v>0</v>
      </c>
      <c r="D71" s="83">
        <f>INDEX('PEER GROUP'!D:D,MATCH($A71,'PEER GROUP'!$A:$A,0))</f>
        <v>0</v>
      </c>
      <c r="E71" s="83">
        <f>INDEX('PEER GROUP'!E:E,MATCH(A71,'PEER GROUP'!$A:$A,0))</f>
        <v>0</v>
      </c>
      <c r="F71" s="84">
        <f>INDEX('PEER GROUP'!F:F,MATCH($A71,'PEER GROUP'!$A:$A,0))</f>
        <v>0</v>
      </c>
      <c r="G71" s="84">
        <f>INDEX('PEER GROUP'!G:G,MATCH($A71,'PEER GROUP'!$A:$A,0))</f>
        <v>0</v>
      </c>
      <c r="H71" s="85"/>
      <c r="I71" s="85"/>
      <c r="J71" s="70">
        <f>INDEX('PEER GROUP'!K:K,MATCH($A71,'PEER GROUP'!$A:$A,0))</f>
        <v>0</v>
      </c>
      <c r="K71" s="70">
        <f>INDEX('PEER GROUP'!L:L,MATCH($A71,'PEER GROUP'!$A:$A,0))</f>
        <v>0</v>
      </c>
      <c r="L71" s="70">
        <f>INDEX('PEER GROUP'!M:M,MATCH($A71,'PEER GROUP'!$A:$A,0))</f>
        <v>0</v>
      </c>
      <c r="M71" s="86">
        <f>INDEX('PEER GROUP'!N:N,MATCH($A71,'PEER GROUP'!$A:$A,0))</f>
        <v>0</v>
      </c>
      <c r="N71" s="118"/>
      <c r="O71" s="115"/>
      <c r="P71" s="117"/>
      <c r="Q71" s="87"/>
      <c r="R71" s="87">
        <f t="shared" si="20"/>
        <v>0</v>
      </c>
      <c r="S71" s="87"/>
      <c r="T71" s="87"/>
      <c r="U71" s="87"/>
      <c r="V71" s="87">
        <f t="shared" si="21"/>
        <v>0</v>
      </c>
      <c r="W71" s="113">
        <f t="shared" si="17"/>
        <v>36.913096727263202</v>
      </c>
      <c r="X71" s="69">
        <f t="shared" si="22"/>
        <v>0</v>
      </c>
      <c r="Y71" s="70">
        <f t="shared" si="23"/>
        <v>0</v>
      </c>
      <c r="Z71" s="70">
        <f t="shared" si="24"/>
        <v>0</v>
      </c>
      <c r="AA71" s="70">
        <f t="shared" si="25"/>
        <v>0</v>
      </c>
      <c r="AB71" s="70">
        <f t="shared" si="26"/>
        <v>0</v>
      </c>
      <c r="AC71" s="70">
        <f t="shared" si="27"/>
        <v>0</v>
      </c>
      <c r="AD71" s="71">
        <f t="shared" si="28"/>
        <v>0</v>
      </c>
      <c r="AE71" s="49"/>
      <c r="AF71" s="21"/>
      <c r="AG71" s="69"/>
      <c r="AH71" s="70"/>
      <c r="AI71" s="70"/>
      <c r="AJ71" s="70"/>
      <c r="AK71" s="70"/>
      <c r="AL71" s="70"/>
      <c r="AM71" s="70"/>
      <c r="AN71" s="70" t="str">
        <f t="shared" si="29"/>
        <v>---</v>
      </c>
      <c r="AO71" s="70" t="str">
        <f t="shared" si="30"/>
        <v>---</v>
      </c>
      <c r="AP71" s="70" t="str">
        <f t="shared" si="31"/>
        <v>---</v>
      </c>
      <c r="AQ71" s="70" t="str">
        <f t="shared" si="32"/>
        <v>---</v>
      </c>
      <c r="AR71" s="70" t="str">
        <f t="shared" si="33"/>
        <v>---</v>
      </c>
      <c r="AS71" s="70" t="str">
        <f t="shared" si="34"/>
        <v>---</v>
      </c>
      <c r="AT71" s="71" t="str">
        <f t="shared" si="35"/>
        <v>---</v>
      </c>
    </row>
    <row r="72" spans="1:46" ht="30" customHeight="1" x14ac:dyDescent="0.3">
      <c r="A72" s="123">
        <f t="shared" si="19"/>
        <v>67</v>
      </c>
      <c r="B72" s="140">
        <f>INDEX('PEER GROUP'!B:B,MATCH($A72,'PEER GROUP'!$A:$A,0))</f>
        <v>0</v>
      </c>
      <c r="C72" s="83">
        <f>INDEX('PEER GROUP'!C:C,MATCH($A72,'PEER GROUP'!$A:$A,0))</f>
        <v>0</v>
      </c>
      <c r="D72" s="83">
        <f>INDEX('PEER GROUP'!D:D,MATCH($A72,'PEER GROUP'!$A:$A,0))</f>
        <v>0</v>
      </c>
      <c r="E72" s="83">
        <f>INDEX('PEER GROUP'!E:E,MATCH(A72,'PEER GROUP'!$A:$A,0))</f>
        <v>0</v>
      </c>
      <c r="F72" s="84">
        <f>INDEX('PEER GROUP'!F:F,MATCH($A72,'PEER GROUP'!$A:$A,0))</f>
        <v>0</v>
      </c>
      <c r="G72" s="84">
        <f>INDEX('PEER GROUP'!G:G,MATCH($A72,'PEER GROUP'!$A:$A,0))</f>
        <v>0</v>
      </c>
      <c r="H72" s="85"/>
      <c r="I72" s="85"/>
      <c r="J72" s="70">
        <f>INDEX('PEER GROUP'!K:K,MATCH($A72,'PEER GROUP'!$A:$A,0))</f>
        <v>0</v>
      </c>
      <c r="K72" s="70">
        <f>INDEX('PEER GROUP'!L:L,MATCH($A72,'PEER GROUP'!$A:$A,0))</f>
        <v>0</v>
      </c>
      <c r="L72" s="70">
        <f>INDEX('PEER GROUP'!M:M,MATCH($A72,'PEER GROUP'!$A:$A,0))</f>
        <v>0</v>
      </c>
      <c r="M72" s="86">
        <f>INDEX('PEER GROUP'!N:N,MATCH($A72,'PEER GROUP'!$A:$A,0))</f>
        <v>0</v>
      </c>
      <c r="N72" s="118"/>
      <c r="O72" s="115"/>
      <c r="P72" s="117"/>
      <c r="Q72" s="87"/>
      <c r="R72" s="87">
        <f t="shared" si="20"/>
        <v>0</v>
      </c>
      <c r="S72" s="87"/>
      <c r="T72" s="87"/>
      <c r="U72" s="87"/>
      <c r="V72" s="87">
        <f t="shared" si="21"/>
        <v>0</v>
      </c>
      <c r="W72" s="113">
        <f t="shared" si="17"/>
        <v>36.913096727263202</v>
      </c>
      <c r="X72" s="69">
        <f t="shared" si="22"/>
        <v>0</v>
      </c>
      <c r="Y72" s="70">
        <f t="shared" si="23"/>
        <v>0</v>
      </c>
      <c r="Z72" s="70">
        <f t="shared" si="24"/>
        <v>0</v>
      </c>
      <c r="AA72" s="70">
        <f t="shared" si="25"/>
        <v>0</v>
      </c>
      <c r="AB72" s="70">
        <f t="shared" si="26"/>
        <v>0</v>
      </c>
      <c r="AC72" s="70">
        <f t="shared" si="27"/>
        <v>0</v>
      </c>
      <c r="AD72" s="71">
        <f t="shared" si="28"/>
        <v>0</v>
      </c>
      <c r="AE72" s="49"/>
      <c r="AF72" s="21"/>
      <c r="AG72" s="69"/>
      <c r="AH72" s="70"/>
      <c r="AI72" s="70"/>
      <c r="AJ72" s="70"/>
      <c r="AK72" s="70"/>
      <c r="AL72" s="70"/>
      <c r="AM72" s="70"/>
      <c r="AN72" s="70" t="str">
        <f t="shared" si="29"/>
        <v>---</v>
      </c>
      <c r="AO72" s="70" t="str">
        <f t="shared" si="30"/>
        <v>---</v>
      </c>
      <c r="AP72" s="70" t="str">
        <f t="shared" si="31"/>
        <v>---</v>
      </c>
      <c r="AQ72" s="70" t="str">
        <f t="shared" si="32"/>
        <v>---</v>
      </c>
      <c r="AR72" s="70" t="str">
        <f t="shared" si="33"/>
        <v>---</v>
      </c>
      <c r="AS72" s="70" t="str">
        <f t="shared" si="34"/>
        <v>---</v>
      </c>
      <c r="AT72" s="71" t="str">
        <f t="shared" si="35"/>
        <v>---</v>
      </c>
    </row>
    <row r="73" spans="1:46" ht="30" customHeight="1" x14ac:dyDescent="0.3">
      <c r="A73" s="123">
        <f t="shared" si="19"/>
        <v>68</v>
      </c>
      <c r="B73" s="140">
        <f>INDEX('PEER GROUP'!B:B,MATCH($A73,'PEER GROUP'!$A:$A,0))</f>
        <v>0</v>
      </c>
      <c r="C73" s="83">
        <f>INDEX('PEER GROUP'!C:C,MATCH($A73,'PEER GROUP'!$A:$A,0))</f>
        <v>0</v>
      </c>
      <c r="D73" s="83">
        <f>INDEX('PEER GROUP'!D:D,MATCH($A73,'PEER GROUP'!$A:$A,0))</f>
        <v>0</v>
      </c>
      <c r="E73" s="83">
        <f>INDEX('PEER GROUP'!E:E,MATCH(A73,'PEER GROUP'!$A:$A,0))</f>
        <v>0</v>
      </c>
      <c r="F73" s="84">
        <f>INDEX('PEER GROUP'!F:F,MATCH($A73,'PEER GROUP'!$A:$A,0))</f>
        <v>0</v>
      </c>
      <c r="G73" s="84">
        <f>INDEX('PEER GROUP'!G:G,MATCH($A73,'PEER GROUP'!$A:$A,0))</f>
        <v>0</v>
      </c>
      <c r="H73" s="85"/>
      <c r="I73" s="85"/>
      <c r="J73" s="70">
        <f>INDEX('PEER GROUP'!K:K,MATCH($A73,'PEER GROUP'!$A:$A,0))</f>
        <v>0</v>
      </c>
      <c r="K73" s="70">
        <f>INDEX('PEER GROUP'!L:L,MATCH($A73,'PEER GROUP'!$A:$A,0))</f>
        <v>0</v>
      </c>
      <c r="L73" s="70">
        <f>INDEX('PEER GROUP'!M:M,MATCH($A73,'PEER GROUP'!$A:$A,0))</f>
        <v>0</v>
      </c>
      <c r="M73" s="86">
        <f>INDEX('PEER GROUP'!N:N,MATCH($A73,'PEER GROUP'!$A:$A,0))</f>
        <v>0</v>
      </c>
      <c r="N73" s="118"/>
      <c r="O73" s="115"/>
      <c r="P73" s="117"/>
      <c r="Q73" s="87"/>
      <c r="R73" s="87">
        <f t="shared" si="20"/>
        <v>0</v>
      </c>
      <c r="S73" s="87"/>
      <c r="T73" s="87"/>
      <c r="U73" s="87"/>
      <c r="V73" s="87">
        <f t="shared" si="21"/>
        <v>0</v>
      </c>
      <c r="W73" s="113">
        <f t="shared" si="17"/>
        <v>36.913096727263202</v>
      </c>
      <c r="X73" s="69">
        <f t="shared" si="22"/>
        <v>0</v>
      </c>
      <c r="Y73" s="70">
        <f t="shared" si="23"/>
        <v>0</v>
      </c>
      <c r="Z73" s="70">
        <f t="shared" si="24"/>
        <v>0</v>
      </c>
      <c r="AA73" s="70">
        <f t="shared" si="25"/>
        <v>0</v>
      </c>
      <c r="AB73" s="70">
        <f t="shared" si="26"/>
        <v>0</v>
      </c>
      <c r="AC73" s="70">
        <f t="shared" si="27"/>
        <v>0</v>
      </c>
      <c r="AD73" s="71">
        <f t="shared" si="28"/>
        <v>0</v>
      </c>
      <c r="AE73" s="49"/>
      <c r="AF73" s="21"/>
      <c r="AG73" s="69"/>
      <c r="AH73" s="70"/>
      <c r="AI73" s="70"/>
      <c r="AJ73" s="70"/>
      <c r="AK73" s="70"/>
      <c r="AL73" s="70"/>
      <c r="AM73" s="70"/>
      <c r="AN73" s="70" t="str">
        <f t="shared" si="29"/>
        <v>---</v>
      </c>
      <c r="AO73" s="70" t="str">
        <f t="shared" si="30"/>
        <v>---</v>
      </c>
      <c r="AP73" s="70" t="str">
        <f t="shared" si="31"/>
        <v>---</v>
      </c>
      <c r="AQ73" s="70" t="str">
        <f t="shared" si="32"/>
        <v>---</v>
      </c>
      <c r="AR73" s="70" t="str">
        <f t="shared" si="33"/>
        <v>---</v>
      </c>
      <c r="AS73" s="70" t="str">
        <f t="shared" si="34"/>
        <v>---</v>
      </c>
      <c r="AT73" s="71" t="str">
        <f t="shared" si="35"/>
        <v>---</v>
      </c>
    </row>
    <row r="74" spans="1:46" ht="30" customHeight="1" x14ac:dyDescent="0.3">
      <c r="A74" s="123">
        <f t="shared" si="19"/>
        <v>69</v>
      </c>
      <c r="B74" s="140">
        <f>INDEX('PEER GROUP'!B:B,MATCH($A74,'PEER GROUP'!$A:$A,0))</f>
        <v>0</v>
      </c>
      <c r="C74" s="83">
        <f>INDEX('PEER GROUP'!C:C,MATCH($A74,'PEER GROUP'!$A:$A,0))</f>
        <v>0</v>
      </c>
      <c r="D74" s="83">
        <f>INDEX('PEER GROUP'!D:D,MATCH($A74,'PEER GROUP'!$A:$A,0))</f>
        <v>0</v>
      </c>
      <c r="E74" s="83">
        <f>INDEX('PEER GROUP'!E:E,MATCH(A74,'PEER GROUP'!$A:$A,0))</f>
        <v>0</v>
      </c>
      <c r="F74" s="84">
        <f>INDEX('PEER GROUP'!F:F,MATCH($A74,'PEER GROUP'!$A:$A,0))</f>
        <v>0</v>
      </c>
      <c r="G74" s="84">
        <f>INDEX('PEER GROUP'!G:G,MATCH($A74,'PEER GROUP'!$A:$A,0))</f>
        <v>0</v>
      </c>
      <c r="H74" s="85"/>
      <c r="I74" s="85"/>
      <c r="J74" s="70">
        <f>INDEX('PEER GROUP'!K:K,MATCH($A74,'PEER GROUP'!$A:$A,0))</f>
        <v>0</v>
      </c>
      <c r="K74" s="70">
        <f>INDEX('PEER GROUP'!L:L,MATCH($A74,'PEER GROUP'!$A:$A,0))</f>
        <v>0</v>
      </c>
      <c r="L74" s="70">
        <f>INDEX('PEER GROUP'!M:M,MATCH($A74,'PEER GROUP'!$A:$A,0))</f>
        <v>0</v>
      </c>
      <c r="M74" s="86">
        <f>INDEX('PEER GROUP'!N:N,MATCH($A74,'PEER GROUP'!$A:$A,0))</f>
        <v>0</v>
      </c>
      <c r="N74" s="118"/>
      <c r="O74" s="115"/>
      <c r="P74" s="117"/>
      <c r="Q74" s="87"/>
      <c r="R74" s="87">
        <f t="shared" si="20"/>
        <v>0</v>
      </c>
      <c r="S74" s="87"/>
      <c r="T74" s="87"/>
      <c r="U74" s="87"/>
      <c r="V74" s="87">
        <f t="shared" si="21"/>
        <v>0</v>
      </c>
      <c r="W74" s="113">
        <f t="shared" si="17"/>
        <v>36.913096727263202</v>
      </c>
      <c r="X74" s="69">
        <f t="shared" si="22"/>
        <v>0</v>
      </c>
      <c r="Y74" s="70">
        <f t="shared" si="23"/>
        <v>0</v>
      </c>
      <c r="Z74" s="70">
        <f t="shared" si="24"/>
        <v>0</v>
      </c>
      <c r="AA74" s="70">
        <f t="shared" si="25"/>
        <v>0</v>
      </c>
      <c r="AB74" s="70">
        <f t="shared" si="26"/>
        <v>0</v>
      </c>
      <c r="AC74" s="70">
        <f t="shared" si="27"/>
        <v>0</v>
      </c>
      <c r="AD74" s="71">
        <f t="shared" si="28"/>
        <v>0</v>
      </c>
      <c r="AE74" s="49"/>
      <c r="AF74" s="21"/>
      <c r="AG74" s="69"/>
      <c r="AH74" s="70"/>
      <c r="AI74" s="70"/>
      <c r="AJ74" s="70"/>
      <c r="AK74" s="70"/>
      <c r="AL74" s="70"/>
      <c r="AM74" s="70"/>
      <c r="AN74" s="70" t="str">
        <f t="shared" si="29"/>
        <v>---</v>
      </c>
      <c r="AO74" s="70" t="str">
        <f t="shared" si="30"/>
        <v>---</v>
      </c>
      <c r="AP74" s="70" t="str">
        <f t="shared" si="31"/>
        <v>---</v>
      </c>
      <c r="AQ74" s="70" t="str">
        <f t="shared" si="32"/>
        <v>---</v>
      </c>
      <c r="AR74" s="70" t="str">
        <f t="shared" si="33"/>
        <v>---</v>
      </c>
      <c r="AS74" s="70" t="str">
        <f t="shared" si="34"/>
        <v>---</v>
      </c>
      <c r="AT74" s="71" t="str">
        <f t="shared" si="35"/>
        <v>---</v>
      </c>
    </row>
    <row r="75" spans="1:46" ht="30" customHeight="1" x14ac:dyDescent="0.3">
      <c r="A75" s="123">
        <f t="shared" si="19"/>
        <v>70</v>
      </c>
      <c r="B75" s="140">
        <f>INDEX('PEER GROUP'!B:B,MATCH($A75,'PEER GROUP'!$A:$A,0))</f>
        <v>0</v>
      </c>
      <c r="C75" s="83">
        <f>INDEX('PEER GROUP'!C:C,MATCH($A75,'PEER GROUP'!$A:$A,0))</f>
        <v>0</v>
      </c>
      <c r="D75" s="83">
        <f>INDEX('PEER GROUP'!D:D,MATCH($A75,'PEER GROUP'!$A:$A,0))</f>
        <v>0</v>
      </c>
      <c r="E75" s="83">
        <f>INDEX('PEER GROUP'!E:E,MATCH(A75,'PEER GROUP'!$A:$A,0))</f>
        <v>0</v>
      </c>
      <c r="F75" s="84">
        <f>INDEX('PEER GROUP'!F:F,MATCH($A75,'PEER GROUP'!$A:$A,0))</f>
        <v>0</v>
      </c>
      <c r="G75" s="84">
        <f>INDEX('PEER GROUP'!G:G,MATCH($A75,'PEER GROUP'!$A:$A,0))</f>
        <v>0</v>
      </c>
      <c r="H75" s="85"/>
      <c r="I75" s="85"/>
      <c r="J75" s="70">
        <f>INDEX('PEER GROUP'!K:K,MATCH($A75,'PEER GROUP'!$A:$A,0))</f>
        <v>0</v>
      </c>
      <c r="K75" s="70">
        <f>INDEX('PEER GROUP'!L:L,MATCH($A75,'PEER GROUP'!$A:$A,0))</f>
        <v>0</v>
      </c>
      <c r="L75" s="70">
        <f>INDEX('PEER GROUP'!M:M,MATCH($A75,'PEER GROUP'!$A:$A,0))</f>
        <v>0</v>
      </c>
      <c r="M75" s="86">
        <f>INDEX('PEER GROUP'!N:N,MATCH($A75,'PEER GROUP'!$A:$A,0))</f>
        <v>0</v>
      </c>
      <c r="N75" s="118"/>
      <c r="O75" s="115"/>
      <c r="P75" s="117"/>
      <c r="Q75" s="87"/>
      <c r="R75" s="87">
        <f t="shared" si="20"/>
        <v>0</v>
      </c>
      <c r="S75" s="87"/>
      <c r="T75" s="87"/>
      <c r="U75" s="87"/>
      <c r="V75" s="87">
        <f t="shared" si="21"/>
        <v>0</v>
      </c>
      <c r="W75" s="113">
        <f t="shared" si="17"/>
        <v>36.913096727263202</v>
      </c>
      <c r="X75" s="69">
        <f t="shared" si="22"/>
        <v>0</v>
      </c>
      <c r="Y75" s="70">
        <f t="shared" si="23"/>
        <v>0</v>
      </c>
      <c r="Z75" s="70">
        <f t="shared" si="24"/>
        <v>0</v>
      </c>
      <c r="AA75" s="70">
        <f t="shared" si="25"/>
        <v>0</v>
      </c>
      <c r="AB75" s="70">
        <f t="shared" si="26"/>
        <v>0</v>
      </c>
      <c r="AC75" s="70">
        <f t="shared" si="27"/>
        <v>0</v>
      </c>
      <c r="AD75" s="71">
        <f t="shared" si="28"/>
        <v>0</v>
      </c>
      <c r="AE75" s="49"/>
      <c r="AF75" s="21"/>
      <c r="AG75" s="69"/>
      <c r="AH75" s="70"/>
      <c r="AI75" s="70"/>
      <c r="AJ75" s="70"/>
      <c r="AK75" s="70"/>
      <c r="AL75" s="70"/>
      <c r="AM75" s="70"/>
      <c r="AN75" s="70" t="str">
        <f t="shared" si="29"/>
        <v>---</v>
      </c>
      <c r="AO75" s="70" t="str">
        <f t="shared" si="30"/>
        <v>---</v>
      </c>
      <c r="AP75" s="70" t="str">
        <f t="shared" si="31"/>
        <v>---</v>
      </c>
      <c r="AQ75" s="70" t="str">
        <f t="shared" si="32"/>
        <v>---</v>
      </c>
      <c r="AR75" s="70" t="str">
        <f t="shared" si="33"/>
        <v>---</v>
      </c>
      <c r="AS75" s="70" t="str">
        <f t="shared" si="34"/>
        <v>---</v>
      </c>
      <c r="AT75" s="71" t="str">
        <f t="shared" si="35"/>
        <v>---</v>
      </c>
    </row>
    <row r="76" spans="1:46" ht="30" customHeight="1" x14ac:dyDescent="0.3">
      <c r="A76" s="123">
        <f t="shared" si="19"/>
        <v>71</v>
      </c>
      <c r="B76" s="140">
        <f>INDEX('PEER GROUP'!B:B,MATCH($A76,'PEER GROUP'!$A:$A,0))</f>
        <v>0</v>
      </c>
      <c r="C76" s="83">
        <f>INDEX('PEER GROUP'!C:C,MATCH($A76,'PEER GROUP'!$A:$A,0))</f>
        <v>0</v>
      </c>
      <c r="D76" s="83">
        <f>INDEX('PEER GROUP'!D:D,MATCH($A76,'PEER GROUP'!$A:$A,0))</f>
        <v>0</v>
      </c>
      <c r="E76" s="83">
        <f>INDEX('PEER GROUP'!E:E,MATCH(A76,'PEER GROUP'!$A:$A,0))</f>
        <v>0</v>
      </c>
      <c r="F76" s="84">
        <f>INDEX('PEER GROUP'!F:F,MATCH($A76,'PEER GROUP'!$A:$A,0))</f>
        <v>0</v>
      </c>
      <c r="G76" s="84">
        <f>INDEX('PEER GROUP'!G:G,MATCH($A76,'PEER GROUP'!$A:$A,0))</f>
        <v>0</v>
      </c>
      <c r="H76" s="85"/>
      <c r="I76" s="85"/>
      <c r="J76" s="70">
        <f>INDEX('PEER GROUP'!K:K,MATCH($A76,'PEER GROUP'!$A:$A,0))</f>
        <v>0</v>
      </c>
      <c r="K76" s="70">
        <f>INDEX('PEER GROUP'!L:L,MATCH($A76,'PEER GROUP'!$A:$A,0))</f>
        <v>0</v>
      </c>
      <c r="L76" s="70">
        <f>INDEX('PEER GROUP'!M:M,MATCH($A76,'PEER GROUP'!$A:$A,0))</f>
        <v>0</v>
      </c>
      <c r="M76" s="86">
        <f>INDEX('PEER GROUP'!N:N,MATCH($A76,'PEER GROUP'!$A:$A,0))</f>
        <v>0</v>
      </c>
      <c r="N76" s="118"/>
      <c r="O76" s="115"/>
      <c r="P76" s="117"/>
      <c r="Q76" s="87"/>
      <c r="R76" s="87">
        <f t="shared" si="20"/>
        <v>0</v>
      </c>
      <c r="S76" s="87"/>
      <c r="T76" s="87"/>
      <c r="U76" s="87"/>
      <c r="V76" s="87">
        <f t="shared" si="21"/>
        <v>0</v>
      </c>
      <c r="W76" s="113">
        <f t="shared" si="17"/>
        <v>36.913096727263202</v>
      </c>
      <c r="X76" s="69">
        <f t="shared" si="22"/>
        <v>0</v>
      </c>
      <c r="Y76" s="70">
        <f t="shared" si="23"/>
        <v>0</v>
      </c>
      <c r="Z76" s="70">
        <f t="shared" si="24"/>
        <v>0</v>
      </c>
      <c r="AA76" s="70">
        <f t="shared" si="25"/>
        <v>0</v>
      </c>
      <c r="AB76" s="70">
        <f t="shared" si="26"/>
        <v>0</v>
      </c>
      <c r="AC76" s="70">
        <f t="shared" si="27"/>
        <v>0</v>
      </c>
      <c r="AD76" s="71">
        <f t="shared" si="28"/>
        <v>0</v>
      </c>
      <c r="AE76" s="49"/>
      <c r="AF76" s="21"/>
      <c r="AG76" s="69"/>
      <c r="AH76" s="70"/>
      <c r="AI76" s="70"/>
      <c r="AJ76" s="70"/>
      <c r="AK76" s="70"/>
      <c r="AL76" s="70"/>
      <c r="AM76" s="70"/>
      <c r="AN76" s="70" t="str">
        <f t="shared" si="29"/>
        <v>---</v>
      </c>
      <c r="AO76" s="70" t="str">
        <f t="shared" si="30"/>
        <v>---</v>
      </c>
      <c r="AP76" s="70" t="str">
        <f t="shared" si="31"/>
        <v>---</v>
      </c>
      <c r="AQ76" s="70" t="str">
        <f t="shared" si="32"/>
        <v>---</v>
      </c>
      <c r="AR76" s="70" t="str">
        <f t="shared" si="33"/>
        <v>---</v>
      </c>
      <c r="AS76" s="70" t="str">
        <f t="shared" si="34"/>
        <v>---</v>
      </c>
      <c r="AT76" s="71" t="str">
        <f t="shared" si="35"/>
        <v>---</v>
      </c>
    </row>
    <row r="77" spans="1:46" ht="30" customHeight="1" x14ac:dyDescent="0.3">
      <c r="A77" s="123">
        <f t="shared" si="19"/>
        <v>72</v>
      </c>
      <c r="B77" s="140">
        <f>INDEX('PEER GROUP'!B:B,MATCH($A77,'PEER GROUP'!$A:$A,0))</f>
        <v>0</v>
      </c>
      <c r="C77" s="83">
        <f>INDEX('PEER GROUP'!C:C,MATCH($A77,'PEER GROUP'!$A:$A,0))</f>
        <v>0</v>
      </c>
      <c r="D77" s="83">
        <f>INDEX('PEER GROUP'!D:D,MATCH($A77,'PEER GROUP'!$A:$A,0))</f>
        <v>0</v>
      </c>
      <c r="E77" s="83">
        <f>INDEX('PEER GROUP'!E:E,MATCH(A77,'PEER GROUP'!$A:$A,0))</f>
        <v>0</v>
      </c>
      <c r="F77" s="84">
        <f>INDEX('PEER GROUP'!F:F,MATCH($A77,'PEER GROUP'!$A:$A,0))</f>
        <v>0</v>
      </c>
      <c r="G77" s="84">
        <f>INDEX('PEER GROUP'!G:G,MATCH($A77,'PEER GROUP'!$A:$A,0))</f>
        <v>0</v>
      </c>
      <c r="H77" s="85"/>
      <c r="I77" s="85"/>
      <c r="J77" s="70">
        <f>INDEX('PEER GROUP'!K:K,MATCH($A77,'PEER GROUP'!$A:$A,0))</f>
        <v>0</v>
      </c>
      <c r="K77" s="70">
        <f>INDEX('PEER GROUP'!L:L,MATCH($A77,'PEER GROUP'!$A:$A,0))</f>
        <v>0</v>
      </c>
      <c r="L77" s="70">
        <f>INDEX('PEER GROUP'!M:M,MATCH($A77,'PEER GROUP'!$A:$A,0))</f>
        <v>0</v>
      </c>
      <c r="M77" s="86">
        <f>INDEX('PEER GROUP'!N:N,MATCH($A77,'PEER GROUP'!$A:$A,0))</f>
        <v>0</v>
      </c>
      <c r="N77" s="118"/>
      <c r="O77" s="115"/>
      <c r="P77" s="117"/>
      <c r="Q77" s="87"/>
      <c r="R77" s="87">
        <f t="shared" si="20"/>
        <v>0</v>
      </c>
      <c r="S77" s="87"/>
      <c r="T77" s="87"/>
      <c r="U77" s="87"/>
      <c r="V77" s="87">
        <f t="shared" si="21"/>
        <v>0</v>
      </c>
      <c r="W77" s="113">
        <f t="shared" si="17"/>
        <v>36.913096727263202</v>
      </c>
      <c r="X77" s="69">
        <f t="shared" si="22"/>
        <v>0</v>
      </c>
      <c r="Y77" s="70">
        <f t="shared" si="23"/>
        <v>0</v>
      </c>
      <c r="Z77" s="70">
        <f t="shared" si="24"/>
        <v>0</v>
      </c>
      <c r="AA77" s="70">
        <f t="shared" si="25"/>
        <v>0</v>
      </c>
      <c r="AB77" s="70">
        <f t="shared" si="26"/>
        <v>0</v>
      </c>
      <c r="AC77" s="70">
        <f t="shared" si="27"/>
        <v>0</v>
      </c>
      <c r="AD77" s="71">
        <f t="shared" si="28"/>
        <v>0</v>
      </c>
      <c r="AE77" s="49"/>
      <c r="AF77" s="21"/>
      <c r="AG77" s="69"/>
      <c r="AH77" s="70"/>
      <c r="AI77" s="70"/>
      <c r="AJ77" s="70"/>
      <c r="AK77" s="70"/>
      <c r="AL77" s="70"/>
      <c r="AM77" s="70"/>
      <c r="AN77" s="70" t="str">
        <f t="shared" si="29"/>
        <v>---</v>
      </c>
      <c r="AO77" s="70" t="str">
        <f t="shared" si="30"/>
        <v>---</v>
      </c>
      <c r="AP77" s="70" t="str">
        <f t="shared" si="31"/>
        <v>---</v>
      </c>
      <c r="AQ77" s="70" t="str">
        <f t="shared" si="32"/>
        <v>---</v>
      </c>
      <c r="AR77" s="70" t="str">
        <f t="shared" si="33"/>
        <v>---</v>
      </c>
      <c r="AS77" s="70" t="str">
        <f t="shared" si="34"/>
        <v>---</v>
      </c>
      <c r="AT77" s="71" t="str">
        <f t="shared" si="35"/>
        <v>---</v>
      </c>
    </row>
    <row r="78" spans="1:46" ht="30" customHeight="1" x14ac:dyDescent="0.3">
      <c r="A78" s="123">
        <f t="shared" si="19"/>
        <v>73</v>
      </c>
      <c r="B78" s="140">
        <f>INDEX('PEER GROUP'!B:B,MATCH($A78,'PEER GROUP'!$A:$A,0))</f>
        <v>0</v>
      </c>
      <c r="C78" s="83">
        <f>INDEX('PEER GROUP'!C:C,MATCH($A78,'PEER GROUP'!$A:$A,0))</f>
        <v>0</v>
      </c>
      <c r="D78" s="83">
        <f>INDEX('PEER GROUP'!D:D,MATCH($A78,'PEER GROUP'!$A:$A,0))</f>
        <v>0</v>
      </c>
      <c r="E78" s="83">
        <f>INDEX('PEER GROUP'!E:E,MATCH(A78,'PEER GROUP'!$A:$A,0))</f>
        <v>0</v>
      </c>
      <c r="F78" s="84">
        <f>INDEX('PEER GROUP'!F:F,MATCH($A78,'PEER GROUP'!$A:$A,0))</f>
        <v>0</v>
      </c>
      <c r="G78" s="84">
        <f>INDEX('PEER GROUP'!G:G,MATCH($A78,'PEER GROUP'!$A:$A,0))</f>
        <v>0</v>
      </c>
      <c r="H78" s="85"/>
      <c r="I78" s="85"/>
      <c r="J78" s="70">
        <f>INDEX('PEER GROUP'!K:K,MATCH($A78,'PEER GROUP'!$A:$A,0))</f>
        <v>0</v>
      </c>
      <c r="K78" s="70">
        <f>INDEX('PEER GROUP'!L:L,MATCH($A78,'PEER GROUP'!$A:$A,0))</f>
        <v>0</v>
      </c>
      <c r="L78" s="70">
        <f>INDEX('PEER GROUP'!M:M,MATCH($A78,'PEER GROUP'!$A:$A,0))</f>
        <v>0</v>
      </c>
      <c r="M78" s="86">
        <f>INDEX('PEER GROUP'!N:N,MATCH($A78,'PEER GROUP'!$A:$A,0))</f>
        <v>0</v>
      </c>
      <c r="N78" s="118"/>
      <c r="O78" s="115"/>
      <c r="P78" s="117"/>
      <c r="Q78" s="87"/>
      <c r="R78" s="87">
        <f t="shared" si="20"/>
        <v>0</v>
      </c>
      <c r="S78" s="87"/>
      <c r="T78" s="87"/>
      <c r="U78" s="87"/>
      <c r="V78" s="87">
        <f t="shared" si="21"/>
        <v>0</v>
      </c>
      <c r="W78" s="113">
        <f t="shared" si="17"/>
        <v>36.913096727263202</v>
      </c>
      <c r="X78" s="69">
        <f t="shared" si="22"/>
        <v>0</v>
      </c>
      <c r="Y78" s="70">
        <f t="shared" si="23"/>
        <v>0</v>
      </c>
      <c r="Z78" s="70">
        <f t="shared" si="24"/>
        <v>0</v>
      </c>
      <c r="AA78" s="70">
        <f t="shared" si="25"/>
        <v>0</v>
      </c>
      <c r="AB78" s="70">
        <f t="shared" si="26"/>
        <v>0</v>
      </c>
      <c r="AC78" s="70">
        <f t="shared" si="27"/>
        <v>0</v>
      </c>
      <c r="AD78" s="71">
        <f t="shared" si="28"/>
        <v>0</v>
      </c>
      <c r="AE78" s="49"/>
      <c r="AF78" s="21"/>
      <c r="AG78" s="69"/>
      <c r="AH78" s="70"/>
      <c r="AI78" s="70"/>
      <c r="AJ78" s="70"/>
      <c r="AK78" s="70"/>
      <c r="AL78" s="70"/>
      <c r="AM78" s="70"/>
      <c r="AN78" s="70" t="str">
        <f t="shared" si="29"/>
        <v>---</v>
      </c>
      <c r="AO78" s="70" t="str">
        <f t="shared" si="30"/>
        <v>---</v>
      </c>
      <c r="AP78" s="70" t="str">
        <f t="shared" si="31"/>
        <v>---</v>
      </c>
      <c r="AQ78" s="70" t="str">
        <f t="shared" si="32"/>
        <v>---</v>
      </c>
      <c r="AR78" s="70" t="str">
        <f t="shared" si="33"/>
        <v>---</v>
      </c>
      <c r="AS78" s="70" t="str">
        <f t="shared" si="34"/>
        <v>---</v>
      </c>
      <c r="AT78" s="71" t="str">
        <f t="shared" si="35"/>
        <v>---</v>
      </c>
    </row>
    <row r="79" spans="1:46" ht="30" customHeight="1" x14ac:dyDescent="0.3">
      <c r="A79" s="123">
        <f t="shared" si="19"/>
        <v>74</v>
      </c>
      <c r="B79" s="140">
        <f>INDEX('PEER GROUP'!B:B,MATCH($A79,'PEER GROUP'!$A:$A,0))</f>
        <v>0</v>
      </c>
      <c r="C79" s="83">
        <f>INDEX('PEER GROUP'!C:C,MATCH($A79,'PEER GROUP'!$A:$A,0))</f>
        <v>0</v>
      </c>
      <c r="D79" s="83">
        <f>INDEX('PEER GROUP'!D:D,MATCH($A79,'PEER GROUP'!$A:$A,0))</f>
        <v>0</v>
      </c>
      <c r="E79" s="83">
        <f>INDEX('PEER GROUP'!E:E,MATCH(A79,'PEER GROUP'!$A:$A,0))</f>
        <v>0</v>
      </c>
      <c r="F79" s="84">
        <f>INDEX('PEER GROUP'!F:F,MATCH($A79,'PEER GROUP'!$A:$A,0))</f>
        <v>0</v>
      </c>
      <c r="G79" s="84">
        <f>INDEX('PEER GROUP'!G:G,MATCH($A79,'PEER GROUP'!$A:$A,0))</f>
        <v>0</v>
      </c>
      <c r="H79" s="85"/>
      <c r="I79" s="85"/>
      <c r="J79" s="70">
        <f>INDEX('PEER GROUP'!K:K,MATCH($A79,'PEER GROUP'!$A:$A,0))</f>
        <v>0</v>
      </c>
      <c r="K79" s="70">
        <f>INDEX('PEER GROUP'!L:L,MATCH($A79,'PEER GROUP'!$A:$A,0))</f>
        <v>0</v>
      </c>
      <c r="L79" s="70">
        <f>INDEX('PEER GROUP'!M:M,MATCH($A79,'PEER GROUP'!$A:$A,0))</f>
        <v>0</v>
      </c>
      <c r="M79" s="86">
        <f>INDEX('PEER GROUP'!N:N,MATCH($A79,'PEER GROUP'!$A:$A,0))</f>
        <v>0</v>
      </c>
      <c r="N79" s="118"/>
      <c r="O79" s="115"/>
      <c r="P79" s="117"/>
      <c r="Q79" s="87"/>
      <c r="R79" s="87">
        <f t="shared" si="20"/>
        <v>0</v>
      </c>
      <c r="S79" s="87"/>
      <c r="T79" s="87"/>
      <c r="U79" s="87"/>
      <c r="V79" s="87">
        <f t="shared" si="21"/>
        <v>0</v>
      </c>
      <c r="W79" s="113">
        <f t="shared" si="17"/>
        <v>36.913096727263202</v>
      </c>
      <c r="X79" s="69">
        <f t="shared" si="22"/>
        <v>0</v>
      </c>
      <c r="Y79" s="70">
        <f t="shared" si="23"/>
        <v>0</v>
      </c>
      <c r="Z79" s="70">
        <f t="shared" si="24"/>
        <v>0</v>
      </c>
      <c r="AA79" s="70">
        <f t="shared" si="25"/>
        <v>0</v>
      </c>
      <c r="AB79" s="70">
        <f t="shared" si="26"/>
        <v>0</v>
      </c>
      <c r="AC79" s="70">
        <f t="shared" si="27"/>
        <v>0</v>
      </c>
      <c r="AD79" s="71">
        <f t="shared" si="28"/>
        <v>0</v>
      </c>
      <c r="AE79" s="49"/>
      <c r="AF79" s="21"/>
      <c r="AG79" s="69"/>
      <c r="AH79" s="70"/>
      <c r="AI79" s="70"/>
      <c r="AJ79" s="70"/>
      <c r="AK79" s="70"/>
      <c r="AL79" s="70"/>
      <c r="AM79" s="70"/>
      <c r="AN79" s="70" t="str">
        <f t="shared" si="29"/>
        <v>---</v>
      </c>
      <c r="AO79" s="70" t="str">
        <f t="shared" si="30"/>
        <v>---</v>
      </c>
      <c r="AP79" s="70" t="str">
        <f t="shared" si="31"/>
        <v>---</v>
      </c>
      <c r="AQ79" s="70" t="str">
        <f t="shared" si="32"/>
        <v>---</v>
      </c>
      <c r="AR79" s="70" t="str">
        <f t="shared" si="33"/>
        <v>---</v>
      </c>
      <c r="AS79" s="70" t="str">
        <f t="shared" si="34"/>
        <v>---</v>
      </c>
      <c r="AT79" s="71" t="str">
        <f t="shared" si="35"/>
        <v>---</v>
      </c>
    </row>
    <row r="80" spans="1:46" ht="30" customHeight="1" x14ac:dyDescent="0.3">
      <c r="A80" s="123">
        <f t="shared" si="19"/>
        <v>75</v>
      </c>
      <c r="B80" s="140">
        <f>INDEX('PEER GROUP'!B:B,MATCH($A80,'PEER GROUP'!$A:$A,0))</f>
        <v>0</v>
      </c>
      <c r="C80" s="83">
        <f>INDEX('PEER GROUP'!C:C,MATCH($A80,'PEER GROUP'!$A:$A,0))</f>
        <v>0</v>
      </c>
      <c r="D80" s="83">
        <f>INDEX('PEER GROUP'!D:D,MATCH($A80,'PEER GROUP'!$A:$A,0))</f>
        <v>0</v>
      </c>
      <c r="E80" s="83">
        <f>INDEX('PEER GROUP'!E:E,MATCH(A80,'PEER GROUP'!$A:$A,0))</f>
        <v>0</v>
      </c>
      <c r="F80" s="84">
        <f>INDEX('PEER GROUP'!F:F,MATCH($A80,'PEER GROUP'!$A:$A,0))</f>
        <v>0</v>
      </c>
      <c r="G80" s="84">
        <f>INDEX('PEER GROUP'!G:G,MATCH($A80,'PEER GROUP'!$A:$A,0))</f>
        <v>0</v>
      </c>
      <c r="H80" s="85"/>
      <c r="I80" s="85"/>
      <c r="J80" s="70">
        <f>INDEX('PEER GROUP'!K:K,MATCH($A80,'PEER GROUP'!$A:$A,0))</f>
        <v>0</v>
      </c>
      <c r="K80" s="70">
        <f>INDEX('PEER GROUP'!L:L,MATCH($A80,'PEER GROUP'!$A:$A,0))</f>
        <v>0</v>
      </c>
      <c r="L80" s="70">
        <f>INDEX('PEER GROUP'!M:M,MATCH($A80,'PEER GROUP'!$A:$A,0))</f>
        <v>0</v>
      </c>
      <c r="M80" s="86">
        <f>INDEX('PEER GROUP'!N:N,MATCH($A80,'PEER GROUP'!$A:$A,0))</f>
        <v>0</v>
      </c>
      <c r="N80" s="118"/>
      <c r="O80" s="115"/>
      <c r="P80" s="117"/>
      <c r="Q80" s="87"/>
      <c r="R80" s="87">
        <f t="shared" si="20"/>
        <v>0</v>
      </c>
      <c r="S80" s="87"/>
      <c r="T80" s="87"/>
      <c r="U80" s="87"/>
      <c r="V80" s="87">
        <f t="shared" si="21"/>
        <v>0</v>
      </c>
      <c r="W80" s="113">
        <f t="shared" si="17"/>
        <v>36.913096727263202</v>
      </c>
      <c r="X80" s="69">
        <f t="shared" si="22"/>
        <v>0</v>
      </c>
      <c r="Y80" s="70">
        <f t="shared" si="23"/>
        <v>0</v>
      </c>
      <c r="Z80" s="70">
        <f t="shared" si="24"/>
        <v>0</v>
      </c>
      <c r="AA80" s="70">
        <f t="shared" si="25"/>
        <v>0</v>
      </c>
      <c r="AB80" s="70">
        <f t="shared" si="26"/>
        <v>0</v>
      </c>
      <c r="AC80" s="70">
        <f t="shared" si="27"/>
        <v>0</v>
      </c>
      <c r="AD80" s="71">
        <f t="shared" si="28"/>
        <v>0</v>
      </c>
      <c r="AE80" s="49"/>
      <c r="AF80" s="21"/>
      <c r="AG80" s="69"/>
      <c r="AH80" s="70"/>
      <c r="AI80" s="70"/>
      <c r="AJ80" s="70"/>
      <c r="AK80" s="70"/>
      <c r="AL80" s="70"/>
      <c r="AM80" s="70"/>
      <c r="AN80" s="70" t="str">
        <f t="shared" si="29"/>
        <v>---</v>
      </c>
      <c r="AO80" s="70" t="str">
        <f t="shared" si="30"/>
        <v>---</v>
      </c>
      <c r="AP80" s="70" t="str">
        <f t="shared" si="31"/>
        <v>---</v>
      </c>
      <c r="AQ80" s="70" t="str">
        <f t="shared" si="32"/>
        <v>---</v>
      </c>
      <c r="AR80" s="70" t="str">
        <f t="shared" si="33"/>
        <v>---</v>
      </c>
      <c r="AS80" s="70" t="str">
        <f t="shared" si="34"/>
        <v>---</v>
      </c>
      <c r="AT80" s="71" t="str">
        <f t="shared" si="35"/>
        <v>---</v>
      </c>
    </row>
    <row r="81" spans="1:46" ht="30" customHeight="1" x14ac:dyDescent="0.3">
      <c r="A81" s="123">
        <f t="shared" si="19"/>
        <v>76</v>
      </c>
      <c r="B81" s="140">
        <f>INDEX('PEER GROUP'!B:B,MATCH($A81,'PEER GROUP'!$A:$A,0))</f>
        <v>0</v>
      </c>
      <c r="C81" s="83">
        <f>INDEX('PEER GROUP'!C:C,MATCH($A81,'PEER GROUP'!$A:$A,0))</f>
        <v>0</v>
      </c>
      <c r="D81" s="83">
        <f>INDEX('PEER GROUP'!D:D,MATCH($A81,'PEER GROUP'!$A:$A,0))</f>
        <v>0</v>
      </c>
      <c r="E81" s="83">
        <f>INDEX('PEER GROUP'!E:E,MATCH(A81,'PEER GROUP'!$A:$A,0))</f>
        <v>0</v>
      </c>
      <c r="F81" s="84">
        <f>INDEX('PEER GROUP'!F:F,MATCH($A81,'PEER GROUP'!$A:$A,0))</f>
        <v>0</v>
      </c>
      <c r="G81" s="84">
        <f>INDEX('PEER GROUP'!G:G,MATCH($A81,'PEER GROUP'!$A:$A,0))</f>
        <v>0</v>
      </c>
      <c r="H81" s="85"/>
      <c r="I81" s="85"/>
      <c r="J81" s="70">
        <f>INDEX('PEER GROUP'!K:K,MATCH($A81,'PEER GROUP'!$A:$A,0))</f>
        <v>0</v>
      </c>
      <c r="K81" s="70">
        <f>INDEX('PEER GROUP'!L:L,MATCH($A81,'PEER GROUP'!$A:$A,0))</f>
        <v>0</v>
      </c>
      <c r="L81" s="70">
        <f>INDEX('PEER GROUP'!M:M,MATCH($A81,'PEER GROUP'!$A:$A,0))</f>
        <v>0</v>
      </c>
      <c r="M81" s="86">
        <f>INDEX('PEER GROUP'!N:N,MATCH($A81,'PEER GROUP'!$A:$A,0))</f>
        <v>0</v>
      </c>
      <c r="N81" s="118"/>
      <c r="O81" s="115"/>
      <c r="P81" s="117"/>
      <c r="Q81" s="87"/>
      <c r="R81" s="87">
        <f t="shared" si="20"/>
        <v>0</v>
      </c>
      <c r="S81" s="87"/>
      <c r="T81" s="87"/>
      <c r="U81" s="87"/>
      <c r="V81" s="87">
        <f t="shared" si="21"/>
        <v>0</v>
      </c>
      <c r="W81" s="113">
        <f t="shared" si="17"/>
        <v>36.913096727263202</v>
      </c>
      <c r="X81" s="69">
        <f t="shared" si="22"/>
        <v>0</v>
      </c>
      <c r="Y81" s="70">
        <f t="shared" si="23"/>
        <v>0</v>
      </c>
      <c r="Z81" s="70">
        <f t="shared" si="24"/>
        <v>0</v>
      </c>
      <c r="AA81" s="70">
        <f t="shared" si="25"/>
        <v>0</v>
      </c>
      <c r="AB81" s="70">
        <f t="shared" si="26"/>
        <v>0</v>
      </c>
      <c r="AC81" s="70">
        <f t="shared" si="27"/>
        <v>0</v>
      </c>
      <c r="AD81" s="71">
        <f t="shared" si="28"/>
        <v>0</v>
      </c>
      <c r="AE81" s="49"/>
      <c r="AF81" s="21"/>
      <c r="AG81" s="69"/>
      <c r="AH81" s="70"/>
      <c r="AI81" s="70"/>
      <c r="AJ81" s="70"/>
      <c r="AK81" s="70"/>
      <c r="AL81" s="70"/>
      <c r="AM81" s="70"/>
      <c r="AN81" s="70" t="str">
        <f t="shared" si="29"/>
        <v>---</v>
      </c>
      <c r="AO81" s="70" t="str">
        <f t="shared" si="30"/>
        <v>---</v>
      </c>
      <c r="AP81" s="70" t="str">
        <f t="shared" si="31"/>
        <v>---</v>
      </c>
      <c r="AQ81" s="70" t="str">
        <f t="shared" si="32"/>
        <v>---</v>
      </c>
      <c r="AR81" s="70" t="str">
        <f t="shared" si="33"/>
        <v>---</v>
      </c>
      <c r="AS81" s="70" t="str">
        <f t="shared" si="34"/>
        <v>---</v>
      </c>
      <c r="AT81" s="71" t="str">
        <f t="shared" si="35"/>
        <v>---</v>
      </c>
    </row>
    <row r="82" spans="1:46" ht="30" customHeight="1" x14ac:dyDescent="0.3">
      <c r="A82" s="123">
        <f t="shared" si="19"/>
        <v>77</v>
      </c>
      <c r="B82" s="140">
        <f>INDEX('PEER GROUP'!B:B,MATCH($A82,'PEER GROUP'!$A:$A,0))</f>
        <v>0</v>
      </c>
      <c r="C82" s="83">
        <f>INDEX('PEER GROUP'!C:C,MATCH($A82,'PEER GROUP'!$A:$A,0))</f>
        <v>0</v>
      </c>
      <c r="D82" s="83">
        <f>INDEX('PEER GROUP'!D:D,MATCH($A82,'PEER GROUP'!$A:$A,0))</f>
        <v>0</v>
      </c>
      <c r="E82" s="83">
        <f>INDEX('PEER GROUP'!E:E,MATCH(A82,'PEER GROUP'!$A:$A,0))</f>
        <v>0</v>
      </c>
      <c r="F82" s="84">
        <f>INDEX('PEER GROUP'!F:F,MATCH($A82,'PEER GROUP'!$A:$A,0))</f>
        <v>0</v>
      </c>
      <c r="G82" s="84">
        <f>INDEX('PEER GROUP'!G:G,MATCH($A82,'PEER GROUP'!$A:$A,0))</f>
        <v>0</v>
      </c>
      <c r="H82" s="85"/>
      <c r="I82" s="85"/>
      <c r="J82" s="70">
        <f>INDEX('PEER GROUP'!K:K,MATCH($A82,'PEER GROUP'!$A:$A,0))</f>
        <v>0</v>
      </c>
      <c r="K82" s="70">
        <f>INDEX('PEER GROUP'!L:L,MATCH($A82,'PEER GROUP'!$A:$A,0))</f>
        <v>0</v>
      </c>
      <c r="L82" s="70">
        <f>INDEX('PEER GROUP'!M:M,MATCH($A82,'PEER GROUP'!$A:$A,0))</f>
        <v>0</v>
      </c>
      <c r="M82" s="86">
        <f>INDEX('PEER GROUP'!N:N,MATCH($A82,'PEER GROUP'!$A:$A,0))</f>
        <v>0</v>
      </c>
      <c r="N82" s="118"/>
      <c r="O82" s="115"/>
      <c r="P82" s="117"/>
      <c r="Q82" s="87"/>
      <c r="R82" s="87">
        <f t="shared" si="20"/>
        <v>0</v>
      </c>
      <c r="S82" s="87"/>
      <c r="T82" s="87"/>
      <c r="U82" s="87"/>
      <c r="V82" s="87">
        <f t="shared" si="21"/>
        <v>0</v>
      </c>
      <c r="W82" s="113">
        <f t="shared" si="17"/>
        <v>36.913096727263202</v>
      </c>
      <c r="X82" s="69">
        <f t="shared" si="22"/>
        <v>0</v>
      </c>
      <c r="Y82" s="70">
        <f t="shared" si="23"/>
        <v>0</v>
      </c>
      <c r="Z82" s="70">
        <f t="shared" si="24"/>
        <v>0</v>
      </c>
      <c r="AA82" s="70">
        <f t="shared" si="25"/>
        <v>0</v>
      </c>
      <c r="AB82" s="70">
        <f t="shared" si="26"/>
        <v>0</v>
      </c>
      <c r="AC82" s="70">
        <f t="shared" si="27"/>
        <v>0</v>
      </c>
      <c r="AD82" s="71">
        <f t="shared" si="28"/>
        <v>0</v>
      </c>
      <c r="AE82" s="49"/>
      <c r="AF82" s="21"/>
      <c r="AG82" s="69"/>
      <c r="AH82" s="70"/>
      <c r="AI82" s="70"/>
      <c r="AJ82" s="70"/>
      <c r="AK82" s="70"/>
      <c r="AL82" s="70"/>
      <c r="AM82" s="70"/>
      <c r="AN82" s="70" t="str">
        <f t="shared" si="29"/>
        <v>---</v>
      </c>
      <c r="AO82" s="70" t="str">
        <f t="shared" si="30"/>
        <v>---</v>
      </c>
      <c r="AP82" s="70" t="str">
        <f t="shared" si="31"/>
        <v>---</v>
      </c>
      <c r="AQ82" s="70" t="str">
        <f t="shared" si="32"/>
        <v>---</v>
      </c>
      <c r="AR82" s="70" t="str">
        <f t="shared" si="33"/>
        <v>---</v>
      </c>
      <c r="AS82" s="70" t="str">
        <f t="shared" si="34"/>
        <v>---</v>
      </c>
      <c r="AT82" s="71" t="str">
        <f t="shared" si="35"/>
        <v>---</v>
      </c>
    </row>
    <row r="83" spans="1:46" ht="30" customHeight="1" x14ac:dyDescent="0.3">
      <c r="A83" s="123">
        <f t="shared" si="19"/>
        <v>78</v>
      </c>
      <c r="B83" s="140">
        <f>INDEX('PEER GROUP'!B:B,MATCH($A83,'PEER GROUP'!$A:$A,0))</f>
        <v>0</v>
      </c>
      <c r="C83" s="83">
        <f>INDEX('PEER GROUP'!C:C,MATCH($A83,'PEER GROUP'!$A:$A,0))</f>
        <v>0</v>
      </c>
      <c r="D83" s="83">
        <f>INDEX('PEER GROUP'!D:D,MATCH($A83,'PEER GROUP'!$A:$A,0))</f>
        <v>0</v>
      </c>
      <c r="E83" s="83">
        <f>INDEX('PEER GROUP'!E:E,MATCH(A83,'PEER GROUP'!$A:$A,0))</f>
        <v>0</v>
      </c>
      <c r="F83" s="84">
        <f>INDEX('PEER GROUP'!F:F,MATCH($A83,'PEER GROUP'!$A:$A,0))</f>
        <v>0</v>
      </c>
      <c r="G83" s="84">
        <f>INDEX('PEER GROUP'!G:G,MATCH($A83,'PEER GROUP'!$A:$A,0))</f>
        <v>0</v>
      </c>
      <c r="H83" s="85"/>
      <c r="I83" s="85"/>
      <c r="J83" s="70">
        <f>INDEX('PEER GROUP'!K:K,MATCH($A83,'PEER GROUP'!$A:$A,0))</f>
        <v>0</v>
      </c>
      <c r="K83" s="70">
        <f>INDEX('PEER GROUP'!L:L,MATCH($A83,'PEER GROUP'!$A:$A,0))</f>
        <v>0</v>
      </c>
      <c r="L83" s="70">
        <f>INDEX('PEER GROUP'!M:M,MATCH($A83,'PEER GROUP'!$A:$A,0))</f>
        <v>0</v>
      </c>
      <c r="M83" s="86">
        <f>INDEX('PEER GROUP'!N:N,MATCH($A83,'PEER GROUP'!$A:$A,0))</f>
        <v>0</v>
      </c>
      <c r="N83" s="118"/>
      <c r="O83" s="115"/>
      <c r="P83" s="117"/>
      <c r="Q83" s="87"/>
      <c r="R83" s="87">
        <f t="shared" si="20"/>
        <v>0</v>
      </c>
      <c r="S83" s="87"/>
      <c r="T83" s="87"/>
      <c r="U83" s="87"/>
      <c r="V83" s="87">
        <f t="shared" si="21"/>
        <v>0</v>
      </c>
      <c r="W83" s="113">
        <f t="shared" si="17"/>
        <v>36.913096727263202</v>
      </c>
      <c r="X83" s="69">
        <f t="shared" si="22"/>
        <v>0</v>
      </c>
      <c r="Y83" s="70">
        <f t="shared" si="23"/>
        <v>0</v>
      </c>
      <c r="Z83" s="70">
        <f t="shared" si="24"/>
        <v>0</v>
      </c>
      <c r="AA83" s="70">
        <f t="shared" si="25"/>
        <v>0</v>
      </c>
      <c r="AB83" s="70">
        <f t="shared" si="26"/>
        <v>0</v>
      </c>
      <c r="AC83" s="70">
        <f t="shared" si="27"/>
        <v>0</v>
      </c>
      <c r="AD83" s="71">
        <f t="shared" si="28"/>
        <v>0</v>
      </c>
      <c r="AE83" s="49"/>
      <c r="AF83" s="21"/>
      <c r="AG83" s="69"/>
      <c r="AH83" s="70"/>
      <c r="AI83" s="70"/>
      <c r="AJ83" s="70"/>
      <c r="AK83" s="70"/>
      <c r="AL83" s="70"/>
      <c r="AM83" s="70"/>
      <c r="AN83" s="70" t="str">
        <f t="shared" si="29"/>
        <v>---</v>
      </c>
      <c r="AO83" s="70" t="str">
        <f t="shared" si="30"/>
        <v>---</v>
      </c>
      <c r="AP83" s="70" t="str">
        <f t="shared" si="31"/>
        <v>---</v>
      </c>
      <c r="AQ83" s="70" t="str">
        <f t="shared" si="32"/>
        <v>---</v>
      </c>
      <c r="AR83" s="70" t="str">
        <f t="shared" si="33"/>
        <v>---</v>
      </c>
      <c r="AS83" s="70" t="str">
        <f t="shared" si="34"/>
        <v>---</v>
      </c>
      <c r="AT83" s="71" t="str">
        <f t="shared" si="35"/>
        <v>---</v>
      </c>
    </row>
    <row r="84" spans="1:46" ht="30" customHeight="1" x14ac:dyDescent="0.3">
      <c r="A84" s="123">
        <f t="shared" si="19"/>
        <v>79</v>
      </c>
      <c r="B84" s="140">
        <f>INDEX('PEER GROUP'!B:B,MATCH($A84,'PEER GROUP'!$A:$A,0))</f>
        <v>0</v>
      </c>
      <c r="C84" s="83">
        <f>INDEX('PEER GROUP'!C:C,MATCH($A84,'PEER GROUP'!$A:$A,0))</f>
        <v>0</v>
      </c>
      <c r="D84" s="83">
        <f>INDEX('PEER GROUP'!D:D,MATCH($A84,'PEER GROUP'!$A:$A,0))</f>
        <v>0</v>
      </c>
      <c r="E84" s="83">
        <f>INDEX('PEER GROUP'!E:E,MATCH(A84,'PEER GROUP'!$A:$A,0))</f>
        <v>0</v>
      </c>
      <c r="F84" s="84">
        <f>INDEX('PEER GROUP'!F:F,MATCH($A84,'PEER GROUP'!$A:$A,0))</f>
        <v>0</v>
      </c>
      <c r="G84" s="84">
        <f>INDEX('PEER GROUP'!G:G,MATCH($A84,'PEER GROUP'!$A:$A,0))</f>
        <v>0</v>
      </c>
      <c r="H84" s="85"/>
      <c r="I84" s="85"/>
      <c r="J84" s="70">
        <f>INDEX('PEER GROUP'!K:K,MATCH($A84,'PEER GROUP'!$A:$A,0))</f>
        <v>0</v>
      </c>
      <c r="K84" s="70">
        <f>INDEX('PEER GROUP'!L:L,MATCH($A84,'PEER GROUP'!$A:$A,0))</f>
        <v>0</v>
      </c>
      <c r="L84" s="70">
        <f>INDEX('PEER GROUP'!M:M,MATCH($A84,'PEER GROUP'!$A:$A,0))</f>
        <v>0</v>
      </c>
      <c r="M84" s="86">
        <f>INDEX('PEER GROUP'!N:N,MATCH($A84,'PEER GROUP'!$A:$A,0))</f>
        <v>0</v>
      </c>
      <c r="N84" s="118"/>
      <c r="O84" s="115"/>
      <c r="P84" s="117"/>
      <c r="Q84" s="87"/>
      <c r="R84" s="87">
        <f t="shared" si="20"/>
        <v>0</v>
      </c>
      <c r="S84" s="87"/>
      <c r="T84" s="87"/>
      <c r="U84" s="87"/>
      <c r="V84" s="87">
        <f t="shared" si="21"/>
        <v>0</v>
      </c>
      <c r="W84" s="113">
        <f t="shared" si="17"/>
        <v>36.913096727263202</v>
      </c>
      <c r="X84" s="69">
        <f t="shared" si="22"/>
        <v>0</v>
      </c>
      <c r="Y84" s="70">
        <f t="shared" si="23"/>
        <v>0</v>
      </c>
      <c r="Z84" s="70">
        <f t="shared" si="24"/>
        <v>0</v>
      </c>
      <c r="AA84" s="70">
        <f t="shared" si="25"/>
        <v>0</v>
      </c>
      <c r="AB84" s="70">
        <f t="shared" si="26"/>
        <v>0</v>
      </c>
      <c r="AC84" s="70">
        <f t="shared" si="27"/>
        <v>0</v>
      </c>
      <c r="AD84" s="71">
        <f t="shared" si="28"/>
        <v>0</v>
      </c>
      <c r="AE84" s="49"/>
      <c r="AF84" s="21"/>
      <c r="AG84" s="69"/>
      <c r="AH84" s="70"/>
      <c r="AI84" s="70"/>
      <c r="AJ84" s="70"/>
      <c r="AK84" s="70"/>
      <c r="AL84" s="70"/>
      <c r="AM84" s="70"/>
      <c r="AN84" s="70" t="str">
        <f t="shared" si="29"/>
        <v>---</v>
      </c>
      <c r="AO84" s="70" t="str">
        <f t="shared" si="30"/>
        <v>---</v>
      </c>
      <c r="AP84" s="70" t="str">
        <f t="shared" si="31"/>
        <v>---</v>
      </c>
      <c r="AQ84" s="70" t="str">
        <f t="shared" si="32"/>
        <v>---</v>
      </c>
      <c r="AR84" s="70" t="str">
        <f t="shared" si="33"/>
        <v>---</v>
      </c>
      <c r="AS84" s="70" t="str">
        <f t="shared" si="34"/>
        <v>---</v>
      </c>
      <c r="AT84" s="71" t="str">
        <f t="shared" si="35"/>
        <v>---</v>
      </c>
    </row>
    <row r="85" spans="1:46" ht="30" customHeight="1" x14ac:dyDescent="0.3">
      <c r="A85" s="123">
        <f t="shared" si="19"/>
        <v>80</v>
      </c>
      <c r="B85" s="140">
        <f>INDEX('PEER GROUP'!B:B,MATCH($A85,'PEER GROUP'!$A:$A,0))</f>
        <v>0</v>
      </c>
      <c r="C85" s="83">
        <f>INDEX('PEER GROUP'!C:C,MATCH($A85,'PEER GROUP'!$A:$A,0))</f>
        <v>0</v>
      </c>
      <c r="D85" s="83">
        <f>INDEX('PEER GROUP'!D:D,MATCH($A85,'PEER GROUP'!$A:$A,0))</f>
        <v>0</v>
      </c>
      <c r="E85" s="83">
        <f>INDEX('PEER GROUP'!E:E,MATCH(A85,'PEER GROUP'!$A:$A,0))</f>
        <v>0</v>
      </c>
      <c r="F85" s="84">
        <f>INDEX('PEER GROUP'!F:F,MATCH($A85,'PEER GROUP'!$A:$A,0))</f>
        <v>0</v>
      </c>
      <c r="G85" s="84">
        <f>INDEX('PEER GROUP'!G:G,MATCH($A85,'PEER GROUP'!$A:$A,0))</f>
        <v>0</v>
      </c>
      <c r="H85" s="85"/>
      <c r="I85" s="85"/>
      <c r="J85" s="70">
        <f>INDEX('PEER GROUP'!K:K,MATCH($A85,'PEER GROUP'!$A:$A,0))</f>
        <v>0</v>
      </c>
      <c r="K85" s="70">
        <f>INDEX('PEER GROUP'!L:L,MATCH($A85,'PEER GROUP'!$A:$A,0))</f>
        <v>0</v>
      </c>
      <c r="L85" s="70">
        <f>INDEX('PEER GROUP'!M:M,MATCH($A85,'PEER GROUP'!$A:$A,0))</f>
        <v>0</v>
      </c>
      <c r="M85" s="86">
        <f>INDEX('PEER GROUP'!N:N,MATCH($A85,'PEER GROUP'!$A:$A,0))</f>
        <v>0</v>
      </c>
      <c r="N85" s="118"/>
      <c r="O85" s="115"/>
      <c r="P85" s="117"/>
      <c r="Q85" s="87"/>
      <c r="R85" s="87">
        <f t="shared" si="20"/>
        <v>0</v>
      </c>
      <c r="S85" s="87"/>
      <c r="T85" s="87"/>
      <c r="U85" s="87"/>
      <c r="V85" s="87">
        <f t="shared" si="21"/>
        <v>0</v>
      </c>
      <c r="W85" s="113">
        <f t="shared" si="17"/>
        <v>36.913096727263202</v>
      </c>
      <c r="X85" s="69">
        <f t="shared" si="22"/>
        <v>0</v>
      </c>
      <c r="Y85" s="70">
        <f t="shared" si="23"/>
        <v>0</v>
      </c>
      <c r="Z85" s="70">
        <f t="shared" si="24"/>
        <v>0</v>
      </c>
      <c r="AA85" s="70">
        <f t="shared" si="25"/>
        <v>0</v>
      </c>
      <c r="AB85" s="70">
        <f t="shared" si="26"/>
        <v>0</v>
      </c>
      <c r="AC85" s="70">
        <f t="shared" si="27"/>
        <v>0</v>
      </c>
      <c r="AD85" s="71">
        <f t="shared" si="28"/>
        <v>0</v>
      </c>
      <c r="AE85" s="49"/>
      <c r="AF85" s="21"/>
      <c r="AG85" s="69"/>
      <c r="AH85" s="70"/>
      <c r="AI85" s="70"/>
      <c r="AJ85" s="70"/>
      <c r="AK85" s="70"/>
      <c r="AL85" s="70"/>
      <c r="AM85" s="70"/>
      <c r="AN85" s="70" t="str">
        <f t="shared" si="29"/>
        <v>---</v>
      </c>
      <c r="AO85" s="70" t="str">
        <f t="shared" si="30"/>
        <v>---</v>
      </c>
      <c r="AP85" s="70" t="str">
        <f t="shared" si="31"/>
        <v>---</v>
      </c>
      <c r="AQ85" s="70" t="str">
        <f t="shared" si="32"/>
        <v>---</v>
      </c>
      <c r="AR85" s="70" t="str">
        <f t="shared" si="33"/>
        <v>---</v>
      </c>
      <c r="AS85" s="70" t="str">
        <f t="shared" si="34"/>
        <v>---</v>
      </c>
      <c r="AT85" s="71" t="str">
        <f t="shared" si="35"/>
        <v>---</v>
      </c>
    </row>
    <row r="86" spans="1:46" ht="30" customHeight="1" x14ac:dyDescent="0.3">
      <c r="A86" s="123">
        <f t="shared" si="19"/>
        <v>81</v>
      </c>
      <c r="B86" s="140">
        <f>INDEX('PEER GROUP'!B:B,MATCH($A86,'PEER GROUP'!$A:$A,0))</f>
        <v>0</v>
      </c>
      <c r="C86" s="83">
        <f>INDEX('PEER GROUP'!C:C,MATCH($A86,'PEER GROUP'!$A:$A,0))</f>
        <v>0</v>
      </c>
      <c r="D86" s="83">
        <f>INDEX('PEER GROUP'!D:D,MATCH($A86,'PEER GROUP'!$A:$A,0))</f>
        <v>0</v>
      </c>
      <c r="E86" s="83">
        <f>INDEX('PEER GROUP'!E:E,MATCH(A86,'PEER GROUP'!$A:$A,0))</f>
        <v>0</v>
      </c>
      <c r="F86" s="84">
        <f>INDEX('PEER GROUP'!F:F,MATCH($A86,'PEER GROUP'!$A:$A,0))</f>
        <v>0</v>
      </c>
      <c r="G86" s="84">
        <f>INDEX('PEER GROUP'!G:G,MATCH($A86,'PEER GROUP'!$A:$A,0))</f>
        <v>0</v>
      </c>
      <c r="H86" s="85"/>
      <c r="I86" s="85"/>
      <c r="J86" s="70">
        <f>INDEX('PEER GROUP'!K:K,MATCH($A86,'PEER GROUP'!$A:$A,0))</f>
        <v>0</v>
      </c>
      <c r="K86" s="70">
        <f>INDEX('PEER GROUP'!L:L,MATCH($A86,'PEER GROUP'!$A:$A,0))</f>
        <v>0</v>
      </c>
      <c r="L86" s="70">
        <f>INDEX('PEER GROUP'!M:M,MATCH($A86,'PEER GROUP'!$A:$A,0))</f>
        <v>0</v>
      </c>
      <c r="M86" s="86">
        <f>INDEX('PEER GROUP'!N:N,MATCH($A86,'PEER GROUP'!$A:$A,0))</f>
        <v>0</v>
      </c>
      <c r="N86" s="118"/>
      <c r="O86" s="115"/>
      <c r="P86" s="117"/>
      <c r="Q86" s="87"/>
      <c r="R86" s="87">
        <f t="shared" si="20"/>
        <v>0</v>
      </c>
      <c r="S86" s="87"/>
      <c r="T86" s="87"/>
      <c r="U86" s="87"/>
      <c r="V86" s="87">
        <f t="shared" si="21"/>
        <v>0</v>
      </c>
      <c r="W86" s="113">
        <f t="shared" si="17"/>
        <v>36.913096727263202</v>
      </c>
      <c r="X86" s="69">
        <f t="shared" si="22"/>
        <v>0</v>
      </c>
      <c r="Y86" s="70">
        <f t="shared" si="23"/>
        <v>0</v>
      </c>
      <c r="Z86" s="70">
        <f t="shared" si="24"/>
        <v>0</v>
      </c>
      <c r="AA86" s="70">
        <f t="shared" si="25"/>
        <v>0</v>
      </c>
      <c r="AB86" s="70">
        <f t="shared" si="26"/>
        <v>0</v>
      </c>
      <c r="AC86" s="70">
        <f t="shared" si="27"/>
        <v>0</v>
      </c>
      <c r="AD86" s="71">
        <f t="shared" si="28"/>
        <v>0</v>
      </c>
      <c r="AE86" s="49"/>
      <c r="AF86" s="21"/>
      <c r="AG86" s="69"/>
      <c r="AH86" s="70"/>
      <c r="AI86" s="70"/>
      <c r="AJ86" s="70"/>
      <c r="AK86" s="70"/>
      <c r="AL86" s="70"/>
      <c r="AM86" s="70"/>
      <c r="AN86" s="70" t="str">
        <f t="shared" si="29"/>
        <v>---</v>
      </c>
      <c r="AO86" s="70" t="str">
        <f t="shared" si="30"/>
        <v>---</v>
      </c>
      <c r="AP86" s="70" t="str">
        <f t="shared" si="31"/>
        <v>---</v>
      </c>
      <c r="AQ86" s="70" t="str">
        <f t="shared" si="32"/>
        <v>---</v>
      </c>
      <c r="AR86" s="70" t="str">
        <f t="shared" si="33"/>
        <v>---</v>
      </c>
      <c r="AS86" s="70" t="str">
        <f t="shared" si="34"/>
        <v>---</v>
      </c>
      <c r="AT86" s="71" t="str">
        <f t="shared" si="35"/>
        <v>---</v>
      </c>
    </row>
    <row r="87" spans="1:46" ht="30" customHeight="1" x14ac:dyDescent="0.3">
      <c r="A87" s="123">
        <f t="shared" si="19"/>
        <v>82</v>
      </c>
      <c r="B87" s="140">
        <f>INDEX('PEER GROUP'!B:B,MATCH($A87,'PEER GROUP'!$A:$A,0))</f>
        <v>0</v>
      </c>
      <c r="C87" s="83">
        <f>INDEX('PEER GROUP'!C:C,MATCH($A87,'PEER GROUP'!$A:$A,0))</f>
        <v>0</v>
      </c>
      <c r="D87" s="83">
        <f>INDEX('PEER GROUP'!D:D,MATCH($A87,'PEER GROUP'!$A:$A,0))</f>
        <v>0</v>
      </c>
      <c r="E87" s="83">
        <f>INDEX('PEER GROUP'!E:E,MATCH(A87,'PEER GROUP'!$A:$A,0))</f>
        <v>0</v>
      </c>
      <c r="F87" s="84">
        <f>INDEX('PEER GROUP'!F:F,MATCH($A87,'PEER GROUP'!$A:$A,0))</f>
        <v>0</v>
      </c>
      <c r="G87" s="84">
        <f>INDEX('PEER GROUP'!G:G,MATCH($A87,'PEER GROUP'!$A:$A,0))</f>
        <v>0</v>
      </c>
      <c r="H87" s="85"/>
      <c r="I87" s="85"/>
      <c r="J87" s="70">
        <f>INDEX('PEER GROUP'!K:K,MATCH($A87,'PEER GROUP'!$A:$A,0))</f>
        <v>0</v>
      </c>
      <c r="K87" s="70">
        <f>INDEX('PEER GROUP'!L:L,MATCH($A87,'PEER GROUP'!$A:$A,0))</f>
        <v>0</v>
      </c>
      <c r="L87" s="70">
        <f>INDEX('PEER GROUP'!M:M,MATCH($A87,'PEER GROUP'!$A:$A,0))</f>
        <v>0</v>
      </c>
      <c r="M87" s="86">
        <f>INDEX('PEER GROUP'!N:N,MATCH($A87,'PEER GROUP'!$A:$A,0))</f>
        <v>0</v>
      </c>
      <c r="N87" s="118"/>
      <c r="O87" s="115"/>
      <c r="P87" s="117"/>
      <c r="Q87" s="87"/>
      <c r="R87" s="87">
        <f t="shared" si="20"/>
        <v>0</v>
      </c>
      <c r="S87" s="87"/>
      <c r="T87" s="87"/>
      <c r="U87" s="87"/>
      <c r="V87" s="87">
        <f t="shared" si="21"/>
        <v>0</v>
      </c>
      <c r="W87" s="113">
        <f t="shared" si="17"/>
        <v>36.913096727263202</v>
      </c>
      <c r="X87" s="69">
        <f t="shared" si="22"/>
        <v>0</v>
      </c>
      <c r="Y87" s="70">
        <f t="shared" si="23"/>
        <v>0</v>
      </c>
      <c r="Z87" s="70">
        <f t="shared" si="24"/>
        <v>0</v>
      </c>
      <c r="AA87" s="70">
        <f t="shared" si="25"/>
        <v>0</v>
      </c>
      <c r="AB87" s="70">
        <f t="shared" si="26"/>
        <v>0</v>
      </c>
      <c r="AC87" s="70">
        <f t="shared" si="27"/>
        <v>0</v>
      </c>
      <c r="AD87" s="71">
        <f t="shared" si="28"/>
        <v>0</v>
      </c>
      <c r="AE87" s="49"/>
      <c r="AF87" s="21"/>
      <c r="AG87" s="69"/>
      <c r="AH87" s="70"/>
      <c r="AI87" s="70"/>
      <c r="AJ87" s="70"/>
      <c r="AK87" s="70"/>
      <c r="AL87" s="70"/>
      <c r="AM87" s="70"/>
      <c r="AN87" s="70" t="str">
        <f t="shared" si="29"/>
        <v>---</v>
      </c>
      <c r="AO87" s="70" t="str">
        <f t="shared" si="30"/>
        <v>---</v>
      </c>
      <c r="AP87" s="70" t="str">
        <f t="shared" si="31"/>
        <v>---</v>
      </c>
      <c r="AQ87" s="70" t="str">
        <f t="shared" si="32"/>
        <v>---</v>
      </c>
      <c r="AR87" s="70" t="str">
        <f t="shared" si="33"/>
        <v>---</v>
      </c>
      <c r="AS87" s="70" t="str">
        <f t="shared" si="34"/>
        <v>---</v>
      </c>
      <c r="AT87" s="71" t="str">
        <f t="shared" si="35"/>
        <v>---</v>
      </c>
    </row>
    <row r="88" spans="1:46" ht="30" customHeight="1" x14ac:dyDescent="0.3">
      <c r="A88" s="123">
        <f t="shared" si="19"/>
        <v>83</v>
      </c>
      <c r="B88" s="140">
        <f>INDEX('PEER GROUP'!B:B,MATCH($A88,'PEER GROUP'!$A:$A,0))</f>
        <v>0</v>
      </c>
      <c r="C88" s="83">
        <f>INDEX('PEER GROUP'!C:C,MATCH($A88,'PEER GROUP'!$A:$A,0))</f>
        <v>0</v>
      </c>
      <c r="D88" s="83">
        <f>INDEX('PEER GROUP'!D:D,MATCH($A88,'PEER GROUP'!$A:$A,0))</f>
        <v>0</v>
      </c>
      <c r="E88" s="83">
        <f>INDEX('PEER GROUP'!E:E,MATCH(A88,'PEER GROUP'!$A:$A,0))</f>
        <v>0</v>
      </c>
      <c r="F88" s="84">
        <f>INDEX('PEER GROUP'!F:F,MATCH($A88,'PEER GROUP'!$A:$A,0))</f>
        <v>0</v>
      </c>
      <c r="G88" s="84">
        <f>INDEX('PEER GROUP'!G:G,MATCH($A88,'PEER GROUP'!$A:$A,0))</f>
        <v>0</v>
      </c>
      <c r="H88" s="85"/>
      <c r="I88" s="85"/>
      <c r="J88" s="70">
        <f>INDEX('PEER GROUP'!K:K,MATCH($A88,'PEER GROUP'!$A:$A,0))</f>
        <v>0</v>
      </c>
      <c r="K88" s="70">
        <f>INDEX('PEER GROUP'!L:L,MATCH($A88,'PEER GROUP'!$A:$A,0))</f>
        <v>0</v>
      </c>
      <c r="L88" s="70">
        <f>INDEX('PEER GROUP'!M:M,MATCH($A88,'PEER GROUP'!$A:$A,0))</f>
        <v>0</v>
      </c>
      <c r="M88" s="86">
        <f>INDEX('PEER GROUP'!N:N,MATCH($A88,'PEER GROUP'!$A:$A,0))</f>
        <v>0</v>
      </c>
      <c r="N88" s="118"/>
      <c r="O88" s="115"/>
      <c r="P88" s="117"/>
      <c r="Q88" s="87"/>
      <c r="R88" s="87">
        <f t="shared" si="20"/>
        <v>0</v>
      </c>
      <c r="S88" s="87"/>
      <c r="T88" s="87"/>
      <c r="U88" s="87"/>
      <c r="V88" s="87">
        <f t="shared" si="21"/>
        <v>0</v>
      </c>
      <c r="W88" s="113">
        <f t="shared" si="17"/>
        <v>36.913096727263202</v>
      </c>
      <c r="X88" s="69">
        <f t="shared" si="22"/>
        <v>0</v>
      </c>
      <c r="Y88" s="70">
        <f t="shared" si="23"/>
        <v>0</v>
      </c>
      <c r="Z88" s="70">
        <f t="shared" si="24"/>
        <v>0</v>
      </c>
      <c r="AA88" s="70">
        <f t="shared" si="25"/>
        <v>0</v>
      </c>
      <c r="AB88" s="70">
        <f t="shared" si="26"/>
        <v>0</v>
      </c>
      <c r="AC88" s="70">
        <f t="shared" si="27"/>
        <v>0</v>
      </c>
      <c r="AD88" s="71">
        <f t="shared" si="28"/>
        <v>0</v>
      </c>
      <c r="AE88" s="49"/>
      <c r="AF88" s="21"/>
      <c r="AG88" s="69"/>
      <c r="AH88" s="70"/>
      <c r="AI88" s="70"/>
      <c r="AJ88" s="70"/>
      <c r="AK88" s="70"/>
      <c r="AL88" s="70"/>
      <c r="AM88" s="70"/>
      <c r="AN88" s="70" t="str">
        <f t="shared" si="29"/>
        <v>---</v>
      </c>
      <c r="AO88" s="70" t="str">
        <f t="shared" si="30"/>
        <v>---</v>
      </c>
      <c r="AP88" s="70" t="str">
        <f t="shared" si="31"/>
        <v>---</v>
      </c>
      <c r="AQ88" s="70" t="str">
        <f t="shared" si="32"/>
        <v>---</v>
      </c>
      <c r="AR88" s="70" t="str">
        <f t="shared" si="33"/>
        <v>---</v>
      </c>
      <c r="AS88" s="70" t="str">
        <f t="shared" si="34"/>
        <v>---</v>
      </c>
      <c r="AT88" s="71" t="str">
        <f t="shared" si="35"/>
        <v>---</v>
      </c>
    </row>
    <row r="89" spans="1:46" ht="30" customHeight="1" x14ac:dyDescent="0.3">
      <c r="A89" s="123">
        <f t="shared" si="19"/>
        <v>84</v>
      </c>
      <c r="B89" s="140">
        <f>INDEX('PEER GROUP'!B:B,MATCH($A89,'PEER GROUP'!$A:$A,0))</f>
        <v>0</v>
      </c>
      <c r="C89" s="83">
        <f>INDEX('PEER GROUP'!C:C,MATCH($A89,'PEER GROUP'!$A:$A,0))</f>
        <v>0</v>
      </c>
      <c r="D89" s="83">
        <f>INDEX('PEER GROUP'!D:D,MATCH($A89,'PEER GROUP'!$A:$A,0))</f>
        <v>0</v>
      </c>
      <c r="E89" s="83">
        <f>INDEX('PEER GROUP'!E:E,MATCH(A89,'PEER GROUP'!$A:$A,0))</f>
        <v>0</v>
      </c>
      <c r="F89" s="84">
        <f>INDEX('PEER GROUP'!F:F,MATCH($A89,'PEER GROUP'!$A:$A,0))</f>
        <v>0</v>
      </c>
      <c r="G89" s="84">
        <f>INDEX('PEER GROUP'!G:G,MATCH($A89,'PEER GROUP'!$A:$A,0))</f>
        <v>0</v>
      </c>
      <c r="H89" s="85"/>
      <c r="I89" s="85"/>
      <c r="J89" s="70">
        <f>INDEX('PEER GROUP'!K:K,MATCH($A89,'PEER GROUP'!$A:$A,0))</f>
        <v>0</v>
      </c>
      <c r="K89" s="70">
        <f>INDEX('PEER GROUP'!L:L,MATCH($A89,'PEER GROUP'!$A:$A,0))</f>
        <v>0</v>
      </c>
      <c r="L89" s="70">
        <f>INDEX('PEER GROUP'!M:M,MATCH($A89,'PEER GROUP'!$A:$A,0))</f>
        <v>0</v>
      </c>
      <c r="M89" s="86">
        <f>INDEX('PEER GROUP'!N:N,MATCH($A89,'PEER GROUP'!$A:$A,0))</f>
        <v>0</v>
      </c>
      <c r="N89" s="118"/>
      <c r="O89" s="115"/>
      <c r="P89" s="117"/>
      <c r="Q89" s="87"/>
      <c r="R89" s="87">
        <f t="shared" si="20"/>
        <v>0</v>
      </c>
      <c r="S89" s="87"/>
      <c r="T89" s="87"/>
      <c r="U89" s="87"/>
      <c r="V89" s="87">
        <f t="shared" si="21"/>
        <v>0</v>
      </c>
      <c r="W89" s="113">
        <f t="shared" si="17"/>
        <v>36.913096727263202</v>
      </c>
      <c r="X89" s="69">
        <f t="shared" si="22"/>
        <v>0</v>
      </c>
      <c r="Y89" s="70">
        <f t="shared" si="23"/>
        <v>0</v>
      </c>
      <c r="Z89" s="70">
        <f t="shared" si="24"/>
        <v>0</v>
      </c>
      <c r="AA89" s="70">
        <f t="shared" si="25"/>
        <v>0</v>
      </c>
      <c r="AB89" s="70">
        <f t="shared" si="26"/>
        <v>0</v>
      </c>
      <c r="AC89" s="70">
        <f t="shared" si="27"/>
        <v>0</v>
      </c>
      <c r="AD89" s="71">
        <f t="shared" si="28"/>
        <v>0</v>
      </c>
      <c r="AE89" s="49"/>
      <c r="AF89" s="21"/>
      <c r="AG89" s="69"/>
      <c r="AH89" s="70"/>
      <c r="AI89" s="70"/>
      <c r="AJ89" s="70"/>
      <c r="AK89" s="70"/>
      <c r="AL89" s="70"/>
      <c r="AM89" s="70"/>
      <c r="AN89" s="70" t="str">
        <f t="shared" si="29"/>
        <v>---</v>
      </c>
      <c r="AO89" s="70" t="str">
        <f t="shared" si="30"/>
        <v>---</v>
      </c>
      <c r="AP89" s="70" t="str">
        <f t="shared" si="31"/>
        <v>---</v>
      </c>
      <c r="AQ89" s="70" t="str">
        <f t="shared" si="32"/>
        <v>---</v>
      </c>
      <c r="AR89" s="70" t="str">
        <f t="shared" si="33"/>
        <v>---</v>
      </c>
      <c r="AS89" s="70" t="str">
        <f t="shared" si="34"/>
        <v>---</v>
      </c>
      <c r="AT89" s="71" t="str">
        <f t="shared" si="35"/>
        <v>---</v>
      </c>
    </row>
    <row r="90" spans="1:46" ht="30" customHeight="1" x14ac:dyDescent="0.3">
      <c r="A90" s="123">
        <f t="shared" si="19"/>
        <v>85</v>
      </c>
      <c r="B90" s="140">
        <f>INDEX('PEER GROUP'!B:B,MATCH($A90,'PEER GROUP'!$A:$A,0))</f>
        <v>0</v>
      </c>
      <c r="C90" s="83">
        <f>INDEX('PEER GROUP'!C:C,MATCH($A90,'PEER GROUP'!$A:$A,0))</f>
        <v>0</v>
      </c>
      <c r="D90" s="83">
        <f>INDEX('PEER GROUP'!D:D,MATCH($A90,'PEER GROUP'!$A:$A,0))</f>
        <v>0</v>
      </c>
      <c r="E90" s="83">
        <f>INDEX('PEER GROUP'!E:E,MATCH(A90,'PEER GROUP'!$A:$A,0))</f>
        <v>0</v>
      </c>
      <c r="F90" s="84">
        <f>INDEX('PEER GROUP'!F:F,MATCH($A90,'PEER GROUP'!$A:$A,0))</f>
        <v>0</v>
      </c>
      <c r="G90" s="84">
        <f>INDEX('PEER GROUP'!G:G,MATCH($A90,'PEER GROUP'!$A:$A,0))</f>
        <v>0</v>
      </c>
      <c r="H90" s="85"/>
      <c r="I90" s="85"/>
      <c r="J90" s="70">
        <f>INDEX('PEER GROUP'!K:K,MATCH($A90,'PEER GROUP'!$A:$A,0))</f>
        <v>0</v>
      </c>
      <c r="K90" s="70">
        <f>INDEX('PEER GROUP'!L:L,MATCH($A90,'PEER GROUP'!$A:$A,0))</f>
        <v>0</v>
      </c>
      <c r="L90" s="70">
        <f>INDEX('PEER GROUP'!M:M,MATCH($A90,'PEER GROUP'!$A:$A,0))</f>
        <v>0</v>
      </c>
      <c r="M90" s="86">
        <f>INDEX('PEER GROUP'!N:N,MATCH($A90,'PEER GROUP'!$A:$A,0))</f>
        <v>0</v>
      </c>
      <c r="N90" s="118"/>
      <c r="O90" s="115"/>
      <c r="P90" s="117"/>
      <c r="Q90" s="87"/>
      <c r="R90" s="87">
        <f t="shared" si="20"/>
        <v>0</v>
      </c>
      <c r="S90" s="87"/>
      <c r="T90" s="87"/>
      <c r="U90" s="87"/>
      <c r="V90" s="87">
        <f t="shared" si="21"/>
        <v>0</v>
      </c>
      <c r="W90" s="113">
        <f t="shared" si="17"/>
        <v>36.913096727263202</v>
      </c>
      <c r="X90" s="69">
        <f t="shared" si="22"/>
        <v>0</v>
      </c>
      <c r="Y90" s="70">
        <f t="shared" si="23"/>
        <v>0</v>
      </c>
      <c r="Z90" s="70">
        <f t="shared" si="24"/>
        <v>0</v>
      </c>
      <c r="AA90" s="70">
        <f t="shared" si="25"/>
        <v>0</v>
      </c>
      <c r="AB90" s="70">
        <f t="shared" si="26"/>
        <v>0</v>
      </c>
      <c r="AC90" s="70">
        <f t="shared" si="27"/>
        <v>0</v>
      </c>
      <c r="AD90" s="71">
        <f t="shared" si="28"/>
        <v>0</v>
      </c>
      <c r="AE90" s="49"/>
      <c r="AF90" s="21"/>
      <c r="AG90" s="69"/>
      <c r="AH90" s="70"/>
      <c r="AI90" s="70"/>
      <c r="AJ90" s="70"/>
      <c r="AK90" s="70"/>
      <c r="AL90" s="70"/>
      <c r="AM90" s="70"/>
      <c r="AN90" s="70" t="str">
        <f t="shared" si="29"/>
        <v>---</v>
      </c>
      <c r="AO90" s="70" t="str">
        <f t="shared" si="30"/>
        <v>---</v>
      </c>
      <c r="AP90" s="70" t="str">
        <f t="shared" si="31"/>
        <v>---</v>
      </c>
      <c r="AQ90" s="70" t="str">
        <f t="shared" si="32"/>
        <v>---</v>
      </c>
      <c r="AR90" s="70" t="str">
        <f t="shared" si="33"/>
        <v>---</v>
      </c>
      <c r="AS90" s="70" t="str">
        <f t="shared" si="34"/>
        <v>---</v>
      </c>
      <c r="AT90" s="71" t="str">
        <f t="shared" si="35"/>
        <v>---</v>
      </c>
    </row>
    <row r="91" spans="1:46" ht="30" customHeight="1" x14ac:dyDescent="0.3">
      <c r="A91" s="123">
        <f t="shared" si="19"/>
        <v>86</v>
      </c>
      <c r="B91" s="140">
        <f>INDEX('PEER GROUP'!B:B,MATCH($A91,'PEER GROUP'!$A:$A,0))</f>
        <v>0</v>
      </c>
      <c r="C91" s="83">
        <f>INDEX('PEER GROUP'!C:C,MATCH($A91,'PEER GROUP'!$A:$A,0))</f>
        <v>0</v>
      </c>
      <c r="D91" s="83">
        <f>INDEX('PEER GROUP'!D:D,MATCH($A91,'PEER GROUP'!$A:$A,0))</f>
        <v>0</v>
      </c>
      <c r="E91" s="83">
        <f>INDEX('PEER GROUP'!E:E,MATCH(A91,'PEER GROUP'!$A:$A,0))</f>
        <v>0</v>
      </c>
      <c r="F91" s="84">
        <f>INDEX('PEER GROUP'!F:F,MATCH($A91,'PEER GROUP'!$A:$A,0))</f>
        <v>0</v>
      </c>
      <c r="G91" s="84">
        <f>INDEX('PEER GROUP'!G:G,MATCH($A91,'PEER GROUP'!$A:$A,0))</f>
        <v>0</v>
      </c>
      <c r="H91" s="85"/>
      <c r="I91" s="85"/>
      <c r="J91" s="70">
        <f>INDEX('PEER GROUP'!K:K,MATCH($A91,'PEER GROUP'!$A:$A,0))</f>
        <v>0</v>
      </c>
      <c r="K91" s="70">
        <f>INDEX('PEER GROUP'!L:L,MATCH($A91,'PEER GROUP'!$A:$A,0))</f>
        <v>0</v>
      </c>
      <c r="L91" s="70">
        <f>INDEX('PEER GROUP'!M:M,MATCH($A91,'PEER GROUP'!$A:$A,0))</f>
        <v>0</v>
      </c>
      <c r="M91" s="86">
        <f>INDEX('PEER GROUP'!N:N,MATCH($A91,'PEER GROUP'!$A:$A,0))</f>
        <v>0</v>
      </c>
      <c r="N91" s="118"/>
      <c r="O91" s="115"/>
      <c r="P91" s="117"/>
      <c r="Q91" s="87"/>
      <c r="R91" s="87">
        <f t="shared" si="20"/>
        <v>0</v>
      </c>
      <c r="S91" s="87"/>
      <c r="T91" s="87"/>
      <c r="U91" s="87"/>
      <c r="V91" s="87">
        <f t="shared" si="21"/>
        <v>0</v>
      </c>
      <c r="W91" s="113">
        <f t="shared" si="17"/>
        <v>36.913096727263202</v>
      </c>
      <c r="X91" s="69">
        <f t="shared" si="22"/>
        <v>0</v>
      </c>
      <c r="Y91" s="70">
        <f t="shared" si="23"/>
        <v>0</v>
      </c>
      <c r="Z91" s="70">
        <f t="shared" si="24"/>
        <v>0</v>
      </c>
      <c r="AA91" s="70">
        <f t="shared" si="25"/>
        <v>0</v>
      </c>
      <c r="AB91" s="70">
        <f t="shared" si="26"/>
        <v>0</v>
      </c>
      <c r="AC91" s="70">
        <f t="shared" si="27"/>
        <v>0</v>
      </c>
      <c r="AD91" s="71">
        <f t="shared" si="28"/>
        <v>0</v>
      </c>
      <c r="AE91" s="49"/>
      <c r="AF91" s="21"/>
      <c r="AG91" s="69"/>
      <c r="AH91" s="70"/>
      <c r="AI91" s="70"/>
      <c r="AJ91" s="70"/>
      <c r="AK91" s="70"/>
      <c r="AL91" s="70"/>
      <c r="AM91" s="70"/>
      <c r="AN91" s="70" t="str">
        <f t="shared" si="29"/>
        <v>---</v>
      </c>
      <c r="AO91" s="70" t="str">
        <f t="shared" si="30"/>
        <v>---</v>
      </c>
      <c r="AP91" s="70" t="str">
        <f t="shared" si="31"/>
        <v>---</v>
      </c>
      <c r="AQ91" s="70" t="str">
        <f t="shared" si="32"/>
        <v>---</v>
      </c>
      <c r="AR91" s="70" t="str">
        <f t="shared" si="33"/>
        <v>---</v>
      </c>
      <c r="AS91" s="70" t="str">
        <f t="shared" si="34"/>
        <v>---</v>
      </c>
      <c r="AT91" s="71" t="str">
        <f t="shared" si="35"/>
        <v>---</v>
      </c>
    </row>
    <row r="92" spans="1:46" ht="30" customHeight="1" x14ac:dyDescent="0.3">
      <c r="A92" s="123">
        <f t="shared" si="19"/>
        <v>87</v>
      </c>
      <c r="B92" s="140">
        <f>INDEX('PEER GROUP'!B:B,MATCH($A92,'PEER GROUP'!$A:$A,0))</f>
        <v>0</v>
      </c>
      <c r="C92" s="83">
        <f>INDEX('PEER GROUP'!C:C,MATCH($A92,'PEER GROUP'!$A:$A,0))</f>
        <v>0</v>
      </c>
      <c r="D92" s="83">
        <f>INDEX('PEER GROUP'!D:D,MATCH($A92,'PEER GROUP'!$A:$A,0))</f>
        <v>0</v>
      </c>
      <c r="E92" s="83">
        <f>INDEX('PEER GROUP'!E:E,MATCH(A92,'PEER GROUP'!$A:$A,0))</f>
        <v>0</v>
      </c>
      <c r="F92" s="84">
        <f>INDEX('PEER GROUP'!F:F,MATCH($A92,'PEER GROUP'!$A:$A,0))</f>
        <v>0</v>
      </c>
      <c r="G92" s="84">
        <f>INDEX('PEER GROUP'!G:G,MATCH($A92,'PEER GROUP'!$A:$A,0))</f>
        <v>0</v>
      </c>
      <c r="H92" s="85"/>
      <c r="I92" s="85"/>
      <c r="J92" s="70">
        <f>INDEX('PEER GROUP'!K:K,MATCH($A92,'PEER GROUP'!$A:$A,0))</f>
        <v>0</v>
      </c>
      <c r="K92" s="70">
        <f>INDEX('PEER GROUP'!L:L,MATCH($A92,'PEER GROUP'!$A:$A,0))</f>
        <v>0</v>
      </c>
      <c r="L92" s="70">
        <f>INDEX('PEER GROUP'!M:M,MATCH($A92,'PEER GROUP'!$A:$A,0))</f>
        <v>0</v>
      </c>
      <c r="M92" s="86">
        <f>INDEX('PEER GROUP'!N:N,MATCH($A92,'PEER GROUP'!$A:$A,0))</f>
        <v>0</v>
      </c>
      <c r="N92" s="118"/>
      <c r="O92" s="115"/>
      <c r="P92" s="117"/>
      <c r="Q92" s="87"/>
      <c r="R92" s="87">
        <f t="shared" si="20"/>
        <v>0</v>
      </c>
      <c r="S92" s="87"/>
      <c r="T92" s="87"/>
      <c r="U92" s="87"/>
      <c r="V92" s="87">
        <f t="shared" si="21"/>
        <v>0</v>
      </c>
      <c r="W92" s="113">
        <f t="shared" si="17"/>
        <v>36.913096727263202</v>
      </c>
      <c r="X92" s="69">
        <f t="shared" si="22"/>
        <v>0</v>
      </c>
      <c r="Y92" s="70">
        <f t="shared" si="23"/>
        <v>0</v>
      </c>
      <c r="Z92" s="70">
        <f t="shared" si="24"/>
        <v>0</v>
      </c>
      <c r="AA92" s="70">
        <f t="shared" si="25"/>
        <v>0</v>
      </c>
      <c r="AB92" s="70">
        <f t="shared" si="26"/>
        <v>0</v>
      </c>
      <c r="AC92" s="70">
        <f t="shared" si="27"/>
        <v>0</v>
      </c>
      <c r="AD92" s="71">
        <f t="shared" si="28"/>
        <v>0</v>
      </c>
      <c r="AE92" s="49"/>
      <c r="AF92" s="21"/>
      <c r="AG92" s="69"/>
      <c r="AH92" s="70"/>
      <c r="AI92" s="70"/>
      <c r="AJ92" s="70"/>
      <c r="AK92" s="70"/>
      <c r="AL92" s="70"/>
      <c r="AM92" s="70"/>
      <c r="AN92" s="70" t="str">
        <f t="shared" si="29"/>
        <v>---</v>
      </c>
      <c r="AO92" s="70" t="str">
        <f t="shared" si="30"/>
        <v>---</v>
      </c>
      <c r="AP92" s="70" t="str">
        <f t="shared" si="31"/>
        <v>---</v>
      </c>
      <c r="AQ92" s="70" t="str">
        <f t="shared" si="32"/>
        <v>---</v>
      </c>
      <c r="AR92" s="70" t="str">
        <f t="shared" si="33"/>
        <v>---</v>
      </c>
      <c r="AS92" s="70" t="str">
        <f t="shared" si="34"/>
        <v>---</v>
      </c>
      <c r="AT92" s="71" t="str">
        <f t="shared" si="35"/>
        <v>---</v>
      </c>
    </row>
    <row r="93" spans="1:46" ht="30" customHeight="1" x14ac:dyDescent="0.3">
      <c r="A93" s="123">
        <f t="shared" si="19"/>
        <v>88</v>
      </c>
      <c r="B93" s="140">
        <f>INDEX('PEER GROUP'!B:B,MATCH($A93,'PEER GROUP'!$A:$A,0))</f>
        <v>0</v>
      </c>
      <c r="C93" s="83">
        <f>INDEX('PEER GROUP'!C:C,MATCH($A93,'PEER GROUP'!$A:$A,0))</f>
        <v>0</v>
      </c>
      <c r="D93" s="83">
        <f>INDEX('PEER GROUP'!D:D,MATCH($A93,'PEER GROUP'!$A:$A,0))</f>
        <v>0</v>
      </c>
      <c r="E93" s="83">
        <f>INDEX('PEER GROUP'!E:E,MATCH(A93,'PEER GROUP'!$A:$A,0))</f>
        <v>0</v>
      </c>
      <c r="F93" s="84">
        <f>INDEX('PEER GROUP'!F:F,MATCH($A93,'PEER GROUP'!$A:$A,0))</f>
        <v>0</v>
      </c>
      <c r="G93" s="84">
        <f>INDEX('PEER GROUP'!G:G,MATCH($A93,'PEER GROUP'!$A:$A,0))</f>
        <v>0</v>
      </c>
      <c r="H93" s="85"/>
      <c r="I93" s="85"/>
      <c r="J93" s="70">
        <f>INDEX('PEER GROUP'!K:K,MATCH($A93,'PEER GROUP'!$A:$A,0))</f>
        <v>0</v>
      </c>
      <c r="K93" s="70">
        <f>INDEX('PEER GROUP'!L:L,MATCH($A93,'PEER GROUP'!$A:$A,0))</f>
        <v>0</v>
      </c>
      <c r="L93" s="70">
        <f>INDEX('PEER GROUP'!M:M,MATCH($A93,'PEER GROUP'!$A:$A,0))</f>
        <v>0</v>
      </c>
      <c r="M93" s="86">
        <f>INDEX('PEER GROUP'!N:N,MATCH($A93,'PEER GROUP'!$A:$A,0))</f>
        <v>0</v>
      </c>
      <c r="N93" s="118"/>
      <c r="O93" s="115"/>
      <c r="P93" s="117"/>
      <c r="Q93" s="87"/>
      <c r="R93" s="87">
        <f t="shared" si="20"/>
        <v>0</v>
      </c>
      <c r="S93" s="87"/>
      <c r="T93" s="87"/>
      <c r="U93" s="87"/>
      <c r="V93" s="87">
        <f t="shared" si="21"/>
        <v>0</v>
      </c>
      <c r="W93" s="113">
        <f t="shared" si="17"/>
        <v>36.913096727263202</v>
      </c>
      <c r="X93" s="69">
        <f t="shared" si="22"/>
        <v>0</v>
      </c>
      <c r="Y93" s="70">
        <f t="shared" si="23"/>
        <v>0</v>
      </c>
      <c r="Z93" s="70">
        <f t="shared" si="24"/>
        <v>0</v>
      </c>
      <c r="AA93" s="70">
        <f t="shared" si="25"/>
        <v>0</v>
      </c>
      <c r="AB93" s="70">
        <f t="shared" si="26"/>
        <v>0</v>
      </c>
      <c r="AC93" s="70">
        <f t="shared" si="27"/>
        <v>0</v>
      </c>
      <c r="AD93" s="71">
        <f t="shared" si="28"/>
        <v>0</v>
      </c>
      <c r="AE93" s="49"/>
      <c r="AF93" s="21"/>
      <c r="AG93" s="69"/>
      <c r="AH93" s="70"/>
      <c r="AI93" s="70"/>
      <c r="AJ93" s="70"/>
      <c r="AK93" s="70"/>
      <c r="AL93" s="70"/>
      <c r="AM93" s="70"/>
      <c r="AN93" s="70" t="str">
        <f t="shared" si="29"/>
        <v>---</v>
      </c>
      <c r="AO93" s="70" t="str">
        <f t="shared" si="30"/>
        <v>---</v>
      </c>
      <c r="AP93" s="70" t="str">
        <f t="shared" si="31"/>
        <v>---</v>
      </c>
      <c r="AQ93" s="70" t="str">
        <f t="shared" si="32"/>
        <v>---</v>
      </c>
      <c r="AR93" s="70" t="str">
        <f t="shared" si="33"/>
        <v>---</v>
      </c>
      <c r="AS93" s="70" t="str">
        <f t="shared" si="34"/>
        <v>---</v>
      </c>
      <c r="AT93" s="71" t="str">
        <f t="shared" si="35"/>
        <v>---</v>
      </c>
    </row>
    <row r="94" spans="1:46" ht="30" customHeight="1" x14ac:dyDescent="0.3">
      <c r="A94" s="123">
        <f t="shared" si="19"/>
        <v>89</v>
      </c>
      <c r="B94" s="140">
        <f>INDEX('PEER GROUP'!B:B,MATCH($A94,'PEER GROUP'!$A:$A,0))</f>
        <v>0</v>
      </c>
      <c r="C94" s="83">
        <f>INDEX('PEER GROUP'!C:C,MATCH($A94,'PEER GROUP'!$A:$A,0))</f>
        <v>0</v>
      </c>
      <c r="D94" s="83">
        <f>INDEX('PEER GROUP'!D:D,MATCH($A94,'PEER GROUP'!$A:$A,0))</f>
        <v>0</v>
      </c>
      <c r="E94" s="83">
        <f>INDEX('PEER GROUP'!E:E,MATCH(A94,'PEER GROUP'!$A:$A,0))</f>
        <v>0</v>
      </c>
      <c r="F94" s="84">
        <f>INDEX('PEER GROUP'!F:F,MATCH($A94,'PEER GROUP'!$A:$A,0))</f>
        <v>0</v>
      </c>
      <c r="G94" s="84">
        <f>INDEX('PEER GROUP'!G:G,MATCH($A94,'PEER GROUP'!$A:$A,0))</f>
        <v>0</v>
      </c>
      <c r="H94" s="85"/>
      <c r="I94" s="85"/>
      <c r="J94" s="70">
        <f>INDEX('PEER GROUP'!K:K,MATCH($A94,'PEER GROUP'!$A:$A,0))</f>
        <v>0</v>
      </c>
      <c r="K94" s="70">
        <f>INDEX('PEER GROUP'!L:L,MATCH($A94,'PEER GROUP'!$A:$A,0))</f>
        <v>0</v>
      </c>
      <c r="L94" s="70">
        <f>INDEX('PEER GROUP'!M:M,MATCH($A94,'PEER GROUP'!$A:$A,0))</f>
        <v>0</v>
      </c>
      <c r="M94" s="86">
        <f>INDEX('PEER GROUP'!N:N,MATCH($A94,'PEER GROUP'!$A:$A,0))</f>
        <v>0</v>
      </c>
      <c r="N94" s="118"/>
      <c r="O94" s="115"/>
      <c r="P94" s="117"/>
      <c r="Q94" s="87"/>
      <c r="R94" s="87">
        <f t="shared" si="20"/>
        <v>0</v>
      </c>
      <c r="S94" s="87"/>
      <c r="T94" s="87"/>
      <c r="U94" s="87"/>
      <c r="V94" s="87">
        <f t="shared" si="21"/>
        <v>0</v>
      </c>
      <c r="W94" s="113">
        <f t="shared" si="17"/>
        <v>36.913096727263202</v>
      </c>
      <c r="X94" s="69">
        <f t="shared" si="22"/>
        <v>0</v>
      </c>
      <c r="Y94" s="70">
        <f t="shared" si="23"/>
        <v>0</v>
      </c>
      <c r="Z94" s="70">
        <f t="shared" si="24"/>
        <v>0</v>
      </c>
      <c r="AA94" s="70">
        <f t="shared" si="25"/>
        <v>0</v>
      </c>
      <c r="AB94" s="70">
        <f t="shared" si="26"/>
        <v>0</v>
      </c>
      <c r="AC94" s="70">
        <f t="shared" si="27"/>
        <v>0</v>
      </c>
      <c r="AD94" s="71">
        <f t="shared" si="28"/>
        <v>0</v>
      </c>
      <c r="AE94" s="49"/>
      <c r="AF94" s="21"/>
      <c r="AG94" s="69"/>
      <c r="AH94" s="70"/>
      <c r="AI94" s="70"/>
      <c r="AJ94" s="70"/>
      <c r="AK94" s="70"/>
      <c r="AL94" s="70"/>
      <c r="AM94" s="70"/>
      <c r="AN94" s="70" t="str">
        <f t="shared" si="29"/>
        <v>---</v>
      </c>
      <c r="AO94" s="70" t="str">
        <f t="shared" si="30"/>
        <v>---</v>
      </c>
      <c r="AP94" s="70" t="str">
        <f t="shared" si="31"/>
        <v>---</v>
      </c>
      <c r="AQ94" s="70" t="str">
        <f t="shared" si="32"/>
        <v>---</v>
      </c>
      <c r="AR94" s="70" t="str">
        <f t="shared" si="33"/>
        <v>---</v>
      </c>
      <c r="AS94" s="70" t="str">
        <f t="shared" si="34"/>
        <v>---</v>
      </c>
      <c r="AT94" s="71" t="str">
        <f t="shared" si="35"/>
        <v>---</v>
      </c>
    </row>
    <row r="95" spans="1:46" ht="30" customHeight="1" x14ac:dyDescent="0.3">
      <c r="A95" s="123">
        <f t="shared" si="19"/>
        <v>90</v>
      </c>
      <c r="B95" s="140">
        <f>INDEX('PEER GROUP'!B:B,MATCH($A95,'PEER GROUP'!$A:$A,0))</f>
        <v>0</v>
      </c>
      <c r="C95" s="83">
        <f>INDEX('PEER GROUP'!C:C,MATCH($A95,'PEER GROUP'!$A:$A,0))</f>
        <v>0</v>
      </c>
      <c r="D95" s="83">
        <f>INDEX('PEER GROUP'!D:D,MATCH($A95,'PEER GROUP'!$A:$A,0))</f>
        <v>0</v>
      </c>
      <c r="E95" s="83">
        <f>INDEX('PEER GROUP'!E:E,MATCH(A95,'PEER GROUP'!$A:$A,0))</f>
        <v>0</v>
      </c>
      <c r="F95" s="84">
        <f>INDEX('PEER GROUP'!F:F,MATCH($A95,'PEER GROUP'!$A:$A,0))</f>
        <v>0</v>
      </c>
      <c r="G95" s="84">
        <f>INDEX('PEER GROUP'!G:G,MATCH($A95,'PEER GROUP'!$A:$A,0))</f>
        <v>0</v>
      </c>
      <c r="H95" s="85"/>
      <c r="I95" s="85"/>
      <c r="J95" s="70">
        <f>INDEX('PEER GROUP'!K:K,MATCH($A95,'PEER GROUP'!$A:$A,0))</f>
        <v>0</v>
      </c>
      <c r="K95" s="70">
        <f>INDEX('PEER GROUP'!L:L,MATCH($A95,'PEER GROUP'!$A:$A,0))</f>
        <v>0</v>
      </c>
      <c r="L95" s="70">
        <f>INDEX('PEER GROUP'!M:M,MATCH($A95,'PEER GROUP'!$A:$A,0))</f>
        <v>0</v>
      </c>
      <c r="M95" s="86">
        <f>INDEX('PEER GROUP'!N:N,MATCH($A95,'PEER GROUP'!$A:$A,0))</f>
        <v>0</v>
      </c>
      <c r="N95" s="118"/>
      <c r="O95" s="115"/>
      <c r="P95" s="117"/>
      <c r="Q95" s="87"/>
      <c r="R95" s="87">
        <f t="shared" si="20"/>
        <v>0</v>
      </c>
      <c r="S95" s="87"/>
      <c r="T95" s="87"/>
      <c r="U95" s="87"/>
      <c r="V95" s="87">
        <f t="shared" si="21"/>
        <v>0</v>
      </c>
      <c r="W95" s="113">
        <f t="shared" si="17"/>
        <v>36.913096727263202</v>
      </c>
      <c r="X95" s="69">
        <f t="shared" si="22"/>
        <v>0</v>
      </c>
      <c r="Y95" s="70">
        <f t="shared" si="23"/>
        <v>0</v>
      </c>
      <c r="Z95" s="70">
        <f t="shared" si="24"/>
        <v>0</v>
      </c>
      <c r="AA95" s="70">
        <f t="shared" si="25"/>
        <v>0</v>
      </c>
      <c r="AB95" s="70">
        <f t="shared" si="26"/>
        <v>0</v>
      </c>
      <c r="AC95" s="70">
        <f t="shared" si="27"/>
        <v>0</v>
      </c>
      <c r="AD95" s="71">
        <f t="shared" si="28"/>
        <v>0</v>
      </c>
      <c r="AE95" s="49"/>
      <c r="AF95" s="21"/>
      <c r="AG95" s="69"/>
      <c r="AH95" s="70"/>
      <c r="AI95" s="70"/>
      <c r="AJ95" s="70"/>
      <c r="AK95" s="70"/>
      <c r="AL95" s="70"/>
      <c r="AM95" s="70"/>
      <c r="AN95" s="70" t="str">
        <f t="shared" si="29"/>
        <v>---</v>
      </c>
      <c r="AO95" s="70" t="str">
        <f t="shared" si="30"/>
        <v>---</v>
      </c>
      <c r="AP95" s="70" t="str">
        <f t="shared" si="31"/>
        <v>---</v>
      </c>
      <c r="AQ95" s="70" t="str">
        <f t="shared" si="32"/>
        <v>---</v>
      </c>
      <c r="AR95" s="70" t="str">
        <f t="shared" si="33"/>
        <v>---</v>
      </c>
      <c r="AS95" s="70" t="str">
        <f t="shared" si="34"/>
        <v>---</v>
      </c>
      <c r="AT95" s="71" t="str">
        <f t="shared" si="35"/>
        <v>---</v>
      </c>
    </row>
    <row r="96" spans="1:46" ht="30" customHeight="1" x14ac:dyDescent="0.3">
      <c r="A96" s="123">
        <f t="shared" si="19"/>
        <v>91</v>
      </c>
      <c r="B96" s="140">
        <f>INDEX('PEER GROUP'!B:B,MATCH($A96,'PEER GROUP'!$A:$A,0))</f>
        <v>0</v>
      </c>
      <c r="C96" s="83">
        <f>INDEX('PEER GROUP'!C:C,MATCH($A96,'PEER GROUP'!$A:$A,0))</f>
        <v>0</v>
      </c>
      <c r="D96" s="83">
        <f>INDEX('PEER GROUP'!D:D,MATCH($A96,'PEER GROUP'!$A:$A,0))</f>
        <v>0</v>
      </c>
      <c r="E96" s="83">
        <f>INDEX('PEER GROUP'!E:E,MATCH(A96,'PEER GROUP'!$A:$A,0))</f>
        <v>0</v>
      </c>
      <c r="F96" s="84">
        <f>INDEX('PEER GROUP'!F:F,MATCH($A96,'PEER GROUP'!$A:$A,0))</f>
        <v>0</v>
      </c>
      <c r="G96" s="84">
        <f>INDEX('PEER GROUP'!G:G,MATCH($A96,'PEER GROUP'!$A:$A,0))</f>
        <v>0</v>
      </c>
      <c r="H96" s="85"/>
      <c r="I96" s="85"/>
      <c r="J96" s="70">
        <f>INDEX('PEER GROUP'!K:K,MATCH($A96,'PEER GROUP'!$A:$A,0))</f>
        <v>0</v>
      </c>
      <c r="K96" s="70">
        <f>INDEX('PEER GROUP'!L:L,MATCH($A96,'PEER GROUP'!$A:$A,0))</f>
        <v>0</v>
      </c>
      <c r="L96" s="70">
        <f>INDEX('PEER GROUP'!M:M,MATCH($A96,'PEER GROUP'!$A:$A,0))</f>
        <v>0</v>
      </c>
      <c r="M96" s="86">
        <f>INDEX('PEER GROUP'!N:N,MATCH($A96,'PEER GROUP'!$A:$A,0))</f>
        <v>0</v>
      </c>
      <c r="N96" s="118"/>
      <c r="O96" s="115"/>
      <c r="P96" s="117"/>
      <c r="Q96" s="87"/>
      <c r="R96" s="87">
        <f t="shared" si="20"/>
        <v>0</v>
      </c>
      <c r="S96" s="87"/>
      <c r="T96" s="87"/>
      <c r="U96" s="87"/>
      <c r="V96" s="87">
        <f t="shared" si="21"/>
        <v>0</v>
      </c>
      <c r="W96" s="113">
        <f t="shared" si="17"/>
        <v>36.913096727263202</v>
      </c>
      <c r="X96" s="69">
        <f t="shared" si="22"/>
        <v>0</v>
      </c>
      <c r="Y96" s="70">
        <f t="shared" si="23"/>
        <v>0</v>
      </c>
      <c r="Z96" s="70">
        <f t="shared" si="24"/>
        <v>0</v>
      </c>
      <c r="AA96" s="70">
        <f t="shared" si="25"/>
        <v>0</v>
      </c>
      <c r="AB96" s="70">
        <f t="shared" si="26"/>
        <v>0</v>
      </c>
      <c r="AC96" s="70">
        <f t="shared" si="27"/>
        <v>0</v>
      </c>
      <c r="AD96" s="71">
        <f t="shared" si="28"/>
        <v>0</v>
      </c>
      <c r="AE96" s="49"/>
      <c r="AF96" s="21"/>
      <c r="AG96" s="69"/>
      <c r="AH96" s="70"/>
      <c r="AI96" s="70"/>
      <c r="AJ96" s="70"/>
      <c r="AK96" s="70"/>
      <c r="AL96" s="70"/>
      <c r="AM96" s="70"/>
      <c r="AN96" s="70" t="str">
        <f t="shared" si="29"/>
        <v>---</v>
      </c>
      <c r="AO96" s="70" t="str">
        <f t="shared" si="30"/>
        <v>---</v>
      </c>
      <c r="AP96" s="70" t="str">
        <f t="shared" si="31"/>
        <v>---</v>
      </c>
      <c r="AQ96" s="70" t="str">
        <f t="shared" si="32"/>
        <v>---</v>
      </c>
      <c r="AR96" s="70" t="str">
        <f t="shared" si="33"/>
        <v>---</v>
      </c>
      <c r="AS96" s="70" t="str">
        <f t="shared" si="34"/>
        <v>---</v>
      </c>
      <c r="AT96" s="71" t="str">
        <f t="shared" si="35"/>
        <v>---</v>
      </c>
    </row>
    <row r="97" spans="1:46" ht="30" customHeight="1" x14ac:dyDescent="0.3">
      <c r="A97" s="123">
        <f t="shared" si="19"/>
        <v>92</v>
      </c>
      <c r="B97" s="140">
        <f>INDEX('PEER GROUP'!B:B,MATCH($A97,'PEER GROUP'!$A:$A,0))</f>
        <v>0</v>
      </c>
      <c r="C97" s="83">
        <f>INDEX('PEER GROUP'!C:C,MATCH($A97,'PEER GROUP'!$A:$A,0))</f>
        <v>0</v>
      </c>
      <c r="D97" s="83">
        <f>INDEX('PEER GROUP'!D:D,MATCH($A97,'PEER GROUP'!$A:$A,0))</f>
        <v>0</v>
      </c>
      <c r="E97" s="83">
        <f>INDEX('PEER GROUP'!E:E,MATCH(A97,'PEER GROUP'!$A:$A,0))</f>
        <v>0</v>
      </c>
      <c r="F97" s="84">
        <f>INDEX('PEER GROUP'!F:F,MATCH($A97,'PEER GROUP'!$A:$A,0))</f>
        <v>0</v>
      </c>
      <c r="G97" s="84">
        <f>INDEX('PEER GROUP'!G:G,MATCH($A97,'PEER GROUP'!$A:$A,0))</f>
        <v>0</v>
      </c>
      <c r="H97" s="85"/>
      <c r="I97" s="85"/>
      <c r="J97" s="70">
        <f>INDEX('PEER GROUP'!K:K,MATCH($A97,'PEER GROUP'!$A:$A,0))</f>
        <v>0</v>
      </c>
      <c r="K97" s="70">
        <f>INDEX('PEER GROUP'!L:L,MATCH($A97,'PEER GROUP'!$A:$A,0))</f>
        <v>0</v>
      </c>
      <c r="L97" s="70">
        <f>INDEX('PEER GROUP'!M:M,MATCH($A97,'PEER GROUP'!$A:$A,0))</f>
        <v>0</v>
      </c>
      <c r="M97" s="86">
        <f>INDEX('PEER GROUP'!N:N,MATCH($A97,'PEER GROUP'!$A:$A,0))</f>
        <v>0</v>
      </c>
      <c r="N97" s="118"/>
      <c r="O97" s="115"/>
      <c r="P97" s="117"/>
      <c r="Q97" s="87"/>
      <c r="R97" s="87">
        <f t="shared" si="20"/>
        <v>0</v>
      </c>
      <c r="S97" s="87"/>
      <c r="T97" s="87"/>
      <c r="U97" s="87"/>
      <c r="V97" s="87">
        <f t="shared" si="21"/>
        <v>0</v>
      </c>
      <c r="W97" s="113">
        <f t="shared" si="17"/>
        <v>36.913096727263202</v>
      </c>
      <c r="X97" s="69">
        <f t="shared" si="22"/>
        <v>0</v>
      </c>
      <c r="Y97" s="70">
        <f t="shared" si="23"/>
        <v>0</v>
      </c>
      <c r="Z97" s="70">
        <f t="shared" si="24"/>
        <v>0</v>
      </c>
      <c r="AA97" s="70">
        <f t="shared" si="25"/>
        <v>0</v>
      </c>
      <c r="AB97" s="70">
        <f t="shared" si="26"/>
        <v>0</v>
      </c>
      <c r="AC97" s="70">
        <f t="shared" si="27"/>
        <v>0</v>
      </c>
      <c r="AD97" s="71">
        <f t="shared" si="28"/>
        <v>0</v>
      </c>
      <c r="AE97" s="49"/>
      <c r="AF97" s="21"/>
      <c r="AG97" s="69"/>
      <c r="AH97" s="70"/>
      <c r="AI97" s="70"/>
      <c r="AJ97" s="70"/>
      <c r="AK97" s="70"/>
      <c r="AL97" s="70"/>
      <c r="AM97" s="70"/>
      <c r="AN97" s="70" t="str">
        <f t="shared" si="29"/>
        <v>---</v>
      </c>
      <c r="AO97" s="70" t="str">
        <f t="shared" si="30"/>
        <v>---</v>
      </c>
      <c r="AP97" s="70" t="str">
        <f t="shared" si="31"/>
        <v>---</v>
      </c>
      <c r="AQ97" s="70" t="str">
        <f t="shared" si="32"/>
        <v>---</v>
      </c>
      <c r="AR97" s="70" t="str">
        <f t="shared" si="33"/>
        <v>---</v>
      </c>
      <c r="AS97" s="70" t="str">
        <f t="shared" si="34"/>
        <v>---</v>
      </c>
      <c r="AT97" s="71" t="str">
        <f t="shared" si="35"/>
        <v>---</v>
      </c>
    </row>
    <row r="98" spans="1:46" ht="30" customHeight="1" x14ac:dyDescent="0.3">
      <c r="A98" s="123">
        <f t="shared" si="19"/>
        <v>93</v>
      </c>
      <c r="B98" s="140">
        <f>INDEX('PEER GROUP'!B:B,MATCH($A98,'PEER GROUP'!$A:$A,0))</f>
        <v>0</v>
      </c>
      <c r="C98" s="83">
        <f>INDEX('PEER GROUP'!C:C,MATCH($A98,'PEER GROUP'!$A:$A,0))</f>
        <v>0</v>
      </c>
      <c r="D98" s="83">
        <f>INDEX('PEER GROUP'!D:D,MATCH($A98,'PEER GROUP'!$A:$A,0))</f>
        <v>0</v>
      </c>
      <c r="E98" s="83">
        <f>INDEX('PEER GROUP'!E:E,MATCH(A98,'PEER GROUP'!$A:$A,0))</f>
        <v>0</v>
      </c>
      <c r="F98" s="84">
        <f>INDEX('PEER GROUP'!F:F,MATCH($A98,'PEER GROUP'!$A:$A,0))</f>
        <v>0</v>
      </c>
      <c r="G98" s="84">
        <f>INDEX('PEER GROUP'!G:G,MATCH($A98,'PEER GROUP'!$A:$A,0))</f>
        <v>0</v>
      </c>
      <c r="H98" s="85"/>
      <c r="I98" s="85"/>
      <c r="J98" s="70">
        <f>INDEX('PEER GROUP'!K:K,MATCH($A98,'PEER GROUP'!$A:$A,0))</f>
        <v>0</v>
      </c>
      <c r="K98" s="70">
        <f>INDEX('PEER GROUP'!L:L,MATCH($A98,'PEER GROUP'!$A:$A,0))</f>
        <v>0</v>
      </c>
      <c r="L98" s="70">
        <f>INDEX('PEER GROUP'!M:M,MATCH($A98,'PEER GROUP'!$A:$A,0))</f>
        <v>0</v>
      </c>
      <c r="M98" s="86">
        <f>INDEX('PEER GROUP'!N:N,MATCH($A98,'PEER GROUP'!$A:$A,0))</f>
        <v>0</v>
      </c>
      <c r="N98" s="118"/>
      <c r="O98" s="115"/>
      <c r="P98" s="117"/>
      <c r="Q98" s="87"/>
      <c r="R98" s="87">
        <f t="shared" si="20"/>
        <v>0</v>
      </c>
      <c r="S98" s="87"/>
      <c r="T98" s="87"/>
      <c r="U98" s="87"/>
      <c r="V98" s="87">
        <f t="shared" si="21"/>
        <v>0</v>
      </c>
      <c r="W98" s="113">
        <f t="shared" si="17"/>
        <v>36.913096727263202</v>
      </c>
      <c r="X98" s="69">
        <f t="shared" si="22"/>
        <v>0</v>
      </c>
      <c r="Y98" s="70">
        <f t="shared" si="23"/>
        <v>0</v>
      </c>
      <c r="Z98" s="70">
        <f t="shared" si="24"/>
        <v>0</v>
      </c>
      <c r="AA98" s="70">
        <f t="shared" si="25"/>
        <v>0</v>
      </c>
      <c r="AB98" s="70">
        <f t="shared" si="26"/>
        <v>0</v>
      </c>
      <c r="AC98" s="70">
        <f t="shared" si="27"/>
        <v>0</v>
      </c>
      <c r="AD98" s="71">
        <f t="shared" si="28"/>
        <v>0</v>
      </c>
      <c r="AE98" s="49"/>
      <c r="AF98" s="21"/>
      <c r="AG98" s="69"/>
      <c r="AH98" s="70"/>
      <c r="AI98" s="70"/>
      <c r="AJ98" s="70"/>
      <c r="AK98" s="70"/>
      <c r="AL98" s="70"/>
      <c r="AM98" s="70"/>
      <c r="AN98" s="70" t="str">
        <f t="shared" si="29"/>
        <v>---</v>
      </c>
      <c r="AO98" s="70" t="str">
        <f t="shared" si="30"/>
        <v>---</v>
      </c>
      <c r="AP98" s="70" t="str">
        <f t="shared" si="31"/>
        <v>---</v>
      </c>
      <c r="AQ98" s="70" t="str">
        <f t="shared" si="32"/>
        <v>---</v>
      </c>
      <c r="AR98" s="70" t="str">
        <f t="shared" si="33"/>
        <v>---</v>
      </c>
      <c r="AS98" s="70" t="str">
        <f t="shared" si="34"/>
        <v>---</v>
      </c>
      <c r="AT98" s="71" t="str">
        <f t="shared" si="35"/>
        <v>---</v>
      </c>
    </row>
    <row r="99" spans="1:46" ht="30" customHeight="1" x14ac:dyDescent="0.3">
      <c r="A99" s="123">
        <f t="shared" si="19"/>
        <v>94</v>
      </c>
      <c r="B99" s="140">
        <f>INDEX('PEER GROUP'!B:B,MATCH($A99,'PEER GROUP'!$A:$A,0))</f>
        <v>0</v>
      </c>
      <c r="C99" s="83">
        <f>INDEX('PEER GROUP'!C:C,MATCH($A99,'PEER GROUP'!$A:$A,0))</f>
        <v>0</v>
      </c>
      <c r="D99" s="83">
        <f>INDEX('PEER GROUP'!D:D,MATCH($A99,'PEER GROUP'!$A:$A,0))</f>
        <v>0</v>
      </c>
      <c r="E99" s="83">
        <f>INDEX('PEER GROUP'!E:E,MATCH(A99,'PEER GROUP'!$A:$A,0))</f>
        <v>0</v>
      </c>
      <c r="F99" s="84">
        <f>INDEX('PEER GROUP'!F:F,MATCH($A99,'PEER GROUP'!$A:$A,0))</f>
        <v>0</v>
      </c>
      <c r="G99" s="84">
        <f>INDEX('PEER GROUP'!G:G,MATCH($A99,'PEER GROUP'!$A:$A,0))</f>
        <v>0</v>
      </c>
      <c r="H99" s="85"/>
      <c r="I99" s="85"/>
      <c r="J99" s="70">
        <f>INDEX('PEER GROUP'!K:K,MATCH($A99,'PEER GROUP'!$A:$A,0))</f>
        <v>0</v>
      </c>
      <c r="K99" s="70">
        <f>INDEX('PEER GROUP'!L:L,MATCH($A99,'PEER GROUP'!$A:$A,0))</f>
        <v>0</v>
      </c>
      <c r="L99" s="70">
        <f>INDEX('PEER GROUP'!M:M,MATCH($A99,'PEER GROUP'!$A:$A,0))</f>
        <v>0</v>
      </c>
      <c r="M99" s="86">
        <f>INDEX('PEER GROUP'!N:N,MATCH($A99,'PEER GROUP'!$A:$A,0))</f>
        <v>0</v>
      </c>
      <c r="N99" s="118"/>
      <c r="O99" s="115"/>
      <c r="P99" s="117"/>
      <c r="Q99" s="87"/>
      <c r="R99" s="87">
        <f t="shared" si="20"/>
        <v>0</v>
      </c>
      <c r="S99" s="87"/>
      <c r="T99" s="87"/>
      <c r="U99" s="87"/>
      <c r="V99" s="87">
        <f t="shared" si="21"/>
        <v>0</v>
      </c>
      <c r="W99" s="113">
        <f t="shared" ref="W99:W162" si="36">IF(DataEffDate&gt;DATE(2022,1,1),
IF(E99&lt;DATE(2022,1,1),
(1+UpdateFactor)^(IF(E99&lt;DataEffDate,1,-1)*YEARFRAC(E99,DATE(2022,1,1),1))+(1+UpdateFactor_TEMP)^(IF(DATE(2022,1,1)&lt;DataEffDate,1,-1)*YEARFRAC(DATE(2022,1,1),DataEffDate,1))-1,
(1+UpdateFactor_TEMP)^(IF(E99&lt;DataEffDate,1,-1)*YEARFRAC(E99,DataEffDate,1))),
(1+UpdateFactor)^(IF(E99&lt;DataEffDate,1,-1)*YEARFRAC(E99,DataEffDate,1)))</f>
        <v>36.913096727263202</v>
      </c>
      <c r="X99" s="69">
        <f t="shared" si="22"/>
        <v>0</v>
      </c>
      <c r="Y99" s="70">
        <f t="shared" si="23"/>
        <v>0</v>
      </c>
      <c r="Z99" s="70">
        <f t="shared" si="24"/>
        <v>0</v>
      </c>
      <c r="AA99" s="70">
        <f t="shared" si="25"/>
        <v>0</v>
      </c>
      <c r="AB99" s="70">
        <f t="shared" si="26"/>
        <v>0</v>
      </c>
      <c r="AC99" s="70">
        <f t="shared" si="27"/>
        <v>0</v>
      </c>
      <c r="AD99" s="71">
        <f t="shared" si="28"/>
        <v>0</v>
      </c>
      <c r="AE99" s="49"/>
      <c r="AF99" s="21"/>
      <c r="AG99" s="69"/>
      <c r="AH99" s="70"/>
      <c r="AI99" s="70"/>
      <c r="AJ99" s="70"/>
      <c r="AK99" s="70"/>
      <c r="AL99" s="70"/>
      <c r="AM99" s="70"/>
      <c r="AN99" s="70" t="str">
        <f t="shared" si="29"/>
        <v>---</v>
      </c>
      <c r="AO99" s="70" t="str">
        <f t="shared" si="30"/>
        <v>---</v>
      </c>
      <c r="AP99" s="70" t="str">
        <f t="shared" si="31"/>
        <v>---</v>
      </c>
      <c r="AQ99" s="70" t="str">
        <f t="shared" si="32"/>
        <v>---</v>
      </c>
      <c r="AR99" s="70" t="str">
        <f t="shared" si="33"/>
        <v>---</v>
      </c>
      <c r="AS99" s="70" t="str">
        <f t="shared" si="34"/>
        <v>---</v>
      </c>
      <c r="AT99" s="71" t="str">
        <f t="shared" si="35"/>
        <v>---</v>
      </c>
    </row>
    <row r="100" spans="1:46" ht="30" customHeight="1" x14ac:dyDescent="0.3">
      <c r="A100" s="123">
        <f t="shared" ref="A100:A163" si="37">A99+1</f>
        <v>95</v>
      </c>
      <c r="B100" s="140">
        <f>INDEX('PEER GROUP'!B:B,MATCH($A100,'PEER GROUP'!$A:$A,0))</f>
        <v>0</v>
      </c>
      <c r="C100" s="83">
        <f>INDEX('PEER GROUP'!C:C,MATCH($A100,'PEER GROUP'!$A:$A,0))</f>
        <v>0</v>
      </c>
      <c r="D100" s="83">
        <f>INDEX('PEER GROUP'!D:D,MATCH($A100,'PEER GROUP'!$A:$A,0))</f>
        <v>0</v>
      </c>
      <c r="E100" s="83">
        <f>INDEX('PEER GROUP'!E:E,MATCH(A100,'PEER GROUP'!$A:$A,0))</f>
        <v>0</v>
      </c>
      <c r="F100" s="84">
        <f>INDEX('PEER GROUP'!F:F,MATCH($A100,'PEER GROUP'!$A:$A,0))</f>
        <v>0</v>
      </c>
      <c r="G100" s="84">
        <f>INDEX('PEER GROUP'!G:G,MATCH($A100,'PEER GROUP'!$A:$A,0))</f>
        <v>0</v>
      </c>
      <c r="H100" s="85"/>
      <c r="I100" s="85"/>
      <c r="J100" s="70">
        <f>INDEX('PEER GROUP'!K:K,MATCH($A100,'PEER GROUP'!$A:$A,0))</f>
        <v>0</v>
      </c>
      <c r="K100" s="70">
        <f>INDEX('PEER GROUP'!L:L,MATCH($A100,'PEER GROUP'!$A:$A,0))</f>
        <v>0</v>
      </c>
      <c r="L100" s="70">
        <f>INDEX('PEER GROUP'!M:M,MATCH($A100,'PEER GROUP'!$A:$A,0))</f>
        <v>0</v>
      </c>
      <c r="M100" s="86">
        <f>INDEX('PEER GROUP'!N:N,MATCH($A100,'PEER GROUP'!$A:$A,0))</f>
        <v>0</v>
      </c>
      <c r="N100" s="118"/>
      <c r="O100" s="115"/>
      <c r="P100" s="117"/>
      <c r="Q100" s="87"/>
      <c r="R100" s="87">
        <f t="shared" ref="R100:R163" si="38">SUM(P100:Q100)</f>
        <v>0</v>
      </c>
      <c r="S100" s="87"/>
      <c r="T100" s="87"/>
      <c r="U100" s="87"/>
      <c r="V100" s="87">
        <f t="shared" ref="V100:V163" si="39">SUM(R100:U100)</f>
        <v>0</v>
      </c>
      <c r="W100" s="113">
        <f t="shared" si="36"/>
        <v>36.913096727263202</v>
      </c>
      <c r="X100" s="69">
        <f t="shared" ref="X100:X163" si="40">P100*$W100</f>
        <v>0</v>
      </c>
      <c r="Y100" s="70">
        <f t="shared" ref="Y100:Y163" si="41">Q100*$W100</f>
        <v>0</v>
      </c>
      <c r="Z100" s="70">
        <f t="shared" ref="Z100:Z163" si="42">SUM(X100:Y100)</f>
        <v>0</v>
      </c>
      <c r="AA100" s="70">
        <f t="shared" ref="AA100:AA163" si="43">S100*$W100</f>
        <v>0</v>
      </c>
      <c r="AB100" s="70">
        <f t="shared" ref="AB100:AB163" si="44">T100*$W100</f>
        <v>0</v>
      </c>
      <c r="AC100" s="70">
        <f t="shared" ref="AC100:AC163" si="45">U100*$W100</f>
        <v>0</v>
      </c>
      <c r="AD100" s="71">
        <f t="shared" ref="AD100:AD163" si="46">SUM(Z100:AC100)</f>
        <v>0</v>
      </c>
      <c r="AE100" s="49"/>
      <c r="AF100" s="21"/>
      <c r="AG100" s="69"/>
      <c r="AH100" s="70"/>
      <c r="AI100" s="70"/>
      <c r="AJ100" s="70"/>
      <c r="AK100" s="70"/>
      <c r="AL100" s="70"/>
      <c r="AM100" s="70"/>
      <c r="AN100" s="70" t="str">
        <f t="shared" ref="AN100:AN163" si="47">IFERROR(P100/AG100-1,"---")</f>
        <v>---</v>
      </c>
      <c r="AO100" s="70" t="str">
        <f t="shared" ref="AO100:AO163" si="48">IFERROR(Q100/AH100-1,"---")</f>
        <v>---</v>
      </c>
      <c r="AP100" s="70" t="str">
        <f t="shared" ref="AP100:AP163" si="49">IFERROR(R100/AI100-1,"---")</f>
        <v>---</v>
      </c>
      <c r="AQ100" s="70" t="str">
        <f t="shared" ref="AQ100:AQ163" si="50">IFERROR(S100/AJ100-1,"---")</f>
        <v>---</v>
      </c>
      <c r="AR100" s="70" t="str">
        <f t="shared" ref="AR100:AR163" si="51">IFERROR(T100/AK100-1,"---")</f>
        <v>---</v>
      </c>
      <c r="AS100" s="70" t="str">
        <f t="shared" ref="AS100:AS163" si="52">IFERROR(U100/AL100-1,"---")</f>
        <v>---</v>
      </c>
      <c r="AT100" s="71" t="str">
        <f t="shared" ref="AT100:AT163" si="53">IFERROR(V100/AM100-1,"---")</f>
        <v>---</v>
      </c>
    </row>
    <row r="101" spans="1:46" ht="30" customHeight="1" x14ac:dyDescent="0.3">
      <c r="A101" s="123">
        <f t="shared" si="37"/>
        <v>96</v>
      </c>
      <c r="B101" s="140">
        <f>INDEX('PEER GROUP'!B:B,MATCH($A101,'PEER GROUP'!$A:$A,0))</f>
        <v>0</v>
      </c>
      <c r="C101" s="83">
        <f>INDEX('PEER GROUP'!C:C,MATCH($A101,'PEER GROUP'!$A:$A,0))</f>
        <v>0</v>
      </c>
      <c r="D101" s="83">
        <f>INDEX('PEER GROUP'!D:D,MATCH($A101,'PEER GROUP'!$A:$A,0))</f>
        <v>0</v>
      </c>
      <c r="E101" s="83">
        <f>INDEX('PEER GROUP'!E:E,MATCH(A101,'PEER GROUP'!$A:$A,0))</f>
        <v>0</v>
      </c>
      <c r="F101" s="84">
        <f>INDEX('PEER GROUP'!F:F,MATCH($A101,'PEER GROUP'!$A:$A,0))</f>
        <v>0</v>
      </c>
      <c r="G101" s="84">
        <f>INDEX('PEER GROUP'!G:G,MATCH($A101,'PEER GROUP'!$A:$A,0))</f>
        <v>0</v>
      </c>
      <c r="H101" s="85"/>
      <c r="I101" s="85"/>
      <c r="J101" s="70">
        <f>INDEX('PEER GROUP'!K:K,MATCH($A101,'PEER GROUP'!$A:$A,0))</f>
        <v>0</v>
      </c>
      <c r="K101" s="70">
        <f>INDEX('PEER GROUP'!L:L,MATCH($A101,'PEER GROUP'!$A:$A,0))</f>
        <v>0</v>
      </c>
      <c r="L101" s="70">
        <f>INDEX('PEER GROUP'!M:M,MATCH($A101,'PEER GROUP'!$A:$A,0))</f>
        <v>0</v>
      </c>
      <c r="M101" s="86">
        <f>INDEX('PEER GROUP'!N:N,MATCH($A101,'PEER GROUP'!$A:$A,0))</f>
        <v>0</v>
      </c>
      <c r="N101" s="118"/>
      <c r="O101" s="115"/>
      <c r="P101" s="117"/>
      <c r="Q101" s="87"/>
      <c r="R101" s="87">
        <f t="shared" si="38"/>
        <v>0</v>
      </c>
      <c r="S101" s="87"/>
      <c r="T101" s="87"/>
      <c r="U101" s="87"/>
      <c r="V101" s="87">
        <f t="shared" si="39"/>
        <v>0</v>
      </c>
      <c r="W101" s="113">
        <f t="shared" si="36"/>
        <v>36.913096727263202</v>
      </c>
      <c r="X101" s="69">
        <f t="shared" si="40"/>
        <v>0</v>
      </c>
      <c r="Y101" s="70">
        <f t="shared" si="41"/>
        <v>0</v>
      </c>
      <c r="Z101" s="70">
        <f t="shared" si="42"/>
        <v>0</v>
      </c>
      <c r="AA101" s="70">
        <f t="shared" si="43"/>
        <v>0</v>
      </c>
      <c r="AB101" s="70">
        <f t="shared" si="44"/>
        <v>0</v>
      </c>
      <c r="AC101" s="70">
        <f t="shared" si="45"/>
        <v>0</v>
      </c>
      <c r="AD101" s="71">
        <f t="shared" si="46"/>
        <v>0</v>
      </c>
      <c r="AE101" s="49"/>
      <c r="AF101" s="21"/>
      <c r="AG101" s="69"/>
      <c r="AH101" s="70"/>
      <c r="AI101" s="70"/>
      <c r="AJ101" s="70"/>
      <c r="AK101" s="70"/>
      <c r="AL101" s="70"/>
      <c r="AM101" s="70"/>
      <c r="AN101" s="70" t="str">
        <f t="shared" si="47"/>
        <v>---</v>
      </c>
      <c r="AO101" s="70" t="str">
        <f t="shared" si="48"/>
        <v>---</v>
      </c>
      <c r="AP101" s="70" t="str">
        <f t="shared" si="49"/>
        <v>---</v>
      </c>
      <c r="AQ101" s="70" t="str">
        <f t="shared" si="50"/>
        <v>---</v>
      </c>
      <c r="AR101" s="70" t="str">
        <f t="shared" si="51"/>
        <v>---</v>
      </c>
      <c r="AS101" s="70" t="str">
        <f t="shared" si="52"/>
        <v>---</v>
      </c>
      <c r="AT101" s="71" t="str">
        <f t="shared" si="53"/>
        <v>---</v>
      </c>
    </row>
    <row r="102" spans="1:46" ht="30" customHeight="1" x14ac:dyDescent="0.3">
      <c r="A102" s="123">
        <f t="shared" si="37"/>
        <v>97</v>
      </c>
      <c r="B102" s="140">
        <f>INDEX('PEER GROUP'!B:B,MATCH($A102,'PEER GROUP'!$A:$A,0))</f>
        <v>0</v>
      </c>
      <c r="C102" s="83">
        <f>INDEX('PEER GROUP'!C:C,MATCH($A102,'PEER GROUP'!$A:$A,0))</f>
        <v>0</v>
      </c>
      <c r="D102" s="83">
        <f>INDEX('PEER GROUP'!D:D,MATCH($A102,'PEER GROUP'!$A:$A,0))</f>
        <v>0</v>
      </c>
      <c r="E102" s="83">
        <f>INDEX('PEER GROUP'!E:E,MATCH(A102,'PEER GROUP'!$A:$A,0))</f>
        <v>0</v>
      </c>
      <c r="F102" s="84">
        <f>INDEX('PEER GROUP'!F:F,MATCH($A102,'PEER GROUP'!$A:$A,0))</f>
        <v>0</v>
      </c>
      <c r="G102" s="84">
        <f>INDEX('PEER GROUP'!G:G,MATCH($A102,'PEER GROUP'!$A:$A,0))</f>
        <v>0</v>
      </c>
      <c r="H102" s="85"/>
      <c r="I102" s="85"/>
      <c r="J102" s="70">
        <f>INDEX('PEER GROUP'!K:K,MATCH($A102,'PEER GROUP'!$A:$A,0))</f>
        <v>0</v>
      </c>
      <c r="K102" s="70">
        <f>INDEX('PEER GROUP'!L:L,MATCH($A102,'PEER GROUP'!$A:$A,0))</f>
        <v>0</v>
      </c>
      <c r="L102" s="70">
        <f>INDEX('PEER GROUP'!M:M,MATCH($A102,'PEER GROUP'!$A:$A,0))</f>
        <v>0</v>
      </c>
      <c r="M102" s="86">
        <f>INDEX('PEER GROUP'!N:N,MATCH($A102,'PEER GROUP'!$A:$A,0))</f>
        <v>0</v>
      </c>
      <c r="N102" s="118"/>
      <c r="O102" s="115"/>
      <c r="P102" s="117"/>
      <c r="Q102" s="87"/>
      <c r="R102" s="87">
        <f t="shared" si="38"/>
        <v>0</v>
      </c>
      <c r="S102" s="87"/>
      <c r="T102" s="87"/>
      <c r="U102" s="87"/>
      <c r="V102" s="87">
        <f t="shared" si="39"/>
        <v>0</v>
      </c>
      <c r="W102" s="113">
        <f t="shared" si="36"/>
        <v>36.913096727263202</v>
      </c>
      <c r="X102" s="69">
        <f t="shared" si="40"/>
        <v>0</v>
      </c>
      <c r="Y102" s="70">
        <f t="shared" si="41"/>
        <v>0</v>
      </c>
      <c r="Z102" s="70">
        <f t="shared" si="42"/>
        <v>0</v>
      </c>
      <c r="AA102" s="70">
        <f t="shared" si="43"/>
        <v>0</v>
      </c>
      <c r="AB102" s="70">
        <f t="shared" si="44"/>
        <v>0</v>
      </c>
      <c r="AC102" s="70">
        <f t="shared" si="45"/>
        <v>0</v>
      </c>
      <c r="AD102" s="71">
        <f t="shared" si="46"/>
        <v>0</v>
      </c>
      <c r="AE102" s="49"/>
      <c r="AF102" s="21"/>
      <c r="AG102" s="69"/>
      <c r="AH102" s="70"/>
      <c r="AI102" s="70"/>
      <c r="AJ102" s="70"/>
      <c r="AK102" s="70"/>
      <c r="AL102" s="70"/>
      <c r="AM102" s="70"/>
      <c r="AN102" s="70" t="str">
        <f t="shared" si="47"/>
        <v>---</v>
      </c>
      <c r="AO102" s="70" t="str">
        <f t="shared" si="48"/>
        <v>---</v>
      </c>
      <c r="AP102" s="70" t="str">
        <f t="shared" si="49"/>
        <v>---</v>
      </c>
      <c r="AQ102" s="70" t="str">
        <f t="shared" si="50"/>
        <v>---</v>
      </c>
      <c r="AR102" s="70" t="str">
        <f t="shared" si="51"/>
        <v>---</v>
      </c>
      <c r="AS102" s="70" t="str">
        <f t="shared" si="52"/>
        <v>---</v>
      </c>
      <c r="AT102" s="71" t="str">
        <f t="shared" si="53"/>
        <v>---</v>
      </c>
    </row>
    <row r="103" spans="1:46" ht="30" customHeight="1" x14ac:dyDescent="0.3">
      <c r="A103" s="123">
        <f t="shared" si="37"/>
        <v>98</v>
      </c>
      <c r="B103" s="140">
        <f>INDEX('PEER GROUP'!B:B,MATCH($A103,'PEER GROUP'!$A:$A,0))</f>
        <v>0</v>
      </c>
      <c r="C103" s="83">
        <f>INDEX('PEER GROUP'!C:C,MATCH($A103,'PEER GROUP'!$A:$A,0))</f>
        <v>0</v>
      </c>
      <c r="D103" s="83">
        <f>INDEX('PEER GROUP'!D:D,MATCH($A103,'PEER GROUP'!$A:$A,0))</f>
        <v>0</v>
      </c>
      <c r="E103" s="83">
        <f>INDEX('PEER GROUP'!E:E,MATCH(A103,'PEER GROUP'!$A:$A,0))</f>
        <v>0</v>
      </c>
      <c r="F103" s="84">
        <f>INDEX('PEER GROUP'!F:F,MATCH($A103,'PEER GROUP'!$A:$A,0))</f>
        <v>0</v>
      </c>
      <c r="G103" s="84">
        <f>INDEX('PEER GROUP'!G:G,MATCH($A103,'PEER GROUP'!$A:$A,0))</f>
        <v>0</v>
      </c>
      <c r="H103" s="85"/>
      <c r="I103" s="85"/>
      <c r="J103" s="70">
        <f>INDEX('PEER GROUP'!K:K,MATCH($A103,'PEER GROUP'!$A:$A,0))</f>
        <v>0</v>
      </c>
      <c r="K103" s="70">
        <f>INDEX('PEER GROUP'!L:L,MATCH($A103,'PEER GROUP'!$A:$A,0))</f>
        <v>0</v>
      </c>
      <c r="L103" s="70">
        <f>INDEX('PEER GROUP'!M:M,MATCH($A103,'PEER GROUP'!$A:$A,0))</f>
        <v>0</v>
      </c>
      <c r="M103" s="86">
        <f>INDEX('PEER GROUP'!N:N,MATCH($A103,'PEER GROUP'!$A:$A,0))</f>
        <v>0</v>
      </c>
      <c r="N103" s="118"/>
      <c r="O103" s="115"/>
      <c r="P103" s="117"/>
      <c r="Q103" s="87"/>
      <c r="R103" s="87">
        <f t="shared" si="38"/>
        <v>0</v>
      </c>
      <c r="S103" s="87"/>
      <c r="T103" s="87"/>
      <c r="U103" s="87"/>
      <c r="V103" s="87">
        <f t="shared" si="39"/>
        <v>0</v>
      </c>
      <c r="W103" s="113">
        <f t="shared" si="36"/>
        <v>36.913096727263202</v>
      </c>
      <c r="X103" s="69">
        <f t="shared" si="40"/>
        <v>0</v>
      </c>
      <c r="Y103" s="70">
        <f t="shared" si="41"/>
        <v>0</v>
      </c>
      <c r="Z103" s="70">
        <f t="shared" si="42"/>
        <v>0</v>
      </c>
      <c r="AA103" s="70">
        <f t="shared" si="43"/>
        <v>0</v>
      </c>
      <c r="AB103" s="70">
        <f t="shared" si="44"/>
        <v>0</v>
      </c>
      <c r="AC103" s="70">
        <f t="shared" si="45"/>
        <v>0</v>
      </c>
      <c r="AD103" s="71">
        <f t="shared" si="46"/>
        <v>0</v>
      </c>
      <c r="AE103" s="49"/>
      <c r="AF103" s="21"/>
      <c r="AG103" s="69"/>
      <c r="AH103" s="70"/>
      <c r="AI103" s="70"/>
      <c r="AJ103" s="70"/>
      <c r="AK103" s="70"/>
      <c r="AL103" s="70"/>
      <c r="AM103" s="70"/>
      <c r="AN103" s="70" t="str">
        <f t="shared" si="47"/>
        <v>---</v>
      </c>
      <c r="AO103" s="70" t="str">
        <f t="shared" si="48"/>
        <v>---</v>
      </c>
      <c r="AP103" s="70" t="str">
        <f t="shared" si="49"/>
        <v>---</v>
      </c>
      <c r="AQ103" s="70" t="str">
        <f t="shared" si="50"/>
        <v>---</v>
      </c>
      <c r="AR103" s="70" t="str">
        <f t="shared" si="51"/>
        <v>---</v>
      </c>
      <c r="AS103" s="70" t="str">
        <f t="shared" si="52"/>
        <v>---</v>
      </c>
      <c r="AT103" s="71" t="str">
        <f t="shared" si="53"/>
        <v>---</v>
      </c>
    </row>
    <row r="104" spans="1:46" ht="30" customHeight="1" x14ac:dyDescent="0.3">
      <c r="A104" s="123">
        <f t="shared" si="37"/>
        <v>99</v>
      </c>
      <c r="B104" s="140">
        <f>INDEX('PEER GROUP'!B:B,MATCH($A104,'PEER GROUP'!$A:$A,0))</f>
        <v>0</v>
      </c>
      <c r="C104" s="83">
        <f>INDEX('PEER GROUP'!C:C,MATCH($A104,'PEER GROUP'!$A:$A,0))</f>
        <v>0</v>
      </c>
      <c r="D104" s="83">
        <f>INDEX('PEER GROUP'!D:D,MATCH($A104,'PEER GROUP'!$A:$A,0))</f>
        <v>0</v>
      </c>
      <c r="E104" s="83">
        <f>INDEX('PEER GROUP'!E:E,MATCH(A104,'PEER GROUP'!$A:$A,0))</f>
        <v>0</v>
      </c>
      <c r="F104" s="84">
        <f>INDEX('PEER GROUP'!F:F,MATCH($A104,'PEER GROUP'!$A:$A,0))</f>
        <v>0</v>
      </c>
      <c r="G104" s="84">
        <f>INDEX('PEER GROUP'!G:G,MATCH($A104,'PEER GROUP'!$A:$A,0))</f>
        <v>0</v>
      </c>
      <c r="H104" s="85"/>
      <c r="I104" s="85"/>
      <c r="J104" s="70">
        <f>INDEX('PEER GROUP'!K:K,MATCH($A104,'PEER GROUP'!$A:$A,0))</f>
        <v>0</v>
      </c>
      <c r="K104" s="70">
        <f>INDEX('PEER GROUP'!L:L,MATCH($A104,'PEER GROUP'!$A:$A,0))</f>
        <v>0</v>
      </c>
      <c r="L104" s="70">
        <f>INDEX('PEER GROUP'!M:M,MATCH($A104,'PEER GROUP'!$A:$A,0))</f>
        <v>0</v>
      </c>
      <c r="M104" s="86">
        <f>INDEX('PEER GROUP'!N:N,MATCH($A104,'PEER GROUP'!$A:$A,0))</f>
        <v>0</v>
      </c>
      <c r="N104" s="118"/>
      <c r="O104" s="115"/>
      <c r="P104" s="117"/>
      <c r="Q104" s="87"/>
      <c r="R104" s="87">
        <f t="shared" si="38"/>
        <v>0</v>
      </c>
      <c r="S104" s="87"/>
      <c r="T104" s="87"/>
      <c r="U104" s="87"/>
      <c r="V104" s="87">
        <f t="shared" si="39"/>
        <v>0</v>
      </c>
      <c r="W104" s="113">
        <f t="shared" si="36"/>
        <v>36.913096727263202</v>
      </c>
      <c r="X104" s="69">
        <f t="shared" si="40"/>
        <v>0</v>
      </c>
      <c r="Y104" s="70">
        <f t="shared" si="41"/>
        <v>0</v>
      </c>
      <c r="Z104" s="70">
        <f t="shared" si="42"/>
        <v>0</v>
      </c>
      <c r="AA104" s="70">
        <f t="shared" si="43"/>
        <v>0</v>
      </c>
      <c r="AB104" s="70">
        <f t="shared" si="44"/>
        <v>0</v>
      </c>
      <c r="AC104" s="70">
        <f t="shared" si="45"/>
        <v>0</v>
      </c>
      <c r="AD104" s="71">
        <f t="shared" si="46"/>
        <v>0</v>
      </c>
      <c r="AE104" s="49"/>
      <c r="AF104" s="21"/>
      <c r="AG104" s="69"/>
      <c r="AH104" s="70"/>
      <c r="AI104" s="70"/>
      <c r="AJ104" s="70"/>
      <c r="AK104" s="70"/>
      <c r="AL104" s="70"/>
      <c r="AM104" s="70"/>
      <c r="AN104" s="70" t="str">
        <f t="shared" si="47"/>
        <v>---</v>
      </c>
      <c r="AO104" s="70" t="str">
        <f t="shared" si="48"/>
        <v>---</v>
      </c>
      <c r="AP104" s="70" t="str">
        <f t="shared" si="49"/>
        <v>---</v>
      </c>
      <c r="AQ104" s="70" t="str">
        <f t="shared" si="50"/>
        <v>---</v>
      </c>
      <c r="AR104" s="70" t="str">
        <f t="shared" si="51"/>
        <v>---</v>
      </c>
      <c r="AS104" s="70" t="str">
        <f t="shared" si="52"/>
        <v>---</v>
      </c>
      <c r="AT104" s="71" t="str">
        <f t="shared" si="53"/>
        <v>---</v>
      </c>
    </row>
    <row r="105" spans="1:46" ht="30" customHeight="1" x14ac:dyDescent="0.3">
      <c r="A105" s="123">
        <v>101</v>
      </c>
      <c r="B105" s="140">
        <f>INDEX('PEER GROUP'!B:B,MATCH($A105,'PEER GROUP'!$A:$A,0))</f>
        <v>0</v>
      </c>
      <c r="C105" s="83">
        <f>INDEX('PEER GROUP'!C:C,MATCH($A105,'PEER GROUP'!$A:$A,0))</f>
        <v>0</v>
      </c>
      <c r="D105" s="83">
        <f>INDEX('PEER GROUP'!D:D,MATCH($A105,'PEER GROUP'!$A:$A,0))</f>
        <v>0</v>
      </c>
      <c r="E105" s="83">
        <f>INDEX('PEER GROUP'!E:E,MATCH(A105,'PEER GROUP'!$A:$A,0))</f>
        <v>0</v>
      </c>
      <c r="F105" s="84">
        <f>INDEX('PEER GROUP'!F:F,MATCH($A105,'PEER GROUP'!$A:$A,0))</f>
        <v>0</v>
      </c>
      <c r="G105" s="84">
        <f>INDEX('PEER GROUP'!G:G,MATCH($A105,'PEER GROUP'!$A:$A,0))</f>
        <v>0</v>
      </c>
      <c r="H105" s="85"/>
      <c r="I105" s="85"/>
      <c r="J105" s="70">
        <f>INDEX('PEER GROUP'!K:K,MATCH($A105,'PEER GROUP'!$A:$A,0))</f>
        <v>0</v>
      </c>
      <c r="K105" s="70">
        <f>INDEX('PEER GROUP'!L:L,MATCH($A105,'PEER GROUP'!$A:$A,0))</f>
        <v>0</v>
      </c>
      <c r="L105" s="70">
        <f>INDEX('PEER GROUP'!M:M,MATCH($A105,'PEER GROUP'!$A:$A,0))</f>
        <v>0</v>
      </c>
      <c r="M105" s="86">
        <f>INDEX('PEER GROUP'!N:N,MATCH($A105,'PEER GROUP'!$A:$A,0))</f>
        <v>0</v>
      </c>
      <c r="N105" s="118"/>
      <c r="O105" s="115"/>
      <c r="P105" s="117"/>
      <c r="Q105" s="87"/>
      <c r="R105" s="87">
        <f t="shared" si="38"/>
        <v>0</v>
      </c>
      <c r="S105" s="87"/>
      <c r="T105" s="87"/>
      <c r="U105" s="87"/>
      <c r="V105" s="87">
        <f t="shared" si="39"/>
        <v>0</v>
      </c>
      <c r="W105" s="113">
        <f t="shared" si="36"/>
        <v>36.913096727263202</v>
      </c>
      <c r="X105" s="69">
        <f t="shared" si="40"/>
        <v>0</v>
      </c>
      <c r="Y105" s="70">
        <f t="shared" si="41"/>
        <v>0</v>
      </c>
      <c r="Z105" s="70">
        <f t="shared" si="42"/>
        <v>0</v>
      </c>
      <c r="AA105" s="70">
        <f t="shared" si="43"/>
        <v>0</v>
      </c>
      <c r="AB105" s="70">
        <f t="shared" si="44"/>
        <v>0</v>
      </c>
      <c r="AC105" s="70">
        <f t="shared" si="45"/>
        <v>0</v>
      </c>
      <c r="AD105" s="71">
        <f t="shared" si="46"/>
        <v>0</v>
      </c>
      <c r="AE105" s="49"/>
      <c r="AF105" s="21"/>
      <c r="AG105" s="69"/>
      <c r="AH105" s="70"/>
      <c r="AI105" s="70"/>
      <c r="AJ105" s="70"/>
      <c r="AK105" s="70"/>
      <c r="AL105" s="70"/>
      <c r="AM105" s="70"/>
      <c r="AN105" s="70" t="str">
        <f t="shared" si="47"/>
        <v>---</v>
      </c>
      <c r="AO105" s="70" t="str">
        <f t="shared" si="48"/>
        <v>---</v>
      </c>
      <c r="AP105" s="70" t="str">
        <f t="shared" si="49"/>
        <v>---</v>
      </c>
      <c r="AQ105" s="70" t="str">
        <f t="shared" si="50"/>
        <v>---</v>
      </c>
      <c r="AR105" s="70" t="str">
        <f t="shared" si="51"/>
        <v>---</v>
      </c>
      <c r="AS105" s="70" t="str">
        <f t="shared" si="52"/>
        <v>---</v>
      </c>
      <c r="AT105" s="71" t="str">
        <f t="shared" si="53"/>
        <v>---</v>
      </c>
    </row>
    <row r="106" spans="1:46" ht="30" customHeight="1" x14ac:dyDescent="0.3">
      <c r="A106" s="123">
        <f t="shared" si="37"/>
        <v>102</v>
      </c>
      <c r="B106" s="140">
        <f>INDEX('PEER GROUP'!B:B,MATCH($A106,'PEER GROUP'!$A:$A,0))</f>
        <v>0</v>
      </c>
      <c r="C106" s="83">
        <f>INDEX('PEER GROUP'!C:C,MATCH($A106,'PEER GROUP'!$A:$A,0))</f>
        <v>0</v>
      </c>
      <c r="D106" s="83">
        <f>INDEX('PEER GROUP'!D:D,MATCH($A106,'PEER GROUP'!$A:$A,0))</f>
        <v>0</v>
      </c>
      <c r="E106" s="83">
        <f>INDEX('PEER GROUP'!E:E,MATCH(A106,'PEER GROUP'!$A:$A,0))</f>
        <v>0</v>
      </c>
      <c r="F106" s="84">
        <f>INDEX('PEER GROUP'!F:F,MATCH($A106,'PEER GROUP'!$A:$A,0))</f>
        <v>0</v>
      </c>
      <c r="G106" s="84">
        <f>INDEX('PEER GROUP'!G:G,MATCH($A106,'PEER GROUP'!$A:$A,0))</f>
        <v>0</v>
      </c>
      <c r="H106" s="85"/>
      <c r="I106" s="85"/>
      <c r="J106" s="70">
        <f>INDEX('PEER GROUP'!K:K,MATCH($A106,'PEER GROUP'!$A:$A,0))</f>
        <v>0</v>
      </c>
      <c r="K106" s="70">
        <f>INDEX('PEER GROUP'!L:L,MATCH($A106,'PEER GROUP'!$A:$A,0))</f>
        <v>0</v>
      </c>
      <c r="L106" s="70">
        <f>INDEX('PEER GROUP'!M:M,MATCH($A106,'PEER GROUP'!$A:$A,0))</f>
        <v>0</v>
      </c>
      <c r="M106" s="86">
        <f>INDEX('PEER GROUP'!N:N,MATCH($A106,'PEER GROUP'!$A:$A,0))</f>
        <v>0</v>
      </c>
      <c r="N106" s="118"/>
      <c r="O106" s="115"/>
      <c r="P106" s="117"/>
      <c r="Q106" s="87"/>
      <c r="R106" s="87">
        <f t="shared" si="38"/>
        <v>0</v>
      </c>
      <c r="S106" s="87"/>
      <c r="T106" s="87"/>
      <c r="U106" s="87"/>
      <c r="V106" s="87">
        <f t="shared" si="39"/>
        <v>0</v>
      </c>
      <c r="W106" s="113">
        <f t="shared" si="36"/>
        <v>36.913096727263202</v>
      </c>
      <c r="X106" s="69">
        <f t="shared" si="40"/>
        <v>0</v>
      </c>
      <c r="Y106" s="70">
        <f t="shared" si="41"/>
        <v>0</v>
      </c>
      <c r="Z106" s="70">
        <f t="shared" si="42"/>
        <v>0</v>
      </c>
      <c r="AA106" s="70">
        <f t="shared" si="43"/>
        <v>0</v>
      </c>
      <c r="AB106" s="70">
        <f t="shared" si="44"/>
        <v>0</v>
      </c>
      <c r="AC106" s="70">
        <f t="shared" si="45"/>
        <v>0</v>
      </c>
      <c r="AD106" s="71">
        <f t="shared" si="46"/>
        <v>0</v>
      </c>
      <c r="AE106" s="49"/>
      <c r="AF106" s="21"/>
      <c r="AG106" s="69"/>
      <c r="AH106" s="70"/>
      <c r="AI106" s="70"/>
      <c r="AJ106" s="70"/>
      <c r="AK106" s="70"/>
      <c r="AL106" s="70"/>
      <c r="AM106" s="70"/>
      <c r="AN106" s="70" t="str">
        <f t="shared" si="47"/>
        <v>---</v>
      </c>
      <c r="AO106" s="70" t="str">
        <f t="shared" si="48"/>
        <v>---</v>
      </c>
      <c r="AP106" s="70" t="str">
        <f t="shared" si="49"/>
        <v>---</v>
      </c>
      <c r="AQ106" s="70" t="str">
        <f t="shared" si="50"/>
        <v>---</v>
      </c>
      <c r="AR106" s="70" t="str">
        <f t="shared" si="51"/>
        <v>---</v>
      </c>
      <c r="AS106" s="70" t="str">
        <f t="shared" si="52"/>
        <v>---</v>
      </c>
      <c r="AT106" s="71" t="str">
        <f t="shared" si="53"/>
        <v>---</v>
      </c>
    </row>
    <row r="107" spans="1:46" ht="30" customHeight="1" x14ac:dyDescent="0.3">
      <c r="A107" s="123">
        <f t="shared" si="37"/>
        <v>103</v>
      </c>
      <c r="B107" s="140">
        <f>INDEX('PEER GROUP'!B:B,MATCH($A107,'PEER GROUP'!$A:$A,0))</f>
        <v>0</v>
      </c>
      <c r="C107" s="83">
        <f>INDEX('PEER GROUP'!C:C,MATCH($A107,'PEER GROUP'!$A:$A,0))</f>
        <v>0</v>
      </c>
      <c r="D107" s="83">
        <f>INDEX('PEER GROUP'!D:D,MATCH($A107,'PEER GROUP'!$A:$A,0))</f>
        <v>0</v>
      </c>
      <c r="E107" s="83">
        <f>INDEX('PEER GROUP'!E:E,MATCH(A107,'PEER GROUP'!$A:$A,0))</f>
        <v>0</v>
      </c>
      <c r="F107" s="84">
        <f>INDEX('PEER GROUP'!F:F,MATCH($A107,'PEER GROUP'!$A:$A,0))</f>
        <v>0</v>
      </c>
      <c r="G107" s="84">
        <f>INDEX('PEER GROUP'!G:G,MATCH($A107,'PEER GROUP'!$A:$A,0))</f>
        <v>0</v>
      </c>
      <c r="H107" s="85"/>
      <c r="I107" s="85"/>
      <c r="J107" s="70">
        <f>INDEX('PEER GROUP'!K:K,MATCH($A107,'PEER GROUP'!$A:$A,0))</f>
        <v>0</v>
      </c>
      <c r="K107" s="70">
        <f>INDEX('PEER GROUP'!L:L,MATCH($A107,'PEER GROUP'!$A:$A,0))</f>
        <v>0</v>
      </c>
      <c r="L107" s="70">
        <f>INDEX('PEER GROUP'!M:M,MATCH($A107,'PEER GROUP'!$A:$A,0))</f>
        <v>0</v>
      </c>
      <c r="M107" s="86">
        <f>INDEX('PEER GROUP'!N:N,MATCH($A107,'PEER GROUP'!$A:$A,0))</f>
        <v>0</v>
      </c>
      <c r="N107" s="118"/>
      <c r="O107" s="115"/>
      <c r="P107" s="117"/>
      <c r="Q107" s="87"/>
      <c r="R107" s="87">
        <f t="shared" si="38"/>
        <v>0</v>
      </c>
      <c r="S107" s="87"/>
      <c r="T107" s="87"/>
      <c r="U107" s="87"/>
      <c r="V107" s="87">
        <f t="shared" si="39"/>
        <v>0</v>
      </c>
      <c r="W107" s="113">
        <f t="shared" si="36"/>
        <v>36.913096727263202</v>
      </c>
      <c r="X107" s="69">
        <f t="shared" si="40"/>
        <v>0</v>
      </c>
      <c r="Y107" s="70">
        <f t="shared" si="41"/>
        <v>0</v>
      </c>
      <c r="Z107" s="70">
        <f t="shared" si="42"/>
        <v>0</v>
      </c>
      <c r="AA107" s="70">
        <f t="shared" si="43"/>
        <v>0</v>
      </c>
      <c r="AB107" s="70">
        <f t="shared" si="44"/>
        <v>0</v>
      </c>
      <c r="AC107" s="70">
        <f t="shared" si="45"/>
        <v>0</v>
      </c>
      <c r="AD107" s="71">
        <f t="shared" si="46"/>
        <v>0</v>
      </c>
      <c r="AE107" s="49"/>
      <c r="AF107" s="21"/>
      <c r="AG107" s="69"/>
      <c r="AH107" s="70"/>
      <c r="AI107" s="70"/>
      <c r="AJ107" s="70"/>
      <c r="AK107" s="70"/>
      <c r="AL107" s="70"/>
      <c r="AM107" s="70"/>
      <c r="AN107" s="70" t="str">
        <f t="shared" si="47"/>
        <v>---</v>
      </c>
      <c r="AO107" s="70" t="str">
        <f t="shared" si="48"/>
        <v>---</v>
      </c>
      <c r="AP107" s="70" t="str">
        <f t="shared" si="49"/>
        <v>---</v>
      </c>
      <c r="AQ107" s="70" t="str">
        <f t="shared" si="50"/>
        <v>---</v>
      </c>
      <c r="AR107" s="70" t="str">
        <f t="shared" si="51"/>
        <v>---</v>
      </c>
      <c r="AS107" s="70" t="str">
        <f t="shared" si="52"/>
        <v>---</v>
      </c>
      <c r="AT107" s="71" t="str">
        <f t="shared" si="53"/>
        <v>---</v>
      </c>
    </row>
    <row r="108" spans="1:46" ht="30" customHeight="1" x14ac:dyDescent="0.3">
      <c r="A108" s="123">
        <f t="shared" si="37"/>
        <v>104</v>
      </c>
      <c r="B108" s="140">
        <f>INDEX('PEER GROUP'!B:B,MATCH($A108,'PEER GROUP'!$A:$A,0))</f>
        <v>0</v>
      </c>
      <c r="C108" s="83">
        <f>INDEX('PEER GROUP'!C:C,MATCH($A108,'PEER GROUP'!$A:$A,0))</f>
        <v>0</v>
      </c>
      <c r="D108" s="83">
        <f>INDEX('PEER GROUP'!D:D,MATCH($A108,'PEER GROUP'!$A:$A,0))</f>
        <v>0</v>
      </c>
      <c r="E108" s="83">
        <f>INDEX('PEER GROUP'!E:E,MATCH(A108,'PEER GROUP'!$A:$A,0))</f>
        <v>0</v>
      </c>
      <c r="F108" s="84">
        <f>INDEX('PEER GROUP'!F:F,MATCH($A108,'PEER GROUP'!$A:$A,0))</f>
        <v>0</v>
      </c>
      <c r="G108" s="84">
        <f>INDEX('PEER GROUP'!G:G,MATCH($A108,'PEER GROUP'!$A:$A,0))</f>
        <v>0</v>
      </c>
      <c r="H108" s="85"/>
      <c r="I108" s="85"/>
      <c r="J108" s="70">
        <f>INDEX('PEER GROUP'!K:K,MATCH($A108,'PEER GROUP'!$A:$A,0))</f>
        <v>0</v>
      </c>
      <c r="K108" s="70">
        <f>INDEX('PEER GROUP'!L:L,MATCH($A108,'PEER GROUP'!$A:$A,0))</f>
        <v>0</v>
      </c>
      <c r="L108" s="70">
        <f>INDEX('PEER GROUP'!M:M,MATCH($A108,'PEER GROUP'!$A:$A,0))</f>
        <v>0</v>
      </c>
      <c r="M108" s="86">
        <f>INDEX('PEER GROUP'!N:N,MATCH($A108,'PEER GROUP'!$A:$A,0))</f>
        <v>0</v>
      </c>
      <c r="N108" s="118"/>
      <c r="O108" s="115"/>
      <c r="P108" s="117"/>
      <c r="Q108" s="87"/>
      <c r="R108" s="87">
        <f t="shared" si="38"/>
        <v>0</v>
      </c>
      <c r="S108" s="87"/>
      <c r="T108" s="87"/>
      <c r="U108" s="87"/>
      <c r="V108" s="87">
        <f t="shared" si="39"/>
        <v>0</v>
      </c>
      <c r="W108" s="113">
        <f t="shared" si="36"/>
        <v>36.913096727263202</v>
      </c>
      <c r="X108" s="69">
        <f t="shared" si="40"/>
        <v>0</v>
      </c>
      <c r="Y108" s="70">
        <f t="shared" si="41"/>
        <v>0</v>
      </c>
      <c r="Z108" s="70">
        <f t="shared" si="42"/>
        <v>0</v>
      </c>
      <c r="AA108" s="70">
        <f t="shared" si="43"/>
        <v>0</v>
      </c>
      <c r="AB108" s="70">
        <f t="shared" si="44"/>
        <v>0</v>
      </c>
      <c r="AC108" s="70">
        <f t="shared" si="45"/>
        <v>0</v>
      </c>
      <c r="AD108" s="71">
        <f t="shared" si="46"/>
        <v>0</v>
      </c>
      <c r="AE108" s="49"/>
      <c r="AF108" s="21"/>
      <c r="AG108" s="69"/>
      <c r="AH108" s="70"/>
      <c r="AI108" s="70"/>
      <c r="AJ108" s="70"/>
      <c r="AK108" s="70"/>
      <c r="AL108" s="70"/>
      <c r="AM108" s="70"/>
      <c r="AN108" s="70" t="str">
        <f t="shared" si="47"/>
        <v>---</v>
      </c>
      <c r="AO108" s="70" t="str">
        <f t="shared" si="48"/>
        <v>---</v>
      </c>
      <c r="AP108" s="70" t="str">
        <f t="shared" si="49"/>
        <v>---</v>
      </c>
      <c r="AQ108" s="70" t="str">
        <f t="shared" si="50"/>
        <v>---</v>
      </c>
      <c r="AR108" s="70" t="str">
        <f t="shared" si="51"/>
        <v>---</v>
      </c>
      <c r="AS108" s="70" t="str">
        <f t="shared" si="52"/>
        <v>---</v>
      </c>
      <c r="AT108" s="71" t="str">
        <f t="shared" si="53"/>
        <v>---</v>
      </c>
    </row>
    <row r="109" spans="1:46" ht="30" customHeight="1" x14ac:dyDescent="0.3">
      <c r="A109" s="123">
        <f t="shared" si="37"/>
        <v>105</v>
      </c>
      <c r="B109" s="140">
        <f>INDEX('PEER GROUP'!B:B,MATCH($A109,'PEER GROUP'!$A:$A,0))</f>
        <v>0</v>
      </c>
      <c r="C109" s="83">
        <f>INDEX('PEER GROUP'!C:C,MATCH($A109,'PEER GROUP'!$A:$A,0))</f>
        <v>0</v>
      </c>
      <c r="D109" s="83">
        <f>INDEX('PEER GROUP'!D:D,MATCH($A109,'PEER GROUP'!$A:$A,0))</f>
        <v>0</v>
      </c>
      <c r="E109" s="83">
        <f>INDEX('PEER GROUP'!E:E,MATCH(A109,'PEER GROUP'!$A:$A,0))</f>
        <v>0</v>
      </c>
      <c r="F109" s="84">
        <f>INDEX('PEER GROUP'!F:F,MATCH($A109,'PEER GROUP'!$A:$A,0))</f>
        <v>0</v>
      </c>
      <c r="G109" s="84">
        <f>INDEX('PEER GROUP'!G:G,MATCH($A109,'PEER GROUP'!$A:$A,0))</f>
        <v>0</v>
      </c>
      <c r="H109" s="85"/>
      <c r="I109" s="85"/>
      <c r="J109" s="70">
        <f>INDEX('PEER GROUP'!K:K,MATCH($A109,'PEER GROUP'!$A:$A,0))</f>
        <v>0</v>
      </c>
      <c r="K109" s="70">
        <f>INDEX('PEER GROUP'!L:L,MATCH($A109,'PEER GROUP'!$A:$A,0))</f>
        <v>0</v>
      </c>
      <c r="L109" s="70">
        <f>INDEX('PEER GROUP'!M:M,MATCH($A109,'PEER GROUP'!$A:$A,0))</f>
        <v>0</v>
      </c>
      <c r="M109" s="86">
        <f>INDEX('PEER GROUP'!N:N,MATCH($A109,'PEER GROUP'!$A:$A,0))</f>
        <v>0</v>
      </c>
      <c r="N109" s="118"/>
      <c r="O109" s="115"/>
      <c r="P109" s="117"/>
      <c r="Q109" s="87"/>
      <c r="R109" s="87">
        <f t="shared" si="38"/>
        <v>0</v>
      </c>
      <c r="S109" s="87"/>
      <c r="T109" s="87"/>
      <c r="U109" s="87"/>
      <c r="V109" s="87">
        <f t="shared" si="39"/>
        <v>0</v>
      </c>
      <c r="W109" s="113">
        <f t="shared" si="36"/>
        <v>36.913096727263202</v>
      </c>
      <c r="X109" s="69">
        <f t="shared" si="40"/>
        <v>0</v>
      </c>
      <c r="Y109" s="70">
        <f t="shared" si="41"/>
        <v>0</v>
      </c>
      <c r="Z109" s="70">
        <f t="shared" si="42"/>
        <v>0</v>
      </c>
      <c r="AA109" s="70">
        <f t="shared" si="43"/>
        <v>0</v>
      </c>
      <c r="AB109" s="70">
        <f t="shared" si="44"/>
        <v>0</v>
      </c>
      <c r="AC109" s="70">
        <f t="shared" si="45"/>
        <v>0</v>
      </c>
      <c r="AD109" s="71">
        <f t="shared" si="46"/>
        <v>0</v>
      </c>
      <c r="AE109" s="49"/>
      <c r="AF109" s="21"/>
      <c r="AG109" s="69"/>
      <c r="AH109" s="70"/>
      <c r="AI109" s="70"/>
      <c r="AJ109" s="70"/>
      <c r="AK109" s="70"/>
      <c r="AL109" s="70"/>
      <c r="AM109" s="70"/>
      <c r="AN109" s="70" t="str">
        <f t="shared" si="47"/>
        <v>---</v>
      </c>
      <c r="AO109" s="70" t="str">
        <f t="shared" si="48"/>
        <v>---</v>
      </c>
      <c r="AP109" s="70" t="str">
        <f t="shared" si="49"/>
        <v>---</v>
      </c>
      <c r="AQ109" s="70" t="str">
        <f t="shared" si="50"/>
        <v>---</v>
      </c>
      <c r="AR109" s="70" t="str">
        <f t="shared" si="51"/>
        <v>---</v>
      </c>
      <c r="AS109" s="70" t="str">
        <f t="shared" si="52"/>
        <v>---</v>
      </c>
      <c r="AT109" s="71" t="str">
        <f t="shared" si="53"/>
        <v>---</v>
      </c>
    </row>
    <row r="110" spans="1:46" ht="30" customHeight="1" x14ac:dyDescent="0.3">
      <c r="A110" s="123">
        <f t="shared" si="37"/>
        <v>106</v>
      </c>
      <c r="B110" s="140">
        <f>INDEX('PEER GROUP'!B:B,MATCH($A110,'PEER GROUP'!$A:$A,0))</f>
        <v>0</v>
      </c>
      <c r="C110" s="83">
        <f>INDEX('PEER GROUP'!C:C,MATCH($A110,'PEER GROUP'!$A:$A,0))</f>
        <v>0</v>
      </c>
      <c r="D110" s="83">
        <f>INDEX('PEER GROUP'!D:D,MATCH($A110,'PEER GROUP'!$A:$A,0))</f>
        <v>0</v>
      </c>
      <c r="E110" s="83">
        <f>INDEX('PEER GROUP'!E:E,MATCH(A110,'PEER GROUP'!$A:$A,0))</f>
        <v>0</v>
      </c>
      <c r="F110" s="84">
        <f>INDEX('PEER GROUP'!F:F,MATCH($A110,'PEER GROUP'!$A:$A,0))</f>
        <v>0</v>
      </c>
      <c r="G110" s="84">
        <f>INDEX('PEER GROUP'!G:G,MATCH($A110,'PEER GROUP'!$A:$A,0))</f>
        <v>0</v>
      </c>
      <c r="H110" s="85"/>
      <c r="I110" s="85"/>
      <c r="J110" s="70">
        <f>INDEX('PEER GROUP'!K:K,MATCH($A110,'PEER GROUP'!$A:$A,0))</f>
        <v>0</v>
      </c>
      <c r="K110" s="70">
        <f>INDEX('PEER GROUP'!L:L,MATCH($A110,'PEER GROUP'!$A:$A,0))</f>
        <v>0</v>
      </c>
      <c r="L110" s="70">
        <f>INDEX('PEER GROUP'!M:M,MATCH($A110,'PEER GROUP'!$A:$A,0))</f>
        <v>0</v>
      </c>
      <c r="M110" s="86">
        <f>INDEX('PEER GROUP'!N:N,MATCH($A110,'PEER GROUP'!$A:$A,0))</f>
        <v>0</v>
      </c>
      <c r="N110" s="118"/>
      <c r="O110" s="115"/>
      <c r="P110" s="117"/>
      <c r="Q110" s="87"/>
      <c r="R110" s="87">
        <f t="shared" si="38"/>
        <v>0</v>
      </c>
      <c r="S110" s="87"/>
      <c r="T110" s="87"/>
      <c r="U110" s="87"/>
      <c r="V110" s="87">
        <f t="shared" si="39"/>
        <v>0</v>
      </c>
      <c r="W110" s="113">
        <f t="shared" si="36"/>
        <v>36.913096727263202</v>
      </c>
      <c r="X110" s="69">
        <f t="shared" si="40"/>
        <v>0</v>
      </c>
      <c r="Y110" s="70">
        <f t="shared" si="41"/>
        <v>0</v>
      </c>
      <c r="Z110" s="70">
        <f t="shared" si="42"/>
        <v>0</v>
      </c>
      <c r="AA110" s="70">
        <f t="shared" si="43"/>
        <v>0</v>
      </c>
      <c r="AB110" s="70">
        <f t="shared" si="44"/>
        <v>0</v>
      </c>
      <c r="AC110" s="70">
        <f t="shared" si="45"/>
        <v>0</v>
      </c>
      <c r="AD110" s="71">
        <f t="shared" si="46"/>
        <v>0</v>
      </c>
      <c r="AE110" s="49"/>
      <c r="AF110" s="21"/>
      <c r="AG110" s="69"/>
      <c r="AH110" s="70"/>
      <c r="AI110" s="70"/>
      <c r="AJ110" s="70"/>
      <c r="AK110" s="70"/>
      <c r="AL110" s="70"/>
      <c r="AM110" s="70"/>
      <c r="AN110" s="70" t="str">
        <f t="shared" si="47"/>
        <v>---</v>
      </c>
      <c r="AO110" s="70" t="str">
        <f t="shared" si="48"/>
        <v>---</v>
      </c>
      <c r="AP110" s="70" t="str">
        <f t="shared" si="49"/>
        <v>---</v>
      </c>
      <c r="AQ110" s="70" t="str">
        <f t="shared" si="50"/>
        <v>---</v>
      </c>
      <c r="AR110" s="70" t="str">
        <f t="shared" si="51"/>
        <v>---</v>
      </c>
      <c r="AS110" s="70" t="str">
        <f t="shared" si="52"/>
        <v>---</v>
      </c>
      <c r="AT110" s="71" t="str">
        <f t="shared" si="53"/>
        <v>---</v>
      </c>
    </row>
    <row r="111" spans="1:46" ht="30" customHeight="1" x14ac:dyDescent="0.3">
      <c r="A111" s="123">
        <f t="shared" si="37"/>
        <v>107</v>
      </c>
      <c r="B111" s="140">
        <f>INDEX('PEER GROUP'!B:B,MATCH($A111,'PEER GROUP'!$A:$A,0))</f>
        <v>0</v>
      </c>
      <c r="C111" s="83">
        <f>INDEX('PEER GROUP'!C:C,MATCH($A111,'PEER GROUP'!$A:$A,0))</f>
        <v>0</v>
      </c>
      <c r="D111" s="83">
        <f>INDEX('PEER GROUP'!D:D,MATCH($A111,'PEER GROUP'!$A:$A,0))</f>
        <v>0</v>
      </c>
      <c r="E111" s="83">
        <f>INDEX('PEER GROUP'!E:E,MATCH(A111,'PEER GROUP'!$A:$A,0))</f>
        <v>0</v>
      </c>
      <c r="F111" s="84">
        <f>INDEX('PEER GROUP'!F:F,MATCH($A111,'PEER GROUP'!$A:$A,0))</f>
        <v>0</v>
      </c>
      <c r="G111" s="84">
        <f>INDEX('PEER GROUP'!G:G,MATCH($A111,'PEER GROUP'!$A:$A,0))</f>
        <v>0</v>
      </c>
      <c r="H111" s="85"/>
      <c r="I111" s="85"/>
      <c r="J111" s="70">
        <f>INDEX('PEER GROUP'!K:K,MATCH($A111,'PEER GROUP'!$A:$A,0))</f>
        <v>0</v>
      </c>
      <c r="K111" s="70">
        <f>INDEX('PEER GROUP'!L:L,MATCH($A111,'PEER GROUP'!$A:$A,0))</f>
        <v>0</v>
      </c>
      <c r="L111" s="70">
        <f>INDEX('PEER GROUP'!M:M,MATCH($A111,'PEER GROUP'!$A:$A,0))</f>
        <v>0</v>
      </c>
      <c r="M111" s="86">
        <f>INDEX('PEER GROUP'!N:N,MATCH($A111,'PEER GROUP'!$A:$A,0))</f>
        <v>0</v>
      </c>
      <c r="N111" s="118"/>
      <c r="O111" s="115"/>
      <c r="P111" s="117"/>
      <c r="Q111" s="87"/>
      <c r="R111" s="87">
        <f t="shared" si="38"/>
        <v>0</v>
      </c>
      <c r="S111" s="87"/>
      <c r="T111" s="87"/>
      <c r="U111" s="87"/>
      <c r="V111" s="87">
        <f t="shared" si="39"/>
        <v>0</v>
      </c>
      <c r="W111" s="113">
        <f t="shared" si="36"/>
        <v>36.913096727263202</v>
      </c>
      <c r="X111" s="69">
        <f t="shared" si="40"/>
        <v>0</v>
      </c>
      <c r="Y111" s="70">
        <f t="shared" si="41"/>
        <v>0</v>
      </c>
      <c r="Z111" s="70">
        <f t="shared" si="42"/>
        <v>0</v>
      </c>
      <c r="AA111" s="70">
        <f t="shared" si="43"/>
        <v>0</v>
      </c>
      <c r="AB111" s="70">
        <f t="shared" si="44"/>
        <v>0</v>
      </c>
      <c r="AC111" s="70">
        <f t="shared" si="45"/>
        <v>0</v>
      </c>
      <c r="AD111" s="71">
        <f t="shared" si="46"/>
        <v>0</v>
      </c>
      <c r="AE111" s="49"/>
      <c r="AF111" s="21"/>
      <c r="AG111" s="69"/>
      <c r="AH111" s="70"/>
      <c r="AI111" s="70"/>
      <c r="AJ111" s="70"/>
      <c r="AK111" s="70"/>
      <c r="AL111" s="70"/>
      <c r="AM111" s="70"/>
      <c r="AN111" s="70" t="str">
        <f t="shared" si="47"/>
        <v>---</v>
      </c>
      <c r="AO111" s="70" t="str">
        <f t="shared" si="48"/>
        <v>---</v>
      </c>
      <c r="AP111" s="70" t="str">
        <f t="shared" si="49"/>
        <v>---</v>
      </c>
      <c r="AQ111" s="70" t="str">
        <f t="shared" si="50"/>
        <v>---</v>
      </c>
      <c r="AR111" s="70" t="str">
        <f t="shared" si="51"/>
        <v>---</v>
      </c>
      <c r="AS111" s="70" t="str">
        <f t="shared" si="52"/>
        <v>---</v>
      </c>
      <c r="AT111" s="71" t="str">
        <f t="shared" si="53"/>
        <v>---</v>
      </c>
    </row>
    <row r="112" spans="1:46" ht="30" customHeight="1" x14ac:dyDescent="0.3">
      <c r="A112" s="123">
        <f t="shared" si="37"/>
        <v>108</v>
      </c>
      <c r="B112" s="140">
        <f>INDEX('PEER GROUP'!B:B,MATCH($A112,'PEER GROUP'!$A:$A,0))</f>
        <v>0</v>
      </c>
      <c r="C112" s="83">
        <f>INDEX('PEER GROUP'!C:C,MATCH($A112,'PEER GROUP'!$A:$A,0))</f>
        <v>0</v>
      </c>
      <c r="D112" s="83">
        <f>INDEX('PEER GROUP'!D:D,MATCH($A112,'PEER GROUP'!$A:$A,0))</f>
        <v>0</v>
      </c>
      <c r="E112" s="83">
        <f>INDEX('PEER GROUP'!E:E,MATCH(A112,'PEER GROUP'!$A:$A,0))</f>
        <v>0</v>
      </c>
      <c r="F112" s="84">
        <f>INDEX('PEER GROUP'!F:F,MATCH($A112,'PEER GROUP'!$A:$A,0))</f>
        <v>0</v>
      </c>
      <c r="G112" s="84">
        <f>INDEX('PEER GROUP'!G:G,MATCH($A112,'PEER GROUP'!$A:$A,0))</f>
        <v>0</v>
      </c>
      <c r="H112" s="85"/>
      <c r="I112" s="85"/>
      <c r="J112" s="70">
        <f>INDEX('PEER GROUP'!K:K,MATCH($A112,'PEER GROUP'!$A:$A,0))</f>
        <v>0</v>
      </c>
      <c r="K112" s="70">
        <f>INDEX('PEER GROUP'!L:L,MATCH($A112,'PEER GROUP'!$A:$A,0))</f>
        <v>0</v>
      </c>
      <c r="L112" s="70">
        <f>INDEX('PEER GROUP'!M:M,MATCH($A112,'PEER GROUP'!$A:$A,0))</f>
        <v>0</v>
      </c>
      <c r="M112" s="86">
        <f>INDEX('PEER GROUP'!N:N,MATCH($A112,'PEER GROUP'!$A:$A,0))</f>
        <v>0</v>
      </c>
      <c r="N112" s="118"/>
      <c r="O112" s="115"/>
      <c r="P112" s="117"/>
      <c r="Q112" s="87"/>
      <c r="R112" s="87">
        <f t="shared" si="38"/>
        <v>0</v>
      </c>
      <c r="S112" s="87"/>
      <c r="T112" s="87"/>
      <c r="U112" s="87"/>
      <c r="V112" s="87">
        <f t="shared" si="39"/>
        <v>0</v>
      </c>
      <c r="W112" s="113">
        <f t="shared" si="36"/>
        <v>36.913096727263202</v>
      </c>
      <c r="X112" s="69">
        <f t="shared" si="40"/>
        <v>0</v>
      </c>
      <c r="Y112" s="70">
        <f t="shared" si="41"/>
        <v>0</v>
      </c>
      <c r="Z112" s="70">
        <f t="shared" si="42"/>
        <v>0</v>
      </c>
      <c r="AA112" s="70">
        <f t="shared" si="43"/>
        <v>0</v>
      </c>
      <c r="AB112" s="70">
        <f t="shared" si="44"/>
        <v>0</v>
      </c>
      <c r="AC112" s="70">
        <f t="shared" si="45"/>
        <v>0</v>
      </c>
      <c r="AD112" s="71">
        <f t="shared" si="46"/>
        <v>0</v>
      </c>
      <c r="AE112" s="49"/>
      <c r="AF112" s="21"/>
      <c r="AG112" s="69"/>
      <c r="AH112" s="70"/>
      <c r="AI112" s="70"/>
      <c r="AJ112" s="70"/>
      <c r="AK112" s="70"/>
      <c r="AL112" s="70"/>
      <c r="AM112" s="70"/>
      <c r="AN112" s="70" t="str">
        <f t="shared" si="47"/>
        <v>---</v>
      </c>
      <c r="AO112" s="70" t="str">
        <f t="shared" si="48"/>
        <v>---</v>
      </c>
      <c r="AP112" s="70" t="str">
        <f t="shared" si="49"/>
        <v>---</v>
      </c>
      <c r="AQ112" s="70" t="str">
        <f t="shared" si="50"/>
        <v>---</v>
      </c>
      <c r="AR112" s="70" t="str">
        <f t="shared" si="51"/>
        <v>---</v>
      </c>
      <c r="AS112" s="70" t="str">
        <f t="shared" si="52"/>
        <v>---</v>
      </c>
      <c r="AT112" s="71" t="str">
        <f t="shared" si="53"/>
        <v>---</v>
      </c>
    </row>
    <row r="113" spans="1:46" ht="30" customHeight="1" x14ac:dyDescent="0.3">
      <c r="A113" s="123">
        <f t="shared" si="37"/>
        <v>109</v>
      </c>
      <c r="B113" s="140">
        <f>INDEX('PEER GROUP'!B:B,MATCH($A113,'PEER GROUP'!$A:$A,0))</f>
        <v>0</v>
      </c>
      <c r="C113" s="83">
        <f>INDEX('PEER GROUP'!C:C,MATCH($A113,'PEER GROUP'!$A:$A,0))</f>
        <v>0</v>
      </c>
      <c r="D113" s="83">
        <f>INDEX('PEER GROUP'!D:D,MATCH($A113,'PEER GROUP'!$A:$A,0))</f>
        <v>0</v>
      </c>
      <c r="E113" s="83">
        <f>INDEX('PEER GROUP'!E:E,MATCH(A113,'PEER GROUP'!$A:$A,0))</f>
        <v>0</v>
      </c>
      <c r="F113" s="84">
        <f>INDEX('PEER GROUP'!F:F,MATCH($A113,'PEER GROUP'!$A:$A,0))</f>
        <v>0</v>
      </c>
      <c r="G113" s="84">
        <f>INDEX('PEER GROUP'!G:G,MATCH($A113,'PEER GROUP'!$A:$A,0))</f>
        <v>0</v>
      </c>
      <c r="H113" s="85"/>
      <c r="I113" s="85"/>
      <c r="J113" s="70">
        <f>INDEX('PEER GROUP'!K:K,MATCH($A113,'PEER GROUP'!$A:$A,0))</f>
        <v>0</v>
      </c>
      <c r="K113" s="70">
        <f>INDEX('PEER GROUP'!L:L,MATCH($A113,'PEER GROUP'!$A:$A,0))</f>
        <v>0</v>
      </c>
      <c r="L113" s="70">
        <f>INDEX('PEER GROUP'!M:M,MATCH($A113,'PEER GROUP'!$A:$A,0))</f>
        <v>0</v>
      </c>
      <c r="M113" s="86">
        <f>INDEX('PEER GROUP'!N:N,MATCH($A113,'PEER GROUP'!$A:$A,0))</f>
        <v>0</v>
      </c>
      <c r="N113" s="118"/>
      <c r="O113" s="115"/>
      <c r="P113" s="117"/>
      <c r="Q113" s="87"/>
      <c r="R113" s="87">
        <f t="shared" si="38"/>
        <v>0</v>
      </c>
      <c r="S113" s="87"/>
      <c r="T113" s="87"/>
      <c r="U113" s="87"/>
      <c r="V113" s="87">
        <f t="shared" si="39"/>
        <v>0</v>
      </c>
      <c r="W113" s="113">
        <f t="shared" si="36"/>
        <v>36.913096727263202</v>
      </c>
      <c r="X113" s="69">
        <f t="shared" si="40"/>
        <v>0</v>
      </c>
      <c r="Y113" s="70">
        <f t="shared" si="41"/>
        <v>0</v>
      </c>
      <c r="Z113" s="70">
        <f t="shared" si="42"/>
        <v>0</v>
      </c>
      <c r="AA113" s="70">
        <f t="shared" si="43"/>
        <v>0</v>
      </c>
      <c r="AB113" s="70">
        <f t="shared" si="44"/>
        <v>0</v>
      </c>
      <c r="AC113" s="70">
        <f t="shared" si="45"/>
        <v>0</v>
      </c>
      <c r="AD113" s="71">
        <f t="shared" si="46"/>
        <v>0</v>
      </c>
      <c r="AE113" s="49"/>
      <c r="AF113" s="21"/>
      <c r="AG113" s="69"/>
      <c r="AH113" s="70"/>
      <c r="AI113" s="70"/>
      <c r="AJ113" s="70"/>
      <c r="AK113" s="70"/>
      <c r="AL113" s="70"/>
      <c r="AM113" s="70"/>
      <c r="AN113" s="70" t="str">
        <f t="shared" si="47"/>
        <v>---</v>
      </c>
      <c r="AO113" s="70" t="str">
        <f t="shared" si="48"/>
        <v>---</v>
      </c>
      <c r="AP113" s="70" t="str">
        <f t="shared" si="49"/>
        <v>---</v>
      </c>
      <c r="AQ113" s="70" t="str">
        <f t="shared" si="50"/>
        <v>---</v>
      </c>
      <c r="AR113" s="70" t="str">
        <f t="shared" si="51"/>
        <v>---</v>
      </c>
      <c r="AS113" s="70" t="str">
        <f t="shared" si="52"/>
        <v>---</v>
      </c>
      <c r="AT113" s="71" t="str">
        <f t="shared" si="53"/>
        <v>---</v>
      </c>
    </row>
    <row r="114" spans="1:46" ht="30" customHeight="1" x14ac:dyDescent="0.3">
      <c r="A114" s="123">
        <f t="shared" si="37"/>
        <v>110</v>
      </c>
      <c r="B114" s="140">
        <f>INDEX('PEER GROUP'!B:B,MATCH($A114,'PEER GROUP'!$A:$A,0))</f>
        <v>0</v>
      </c>
      <c r="C114" s="83">
        <f>INDEX('PEER GROUP'!C:C,MATCH($A114,'PEER GROUP'!$A:$A,0))</f>
        <v>0</v>
      </c>
      <c r="D114" s="83">
        <f>INDEX('PEER GROUP'!D:D,MATCH($A114,'PEER GROUP'!$A:$A,0))</f>
        <v>0</v>
      </c>
      <c r="E114" s="83">
        <f>INDEX('PEER GROUP'!E:E,MATCH(A114,'PEER GROUP'!$A:$A,0))</f>
        <v>0</v>
      </c>
      <c r="F114" s="84">
        <f>INDEX('PEER GROUP'!F:F,MATCH($A114,'PEER GROUP'!$A:$A,0))</f>
        <v>0</v>
      </c>
      <c r="G114" s="84">
        <f>INDEX('PEER GROUP'!G:G,MATCH($A114,'PEER GROUP'!$A:$A,0))</f>
        <v>0</v>
      </c>
      <c r="H114" s="85"/>
      <c r="I114" s="85"/>
      <c r="J114" s="70">
        <f>INDEX('PEER GROUP'!K:K,MATCH($A114,'PEER GROUP'!$A:$A,0))</f>
        <v>0</v>
      </c>
      <c r="K114" s="70">
        <f>INDEX('PEER GROUP'!L:L,MATCH($A114,'PEER GROUP'!$A:$A,0))</f>
        <v>0</v>
      </c>
      <c r="L114" s="70">
        <f>INDEX('PEER GROUP'!M:M,MATCH($A114,'PEER GROUP'!$A:$A,0))</f>
        <v>0</v>
      </c>
      <c r="M114" s="86">
        <f>INDEX('PEER GROUP'!N:N,MATCH($A114,'PEER GROUP'!$A:$A,0))</f>
        <v>0</v>
      </c>
      <c r="N114" s="118"/>
      <c r="O114" s="115"/>
      <c r="P114" s="117"/>
      <c r="Q114" s="87"/>
      <c r="R114" s="87">
        <f t="shared" si="38"/>
        <v>0</v>
      </c>
      <c r="S114" s="87"/>
      <c r="T114" s="87"/>
      <c r="U114" s="87"/>
      <c r="V114" s="87">
        <f t="shared" si="39"/>
        <v>0</v>
      </c>
      <c r="W114" s="113">
        <f t="shared" si="36"/>
        <v>36.913096727263202</v>
      </c>
      <c r="X114" s="69">
        <f t="shared" si="40"/>
        <v>0</v>
      </c>
      <c r="Y114" s="70">
        <f t="shared" si="41"/>
        <v>0</v>
      </c>
      <c r="Z114" s="70">
        <f t="shared" si="42"/>
        <v>0</v>
      </c>
      <c r="AA114" s="70">
        <f t="shared" si="43"/>
        <v>0</v>
      </c>
      <c r="AB114" s="70">
        <f t="shared" si="44"/>
        <v>0</v>
      </c>
      <c r="AC114" s="70">
        <f t="shared" si="45"/>
        <v>0</v>
      </c>
      <c r="AD114" s="71">
        <f t="shared" si="46"/>
        <v>0</v>
      </c>
      <c r="AE114" s="49"/>
      <c r="AF114" s="21"/>
      <c r="AG114" s="69"/>
      <c r="AH114" s="70"/>
      <c r="AI114" s="70"/>
      <c r="AJ114" s="70"/>
      <c r="AK114" s="70"/>
      <c r="AL114" s="70"/>
      <c r="AM114" s="70"/>
      <c r="AN114" s="70" t="str">
        <f t="shared" si="47"/>
        <v>---</v>
      </c>
      <c r="AO114" s="70" t="str">
        <f t="shared" si="48"/>
        <v>---</v>
      </c>
      <c r="AP114" s="70" t="str">
        <f t="shared" si="49"/>
        <v>---</v>
      </c>
      <c r="AQ114" s="70" t="str">
        <f t="shared" si="50"/>
        <v>---</v>
      </c>
      <c r="AR114" s="70" t="str">
        <f t="shared" si="51"/>
        <v>---</v>
      </c>
      <c r="AS114" s="70" t="str">
        <f t="shared" si="52"/>
        <v>---</v>
      </c>
      <c r="AT114" s="71" t="str">
        <f t="shared" si="53"/>
        <v>---</v>
      </c>
    </row>
    <row r="115" spans="1:46" ht="30" customHeight="1" x14ac:dyDescent="0.3">
      <c r="A115" s="123">
        <f t="shared" si="37"/>
        <v>111</v>
      </c>
      <c r="B115" s="140">
        <f>INDEX('PEER GROUP'!B:B,MATCH($A115,'PEER GROUP'!$A:$A,0))</f>
        <v>0</v>
      </c>
      <c r="C115" s="83">
        <f>INDEX('PEER GROUP'!C:C,MATCH($A115,'PEER GROUP'!$A:$A,0))</f>
        <v>0</v>
      </c>
      <c r="D115" s="83">
        <f>INDEX('PEER GROUP'!D:D,MATCH($A115,'PEER GROUP'!$A:$A,0))</f>
        <v>0</v>
      </c>
      <c r="E115" s="83">
        <f>INDEX('PEER GROUP'!E:E,MATCH(A115,'PEER GROUP'!$A:$A,0))</f>
        <v>0</v>
      </c>
      <c r="F115" s="84">
        <f>INDEX('PEER GROUP'!F:F,MATCH($A115,'PEER GROUP'!$A:$A,0))</f>
        <v>0</v>
      </c>
      <c r="G115" s="84">
        <f>INDEX('PEER GROUP'!G:G,MATCH($A115,'PEER GROUP'!$A:$A,0))</f>
        <v>0</v>
      </c>
      <c r="H115" s="85"/>
      <c r="I115" s="85"/>
      <c r="J115" s="70">
        <f>INDEX('PEER GROUP'!K:K,MATCH($A115,'PEER GROUP'!$A:$A,0))</f>
        <v>0</v>
      </c>
      <c r="K115" s="70">
        <f>INDEX('PEER GROUP'!L:L,MATCH($A115,'PEER GROUP'!$A:$A,0))</f>
        <v>0</v>
      </c>
      <c r="L115" s="70">
        <f>INDEX('PEER GROUP'!M:M,MATCH($A115,'PEER GROUP'!$A:$A,0))</f>
        <v>0</v>
      </c>
      <c r="M115" s="86">
        <f>INDEX('PEER GROUP'!N:N,MATCH($A115,'PEER GROUP'!$A:$A,0))</f>
        <v>0</v>
      </c>
      <c r="N115" s="118"/>
      <c r="O115" s="115"/>
      <c r="P115" s="117"/>
      <c r="Q115" s="87"/>
      <c r="R115" s="87">
        <f t="shared" si="38"/>
        <v>0</v>
      </c>
      <c r="S115" s="87"/>
      <c r="T115" s="87"/>
      <c r="U115" s="87"/>
      <c r="V115" s="87">
        <f t="shared" si="39"/>
        <v>0</v>
      </c>
      <c r="W115" s="113">
        <f t="shared" si="36"/>
        <v>36.913096727263202</v>
      </c>
      <c r="X115" s="69">
        <f t="shared" si="40"/>
        <v>0</v>
      </c>
      <c r="Y115" s="70">
        <f t="shared" si="41"/>
        <v>0</v>
      </c>
      <c r="Z115" s="70">
        <f t="shared" si="42"/>
        <v>0</v>
      </c>
      <c r="AA115" s="70">
        <f t="shared" si="43"/>
        <v>0</v>
      </c>
      <c r="AB115" s="70">
        <f t="shared" si="44"/>
        <v>0</v>
      </c>
      <c r="AC115" s="70">
        <f t="shared" si="45"/>
        <v>0</v>
      </c>
      <c r="AD115" s="71">
        <f t="shared" si="46"/>
        <v>0</v>
      </c>
      <c r="AE115" s="49"/>
      <c r="AF115" s="21"/>
      <c r="AG115" s="69"/>
      <c r="AH115" s="70"/>
      <c r="AI115" s="70"/>
      <c r="AJ115" s="70"/>
      <c r="AK115" s="70"/>
      <c r="AL115" s="70"/>
      <c r="AM115" s="70"/>
      <c r="AN115" s="70" t="str">
        <f t="shared" si="47"/>
        <v>---</v>
      </c>
      <c r="AO115" s="70" t="str">
        <f t="shared" si="48"/>
        <v>---</v>
      </c>
      <c r="AP115" s="70" t="str">
        <f t="shared" si="49"/>
        <v>---</v>
      </c>
      <c r="AQ115" s="70" t="str">
        <f t="shared" si="50"/>
        <v>---</v>
      </c>
      <c r="AR115" s="70" t="str">
        <f t="shared" si="51"/>
        <v>---</v>
      </c>
      <c r="AS115" s="70" t="str">
        <f t="shared" si="52"/>
        <v>---</v>
      </c>
      <c r="AT115" s="71" t="str">
        <f t="shared" si="53"/>
        <v>---</v>
      </c>
    </row>
    <row r="116" spans="1:46" ht="30" customHeight="1" x14ac:dyDescent="0.3">
      <c r="A116" s="123">
        <f t="shared" si="37"/>
        <v>112</v>
      </c>
      <c r="B116" s="140">
        <f>INDEX('PEER GROUP'!B:B,MATCH($A116,'PEER GROUP'!$A:$A,0))</f>
        <v>0</v>
      </c>
      <c r="C116" s="83">
        <f>INDEX('PEER GROUP'!C:C,MATCH($A116,'PEER GROUP'!$A:$A,0))</f>
        <v>0</v>
      </c>
      <c r="D116" s="83">
        <f>INDEX('PEER GROUP'!D:D,MATCH($A116,'PEER GROUP'!$A:$A,0))</f>
        <v>0</v>
      </c>
      <c r="E116" s="83">
        <f>INDEX('PEER GROUP'!E:E,MATCH(A116,'PEER GROUP'!$A:$A,0))</f>
        <v>0</v>
      </c>
      <c r="F116" s="84">
        <f>INDEX('PEER GROUP'!F:F,MATCH($A116,'PEER GROUP'!$A:$A,0))</f>
        <v>0</v>
      </c>
      <c r="G116" s="84">
        <f>INDEX('PEER GROUP'!G:G,MATCH($A116,'PEER GROUP'!$A:$A,0))</f>
        <v>0</v>
      </c>
      <c r="H116" s="85"/>
      <c r="I116" s="85"/>
      <c r="J116" s="70">
        <f>INDEX('PEER GROUP'!K:K,MATCH($A116,'PEER GROUP'!$A:$A,0))</f>
        <v>0</v>
      </c>
      <c r="K116" s="70">
        <f>INDEX('PEER GROUP'!L:L,MATCH($A116,'PEER GROUP'!$A:$A,0))</f>
        <v>0</v>
      </c>
      <c r="L116" s="70">
        <f>INDEX('PEER GROUP'!M:M,MATCH($A116,'PEER GROUP'!$A:$A,0))</f>
        <v>0</v>
      </c>
      <c r="M116" s="86">
        <f>INDEX('PEER GROUP'!N:N,MATCH($A116,'PEER GROUP'!$A:$A,0))</f>
        <v>0</v>
      </c>
      <c r="N116" s="118"/>
      <c r="O116" s="115"/>
      <c r="P116" s="117"/>
      <c r="Q116" s="87"/>
      <c r="R116" s="87">
        <f t="shared" si="38"/>
        <v>0</v>
      </c>
      <c r="S116" s="87"/>
      <c r="T116" s="87"/>
      <c r="U116" s="87"/>
      <c r="V116" s="87">
        <f t="shared" si="39"/>
        <v>0</v>
      </c>
      <c r="W116" s="113">
        <f t="shared" si="36"/>
        <v>36.913096727263202</v>
      </c>
      <c r="X116" s="69">
        <f t="shared" si="40"/>
        <v>0</v>
      </c>
      <c r="Y116" s="70">
        <f t="shared" si="41"/>
        <v>0</v>
      </c>
      <c r="Z116" s="70">
        <f t="shared" si="42"/>
        <v>0</v>
      </c>
      <c r="AA116" s="70">
        <f t="shared" si="43"/>
        <v>0</v>
      </c>
      <c r="AB116" s="70">
        <f t="shared" si="44"/>
        <v>0</v>
      </c>
      <c r="AC116" s="70">
        <f t="shared" si="45"/>
        <v>0</v>
      </c>
      <c r="AD116" s="71">
        <f t="shared" si="46"/>
        <v>0</v>
      </c>
      <c r="AE116" s="49"/>
      <c r="AF116" s="21"/>
      <c r="AG116" s="69"/>
      <c r="AH116" s="70"/>
      <c r="AI116" s="70"/>
      <c r="AJ116" s="70"/>
      <c r="AK116" s="70"/>
      <c r="AL116" s="70"/>
      <c r="AM116" s="70"/>
      <c r="AN116" s="70" t="str">
        <f t="shared" si="47"/>
        <v>---</v>
      </c>
      <c r="AO116" s="70" t="str">
        <f t="shared" si="48"/>
        <v>---</v>
      </c>
      <c r="AP116" s="70" t="str">
        <f t="shared" si="49"/>
        <v>---</v>
      </c>
      <c r="AQ116" s="70" t="str">
        <f t="shared" si="50"/>
        <v>---</v>
      </c>
      <c r="AR116" s="70" t="str">
        <f t="shared" si="51"/>
        <v>---</v>
      </c>
      <c r="AS116" s="70" t="str">
        <f t="shared" si="52"/>
        <v>---</v>
      </c>
      <c r="AT116" s="71" t="str">
        <f t="shared" si="53"/>
        <v>---</v>
      </c>
    </row>
    <row r="117" spans="1:46" ht="30" customHeight="1" x14ac:dyDescent="0.3">
      <c r="A117" s="123">
        <f t="shared" si="37"/>
        <v>113</v>
      </c>
      <c r="B117" s="140">
        <f>INDEX('PEER GROUP'!B:B,MATCH($A117,'PEER GROUP'!$A:$A,0))</f>
        <v>0</v>
      </c>
      <c r="C117" s="83">
        <f>INDEX('PEER GROUP'!C:C,MATCH($A117,'PEER GROUP'!$A:$A,0))</f>
        <v>0</v>
      </c>
      <c r="D117" s="83">
        <f>INDEX('PEER GROUP'!D:D,MATCH($A117,'PEER GROUP'!$A:$A,0))</f>
        <v>0</v>
      </c>
      <c r="E117" s="83">
        <f>INDEX('PEER GROUP'!E:E,MATCH(A117,'PEER GROUP'!$A:$A,0))</f>
        <v>0</v>
      </c>
      <c r="F117" s="84">
        <f>INDEX('PEER GROUP'!F:F,MATCH($A117,'PEER GROUP'!$A:$A,0))</f>
        <v>0</v>
      </c>
      <c r="G117" s="84">
        <f>INDEX('PEER GROUP'!G:G,MATCH($A117,'PEER GROUP'!$A:$A,0))</f>
        <v>0</v>
      </c>
      <c r="H117" s="85"/>
      <c r="I117" s="85"/>
      <c r="J117" s="70">
        <f>INDEX('PEER GROUP'!K:K,MATCH($A117,'PEER GROUP'!$A:$A,0))</f>
        <v>0</v>
      </c>
      <c r="K117" s="70">
        <f>INDEX('PEER GROUP'!L:L,MATCH($A117,'PEER GROUP'!$A:$A,0))</f>
        <v>0</v>
      </c>
      <c r="L117" s="70">
        <f>INDEX('PEER GROUP'!M:M,MATCH($A117,'PEER GROUP'!$A:$A,0))</f>
        <v>0</v>
      </c>
      <c r="M117" s="86">
        <f>INDEX('PEER GROUP'!N:N,MATCH($A117,'PEER GROUP'!$A:$A,0))</f>
        <v>0</v>
      </c>
      <c r="N117" s="118"/>
      <c r="O117" s="115"/>
      <c r="P117" s="117"/>
      <c r="Q117" s="87"/>
      <c r="R117" s="87">
        <f t="shared" si="38"/>
        <v>0</v>
      </c>
      <c r="S117" s="87"/>
      <c r="T117" s="87"/>
      <c r="U117" s="87"/>
      <c r="V117" s="87">
        <f t="shared" si="39"/>
        <v>0</v>
      </c>
      <c r="W117" s="113">
        <f t="shared" si="36"/>
        <v>36.913096727263202</v>
      </c>
      <c r="X117" s="69">
        <f t="shared" si="40"/>
        <v>0</v>
      </c>
      <c r="Y117" s="70">
        <f t="shared" si="41"/>
        <v>0</v>
      </c>
      <c r="Z117" s="70">
        <f t="shared" si="42"/>
        <v>0</v>
      </c>
      <c r="AA117" s="70">
        <f t="shared" si="43"/>
        <v>0</v>
      </c>
      <c r="AB117" s="70">
        <f t="shared" si="44"/>
        <v>0</v>
      </c>
      <c r="AC117" s="70">
        <f t="shared" si="45"/>
        <v>0</v>
      </c>
      <c r="AD117" s="71">
        <f t="shared" si="46"/>
        <v>0</v>
      </c>
      <c r="AE117" s="49"/>
      <c r="AF117" s="21"/>
      <c r="AG117" s="69"/>
      <c r="AH117" s="70"/>
      <c r="AI117" s="70"/>
      <c r="AJ117" s="70"/>
      <c r="AK117" s="70"/>
      <c r="AL117" s="70"/>
      <c r="AM117" s="70"/>
      <c r="AN117" s="70" t="str">
        <f t="shared" si="47"/>
        <v>---</v>
      </c>
      <c r="AO117" s="70" t="str">
        <f t="shared" si="48"/>
        <v>---</v>
      </c>
      <c r="AP117" s="70" t="str">
        <f t="shared" si="49"/>
        <v>---</v>
      </c>
      <c r="AQ117" s="70" t="str">
        <f t="shared" si="50"/>
        <v>---</v>
      </c>
      <c r="AR117" s="70" t="str">
        <f t="shared" si="51"/>
        <v>---</v>
      </c>
      <c r="AS117" s="70" t="str">
        <f t="shared" si="52"/>
        <v>---</v>
      </c>
      <c r="AT117" s="71" t="str">
        <f t="shared" si="53"/>
        <v>---</v>
      </c>
    </row>
    <row r="118" spans="1:46" ht="30" customHeight="1" x14ac:dyDescent="0.3">
      <c r="A118" s="123">
        <f t="shared" si="37"/>
        <v>114</v>
      </c>
      <c r="B118" s="140">
        <f>INDEX('PEER GROUP'!B:B,MATCH($A118,'PEER GROUP'!$A:$A,0))</f>
        <v>0</v>
      </c>
      <c r="C118" s="83">
        <f>INDEX('PEER GROUP'!C:C,MATCH($A118,'PEER GROUP'!$A:$A,0))</f>
        <v>0</v>
      </c>
      <c r="D118" s="83">
        <f>INDEX('PEER GROUP'!D:D,MATCH($A118,'PEER GROUP'!$A:$A,0))</f>
        <v>0</v>
      </c>
      <c r="E118" s="83">
        <f>INDEX('PEER GROUP'!E:E,MATCH(A118,'PEER GROUP'!$A:$A,0))</f>
        <v>0</v>
      </c>
      <c r="F118" s="84">
        <f>INDEX('PEER GROUP'!F:F,MATCH($A118,'PEER GROUP'!$A:$A,0))</f>
        <v>0</v>
      </c>
      <c r="G118" s="84">
        <f>INDEX('PEER GROUP'!G:G,MATCH($A118,'PEER GROUP'!$A:$A,0))</f>
        <v>0</v>
      </c>
      <c r="H118" s="85"/>
      <c r="I118" s="85"/>
      <c r="J118" s="70">
        <f>INDEX('PEER GROUP'!K:K,MATCH($A118,'PEER GROUP'!$A:$A,0))</f>
        <v>0</v>
      </c>
      <c r="K118" s="70">
        <f>INDEX('PEER GROUP'!L:L,MATCH($A118,'PEER GROUP'!$A:$A,0))</f>
        <v>0</v>
      </c>
      <c r="L118" s="70">
        <f>INDEX('PEER GROUP'!M:M,MATCH($A118,'PEER GROUP'!$A:$A,0))</f>
        <v>0</v>
      </c>
      <c r="M118" s="86">
        <f>INDEX('PEER GROUP'!N:N,MATCH($A118,'PEER GROUP'!$A:$A,0))</f>
        <v>0</v>
      </c>
      <c r="N118" s="118"/>
      <c r="O118" s="115"/>
      <c r="P118" s="117"/>
      <c r="Q118" s="87"/>
      <c r="R118" s="87">
        <f t="shared" si="38"/>
        <v>0</v>
      </c>
      <c r="S118" s="87"/>
      <c r="T118" s="87"/>
      <c r="U118" s="87"/>
      <c r="V118" s="87">
        <f t="shared" si="39"/>
        <v>0</v>
      </c>
      <c r="W118" s="113">
        <f t="shared" si="36"/>
        <v>36.913096727263202</v>
      </c>
      <c r="X118" s="69">
        <f t="shared" si="40"/>
        <v>0</v>
      </c>
      <c r="Y118" s="70">
        <f t="shared" si="41"/>
        <v>0</v>
      </c>
      <c r="Z118" s="70">
        <f t="shared" si="42"/>
        <v>0</v>
      </c>
      <c r="AA118" s="70">
        <f t="shared" si="43"/>
        <v>0</v>
      </c>
      <c r="AB118" s="70">
        <f t="shared" si="44"/>
        <v>0</v>
      </c>
      <c r="AC118" s="70">
        <f t="shared" si="45"/>
        <v>0</v>
      </c>
      <c r="AD118" s="71">
        <f t="shared" si="46"/>
        <v>0</v>
      </c>
      <c r="AE118" s="49"/>
      <c r="AF118" s="21"/>
      <c r="AG118" s="69"/>
      <c r="AH118" s="70"/>
      <c r="AI118" s="70"/>
      <c r="AJ118" s="70"/>
      <c r="AK118" s="70"/>
      <c r="AL118" s="70"/>
      <c r="AM118" s="70"/>
      <c r="AN118" s="70" t="str">
        <f t="shared" si="47"/>
        <v>---</v>
      </c>
      <c r="AO118" s="70" t="str">
        <f t="shared" si="48"/>
        <v>---</v>
      </c>
      <c r="AP118" s="70" t="str">
        <f t="shared" si="49"/>
        <v>---</v>
      </c>
      <c r="AQ118" s="70" t="str">
        <f t="shared" si="50"/>
        <v>---</v>
      </c>
      <c r="AR118" s="70" t="str">
        <f t="shared" si="51"/>
        <v>---</v>
      </c>
      <c r="AS118" s="70" t="str">
        <f t="shared" si="52"/>
        <v>---</v>
      </c>
      <c r="AT118" s="71" t="str">
        <f t="shared" si="53"/>
        <v>---</v>
      </c>
    </row>
    <row r="119" spans="1:46" ht="30" customHeight="1" x14ac:dyDescent="0.3">
      <c r="A119" s="123">
        <f t="shared" si="37"/>
        <v>115</v>
      </c>
      <c r="B119" s="140">
        <f>INDEX('PEER GROUP'!B:B,MATCH($A119,'PEER GROUP'!$A:$A,0))</f>
        <v>0</v>
      </c>
      <c r="C119" s="83">
        <f>INDEX('PEER GROUP'!C:C,MATCH($A119,'PEER GROUP'!$A:$A,0))</f>
        <v>0</v>
      </c>
      <c r="D119" s="83">
        <f>INDEX('PEER GROUP'!D:D,MATCH($A119,'PEER GROUP'!$A:$A,0))</f>
        <v>0</v>
      </c>
      <c r="E119" s="83">
        <f>INDEX('PEER GROUP'!E:E,MATCH(A119,'PEER GROUP'!$A:$A,0))</f>
        <v>0</v>
      </c>
      <c r="F119" s="84">
        <f>INDEX('PEER GROUP'!F:F,MATCH($A119,'PEER GROUP'!$A:$A,0))</f>
        <v>0</v>
      </c>
      <c r="G119" s="84">
        <f>INDEX('PEER GROUP'!G:G,MATCH($A119,'PEER GROUP'!$A:$A,0))</f>
        <v>0</v>
      </c>
      <c r="H119" s="85"/>
      <c r="I119" s="85"/>
      <c r="J119" s="70">
        <f>INDEX('PEER GROUP'!K:K,MATCH($A119,'PEER GROUP'!$A:$A,0))</f>
        <v>0</v>
      </c>
      <c r="K119" s="70">
        <f>INDEX('PEER GROUP'!L:L,MATCH($A119,'PEER GROUP'!$A:$A,0))</f>
        <v>0</v>
      </c>
      <c r="L119" s="70">
        <f>INDEX('PEER GROUP'!M:M,MATCH($A119,'PEER GROUP'!$A:$A,0))</f>
        <v>0</v>
      </c>
      <c r="M119" s="86">
        <f>INDEX('PEER GROUP'!N:N,MATCH($A119,'PEER GROUP'!$A:$A,0))</f>
        <v>0</v>
      </c>
      <c r="N119" s="118"/>
      <c r="O119" s="115"/>
      <c r="P119" s="117"/>
      <c r="Q119" s="87"/>
      <c r="R119" s="87">
        <f t="shared" si="38"/>
        <v>0</v>
      </c>
      <c r="S119" s="87"/>
      <c r="T119" s="87"/>
      <c r="U119" s="87"/>
      <c r="V119" s="87">
        <f t="shared" si="39"/>
        <v>0</v>
      </c>
      <c r="W119" s="113">
        <f t="shared" si="36"/>
        <v>36.913096727263202</v>
      </c>
      <c r="X119" s="69">
        <f t="shared" si="40"/>
        <v>0</v>
      </c>
      <c r="Y119" s="70">
        <f t="shared" si="41"/>
        <v>0</v>
      </c>
      <c r="Z119" s="70">
        <f t="shared" si="42"/>
        <v>0</v>
      </c>
      <c r="AA119" s="70">
        <f t="shared" si="43"/>
        <v>0</v>
      </c>
      <c r="AB119" s="70">
        <f t="shared" si="44"/>
        <v>0</v>
      </c>
      <c r="AC119" s="70">
        <f t="shared" si="45"/>
        <v>0</v>
      </c>
      <c r="AD119" s="71">
        <f t="shared" si="46"/>
        <v>0</v>
      </c>
      <c r="AE119" s="49"/>
      <c r="AF119" s="21"/>
      <c r="AG119" s="69"/>
      <c r="AH119" s="70"/>
      <c r="AI119" s="70"/>
      <c r="AJ119" s="70"/>
      <c r="AK119" s="70"/>
      <c r="AL119" s="70"/>
      <c r="AM119" s="70"/>
      <c r="AN119" s="70" t="str">
        <f t="shared" si="47"/>
        <v>---</v>
      </c>
      <c r="AO119" s="70" t="str">
        <f t="shared" si="48"/>
        <v>---</v>
      </c>
      <c r="AP119" s="70" t="str">
        <f t="shared" si="49"/>
        <v>---</v>
      </c>
      <c r="AQ119" s="70" t="str">
        <f t="shared" si="50"/>
        <v>---</v>
      </c>
      <c r="AR119" s="70" t="str">
        <f t="shared" si="51"/>
        <v>---</v>
      </c>
      <c r="AS119" s="70" t="str">
        <f t="shared" si="52"/>
        <v>---</v>
      </c>
      <c r="AT119" s="71" t="str">
        <f t="shared" si="53"/>
        <v>---</v>
      </c>
    </row>
    <row r="120" spans="1:46" ht="30" customHeight="1" x14ac:dyDescent="0.3">
      <c r="A120" s="123">
        <f t="shared" si="37"/>
        <v>116</v>
      </c>
      <c r="B120" s="140">
        <f>INDEX('PEER GROUP'!B:B,MATCH($A120,'PEER GROUP'!$A:$A,0))</f>
        <v>0</v>
      </c>
      <c r="C120" s="83">
        <f>INDEX('PEER GROUP'!C:C,MATCH($A120,'PEER GROUP'!$A:$A,0))</f>
        <v>0</v>
      </c>
      <c r="D120" s="83">
        <f>INDEX('PEER GROUP'!D:D,MATCH($A120,'PEER GROUP'!$A:$A,0))</f>
        <v>0</v>
      </c>
      <c r="E120" s="83">
        <f>INDEX('PEER GROUP'!E:E,MATCH(A120,'PEER GROUP'!$A:$A,0))</f>
        <v>0</v>
      </c>
      <c r="F120" s="84">
        <f>INDEX('PEER GROUP'!F:F,MATCH($A120,'PEER GROUP'!$A:$A,0))</f>
        <v>0</v>
      </c>
      <c r="G120" s="84">
        <f>INDEX('PEER GROUP'!G:G,MATCH($A120,'PEER GROUP'!$A:$A,0))</f>
        <v>0</v>
      </c>
      <c r="H120" s="85"/>
      <c r="I120" s="85"/>
      <c r="J120" s="70">
        <f>INDEX('PEER GROUP'!K:K,MATCH($A120,'PEER GROUP'!$A:$A,0))</f>
        <v>0</v>
      </c>
      <c r="K120" s="70">
        <f>INDEX('PEER GROUP'!L:L,MATCH($A120,'PEER GROUP'!$A:$A,0))</f>
        <v>0</v>
      </c>
      <c r="L120" s="70">
        <f>INDEX('PEER GROUP'!M:M,MATCH($A120,'PEER GROUP'!$A:$A,0))</f>
        <v>0</v>
      </c>
      <c r="M120" s="86">
        <f>INDEX('PEER GROUP'!N:N,MATCH($A120,'PEER GROUP'!$A:$A,0))</f>
        <v>0</v>
      </c>
      <c r="N120" s="118"/>
      <c r="O120" s="115"/>
      <c r="P120" s="117"/>
      <c r="Q120" s="87"/>
      <c r="R120" s="87">
        <f t="shared" si="38"/>
        <v>0</v>
      </c>
      <c r="S120" s="87"/>
      <c r="T120" s="87"/>
      <c r="U120" s="87"/>
      <c r="V120" s="87">
        <f t="shared" si="39"/>
        <v>0</v>
      </c>
      <c r="W120" s="113">
        <f t="shared" si="36"/>
        <v>36.913096727263202</v>
      </c>
      <c r="X120" s="69">
        <f t="shared" si="40"/>
        <v>0</v>
      </c>
      <c r="Y120" s="70">
        <f t="shared" si="41"/>
        <v>0</v>
      </c>
      <c r="Z120" s="70">
        <f t="shared" si="42"/>
        <v>0</v>
      </c>
      <c r="AA120" s="70">
        <f t="shared" si="43"/>
        <v>0</v>
      </c>
      <c r="AB120" s="70">
        <f t="shared" si="44"/>
        <v>0</v>
      </c>
      <c r="AC120" s="70">
        <f t="shared" si="45"/>
        <v>0</v>
      </c>
      <c r="AD120" s="71">
        <f t="shared" si="46"/>
        <v>0</v>
      </c>
      <c r="AE120" s="49"/>
      <c r="AF120" s="21"/>
      <c r="AG120" s="69"/>
      <c r="AH120" s="70"/>
      <c r="AI120" s="70"/>
      <c r="AJ120" s="70"/>
      <c r="AK120" s="70"/>
      <c r="AL120" s="70"/>
      <c r="AM120" s="70"/>
      <c r="AN120" s="70" t="str">
        <f t="shared" si="47"/>
        <v>---</v>
      </c>
      <c r="AO120" s="70" t="str">
        <f t="shared" si="48"/>
        <v>---</v>
      </c>
      <c r="AP120" s="70" t="str">
        <f t="shared" si="49"/>
        <v>---</v>
      </c>
      <c r="AQ120" s="70" t="str">
        <f t="shared" si="50"/>
        <v>---</v>
      </c>
      <c r="AR120" s="70" t="str">
        <f t="shared" si="51"/>
        <v>---</v>
      </c>
      <c r="AS120" s="70" t="str">
        <f t="shared" si="52"/>
        <v>---</v>
      </c>
      <c r="AT120" s="71" t="str">
        <f t="shared" si="53"/>
        <v>---</v>
      </c>
    </row>
    <row r="121" spans="1:46" ht="30" customHeight="1" x14ac:dyDescent="0.3">
      <c r="A121" s="123">
        <f t="shared" si="37"/>
        <v>117</v>
      </c>
      <c r="B121" s="140">
        <f>INDEX('PEER GROUP'!B:B,MATCH($A121,'PEER GROUP'!$A:$A,0))</f>
        <v>0</v>
      </c>
      <c r="C121" s="83">
        <f>INDEX('PEER GROUP'!C:C,MATCH($A121,'PEER GROUP'!$A:$A,0))</f>
        <v>0</v>
      </c>
      <c r="D121" s="83">
        <f>INDEX('PEER GROUP'!D:D,MATCH($A121,'PEER GROUP'!$A:$A,0))</f>
        <v>0</v>
      </c>
      <c r="E121" s="83">
        <f>INDEX('PEER GROUP'!E:E,MATCH(A121,'PEER GROUP'!$A:$A,0))</f>
        <v>0</v>
      </c>
      <c r="F121" s="84">
        <f>INDEX('PEER GROUP'!F:F,MATCH($A121,'PEER GROUP'!$A:$A,0))</f>
        <v>0</v>
      </c>
      <c r="G121" s="84">
        <f>INDEX('PEER GROUP'!G:G,MATCH($A121,'PEER GROUP'!$A:$A,0))</f>
        <v>0</v>
      </c>
      <c r="H121" s="85"/>
      <c r="I121" s="85"/>
      <c r="J121" s="70">
        <f>INDEX('PEER GROUP'!K:K,MATCH($A121,'PEER GROUP'!$A:$A,0))</f>
        <v>0</v>
      </c>
      <c r="K121" s="70">
        <f>INDEX('PEER GROUP'!L:L,MATCH($A121,'PEER GROUP'!$A:$A,0))</f>
        <v>0</v>
      </c>
      <c r="L121" s="70">
        <f>INDEX('PEER GROUP'!M:M,MATCH($A121,'PEER GROUP'!$A:$A,0))</f>
        <v>0</v>
      </c>
      <c r="M121" s="86">
        <f>INDEX('PEER GROUP'!N:N,MATCH($A121,'PEER GROUP'!$A:$A,0))</f>
        <v>0</v>
      </c>
      <c r="N121" s="118"/>
      <c r="O121" s="115"/>
      <c r="P121" s="117"/>
      <c r="Q121" s="87"/>
      <c r="R121" s="87">
        <f t="shared" si="38"/>
        <v>0</v>
      </c>
      <c r="S121" s="87"/>
      <c r="T121" s="87"/>
      <c r="U121" s="87"/>
      <c r="V121" s="87">
        <f t="shared" si="39"/>
        <v>0</v>
      </c>
      <c r="W121" s="113">
        <f t="shared" si="36"/>
        <v>36.913096727263202</v>
      </c>
      <c r="X121" s="69">
        <f t="shared" si="40"/>
        <v>0</v>
      </c>
      <c r="Y121" s="70">
        <f t="shared" si="41"/>
        <v>0</v>
      </c>
      <c r="Z121" s="70">
        <f t="shared" si="42"/>
        <v>0</v>
      </c>
      <c r="AA121" s="70">
        <f t="shared" si="43"/>
        <v>0</v>
      </c>
      <c r="AB121" s="70">
        <f t="shared" si="44"/>
        <v>0</v>
      </c>
      <c r="AC121" s="70">
        <f t="shared" si="45"/>
        <v>0</v>
      </c>
      <c r="AD121" s="71">
        <f t="shared" si="46"/>
        <v>0</v>
      </c>
      <c r="AE121" s="49"/>
      <c r="AF121" s="21"/>
      <c r="AG121" s="69"/>
      <c r="AH121" s="70"/>
      <c r="AI121" s="70"/>
      <c r="AJ121" s="70"/>
      <c r="AK121" s="70"/>
      <c r="AL121" s="70"/>
      <c r="AM121" s="70"/>
      <c r="AN121" s="70" t="str">
        <f t="shared" si="47"/>
        <v>---</v>
      </c>
      <c r="AO121" s="70" t="str">
        <f t="shared" si="48"/>
        <v>---</v>
      </c>
      <c r="AP121" s="70" t="str">
        <f t="shared" si="49"/>
        <v>---</v>
      </c>
      <c r="AQ121" s="70" t="str">
        <f t="shared" si="50"/>
        <v>---</v>
      </c>
      <c r="AR121" s="70" t="str">
        <f t="shared" si="51"/>
        <v>---</v>
      </c>
      <c r="AS121" s="70" t="str">
        <f t="shared" si="52"/>
        <v>---</v>
      </c>
      <c r="AT121" s="71" t="str">
        <f t="shared" si="53"/>
        <v>---</v>
      </c>
    </row>
    <row r="122" spans="1:46" ht="30" customHeight="1" x14ac:dyDescent="0.3">
      <c r="A122" s="123">
        <f t="shared" si="37"/>
        <v>118</v>
      </c>
      <c r="B122" s="140">
        <f>INDEX('PEER GROUP'!B:B,MATCH($A122,'PEER GROUP'!$A:$A,0))</f>
        <v>0</v>
      </c>
      <c r="C122" s="83">
        <f>INDEX('PEER GROUP'!C:C,MATCH($A122,'PEER GROUP'!$A:$A,0))</f>
        <v>0</v>
      </c>
      <c r="D122" s="83">
        <f>INDEX('PEER GROUP'!D:D,MATCH($A122,'PEER GROUP'!$A:$A,0))</f>
        <v>0</v>
      </c>
      <c r="E122" s="83">
        <f>INDEX('PEER GROUP'!E:E,MATCH(A122,'PEER GROUP'!$A:$A,0))</f>
        <v>0</v>
      </c>
      <c r="F122" s="84">
        <f>INDEX('PEER GROUP'!F:F,MATCH($A122,'PEER GROUP'!$A:$A,0))</f>
        <v>0</v>
      </c>
      <c r="G122" s="84">
        <f>INDEX('PEER GROUP'!G:G,MATCH($A122,'PEER GROUP'!$A:$A,0))</f>
        <v>0</v>
      </c>
      <c r="H122" s="85"/>
      <c r="I122" s="85"/>
      <c r="J122" s="70">
        <f>INDEX('PEER GROUP'!K:K,MATCH($A122,'PEER GROUP'!$A:$A,0))</f>
        <v>0</v>
      </c>
      <c r="K122" s="70">
        <f>INDEX('PEER GROUP'!L:L,MATCH($A122,'PEER GROUP'!$A:$A,0))</f>
        <v>0</v>
      </c>
      <c r="L122" s="70">
        <f>INDEX('PEER GROUP'!M:M,MATCH($A122,'PEER GROUP'!$A:$A,0))</f>
        <v>0</v>
      </c>
      <c r="M122" s="86">
        <f>INDEX('PEER GROUP'!N:N,MATCH($A122,'PEER GROUP'!$A:$A,0))</f>
        <v>0</v>
      </c>
      <c r="N122" s="118"/>
      <c r="O122" s="115"/>
      <c r="P122" s="117"/>
      <c r="Q122" s="87"/>
      <c r="R122" s="87">
        <f t="shared" si="38"/>
        <v>0</v>
      </c>
      <c r="S122" s="87"/>
      <c r="T122" s="87"/>
      <c r="U122" s="87"/>
      <c r="V122" s="87">
        <f t="shared" si="39"/>
        <v>0</v>
      </c>
      <c r="W122" s="113">
        <f t="shared" si="36"/>
        <v>36.913096727263202</v>
      </c>
      <c r="X122" s="69">
        <f t="shared" si="40"/>
        <v>0</v>
      </c>
      <c r="Y122" s="70">
        <f t="shared" si="41"/>
        <v>0</v>
      </c>
      <c r="Z122" s="70">
        <f t="shared" si="42"/>
        <v>0</v>
      </c>
      <c r="AA122" s="70">
        <f t="shared" si="43"/>
        <v>0</v>
      </c>
      <c r="AB122" s="70">
        <f t="shared" si="44"/>
        <v>0</v>
      </c>
      <c r="AC122" s="70">
        <f t="shared" si="45"/>
        <v>0</v>
      </c>
      <c r="AD122" s="71">
        <f t="shared" si="46"/>
        <v>0</v>
      </c>
      <c r="AE122" s="49"/>
      <c r="AF122" s="21"/>
      <c r="AG122" s="69"/>
      <c r="AH122" s="70"/>
      <c r="AI122" s="70"/>
      <c r="AJ122" s="70"/>
      <c r="AK122" s="70"/>
      <c r="AL122" s="70"/>
      <c r="AM122" s="70"/>
      <c r="AN122" s="70" t="str">
        <f t="shared" si="47"/>
        <v>---</v>
      </c>
      <c r="AO122" s="70" t="str">
        <f t="shared" si="48"/>
        <v>---</v>
      </c>
      <c r="AP122" s="70" t="str">
        <f t="shared" si="49"/>
        <v>---</v>
      </c>
      <c r="AQ122" s="70" t="str">
        <f t="shared" si="50"/>
        <v>---</v>
      </c>
      <c r="AR122" s="70" t="str">
        <f t="shared" si="51"/>
        <v>---</v>
      </c>
      <c r="AS122" s="70" t="str">
        <f t="shared" si="52"/>
        <v>---</v>
      </c>
      <c r="AT122" s="71" t="str">
        <f t="shared" si="53"/>
        <v>---</v>
      </c>
    </row>
    <row r="123" spans="1:46" ht="30" customHeight="1" x14ac:dyDescent="0.3">
      <c r="A123" s="123">
        <f t="shared" si="37"/>
        <v>119</v>
      </c>
      <c r="B123" s="140">
        <f>INDEX('PEER GROUP'!B:B,MATCH($A123,'PEER GROUP'!$A:$A,0))</f>
        <v>0</v>
      </c>
      <c r="C123" s="83">
        <f>INDEX('PEER GROUP'!C:C,MATCH($A123,'PEER GROUP'!$A:$A,0))</f>
        <v>0</v>
      </c>
      <c r="D123" s="83">
        <f>INDEX('PEER GROUP'!D:D,MATCH($A123,'PEER GROUP'!$A:$A,0))</f>
        <v>0</v>
      </c>
      <c r="E123" s="83">
        <f>INDEX('PEER GROUP'!E:E,MATCH(A123,'PEER GROUP'!$A:$A,0))</f>
        <v>0</v>
      </c>
      <c r="F123" s="84">
        <f>INDEX('PEER GROUP'!F:F,MATCH($A123,'PEER GROUP'!$A:$A,0))</f>
        <v>0</v>
      </c>
      <c r="G123" s="84">
        <f>INDEX('PEER GROUP'!G:G,MATCH($A123,'PEER GROUP'!$A:$A,0))</f>
        <v>0</v>
      </c>
      <c r="H123" s="85"/>
      <c r="I123" s="85"/>
      <c r="J123" s="70">
        <f>INDEX('PEER GROUP'!K:K,MATCH($A123,'PEER GROUP'!$A:$A,0))</f>
        <v>0</v>
      </c>
      <c r="K123" s="70">
        <f>INDEX('PEER GROUP'!L:L,MATCH($A123,'PEER GROUP'!$A:$A,0))</f>
        <v>0</v>
      </c>
      <c r="L123" s="70">
        <f>INDEX('PEER GROUP'!M:M,MATCH($A123,'PEER GROUP'!$A:$A,0))</f>
        <v>0</v>
      </c>
      <c r="M123" s="86">
        <f>INDEX('PEER GROUP'!N:N,MATCH($A123,'PEER GROUP'!$A:$A,0))</f>
        <v>0</v>
      </c>
      <c r="N123" s="118"/>
      <c r="O123" s="115"/>
      <c r="P123" s="117"/>
      <c r="Q123" s="87"/>
      <c r="R123" s="87">
        <f t="shared" si="38"/>
        <v>0</v>
      </c>
      <c r="S123" s="87"/>
      <c r="T123" s="87"/>
      <c r="U123" s="87"/>
      <c r="V123" s="87">
        <f t="shared" si="39"/>
        <v>0</v>
      </c>
      <c r="W123" s="113">
        <f t="shared" si="36"/>
        <v>36.913096727263202</v>
      </c>
      <c r="X123" s="69">
        <f t="shared" si="40"/>
        <v>0</v>
      </c>
      <c r="Y123" s="70">
        <f t="shared" si="41"/>
        <v>0</v>
      </c>
      <c r="Z123" s="70">
        <f t="shared" si="42"/>
        <v>0</v>
      </c>
      <c r="AA123" s="70">
        <f t="shared" si="43"/>
        <v>0</v>
      </c>
      <c r="AB123" s="70">
        <f t="shared" si="44"/>
        <v>0</v>
      </c>
      <c r="AC123" s="70">
        <f t="shared" si="45"/>
        <v>0</v>
      </c>
      <c r="AD123" s="71">
        <f t="shared" si="46"/>
        <v>0</v>
      </c>
      <c r="AE123" s="49"/>
      <c r="AF123" s="21"/>
      <c r="AG123" s="69"/>
      <c r="AH123" s="70"/>
      <c r="AI123" s="70"/>
      <c r="AJ123" s="70"/>
      <c r="AK123" s="70"/>
      <c r="AL123" s="70"/>
      <c r="AM123" s="70"/>
      <c r="AN123" s="70" t="str">
        <f t="shared" si="47"/>
        <v>---</v>
      </c>
      <c r="AO123" s="70" t="str">
        <f t="shared" si="48"/>
        <v>---</v>
      </c>
      <c r="AP123" s="70" t="str">
        <f t="shared" si="49"/>
        <v>---</v>
      </c>
      <c r="AQ123" s="70" t="str">
        <f t="shared" si="50"/>
        <v>---</v>
      </c>
      <c r="AR123" s="70" t="str">
        <f t="shared" si="51"/>
        <v>---</v>
      </c>
      <c r="AS123" s="70" t="str">
        <f t="shared" si="52"/>
        <v>---</v>
      </c>
      <c r="AT123" s="71" t="str">
        <f t="shared" si="53"/>
        <v>---</v>
      </c>
    </row>
    <row r="124" spans="1:46" ht="30" customHeight="1" x14ac:dyDescent="0.3">
      <c r="A124" s="123">
        <f t="shared" si="37"/>
        <v>120</v>
      </c>
      <c r="B124" s="140">
        <f>INDEX('PEER GROUP'!B:B,MATCH($A124,'PEER GROUP'!$A:$A,0))</f>
        <v>0</v>
      </c>
      <c r="C124" s="83">
        <f>INDEX('PEER GROUP'!C:C,MATCH($A124,'PEER GROUP'!$A:$A,0))</f>
        <v>0</v>
      </c>
      <c r="D124" s="83">
        <f>INDEX('PEER GROUP'!D:D,MATCH($A124,'PEER GROUP'!$A:$A,0))</f>
        <v>0</v>
      </c>
      <c r="E124" s="83">
        <f>INDEX('PEER GROUP'!E:E,MATCH(A124,'PEER GROUP'!$A:$A,0))</f>
        <v>0</v>
      </c>
      <c r="F124" s="84">
        <f>INDEX('PEER GROUP'!F:F,MATCH($A124,'PEER GROUP'!$A:$A,0))</f>
        <v>0</v>
      </c>
      <c r="G124" s="84">
        <f>INDEX('PEER GROUP'!G:G,MATCH($A124,'PEER GROUP'!$A:$A,0))</f>
        <v>0</v>
      </c>
      <c r="H124" s="85"/>
      <c r="I124" s="85"/>
      <c r="J124" s="70">
        <f>INDEX('PEER GROUP'!K:K,MATCH($A124,'PEER GROUP'!$A:$A,0))</f>
        <v>0</v>
      </c>
      <c r="K124" s="70">
        <f>INDEX('PEER GROUP'!L:L,MATCH($A124,'PEER GROUP'!$A:$A,0))</f>
        <v>0</v>
      </c>
      <c r="L124" s="70">
        <f>INDEX('PEER GROUP'!M:M,MATCH($A124,'PEER GROUP'!$A:$A,0))</f>
        <v>0</v>
      </c>
      <c r="M124" s="86">
        <f>INDEX('PEER GROUP'!N:N,MATCH($A124,'PEER GROUP'!$A:$A,0))</f>
        <v>0</v>
      </c>
      <c r="N124" s="118"/>
      <c r="O124" s="115"/>
      <c r="P124" s="117"/>
      <c r="Q124" s="87"/>
      <c r="R124" s="87">
        <f t="shared" si="38"/>
        <v>0</v>
      </c>
      <c r="S124" s="87"/>
      <c r="T124" s="87"/>
      <c r="U124" s="87"/>
      <c r="V124" s="87">
        <f t="shared" si="39"/>
        <v>0</v>
      </c>
      <c r="W124" s="113">
        <f t="shared" si="36"/>
        <v>36.913096727263202</v>
      </c>
      <c r="X124" s="69">
        <f t="shared" si="40"/>
        <v>0</v>
      </c>
      <c r="Y124" s="70">
        <f t="shared" si="41"/>
        <v>0</v>
      </c>
      <c r="Z124" s="70">
        <f t="shared" si="42"/>
        <v>0</v>
      </c>
      <c r="AA124" s="70">
        <f t="shared" si="43"/>
        <v>0</v>
      </c>
      <c r="AB124" s="70">
        <f t="shared" si="44"/>
        <v>0</v>
      </c>
      <c r="AC124" s="70">
        <f t="shared" si="45"/>
        <v>0</v>
      </c>
      <c r="AD124" s="71">
        <f t="shared" si="46"/>
        <v>0</v>
      </c>
      <c r="AE124" s="49"/>
      <c r="AF124" s="21"/>
      <c r="AG124" s="69"/>
      <c r="AH124" s="70"/>
      <c r="AI124" s="70"/>
      <c r="AJ124" s="70"/>
      <c r="AK124" s="70"/>
      <c r="AL124" s="70"/>
      <c r="AM124" s="70"/>
      <c r="AN124" s="70" t="str">
        <f t="shared" si="47"/>
        <v>---</v>
      </c>
      <c r="AO124" s="70" t="str">
        <f t="shared" si="48"/>
        <v>---</v>
      </c>
      <c r="AP124" s="70" t="str">
        <f t="shared" si="49"/>
        <v>---</v>
      </c>
      <c r="AQ124" s="70" t="str">
        <f t="shared" si="50"/>
        <v>---</v>
      </c>
      <c r="AR124" s="70" t="str">
        <f t="shared" si="51"/>
        <v>---</v>
      </c>
      <c r="AS124" s="70" t="str">
        <f t="shared" si="52"/>
        <v>---</v>
      </c>
      <c r="AT124" s="71" t="str">
        <f t="shared" si="53"/>
        <v>---</v>
      </c>
    </row>
    <row r="125" spans="1:46" ht="30" customHeight="1" x14ac:dyDescent="0.3">
      <c r="A125" s="123">
        <f t="shared" si="37"/>
        <v>121</v>
      </c>
      <c r="B125" s="140">
        <f>INDEX('PEER GROUP'!B:B,MATCH($A125,'PEER GROUP'!$A:$A,0))</f>
        <v>0</v>
      </c>
      <c r="C125" s="83">
        <f>INDEX('PEER GROUP'!C:C,MATCH($A125,'PEER GROUP'!$A:$A,0))</f>
        <v>0</v>
      </c>
      <c r="D125" s="83">
        <f>INDEX('PEER GROUP'!D:D,MATCH($A125,'PEER GROUP'!$A:$A,0))</f>
        <v>0</v>
      </c>
      <c r="E125" s="83">
        <f>INDEX('PEER GROUP'!E:E,MATCH(A125,'PEER GROUP'!$A:$A,0))</f>
        <v>0</v>
      </c>
      <c r="F125" s="84">
        <f>INDEX('PEER GROUP'!F:F,MATCH($A125,'PEER GROUP'!$A:$A,0))</f>
        <v>0</v>
      </c>
      <c r="G125" s="84">
        <f>INDEX('PEER GROUP'!G:G,MATCH($A125,'PEER GROUP'!$A:$A,0))</f>
        <v>0</v>
      </c>
      <c r="H125" s="85"/>
      <c r="I125" s="85"/>
      <c r="J125" s="70">
        <f>INDEX('PEER GROUP'!K:K,MATCH($A125,'PEER GROUP'!$A:$A,0))</f>
        <v>0</v>
      </c>
      <c r="K125" s="70">
        <f>INDEX('PEER GROUP'!L:L,MATCH($A125,'PEER GROUP'!$A:$A,0))</f>
        <v>0</v>
      </c>
      <c r="L125" s="70">
        <f>INDEX('PEER GROUP'!M:M,MATCH($A125,'PEER GROUP'!$A:$A,0))</f>
        <v>0</v>
      </c>
      <c r="M125" s="86">
        <f>INDEX('PEER GROUP'!N:N,MATCH($A125,'PEER GROUP'!$A:$A,0))</f>
        <v>0</v>
      </c>
      <c r="N125" s="118"/>
      <c r="O125" s="115"/>
      <c r="P125" s="117"/>
      <c r="Q125" s="87"/>
      <c r="R125" s="87">
        <f t="shared" si="38"/>
        <v>0</v>
      </c>
      <c r="S125" s="87"/>
      <c r="T125" s="87"/>
      <c r="U125" s="87"/>
      <c r="V125" s="87">
        <f t="shared" si="39"/>
        <v>0</v>
      </c>
      <c r="W125" s="113">
        <f t="shared" si="36"/>
        <v>36.913096727263202</v>
      </c>
      <c r="X125" s="69">
        <f t="shared" si="40"/>
        <v>0</v>
      </c>
      <c r="Y125" s="70">
        <f t="shared" si="41"/>
        <v>0</v>
      </c>
      <c r="Z125" s="70">
        <f t="shared" si="42"/>
        <v>0</v>
      </c>
      <c r="AA125" s="70">
        <f t="shared" si="43"/>
        <v>0</v>
      </c>
      <c r="AB125" s="70">
        <f t="shared" si="44"/>
        <v>0</v>
      </c>
      <c r="AC125" s="70">
        <f t="shared" si="45"/>
        <v>0</v>
      </c>
      <c r="AD125" s="71">
        <f t="shared" si="46"/>
        <v>0</v>
      </c>
      <c r="AE125" s="49"/>
      <c r="AF125" s="21"/>
      <c r="AG125" s="69"/>
      <c r="AH125" s="70"/>
      <c r="AI125" s="70"/>
      <c r="AJ125" s="70"/>
      <c r="AK125" s="70"/>
      <c r="AL125" s="70"/>
      <c r="AM125" s="70"/>
      <c r="AN125" s="70" t="str">
        <f t="shared" si="47"/>
        <v>---</v>
      </c>
      <c r="AO125" s="70" t="str">
        <f t="shared" si="48"/>
        <v>---</v>
      </c>
      <c r="AP125" s="70" t="str">
        <f t="shared" si="49"/>
        <v>---</v>
      </c>
      <c r="AQ125" s="70" t="str">
        <f t="shared" si="50"/>
        <v>---</v>
      </c>
      <c r="AR125" s="70" t="str">
        <f t="shared" si="51"/>
        <v>---</v>
      </c>
      <c r="AS125" s="70" t="str">
        <f t="shared" si="52"/>
        <v>---</v>
      </c>
      <c r="AT125" s="71" t="str">
        <f t="shared" si="53"/>
        <v>---</v>
      </c>
    </row>
    <row r="126" spans="1:46" ht="30" customHeight="1" x14ac:dyDescent="0.3">
      <c r="A126" s="123">
        <f t="shared" si="37"/>
        <v>122</v>
      </c>
      <c r="B126" s="140">
        <f>INDEX('PEER GROUP'!B:B,MATCH($A126,'PEER GROUP'!$A:$A,0))</f>
        <v>0</v>
      </c>
      <c r="C126" s="83">
        <f>INDEX('PEER GROUP'!C:C,MATCH($A126,'PEER GROUP'!$A:$A,0))</f>
        <v>0</v>
      </c>
      <c r="D126" s="83">
        <f>INDEX('PEER GROUP'!D:D,MATCH($A126,'PEER GROUP'!$A:$A,0))</f>
        <v>0</v>
      </c>
      <c r="E126" s="83">
        <f>INDEX('PEER GROUP'!E:E,MATCH(A126,'PEER GROUP'!$A:$A,0))</f>
        <v>0</v>
      </c>
      <c r="F126" s="84">
        <f>INDEX('PEER GROUP'!F:F,MATCH($A126,'PEER GROUP'!$A:$A,0))</f>
        <v>0</v>
      </c>
      <c r="G126" s="84">
        <f>INDEX('PEER GROUP'!G:G,MATCH($A126,'PEER GROUP'!$A:$A,0))</f>
        <v>0</v>
      </c>
      <c r="H126" s="85"/>
      <c r="I126" s="85"/>
      <c r="J126" s="70">
        <f>INDEX('PEER GROUP'!K:K,MATCH($A126,'PEER GROUP'!$A:$A,0))</f>
        <v>0</v>
      </c>
      <c r="K126" s="70">
        <f>INDEX('PEER GROUP'!L:L,MATCH($A126,'PEER GROUP'!$A:$A,0))</f>
        <v>0</v>
      </c>
      <c r="L126" s="70">
        <f>INDEX('PEER GROUP'!M:M,MATCH($A126,'PEER GROUP'!$A:$A,0))</f>
        <v>0</v>
      </c>
      <c r="M126" s="86">
        <f>INDEX('PEER GROUP'!N:N,MATCH($A126,'PEER GROUP'!$A:$A,0))</f>
        <v>0</v>
      </c>
      <c r="N126" s="118"/>
      <c r="O126" s="115"/>
      <c r="P126" s="117"/>
      <c r="Q126" s="87"/>
      <c r="R126" s="87">
        <f t="shared" si="38"/>
        <v>0</v>
      </c>
      <c r="S126" s="87"/>
      <c r="T126" s="87"/>
      <c r="U126" s="87"/>
      <c r="V126" s="87">
        <f t="shared" si="39"/>
        <v>0</v>
      </c>
      <c r="W126" s="113">
        <f t="shared" si="36"/>
        <v>36.913096727263202</v>
      </c>
      <c r="X126" s="69">
        <f t="shared" si="40"/>
        <v>0</v>
      </c>
      <c r="Y126" s="70">
        <f t="shared" si="41"/>
        <v>0</v>
      </c>
      <c r="Z126" s="70">
        <f t="shared" si="42"/>
        <v>0</v>
      </c>
      <c r="AA126" s="70">
        <f t="shared" si="43"/>
        <v>0</v>
      </c>
      <c r="AB126" s="70">
        <f t="shared" si="44"/>
        <v>0</v>
      </c>
      <c r="AC126" s="70">
        <f t="shared" si="45"/>
        <v>0</v>
      </c>
      <c r="AD126" s="71">
        <f t="shared" si="46"/>
        <v>0</v>
      </c>
      <c r="AE126" s="49"/>
      <c r="AF126" s="21"/>
      <c r="AG126" s="69"/>
      <c r="AH126" s="70"/>
      <c r="AI126" s="70"/>
      <c r="AJ126" s="70"/>
      <c r="AK126" s="70"/>
      <c r="AL126" s="70"/>
      <c r="AM126" s="70"/>
      <c r="AN126" s="70" t="str">
        <f t="shared" si="47"/>
        <v>---</v>
      </c>
      <c r="AO126" s="70" t="str">
        <f t="shared" si="48"/>
        <v>---</v>
      </c>
      <c r="AP126" s="70" t="str">
        <f t="shared" si="49"/>
        <v>---</v>
      </c>
      <c r="AQ126" s="70" t="str">
        <f t="shared" si="50"/>
        <v>---</v>
      </c>
      <c r="AR126" s="70" t="str">
        <f t="shared" si="51"/>
        <v>---</v>
      </c>
      <c r="AS126" s="70" t="str">
        <f t="shared" si="52"/>
        <v>---</v>
      </c>
      <c r="AT126" s="71" t="str">
        <f t="shared" si="53"/>
        <v>---</v>
      </c>
    </row>
    <row r="127" spans="1:46" ht="30" customHeight="1" x14ac:dyDescent="0.3">
      <c r="A127" s="123">
        <f t="shared" si="37"/>
        <v>123</v>
      </c>
      <c r="B127" s="140">
        <f>INDEX('PEER GROUP'!B:B,MATCH($A127,'PEER GROUP'!$A:$A,0))</f>
        <v>0</v>
      </c>
      <c r="C127" s="83">
        <f>INDEX('PEER GROUP'!C:C,MATCH($A127,'PEER GROUP'!$A:$A,0))</f>
        <v>0</v>
      </c>
      <c r="D127" s="83">
        <f>INDEX('PEER GROUP'!D:D,MATCH($A127,'PEER GROUP'!$A:$A,0))</f>
        <v>0</v>
      </c>
      <c r="E127" s="83">
        <f>INDEX('PEER GROUP'!E:E,MATCH(A127,'PEER GROUP'!$A:$A,0))</f>
        <v>0</v>
      </c>
      <c r="F127" s="84">
        <f>INDEX('PEER GROUP'!F:F,MATCH($A127,'PEER GROUP'!$A:$A,0))</f>
        <v>0</v>
      </c>
      <c r="G127" s="84">
        <f>INDEX('PEER GROUP'!G:G,MATCH($A127,'PEER GROUP'!$A:$A,0))</f>
        <v>0</v>
      </c>
      <c r="H127" s="85"/>
      <c r="I127" s="85"/>
      <c r="J127" s="70">
        <f>INDEX('PEER GROUP'!K:K,MATCH($A127,'PEER GROUP'!$A:$A,0))</f>
        <v>0</v>
      </c>
      <c r="K127" s="70">
        <f>INDEX('PEER GROUP'!L:L,MATCH($A127,'PEER GROUP'!$A:$A,0))</f>
        <v>0</v>
      </c>
      <c r="L127" s="70">
        <f>INDEX('PEER GROUP'!M:M,MATCH($A127,'PEER GROUP'!$A:$A,0))</f>
        <v>0</v>
      </c>
      <c r="M127" s="86">
        <f>INDEX('PEER GROUP'!N:N,MATCH($A127,'PEER GROUP'!$A:$A,0))</f>
        <v>0</v>
      </c>
      <c r="N127" s="118"/>
      <c r="O127" s="115"/>
      <c r="P127" s="117"/>
      <c r="Q127" s="87"/>
      <c r="R127" s="87">
        <f t="shared" si="38"/>
        <v>0</v>
      </c>
      <c r="S127" s="87"/>
      <c r="T127" s="87"/>
      <c r="U127" s="87"/>
      <c r="V127" s="87">
        <f t="shared" si="39"/>
        <v>0</v>
      </c>
      <c r="W127" s="113">
        <f t="shared" si="36"/>
        <v>36.913096727263202</v>
      </c>
      <c r="X127" s="69">
        <f t="shared" si="40"/>
        <v>0</v>
      </c>
      <c r="Y127" s="70">
        <f t="shared" si="41"/>
        <v>0</v>
      </c>
      <c r="Z127" s="70">
        <f t="shared" si="42"/>
        <v>0</v>
      </c>
      <c r="AA127" s="70">
        <f t="shared" si="43"/>
        <v>0</v>
      </c>
      <c r="AB127" s="70">
        <f t="shared" si="44"/>
        <v>0</v>
      </c>
      <c r="AC127" s="70">
        <f t="shared" si="45"/>
        <v>0</v>
      </c>
      <c r="AD127" s="71">
        <f t="shared" si="46"/>
        <v>0</v>
      </c>
      <c r="AE127" s="49"/>
      <c r="AF127" s="21"/>
      <c r="AG127" s="69"/>
      <c r="AH127" s="70"/>
      <c r="AI127" s="70"/>
      <c r="AJ127" s="70"/>
      <c r="AK127" s="70"/>
      <c r="AL127" s="70"/>
      <c r="AM127" s="70"/>
      <c r="AN127" s="70" t="str">
        <f t="shared" si="47"/>
        <v>---</v>
      </c>
      <c r="AO127" s="70" t="str">
        <f t="shared" si="48"/>
        <v>---</v>
      </c>
      <c r="AP127" s="70" t="str">
        <f t="shared" si="49"/>
        <v>---</v>
      </c>
      <c r="AQ127" s="70" t="str">
        <f t="shared" si="50"/>
        <v>---</v>
      </c>
      <c r="AR127" s="70" t="str">
        <f t="shared" si="51"/>
        <v>---</v>
      </c>
      <c r="AS127" s="70" t="str">
        <f t="shared" si="52"/>
        <v>---</v>
      </c>
      <c r="AT127" s="71" t="str">
        <f t="shared" si="53"/>
        <v>---</v>
      </c>
    </row>
    <row r="128" spans="1:46" ht="30" customHeight="1" x14ac:dyDescent="0.3">
      <c r="A128" s="123">
        <f t="shared" si="37"/>
        <v>124</v>
      </c>
      <c r="B128" s="140">
        <f>INDEX('PEER GROUP'!B:B,MATCH($A128,'PEER GROUP'!$A:$A,0))</f>
        <v>0</v>
      </c>
      <c r="C128" s="83">
        <f>INDEX('PEER GROUP'!C:C,MATCH($A128,'PEER GROUP'!$A:$A,0))</f>
        <v>0</v>
      </c>
      <c r="D128" s="83">
        <f>INDEX('PEER GROUP'!D:D,MATCH($A128,'PEER GROUP'!$A:$A,0))</f>
        <v>0</v>
      </c>
      <c r="E128" s="83">
        <f>INDEX('PEER GROUP'!E:E,MATCH(A128,'PEER GROUP'!$A:$A,0))</f>
        <v>0</v>
      </c>
      <c r="F128" s="84">
        <f>INDEX('PEER GROUP'!F:F,MATCH($A128,'PEER GROUP'!$A:$A,0))</f>
        <v>0</v>
      </c>
      <c r="G128" s="84">
        <f>INDEX('PEER GROUP'!G:G,MATCH($A128,'PEER GROUP'!$A:$A,0))</f>
        <v>0</v>
      </c>
      <c r="H128" s="85"/>
      <c r="I128" s="85"/>
      <c r="J128" s="70">
        <f>INDEX('PEER GROUP'!K:K,MATCH($A128,'PEER GROUP'!$A:$A,0))</f>
        <v>0</v>
      </c>
      <c r="K128" s="70">
        <f>INDEX('PEER GROUP'!L:L,MATCH($A128,'PEER GROUP'!$A:$A,0))</f>
        <v>0</v>
      </c>
      <c r="L128" s="70">
        <f>INDEX('PEER GROUP'!M:M,MATCH($A128,'PEER GROUP'!$A:$A,0))</f>
        <v>0</v>
      </c>
      <c r="M128" s="86">
        <f>INDEX('PEER GROUP'!N:N,MATCH($A128,'PEER GROUP'!$A:$A,0))</f>
        <v>0</v>
      </c>
      <c r="N128" s="118"/>
      <c r="O128" s="115"/>
      <c r="P128" s="117"/>
      <c r="Q128" s="87"/>
      <c r="R128" s="87">
        <f t="shared" si="38"/>
        <v>0</v>
      </c>
      <c r="S128" s="87"/>
      <c r="T128" s="87"/>
      <c r="U128" s="87"/>
      <c r="V128" s="87">
        <f t="shared" si="39"/>
        <v>0</v>
      </c>
      <c r="W128" s="113">
        <f t="shared" si="36"/>
        <v>36.913096727263202</v>
      </c>
      <c r="X128" s="69">
        <f t="shared" si="40"/>
        <v>0</v>
      </c>
      <c r="Y128" s="70">
        <f t="shared" si="41"/>
        <v>0</v>
      </c>
      <c r="Z128" s="70">
        <f t="shared" si="42"/>
        <v>0</v>
      </c>
      <c r="AA128" s="70">
        <f t="shared" si="43"/>
        <v>0</v>
      </c>
      <c r="AB128" s="70">
        <f t="shared" si="44"/>
        <v>0</v>
      </c>
      <c r="AC128" s="70">
        <f t="shared" si="45"/>
        <v>0</v>
      </c>
      <c r="AD128" s="71">
        <f t="shared" si="46"/>
        <v>0</v>
      </c>
      <c r="AE128" s="49"/>
      <c r="AF128" s="21"/>
      <c r="AG128" s="69"/>
      <c r="AH128" s="70"/>
      <c r="AI128" s="70"/>
      <c r="AJ128" s="70"/>
      <c r="AK128" s="70"/>
      <c r="AL128" s="70"/>
      <c r="AM128" s="70"/>
      <c r="AN128" s="70" t="str">
        <f t="shared" si="47"/>
        <v>---</v>
      </c>
      <c r="AO128" s="70" t="str">
        <f t="shared" si="48"/>
        <v>---</v>
      </c>
      <c r="AP128" s="70" t="str">
        <f t="shared" si="49"/>
        <v>---</v>
      </c>
      <c r="AQ128" s="70" t="str">
        <f t="shared" si="50"/>
        <v>---</v>
      </c>
      <c r="AR128" s="70" t="str">
        <f t="shared" si="51"/>
        <v>---</v>
      </c>
      <c r="AS128" s="70" t="str">
        <f t="shared" si="52"/>
        <v>---</v>
      </c>
      <c r="AT128" s="71" t="str">
        <f t="shared" si="53"/>
        <v>---</v>
      </c>
    </row>
    <row r="129" spans="1:46" ht="30" customHeight="1" x14ac:dyDescent="0.3">
      <c r="A129" s="123">
        <f t="shared" si="37"/>
        <v>125</v>
      </c>
      <c r="B129" s="140">
        <f>INDEX('PEER GROUP'!B:B,MATCH($A129,'PEER GROUP'!$A:$A,0))</f>
        <v>0</v>
      </c>
      <c r="C129" s="83">
        <f>INDEX('PEER GROUP'!C:C,MATCH($A129,'PEER GROUP'!$A:$A,0))</f>
        <v>0</v>
      </c>
      <c r="D129" s="83">
        <f>INDEX('PEER GROUP'!D:D,MATCH($A129,'PEER GROUP'!$A:$A,0))</f>
        <v>0</v>
      </c>
      <c r="E129" s="83">
        <f>INDEX('PEER GROUP'!E:E,MATCH(A129,'PEER GROUP'!$A:$A,0))</f>
        <v>0</v>
      </c>
      <c r="F129" s="84">
        <f>INDEX('PEER GROUP'!F:F,MATCH($A129,'PEER GROUP'!$A:$A,0))</f>
        <v>0</v>
      </c>
      <c r="G129" s="84">
        <f>INDEX('PEER GROUP'!G:G,MATCH($A129,'PEER GROUP'!$A:$A,0))</f>
        <v>0</v>
      </c>
      <c r="H129" s="85"/>
      <c r="I129" s="85"/>
      <c r="J129" s="70">
        <f>INDEX('PEER GROUP'!K:K,MATCH($A129,'PEER GROUP'!$A:$A,0))</f>
        <v>0</v>
      </c>
      <c r="K129" s="70">
        <f>INDEX('PEER GROUP'!L:L,MATCH($A129,'PEER GROUP'!$A:$A,0))</f>
        <v>0</v>
      </c>
      <c r="L129" s="70">
        <f>INDEX('PEER GROUP'!M:M,MATCH($A129,'PEER GROUP'!$A:$A,0))</f>
        <v>0</v>
      </c>
      <c r="M129" s="86">
        <f>INDEX('PEER GROUP'!N:N,MATCH($A129,'PEER GROUP'!$A:$A,0))</f>
        <v>0</v>
      </c>
      <c r="N129" s="118"/>
      <c r="O129" s="115"/>
      <c r="P129" s="117"/>
      <c r="Q129" s="87"/>
      <c r="R129" s="87">
        <f t="shared" si="38"/>
        <v>0</v>
      </c>
      <c r="S129" s="87"/>
      <c r="T129" s="87"/>
      <c r="U129" s="87"/>
      <c r="V129" s="87">
        <f t="shared" si="39"/>
        <v>0</v>
      </c>
      <c r="W129" s="113">
        <f t="shared" si="36"/>
        <v>36.913096727263202</v>
      </c>
      <c r="X129" s="69">
        <f t="shared" si="40"/>
        <v>0</v>
      </c>
      <c r="Y129" s="70">
        <f t="shared" si="41"/>
        <v>0</v>
      </c>
      <c r="Z129" s="70">
        <f t="shared" si="42"/>
        <v>0</v>
      </c>
      <c r="AA129" s="70">
        <f t="shared" si="43"/>
        <v>0</v>
      </c>
      <c r="AB129" s="70">
        <f t="shared" si="44"/>
        <v>0</v>
      </c>
      <c r="AC129" s="70">
        <f t="shared" si="45"/>
        <v>0</v>
      </c>
      <c r="AD129" s="71">
        <f t="shared" si="46"/>
        <v>0</v>
      </c>
      <c r="AE129" s="49"/>
      <c r="AF129" s="21"/>
      <c r="AG129" s="69"/>
      <c r="AH129" s="70"/>
      <c r="AI129" s="70"/>
      <c r="AJ129" s="70"/>
      <c r="AK129" s="70"/>
      <c r="AL129" s="70"/>
      <c r="AM129" s="70"/>
      <c r="AN129" s="70" t="str">
        <f t="shared" si="47"/>
        <v>---</v>
      </c>
      <c r="AO129" s="70" t="str">
        <f t="shared" si="48"/>
        <v>---</v>
      </c>
      <c r="AP129" s="70" t="str">
        <f t="shared" si="49"/>
        <v>---</v>
      </c>
      <c r="AQ129" s="70" t="str">
        <f t="shared" si="50"/>
        <v>---</v>
      </c>
      <c r="AR129" s="70" t="str">
        <f t="shared" si="51"/>
        <v>---</v>
      </c>
      <c r="AS129" s="70" t="str">
        <f t="shared" si="52"/>
        <v>---</v>
      </c>
      <c r="AT129" s="71" t="str">
        <f t="shared" si="53"/>
        <v>---</v>
      </c>
    </row>
    <row r="130" spans="1:46" ht="30" customHeight="1" x14ac:dyDescent="0.3">
      <c r="A130" s="123">
        <f t="shared" si="37"/>
        <v>126</v>
      </c>
      <c r="B130" s="140">
        <f>INDEX('PEER GROUP'!B:B,MATCH($A130,'PEER GROUP'!$A:$A,0))</f>
        <v>0</v>
      </c>
      <c r="C130" s="83">
        <f>INDEX('PEER GROUP'!C:C,MATCH($A130,'PEER GROUP'!$A:$A,0))</f>
        <v>0</v>
      </c>
      <c r="D130" s="83">
        <f>INDEX('PEER GROUP'!D:D,MATCH($A130,'PEER GROUP'!$A:$A,0))</f>
        <v>0</v>
      </c>
      <c r="E130" s="83">
        <f>INDEX('PEER GROUP'!E:E,MATCH(A130,'PEER GROUP'!$A:$A,0))</f>
        <v>0</v>
      </c>
      <c r="F130" s="84">
        <f>INDEX('PEER GROUP'!F:F,MATCH($A130,'PEER GROUP'!$A:$A,0))</f>
        <v>0</v>
      </c>
      <c r="G130" s="84">
        <f>INDEX('PEER GROUP'!G:G,MATCH($A130,'PEER GROUP'!$A:$A,0))</f>
        <v>0</v>
      </c>
      <c r="H130" s="85"/>
      <c r="I130" s="85"/>
      <c r="J130" s="70">
        <f>INDEX('PEER GROUP'!K:K,MATCH($A130,'PEER GROUP'!$A:$A,0))</f>
        <v>0</v>
      </c>
      <c r="K130" s="70">
        <f>INDEX('PEER GROUP'!L:L,MATCH($A130,'PEER GROUP'!$A:$A,0))</f>
        <v>0</v>
      </c>
      <c r="L130" s="70">
        <f>INDEX('PEER GROUP'!M:M,MATCH($A130,'PEER GROUP'!$A:$A,0))</f>
        <v>0</v>
      </c>
      <c r="M130" s="86">
        <f>INDEX('PEER GROUP'!N:N,MATCH($A130,'PEER GROUP'!$A:$A,0))</f>
        <v>0</v>
      </c>
      <c r="N130" s="118"/>
      <c r="O130" s="115"/>
      <c r="P130" s="117"/>
      <c r="Q130" s="87"/>
      <c r="R130" s="87">
        <f t="shared" si="38"/>
        <v>0</v>
      </c>
      <c r="S130" s="87"/>
      <c r="T130" s="87"/>
      <c r="U130" s="87"/>
      <c r="V130" s="87">
        <f t="shared" si="39"/>
        <v>0</v>
      </c>
      <c r="W130" s="113">
        <f t="shared" si="36"/>
        <v>36.913096727263202</v>
      </c>
      <c r="X130" s="69">
        <f t="shared" si="40"/>
        <v>0</v>
      </c>
      <c r="Y130" s="70">
        <f t="shared" si="41"/>
        <v>0</v>
      </c>
      <c r="Z130" s="70">
        <f t="shared" si="42"/>
        <v>0</v>
      </c>
      <c r="AA130" s="70">
        <f t="shared" si="43"/>
        <v>0</v>
      </c>
      <c r="AB130" s="70">
        <f t="shared" si="44"/>
        <v>0</v>
      </c>
      <c r="AC130" s="70">
        <f t="shared" si="45"/>
        <v>0</v>
      </c>
      <c r="AD130" s="71">
        <f t="shared" si="46"/>
        <v>0</v>
      </c>
      <c r="AE130" s="49"/>
      <c r="AF130" s="21"/>
      <c r="AG130" s="69"/>
      <c r="AH130" s="70"/>
      <c r="AI130" s="70"/>
      <c r="AJ130" s="70"/>
      <c r="AK130" s="70"/>
      <c r="AL130" s="70"/>
      <c r="AM130" s="70"/>
      <c r="AN130" s="70" t="str">
        <f t="shared" si="47"/>
        <v>---</v>
      </c>
      <c r="AO130" s="70" t="str">
        <f t="shared" si="48"/>
        <v>---</v>
      </c>
      <c r="AP130" s="70" t="str">
        <f t="shared" si="49"/>
        <v>---</v>
      </c>
      <c r="AQ130" s="70" t="str">
        <f t="shared" si="50"/>
        <v>---</v>
      </c>
      <c r="AR130" s="70" t="str">
        <f t="shared" si="51"/>
        <v>---</v>
      </c>
      <c r="AS130" s="70" t="str">
        <f t="shared" si="52"/>
        <v>---</v>
      </c>
      <c r="AT130" s="71" t="str">
        <f t="shared" si="53"/>
        <v>---</v>
      </c>
    </row>
    <row r="131" spans="1:46" ht="30" customHeight="1" x14ac:dyDescent="0.3">
      <c r="A131" s="123">
        <f t="shared" si="37"/>
        <v>127</v>
      </c>
      <c r="B131" s="140">
        <f>INDEX('PEER GROUP'!B:B,MATCH($A131,'PEER GROUP'!$A:$A,0))</f>
        <v>0</v>
      </c>
      <c r="C131" s="83">
        <f>INDEX('PEER GROUP'!C:C,MATCH($A131,'PEER GROUP'!$A:$A,0))</f>
        <v>0</v>
      </c>
      <c r="D131" s="83">
        <f>INDEX('PEER GROUP'!D:D,MATCH($A131,'PEER GROUP'!$A:$A,0))</f>
        <v>0</v>
      </c>
      <c r="E131" s="83">
        <f>INDEX('PEER GROUP'!E:E,MATCH(A131,'PEER GROUP'!$A:$A,0))</f>
        <v>0</v>
      </c>
      <c r="F131" s="84">
        <f>INDEX('PEER GROUP'!F:F,MATCH($A131,'PEER GROUP'!$A:$A,0))</f>
        <v>0</v>
      </c>
      <c r="G131" s="84">
        <f>INDEX('PEER GROUP'!G:G,MATCH($A131,'PEER GROUP'!$A:$A,0))</f>
        <v>0</v>
      </c>
      <c r="H131" s="85"/>
      <c r="I131" s="85"/>
      <c r="J131" s="70">
        <f>INDEX('PEER GROUP'!K:K,MATCH($A131,'PEER GROUP'!$A:$A,0))</f>
        <v>0</v>
      </c>
      <c r="K131" s="70">
        <f>INDEX('PEER GROUP'!L:L,MATCH($A131,'PEER GROUP'!$A:$A,0))</f>
        <v>0</v>
      </c>
      <c r="L131" s="70">
        <f>INDEX('PEER GROUP'!M:M,MATCH($A131,'PEER GROUP'!$A:$A,0))</f>
        <v>0</v>
      </c>
      <c r="M131" s="86">
        <f>INDEX('PEER GROUP'!N:N,MATCH($A131,'PEER GROUP'!$A:$A,0))</f>
        <v>0</v>
      </c>
      <c r="N131" s="118"/>
      <c r="O131" s="115"/>
      <c r="P131" s="117"/>
      <c r="Q131" s="87"/>
      <c r="R131" s="87">
        <f t="shared" si="38"/>
        <v>0</v>
      </c>
      <c r="S131" s="87"/>
      <c r="T131" s="87"/>
      <c r="U131" s="87"/>
      <c r="V131" s="87">
        <f t="shared" si="39"/>
        <v>0</v>
      </c>
      <c r="W131" s="113">
        <f t="shared" si="36"/>
        <v>36.913096727263202</v>
      </c>
      <c r="X131" s="69">
        <f t="shared" si="40"/>
        <v>0</v>
      </c>
      <c r="Y131" s="70">
        <f t="shared" si="41"/>
        <v>0</v>
      </c>
      <c r="Z131" s="70">
        <f t="shared" si="42"/>
        <v>0</v>
      </c>
      <c r="AA131" s="70">
        <f t="shared" si="43"/>
        <v>0</v>
      </c>
      <c r="AB131" s="70">
        <f t="shared" si="44"/>
        <v>0</v>
      </c>
      <c r="AC131" s="70">
        <f t="shared" si="45"/>
        <v>0</v>
      </c>
      <c r="AD131" s="71">
        <f t="shared" si="46"/>
        <v>0</v>
      </c>
      <c r="AE131" s="49"/>
      <c r="AF131" s="21"/>
      <c r="AG131" s="69"/>
      <c r="AH131" s="70"/>
      <c r="AI131" s="70"/>
      <c r="AJ131" s="70"/>
      <c r="AK131" s="70"/>
      <c r="AL131" s="70"/>
      <c r="AM131" s="70"/>
      <c r="AN131" s="70" t="str">
        <f t="shared" si="47"/>
        <v>---</v>
      </c>
      <c r="AO131" s="70" t="str">
        <f t="shared" si="48"/>
        <v>---</v>
      </c>
      <c r="AP131" s="70" t="str">
        <f t="shared" si="49"/>
        <v>---</v>
      </c>
      <c r="AQ131" s="70" t="str">
        <f t="shared" si="50"/>
        <v>---</v>
      </c>
      <c r="AR131" s="70" t="str">
        <f t="shared" si="51"/>
        <v>---</v>
      </c>
      <c r="AS131" s="70" t="str">
        <f t="shared" si="52"/>
        <v>---</v>
      </c>
      <c r="AT131" s="71" t="str">
        <f t="shared" si="53"/>
        <v>---</v>
      </c>
    </row>
    <row r="132" spans="1:46" ht="30" customHeight="1" x14ac:dyDescent="0.3">
      <c r="A132" s="123">
        <f t="shared" si="37"/>
        <v>128</v>
      </c>
      <c r="B132" s="140">
        <f>INDEX('PEER GROUP'!B:B,MATCH($A132,'PEER GROUP'!$A:$A,0))</f>
        <v>0</v>
      </c>
      <c r="C132" s="83">
        <f>INDEX('PEER GROUP'!C:C,MATCH($A132,'PEER GROUP'!$A:$A,0))</f>
        <v>0</v>
      </c>
      <c r="D132" s="83">
        <f>INDEX('PEER GROUP'!D:D,MATCH($A132,'PEER GROUP'!$A:$A,0))</f>
        <v>0</v>
      </c>
      <c r="E132" s="83">
        <f>INDEX('PEER GROUP'!E:E,MATCH(A132,'PEER GROUP'!$A:$A,0))</f>
        <v>0</v>
      </c>
      <c r="F132" s="84">
        <f>INDEX('PEER GROUP'!F:F,MATCH($A132,'PEER GROUP'!$A:$A,0))</f>
        <v>0</v>
      </c>
      <c r="G132" s="84">
        <f>INDEX('PEER GROUP'!G:G,MATCH($A132,'PEER GROUP'!$A:$A,0))</f>
        <v>0</v>
      </c>
      <c r="H132" s="85"/>
      <c r="I132" s="85"/>
      <c r="J132" s="70">
        <f>INDEX('PEER GROUP'!K:K,MATCH($A132,'PEER GROUP'!$A:$A,0))</f>
        <v>0</v>
      </c>
      <c r="K132" s="70">
        <f>INDEX('PEER GROUP'!L:L,MATCH($A132,'PEER GROUP'!$A:$A,0))</f>
        <v>0</v>
      </c>
      <c r="L132" s="70">
        <f>INDEX('PEER GROUP'!M:M,MATCH($A132,'PEER GROUP'!$A:$A,0))</f>
        <v>0</v>
      </c>
      <c r="M132" s="86">
        <f>INDEX('PEER GROUP'!N:N,MATCH($A132,'PEER GROUP'!$A:$A,0))</f>
        <v>0</v>
      </c>
      <c r="N132" s="118"/>
      <c r="O132" s="115"/>
      <c r="P132" s="117"/>
      <c r="Q132" s="87"/>
      <c r="R132" s="87">
        <f t="shared" si="38"/>
        <v>0</v>
      </c>
      <c r="S132" s="87"/>
      <c r="T132" s="87"/>
      <c r="U132" s="87"/>
      <c r="V132" s="87">
        <f t="shared" si="39"/>
        <v>0</v>
      </c>
      <c r="W132" s="113">
        <f t="shared" si="36"/>
        <v>36.913096727263202</v>
      </c>
      <c r="X132" s="69">
        <f t="shared" si="40"/>
        <v>0</v>
      </c>
      <c r="Y132" s="70">
        <f t="shared" si="41"/>
        <v>0</v>
      </c>
      <c r="Z132" s="70">
        <f t="shared" si="42"/>
        <v>0</v>
      </c>
      <c r="AA132" s="70">
        <f t="shared" si="43"/>
        <v>0</v>
      </c>
      <c r="AB132" s="70">
        <f t="shared" si="44"/>
        <v>0</v>
      </c>
      <c r="AC132" s="70">
        <f t="shared" si="45"/>
        <v>0</v>
      </c>
      <c r="AD132" s="71">
        <f t="shared" si="46"/>
        <v>0</v>
      </c>
      <c r="AE132" s="49"/>
      <c r="AF132" s="21"/>
      <c r="AG132" s="69"/>
      <c r="AH132" s="70"/>
      <c r="AI132" s="70"/>
      <c r="AJ132" s="70"/>
      <c r="AK132" s="70"/>
      <c r="AL132" s="70"/>
      <c r="AM132" s="70"/>
      <c r="AN132" s="70" t="str">
        <f t="shared" si="47"/>
        <v>---</v>
      </c>
      <c r="AO132" s="70" t="str">
        <f t="shared" si="48"/>
        <v>---</v>
      </c>
      <c r="AP132" s="70" t="str">
        <f t="shared" si="49"/>
        <v>---</v>
      </c>
      <c r="AQ132" s="70" t="str">
        <f t="shared" si="50"/>
        <v>---</v>
      </c>
      <c r="AR132" s="70" t="str">
        <f t="shared" si="51"/>
        <v>---</v>
      </c>
      <c r="AS132" s="70" t="str">
        <f t="shared" si="52"/>
        <v>---</v>
      </c>
      <c r="AT132" s="71" t="str">
        <f t="shared" si="53"/>
        <v>---</v>
      </c>
    </row>
    <row r="133" spans="1:46" ht="30" customHeight="1" x14ac:dyDescent="0.3">
      <c r="A133" s="123">
        <f t="shared" si="37"/>
        <v>129</v>
      </c>
      <c r="B133" s="140">
        <f>INDEX('PEER GROUP'!B:B,MATCH($A133,'PEER GROUP'!$A:$A,0))</f>
        <v>0</v>
      </c>
      <c r="C133" s="83">
        <f>INDEX('PEER GROUP'!C:C,MATCH($A133,'PEER GROUP'!$A:$A,0))</f>
        <v>0</v>
      </c>
      <c r="D133" s="83">
        <f>INDEX('PEER GROUP'!D:D,MATCH($A133,'PEER GROUP'!$A:$A,0))</f>
        <v>0</v>
      </c>
      <c r="E133" s="83">
        <f>INDEX('PEER GROUP'!E:E,MATCH(A133,'PEER GROUP'!$A:$A,0))</f>
        <v>0</v>
      </c>
      <c r="F133" s="84">
        <f>INDEX('PEER GROUP'!F:F,MATCH($A133,'PEER GROUP'!$A:$A,0))</f>
        <v>0</v>
      </c>
      <c r="G133" s="84">
        <f>INDEX('PEER GROUP'!G:G,MATCH($A133,'PEER GROUP'!$A:$A,0))</f>
        <v>0</v>
      </c>
      <c r="H133" s="85"/>
      <c r="I133" s="85"/>
      <c r="J133" s="70">
        <f>INDEX('PEER GROUP'!K:K,MATCH($A133,'PEER GROUP'!$A:$A,0))</f>
        <v>0</v>
      </c>
      <c r="K133" s="70">
        <f>INDEX('PEER GROUP'!L:L,MATCH($A133,'PEER GROUP'!$A:$A,0))</f>
        <v>0</v>
      </c>
      <c r="L133" s="70">
        <f>INDEX('PEER GROUP'!M:M,MATCH($A133,'PEER GROUP'!$A:$A,0))</f>
        <v>0</v>
      </c>
      <c r="M133" s="86">
        <f>INDEX('PEER GROUP'!N:N,MATCH($A133,'PEER GROUP'!$A:$A,0))</f>
        <v>0</v>
      </c>
      <c r="N133" s="118"/>
      <c r="O133" s="115"/>
      <c r="P133" s="117"/>
      <c r="Q133" s="87"/>
      <c r="R133" s="87">
        <f t="shared" si="38"/>
        <v>0</v>
      </c>
      <c r="S133" s="87"/>
      <c r="T133" s="87"/>
      <c r="U133" s="87"/>
      <c r="V133" s="87">
        <f t="shared" si="39"/>
        <v>0</v>
      </c>
      <c r="W133" s="113">
        <f t="shared" si="36"/>
        <v>36.913096727263202</v>
      </c>
      <c r="X133" s="69">
        <f t="shared" si="40"/>
        <v>0</v>
      </c>
      <c r="Y133" s="70">
        <f t="shared" si="41"/>
        <v>0</v>
      </c>
      <c r="Z133" s="70">
        <f t="shared" si="42"/>
        <v>0</v>
      </c>
      <c r="AA133" s="70">
        <f t="shared" si="43"/>
        <v>0</v>
      </c>
      <c r="AB133" s="70">
        <f t="shared" si="44"/>
        <v>0</v>
      </c>
      <c r="AC133" s="70">
        <f t="shared" si="45"/>
        <v>0</v>
      </c>
      <c r="AD133" s="71">
        <f t="shared" si="46"/>
        <v>0</v>
      </c>
      <c r="AE133" s="49"/>
      <c r="AF133" s="21"/>
      <c r="AG133" s="69"/>
      <c r="AH133" s="70"/>
      <c r="AI133" s="70"/>
      <c r="AJ133" s="70"/>
      <c r="AK133" s="70"/>
      <c r="AL133" s="70"/>
      <c r="AM133" s="70"/>
      <c r="AN133" s="70" t="str">
        <f t="shared" si="47"/>
        <v>---</v>
      </c>
      <c r="AO133" s="70" t="str">
        <f t="shared" si="48"/>
        <v>---</v>
      </c>
      <c r="AP133" s="70" t="str">
        <f t="shared" si="49"/>
        <v>---</v>
      </c>
      <c r="AQ133" s="70" t="str">
        <f t="shared" si="50"/>
        <v>---</v>
      </c>
      <c r="AR133" s="70" t="str">
        <f t="shared" si="51"/>
        <v>---</v>
      </c>
      <c r="AS133" s="70" t="str">
        <f t="shared" si="52"/>
        <v>---</v>
      </c>
      <c r="AT133" s="71" t="str">
        <f t="shared" si="53"/>
        <v>---</v>
      </c>
    </row>
    <row r="134" spans="1:46" ht="30" customHeight="1" x14ac:dyDescent="0.3">
      <c r="A134" s="123">
        <f t="shared" si="37"/>
        <v>130</v>
      </c>
      <c r="B134" s="140">
        <f>INDEX('PEER GROUP'!B:B,MATCH($A134,'PEER GROUP'!$A:$A,0))</f>
        <v>0</v>
      </c>
      <c r="C134" s="83">
        <f>INDEX('PEER GROUP'!C:C,MATCH($A134,'PEER GROUP'!$A:$A,0))</f>
        <v>0</v>
      </c>
      <c r="D134" s="83">
        <f>INDEX('PEER GROUP'!D:D,MATCH($A134,'PEER GROUP'!$A:$A,0))</f>
        <v>0</v>
      </c>
      <c r="E134" s="83">
        <f>INDEX('PEER GROUP'!E:E,MATCH(A134,'PEER GROUP'!$A:$A,0))</f>
        <v>0</v>
      </c>
      <c r="F134" s="84">
        <f>INDEX('PEER GROUP'!F:F,MATCH($A134,'PEER GROUP'!$A:$A,0))</f>
        <v>0</v>
      </c>
      <c r="G134" s="84">
        <f>INDEX('PEER GROUP'!G:G,MATCH($A134,'PEER GROUP'!$A:$A,0))</f>
        <v>0</v>
      </c>
      <c r="H134" s="85"/>
      <c r="I134" s="85"/>
      <c r="J134" s="70">
        <f>INDEX('PEER GROUP'!K:K,MATCH($A134,'PEER GROUP'!$A:$A,0))</f>
        <v>0</v>
      </c>
      <c r="K134" s="70">
        <f>INDEX('PEER GROUP'!L:L,MATCH($A134,'PEER GROUP'!$A:$A,0))</f>
        <v>0</v>
      </c>
      <c r="L134" s="70">
        <f>INDEX('PEER GROUP'!M:M,MATCH($A134,'PEER GROUP'!$A:$A,0))</f>
        <v>0</v>
      </c>
      <c r="M134" s="86">
        <f>INDEX('PEER GROUP'!N:N,MATCH($A134,'PEER GROUP'!$A:$A,0))</f>
        <v>0</v>
      </c>
      <c r="N134" s="118"/>
      <c r="O134" s="115"/>
      <c r="P134" s="117"/>
      <c r="Q134" s="87"/>
      <c r="R134" s="87">
        <f t="shared" si="38"/>
        <v>0</v>
      </c>
      <c r="S134" s="87"/>
      <c r="T134" s="87"/>
      <c r="U134" s="87"/>
      <c r="V134" s="87">
        <f t="shared" si="39"/>
        <v>0</v>
      </c>
      <c r="W134" s="113">
        <f t="shared" si="36"/>
        <v>36.913096727263202</v>
      </c>
      <c r="X134" s="69">
        <f t="shared" si="40"/>
        <v>0</v>
      </c>
      <c r="Y134" s="70">
        <f t="shared" si="41"/>
        <v>0</v>
      </c>
      <c r="Z134" s="70">
        <f t="shared" si="42"/>
        <v>0</v>
      </c>
      <c r="AA134" s="70">
        <f t="shared" si="43"/>
        <v>0</v>
      </c>
      <c r="AB134" s="70">
        <f t="shared" si="44"/>
        <v>0</v>
      </c>
      <c r="AC134" s="70">
        <f t="shared" si="45"/>
        <v>0</v>
      </c>
      <c r="AD134" s="71">
        <f t="shared" si="46"/>
        <v>0</v>
      </c>
      <c r="AE134" s="49"/>
      <c r="AF134" s="21"/>
      <c r="AG134" s="69"/>
      <c r="AH134" s="70"/>
      <c r="AI134" s="70"/>
      <c r="AJ134" s="70"/>
      <c r="AK134" s="70"/>
      <c r="AL134" s="70"/>
      <c r="AM134" s="70"/>
      <c r="AN134" s="70" t="str">
        <f t="shared" si="47"/>
        <v>---</v>
      </c>
      <c r="AO134" s="70" t="str">
        <f t="shared" si="48"/>
        <v>---</v>
      </c>
      <c r="AP134" s="70" t="str">
        <f t="shared" si="49"/>
        <v>---</v>
      </c>
      <c r="AQ134" s="70" t="str">
        <f t="shared" si="50"/>
        <v>---</v>
      </c>
      <c r="AR134" s="70" t="str">
        <f t="shared" si="51"/>
        <v>---</v>
      </c>
      <c r="AS134" s="70" t="str">
        <f t="shared" si="52"/>
        <v>---</v>
      </c>
      <c r="AT134" s="71" t="str">
        <f t="shared" si="53"/>
        <v>---</v>
      </c>
    </row>
    <row r="135" spans="1:46" ht="30" customHeight="1" x14ac:dyDescent="0.3">
      <c r="A135" s="123">
        <f t="shared" si="37"/>
        <v>131</v>
      </c>
      <c r="B135" s="140">
        <f>INDEX('PEER GROUP'!B:B,MATCH($A135,'PEER GROUP'!$A:$A,0))</f>
        <v>0</v>
      </c>
      <c r="C135" s="83">
        <f>INDEX('PEER GROUP'!C:C,MATCH($A135,'PEER GROUP'!$A:$A,0))</f>
        <v>0</v>
      </c>
      <c r="D135" s="83">
        <f>INDEX('PEER GROUP'!D:D,MATCH($A135,'PEER GROUP'!$A:$A,0))</f>
        <v>0</v>
      </c>
      <c r="E135" s="83">
        <f>INDEX('PEER GROUP'!E:E,MATCH(A135,'PEER GROUP'!$A:$A,0))</f>
        <v>0</v>
      </c>
      <c r="F135" s="84">
        <f>INDEX('PEER GROUP'!F:F,MATCH($A135,'PEER GROUP'!$A:$A,0))</f>
        <v>0</v>
      </c>
      <c r="G135" s="84">
        <f>INDEX('PEER GROUP'!G:G,MATCH($A135,'PEER GROUP'!$A:$A,0))</f>
        <v>0</v>
      </c>
      <c r="H135" s="85"/>
      <c r="I135" s="85"/>
      <c r="J135" s="70">
        <f>INDEX('PEER GROUP'!K:K,MATCH($A135,'PEER GROUP'!$A:$A,0))</f>
        <v>0</v>
      </c>
      <c r="K135" s="70">
        <f>INDEX('PEER GROUP'!L:L,MATCH($A135,'PEER GROUP'!$A:$A,0))</f>
        <v>0</v>
      </c>
      <c r="L135" s="70">
        <f>INDEX('PEER GROUP'!M:M,MATCH($A135,'PEER GROUP'!$A:$A,0))</f>
        <v>0</v>
      </c>
      <c r="M135" s="86">
        <f>INDEX('PEER GROUP'!N:N,MATCH($A135,'PEER GROUP'!$A:$A,0))</f>
        <v>0</v>
      </c>
      <c r="N135" s="118"/>
      <c r="O135" s="115"/>
      <c r="P135" s="117"/>
      <c r="Q135" s="87"/>
      <c r="R135" s="87">
        <f t="shared" si="38"/>
        <v>0</v>
      </c>
      <c r="S135" s="87"/>
      <c r="T135" s="87"/>
      <c r="U135" s="87"/>
      <c r="V135" s="87">
        <f t="shared" si="39"/>
        <v>0</v>
      </c>
      <c r="W135" s="113">
        <f t="shared" si="36"/>
        <v>36.913096727263202</v>
      </c>
      <c r="X135" s="69">
        <f t="shared" si="40"/>
        <v>0</v>
      </c>
      <c r="Y135" s="70">
        <f t="shared" si="41"/>
        <v>0</v>
      </c>
      <c r="Z135" s="70">
        <f t="shared" si="42"/>
        <v>0</v>
      </c>
      <c r="AA135" s="70">
        <f t="shared" si="43"/>
        <v>0</v>
      </c>
      <c r="AB135" s="70">
        <f t="shared" si="44"/>
        <v>0</v>
      </c>
      <c r="AC135" s="70">
        <f t="shared" si="45"/>
        <v>0</v>
      </c>
      <c r="AD135" s="71">
        <f t="shared" si="46"/>
        <v>0</v>
      </c>
      <c r="AE135" s="49"/>
      <c r="AF135" s="21"/>
      <c r="AG135" s="69"/>
      <c r="AH135" s="70"/>
      <c r="AI135" s="70"/>
      <c r="AJ135" s="70"/>
      <c r="AK135" s="70"/>
      <c r="AL135" s="70"/>
      <c r="AM135" s="70"/>
      <c r="AN135" s="70" t="str">
        <f t="shared" si="47"/>
        <v>---</v>
      </c>
      <c r="AO135" s="70" t="str">
        <f t="shared" si="48"/>
        <v>---</v>
      </c>
      <c r="AP135" s="70" t="str">
        <f t="shared" si="49"/>
        <v>---</v>
      </c>
      <c r="AQ135" s="70" t="str">
        <f t="shared" si="50"/>
        <v>---</v>
      </c>
      <c r="AR135" s="70" t="str">
        <f t="shared" si="51"/>
        <v>---</v>
      </c>
      <c r="AS135" s="70" t="str">
        <f t="shared" si="52"/>
        <v>---</v>
      </c>
      <c r="AT135" s="71" t="str">
        <f t="shared" si="53"/>
        <v>---</v>
      </c>
    </row>
    <row r="136" spans="1:46" ht="30" customHeight="1" x14ac:dyDescent="0.3">
      <c r="A136" s="123">
        <f t="shared" si="37"/>
        <v>132</v>
      </c>
      <c r="B136" s="140">
        <f>INDEX('PEER GROUP'!B:B,MATCH($A136,'PEER GROUP'!$A:$A,0))</f>
        <v>0</v>
      </c>
      <c r="C136" s="83">
        <f>INDEX('PEER GROUP'!C:C,MATCH($A136,'PEER GROUP'!$A:$A,0))</f>
        <v>0</v>
      </c>
      <c r="D136" s="83">
        <f>INDEX('PEER GROUP'!D:D,MATCH($A136,'PEER GROUP'!$A:$A,0))</f>
        <v>0</v>
      </c>
      <c r="E136" s="83">
        <f>INDEX('PEER GROUP'!E:E,MATCH(A136,'PEER GROUP'!$A:$A,0))</f>
        <v>0</v>
      </c>
      <c r="F136" s="84">
        <f>INDEX('PEER GROUP'!F:F,MATCH($A136,'PEER GROUP'!$A:$A,0))</f>
        <v>0</v>
      </c>
      <c r="G136" s="84">
        <f>INDEX('PEER GROUP'!G:G,MATCH($A136,'PEER GROUP'!$A:$A,0))</f>
        <v>0</v>
      </c>
      <c r="H136" s="85"/>
      <c r="I136" s="85"/>
      <c r="J136" s="70">
        <f>INDEX('PEER GROUP'!K:K,MATCH($A136,'PEER GROUP'!$A:$A,0))</f>
        <v>0</v>
      </c>
      <c r="K136" s="70">
        <f>INDEX('PEER GROUP'!L:L,MATCH($A136,'PEER GROUP'!$A:$A,0))</f>
        <v>0</v>
      </c>
      <c r="L136" s="70">
        <f>INDEX('PEER GROUP'!M:M,MATCH($A136,'PEER GROUP'!$A:$A,0))</f>
        <v>0</v>
      </c>
      <c r="M136" s="86">
        <f>INDEX('PEER GROUP'!N:N,MATCH($A136,'PEER GROUP'!$A:$A,0))</f>
        <v>0</v>
      </c>
      <c r="N136" s="118"/>
      <c r="O136" s="115"/>
      <c r="P136" s="117"/>
      <c r="Q136" s="87"/>
      <c r="R136" s="87">
        <f t="shared" si="38"/>
        <v>0</v>
      </c>
      <c r="S136" s="87"/>
      <c r="T136" s="87"/>
      <c r="U136" s="87"/>
      <c r="V136" s="87">
        <f t="shared" si="39"/>
        <v>0</v>
      </c>
      <c r="W136" s="113">
        <f t="shared" si="36"/>
        <v>36.913096727263202</v>
      </c>
      <c r="X136" s="69">
        <f t="shared" si="40"/>
        <v>0</v>
      </c>
      <c r="Y136" s="70">
        <f t="shared" si="41"/>
        <v>0</v>
      </c>
      <c r="Z136" s="70">
        <f t="shared" si="42"/>
        <v>0</v>
      </c>
      <c r="AA136" s="70">
        <f t="shared" si="43"/>
        <v>0</v>
      </c>
      <c r="AB136" s="70">
        <f t="shared" si="44"/>
        <v>0</v>
      </c>
      <c r="AC136" s="70">
        <f t="shared" si="45"/>
        <v>0</v>
      </c>
      <c r="AD136" s="71">
        <f t="shared" si="46"/>
        <v>0</v>
      </c>
      <c r="AE136" s="49"/>
      <c r="AF136" s="21"/>
      <c r="AG136" s="69"/>
      <c r="AH136" s="70"/>
      <c r="AI136" s="70"/>
      <c r="AJ136" s="70"/>
      <c r="AK136" s="70"/>
      <c r="AL136" s="70"/>
      <c r="AM136" s="70"/>
      <c r="AN136" s="70" t="str">
        <f t="shared" si="47"/>
        <v>---</v>
      </c>
      <c r="AO136" s="70" t="str">
        <f t="shared" si="48"/>
        <v>---</v>
      </c>
      <c r="AP136" s="70" t="str">
        <f t="shared" si="49"/>
        <v>---</v>
      </c>
      <c r="AQ136" s="70" t="str">
        <f t="shared" si="50"/>
        <v>---</v>
      </c>
      <c r="AR136" s="70" t="str">
        <f t="shared" si="51"/>
        <v>---</v>
      </c>
      <c r="AS136" s="70" t="str">
        <f t="shared" si="52"/>
        <v>---</v>
      </c>
      <c r="AT136" s="71" t="str">
        <f t="shared" si="53"/>
        <v>---</v>
      </c>
    </row>
    <row r="137" spans="1:46" ht="30" customHeight="1" x14ac:dyDescent="0.3">
      <c r="A137" s="123">
        <f t="shared" si="37"/>
        <v>133</v>
      </c>
      <c r="B137" s="140">
        <f>INDEX('PEER GROUP'!B:B,MATCH($A137,'PEER GROUP'!$A:$A,0))</f>
        <v>0</v>
      </c>
      <c r="C137" s="83">
        <f>INDEX('PEER GROUP'!C:C,MATCH($A137,'PEER GROUP'!$A:$A,0))</f>
        <v>0</v>
      </c>
      <c r="D137" s="83">
        <f>INDEX('PEER GROUP'!D:D,MATCH($A137,'PEER GROUP'!$A:$A,0))</f>
        <v>0</v>
      </c>
      <c r="E137" s="83">
        <f>INDEX('PEER GROUP'!E:E,MATCH(A137,'PEER GROUP'!$A:$A,0))</f>
        <v>0</v>
      </c>
      <c r="F137" s="84">
        <f>INDEX('PEER GROUP'!F:F,MATCH($A137,'PEER GROUP'!$A:$A,0))</f>
        <v>0</v>
      </c>
      <c r="G137" s="84">
        <f>INDEX('PEER GROUP'!G:G,MATCH($A137,'PEER GROUP'!$A:$A,0))</f>
        <v>0</v>
      </c>
      <c r="H137" s="85"/>
      <c r="I137" s="85"/>
      <c r="J137" s="70">
        <f>INDEX('PEER GROUP'!K:K,MATCH($A137,'PEER GROUP'!$A:$A,0))</f>
        <v>0</v>
      </c>
      <c r="K137" s="70">
        <f>INDEX('PEER GROUP'!L:L,MATCH($A137,'PEER GROUP'!$A:$A,0))</f>
        <v>0</v>
      </c>
      <c r="L137" s="70">
        <f>INDEX('PEER GROUP'!M:M,MATCH($A137,'PEER GROUP'!$A:$A,0))</f>
        <v>0</v>
      </c>
      <c r="M137" s="86">
        <f>INDEX('PEER GROUP'!N:N,MATCH($A137,'PEER GROUP'!$A:$A,0))</f>
        <v>0</v>
      </c>
      <c r="N137" s="118"/>
      <c r="O137" s="115"/>
      <c r="P137" s="117"/>
      <c r="Q137" s="87"/>
      <c r="R137" s="87">
        <f t="shared" si="38"/>
        <v>0</v>
      </c>
      <c r="S137" s="87"/>
      <c r="T137" s="87"/>
      <c r="U137" s="87"/>
      <c r="V137" s="87">
        <f t="shared" si="39"/>
        <v>0</v>
      </c>
      <c r="W137" s="113">
        <f t="shared" si="36"/>
        <v>36.913096727263202</v>
      </c>
      <c r="X137" s="69">
        <f t="shared" si="40"/>
        <v>0</v>
      </c>
      <c r="Y137" s="70">
        <f t="shared" si="41"/>
        <v>0</v>
      </c>
      <c r="Z137" s="70">
        <f t="shared" si="42"/>
        <v>0</v>
      </c>
      <c r="AA137" s="70">
        <f t="shared" si="43"/>
        <v>0</v>
      </c>
      <c r="AB137" s="70">
        <f t="shared" si="44"/>
        <v>0</v>
      </c>
      <c r="AC137" s="70">
        <f t="shared" si="45"/>
        <v>0</v>
      </c>
      <c r="AD137" s="71">
        <f t="shared" si="46"/>
        <v>0</v>
      </c>
      <c r="AE137" s="49"/>
      <c r="AF137" s="21"/>
      <c r="AG137" s="69"/>
      <c r="AH137" s="70"/>
      <c r="AI137" s="70"/>
      <c r="AJ137" s="70"/>
      <c r="AK137" s="70"/>
      <c r="AL137" s="70"/>
      <c r="AM137" s="70"/>
      <c r="AN137" s="70" t="str">
        <f t="shared" si="47"/>
        <v>---</v>
      </c>
      <c r="AO137" s="70" t="str">
        <f t="shared" si="48"/>
        <v>---</v>
      </c>
      <c r="AP137" s="70" t="str">
        <f t="shared" si="49"/>
        <v>---</v>
      </c>
      <c r="AQ137" s="70" t="str">
        <f t="shared" si="50"/>
        <v>---</v>
      </c>
      <c r="AR137" s="70" t="str">
        <f t="shared" si="51"/>
        <v>---</v>
      </c>
      <c r="AS137" s="70" t="str">
        <f t="shared" si="52"/>
        <v>---</v>
      </c>
      <c r="AT137" s="71" t="str">
        <f t="shared" si="53"/>
        <v>---</v>
      </c>
    </row>
    <row r="138" spans="1:46" ht="30" customHeight="1" x14ac:dyDescent="0.3">
      <c r="A138" s="123">
        <f t="shared" si="37"/>
        <v>134</v>
      </c>
      <c r="B138" s="140">
        <f>INDEX('PEER GROUP'!B:B,MATCH($A138,'PEER GROUP'!$A:$A,0))</f>
        <v>0</v>
      </c>
      <c r="C138" s="83">
        <f>INDEX('PEER GROUP'!C:C,MATCH($A138,'PEER GROUP'!$A:$A,0))</f>
        <v>0</v>
      </c>
      <c r="D138" s="83">
        <f>INDEX('PEER GROUP'!D:D,MATCH($A138,'PEER GROUP'!$A:$A,0))</f>
        <v>0</v>
      </c>
      <c r="E138" s="83">
        <f>INDEX('PEER GROUP'!E:E,MATCH(A138,'PEER GROUP'!$A:$A,0))</f>
        <v>0</v>
      </c>
      <c r="F138" s="84">
        <f>INDEX('PEER GROUP'!F:F,MATCH($A138,'PEER GROUP'!$A:$A,0))</f>
        <v>0</v>
      </c>
      <c r="G138" s="84">
        <f>INDEX('PEER GROUP'!G:G,MATCH($A138,'PEER GROUP'!$A:$A,0))</f>
        <v>0</v>
      </c>
      <c r="H138" s="85"/>
      <c r="I138" s="85"/>
      <c r="J138" s="70">
        <f>INDEX('PEER GROUP'!K:K,MATCH($A138,'PEER GROUP'!$A:$A,0))</f>
        <v>0</v>
      </c>
      <c r="K138" s="70">
        <f>INDEX('PEER GROUP'!L:L,MATCH($A138,'PEER GROUP'!$A:$A,0))</f>
        <v>0</v>
      </c>
      <c r="L138" s="70">
        <f>INDEX('PEER GROUP'!M:M,MATCH($A138,'PEER GROUP'!$A:$A,0))</f>
        <v>0</v>
      </c>
      <c r="M138" s="86">
        <f>INDEX('PEER GROUP'!N:N,MATCH($A138,'PEER GROUP'!$A:$A,0))</f>
        <v>0</v>
      </c>
      <c r="N138" s="118"/>
      <c r="O138" s="115"/>
      <c r="P138" s="117"/>
      <c r="Q138" s="87"/>
      <c r="R138" s="87">
        <f t="shared" si="38"/>
        <v>0</v>
      </c>
      <c r="S138" s="87"/>
      <c r="T138" s="87"/>
      <c r="U138" s="87"/>
      <c r="V138" s="87">
        <f t="shared" si="39"/>
        <v>0</v>
      </c>
      <c r="W138" s="113">
        <f t="shared" si="36"/>
        <v>36.913096727263202</v>
      </c>
      <c r="X138" s="69">
        <f t="shared" si="40"/>
        <v>0</v>
      </c>
      <c r="Y138" s="70">
        <f t="shared" si="41"/>
        <v>0</v>
      </c>
      <c r="Z138" s="70">
        <f t="shared" si="42"/>
        <v>0</v>
      </c>
      <c r="AA138" s="70">
        <f t="shared" si="43"/>
        <v>0</v>
      </c>
      <c r="AB138" s="70">
        <f t="shared" si="44"/>
        <v>0</v>
      </c>
      <c r="AC138" s="70">
        <f t="shared" si="45"/>
        <v>0</v>
      </c>
      <c r="AD138" s="71">
        <f t="shared" si="46"/>
        <v>0</v>
      </c>
      <c r="AE138" s="49"/>
      <c r="AF138" s="21"/>
      <c r="AG138" s="69"/>
      <c r="AH138" s="70"/>
      <c r="AI138" s="70"/>
      <c r="AJ138" s="70"/>
      <c r="AK138" s="70"/>
      <c r="AL138" s="70"/>
      <c r="AM138" s="70"/>
      <c r="AN138" s="70" t="str">
        <f t="shared" si="47"/>
        <v>---</v>
      </c>
      <c r="AO138" s="70" t="str">
        <f t="shared" si="48"/>
        <v>---</v>
      </c>
      <c r="AP138" s="70" t="str">
        <f t="shared" si="49"/>
        <v>---</v>
      </c>
      <c r="AQ138" s="70" t="str">
        <f t="shared" si="50"/>
        <v>---</v>
      </c>
      <c r="AR138" s="70" t="str">
        <f t="shared" si="51"/>
        <v>---</v>
      </c>
      <c r="AS138" s="70" t="str">
        <f t="shared" si="52"/>
        <v>---</v>
      </c>
      <c r="AT138" s="71" t="str">
        <f t="shared" si="53"/>
        <v>---</v>
      </c>
    </row>
    <row r="139" spans="1:46" ht="30" customHeight="1" x14ac:dyDescent="0.3">
      <c r="A139" s="123">
        <f t="shared" si="37"/>
        <v>135</v>
      </c>
      <c r="B139" s="140">
        <f>INDEX('PEER GROUP'!B:B,MATCH($A139,'PEER GROUP'!$A:$A,0))</f>
        <v>0</v>
      </c>
      <c r="C139" s="83">
        <f>INDEX('PEER GROUP'!C:C,MATCH($A139,'PEER GROUP'!$A:$A,0))</f>
        <v>0</v>
      </c>
      <c r="D139" s="83">
        <f>INDEX('PEER GROUP'!D:D,MATCH($A139,'PEER GROUP'!$A:$A,0))</f>
        <v>0</v>
      </c>
      <c r="E139" s="83">
        <f>INDEX('PEER GROUP'!E:E,MATCH(A139,'PEER GROUP'!$A:$A,0))</f>
        <v>0</v>
      </c>
      <c r="F139" s="84">
        <f>INDEX('PEER GROUP'!F:F,MATCH($A139,'PEER GROUP'!$A:$A,0))</f>
        <v>0</v>
      </c>
      <c r="G139" s="84">
        <f>INDEX('PEER GROUP'!G:G,MATCH($A139,'PEER GROUP'!$A:$A,0))</f>
        <v>0</v>
      </c>
      <c r="H139" s="85"/>
      <c r="I139" s="85"/>
      <c r="J139" s="70">
        <f>INDEX('PEER GROUP'!K:K,MATCH($A139,'PEER GROUP'!$A:$A,0))</f>
        <v>0</v>
      </c>
      <c r="K139" s="70">
        <f>INDEX('PEER GROUP'!L:L,MATCH($A139,'PEER GROUP'!$A:$A,0))</f>
        <v>0</v>
      </c>
      <c r="L139" s="70">
        <f>INDEX('PEER GROUP'!M:M,MATCH($A139,'PEER GROUP'!$A:$A,0))</f>
        <v>0</v>
      </c>
      <c r="M139" s="86">
        <f>INDEX('PEER GROUP'!N:N,MATCH($A139,'PEER GROUP'!$A:$A,0))</f>
        <v>0</v>
      </c>
      <c r="N139" s="118"/>
      <c r="O139" s="115"/>
      <c r="P139" s="117"/>
      <c r="Q139" s="87"/>
      <c r="R139" s="87">
        <f t="shared" si="38"/>
        <v>0</v>
      </c>
      <c r="S139" s="87"/>
      <c r="T139" s="87"/>
      <c r="U139" s="87"/>
      <c r="V139" s="87">
        <f t="shared" si="39"/>
        <v>0</v>
      </c>
      <c r="W139" s="113">
        <f t="shared" si="36"/>
        <v>36.913096727263202</v>
      </c>
      <c r="X139" s="69">
        <f t="shared" si="40"/>
        <v>0</v>
      </c>
      <c r="Y139" s="70">
        <f t="shared" si="41"/>
        <v>0</v>
      </c>
      <c r="Z139" s="70">
        <f t="shared" si="42"/>
        <v>0</v>
      </c>
      <c r="AA139" s="70">
        <f t="shared" si="43"/>
        <v>0</v>
      </c>
      <c r="AB139" s="70">
        <f t="shared" si="44"/>
        <v>0</v>
      </c>
      <c r="AC139" s="70">
        <f t="shared" si="45"/>
        <v>0</v>
      </c>
      <c r="AD139" s="71">
        <f t="shared" si="46"/>
        <v>0</v>
      </c>
      <c r="AE139" s="49"/>
      <c r="AF139" s="21"/>
      <c r="AG139" s="69"/>
      <c r="AH139" s="70"/>
      <c r="AI139" s="70"/>
      <c r="AJ139" s="70"/>
      <c r="AK139" s="70"/>
      <c r="AL139" s="70"/>
      <c r="AM139" s="70"/>
      <c r="AN139" s="70" t="str">
        <f t="shared" si="47"/>
        <v>---</v>
      </c>
      <c r="AO139" s="70" t="str">
        <f t="shared" si="48"/>
        <v>---</v>
      </c>
      <c r="AP139" s="70" t="str">
        <f t="shared" si="49"/>
        <v>---</v>
      </c>
      <c r="AQ139" s="70" t="str">
        <f t="shared" si="50"/>
        <v>---</v>
      </c>
      <c r="AR139" s="70" t="str">
        <f t="shared" si="51"/>
        <v>---</v>
      </c>
      <c r="AS139" s="70" t="str">
        <f t="shared" si="52"/>
        <v>---</v>
      </c>
      <c r="AT139" s="71" t="str">
        <f t="shared" si="53"/>
        <v>---</v>
      </c>
    </row>
    <row r="140" spans="1:46" ht="30" customHeight="1" x14ac:dyDescent="0.3">
      <c r="A140" s="123">
        <f t="shared" si="37"/>
        <v>136</v>
      </c>
      <c r="B140" s="140">
        <f>INDEX('PEER GROUP'!B:B,MATCH($A140,'PEER GROUP'!$A:$A,0))</f>
        <v>0</v>
      </c>
      <c r="C140" s="83">
        <f>INDEX('PEER GROUP'!C:C,MATCH($A140,'PEER GROUP'!$A:$A,0))</f>
        <v>0</v>
      </c>
      <c r="D140" s="83">
        <f>INDEX('PEER GROUP'!D:D,MATCH($A140,'PEER GROUP'!$A:$A,0))</f>
        <v>0</v>
      </c>
      <c r="E140" s="83">
        <f>INDEX('PEER GROUP'!E:E,MATCH(A140,'PEER GROUP'!$A:$A,0))</f>
        <v>0</v>
      </c>
      <c r="F140" s="84">
        <f>INDEX('PEER GROUP'!F:F,MATCH($A140,'PEER GROUP'!$A:$A,0))</f>
        <v>0</v>
      </c>
      <c r="G140" s="84">
        <f>INDEX('PEER GROUP'!G:G,MATCH($A140,'PEER GROUP'!$A:$A,0))</f>
        <v>0</v>
      </c>
      <c r="H140" s="85"/>
      <c r="I140" s="85"/>
      <c r="J140" s="70">
        <f>INDEX('PEER GROUP'!K:K,MATCH($A140,'PEER GROUP'!$A:$A,0))</f>
        <v>0</v>
      </c>
      <c r="K140" s="70">
        <f>INDEX('PEER GROUP'!L:L,MATCH($A140,'PEER GROUP'!$A:$A,0))</f>
        <v>0</v>
      </c>
      <c r="L140" s="70">
        <f>INDEX('PEER GROUP'!M:M,MATCH($A140,'PEER GROUP'!$A:$A,0))</f>
        <v>0</v>
      </c>
      <c r="M140" s="86">
        <f>INDEX('PEER GROUP'!N:N,MATCH($A140,'PEER GROUP'!$A:$A,0))</f>
        <v>0</v>
      </c>
      <c r="N140" s="118"/>
      <c r="O140" s="115"/>
      <c r="P140" s="117"/>
      <c r="Q140" s="87"/>
      <c r="R140" s="87">
        <f t="shared" si="38"/>
        <v>0</v>
      </c>
      <c r="S140" s="87"/>
      <c r="T140" s="87"/>
      <c r="U140" s="87"/>
      <c r="V140" s="87">
        <f t="shared" si="39"/>
        <v>0</v>
      </c>
      <c r="W140" s="113">
        <f t="shared" si="36"/>
        <v>36.913096727263202</v>
      </c>
      <c r="X140" s="69">
        <f t="shared" si="40"/>
        <v>0</v>
      </c>
      <c r="Y140" s="70">
        <f t="shared" si="41"/>
        <v>0</v>
      </c>
      <c r="Z140" s="70">
        <f t="shared" si="42"/>
        <v>0</v>
      </c>
      <c r="AA140" s="70">
        <f t="shared" si="43"/>
        <v>0</v>
      </c>
      <c r="AB140" s="70">
        <f t="shared" si="44"/>
        <v>0</v>
      </c>
      <c r="AC140" s="70">
        <f t="shared" si="45"/>
        <v>0</v>
      </c>
      <c r="AD140" s="71">
        <f t="shared" si="46"/>
        <v>0</v>
      </c>
      <c r="AE140" s="49"/>
      <c r="AF140" s="21"/>
      <c r="AG140" s="69"/>
      <c r="AH140" s="70"/>
      <c r="AI140" s="70"/>
      <c r="AJ140" s="70"/>
      <c r="AK140" s="70"/>
      <c r="AL140" s="70"/>
      <c r="AM140" s="70"/>
      <c r="AN140" s="70" t="str">
        <f t="shared" si="47"/>
        <v>---</v>
      </c>
      <c r="AO140" s="70" t="str">
        <f t="shared" si="48"/>
        <v>---</v>
      </c>
      <c r="AP140" s="70" t="str">
        <f t="shared" si="49"/>
        <v>---</v>
      </c>
      <c r="AQ140" s="70" t="str">
        <f t="shared" si="50"/>
        <v>---</v>
      </c>
      <c r="AR140" s="70" t="str">
        <f t="shared" si="51"/>
        <v>---</v>
      </c>
      <c r="AS140" s="70" t="str">
        <f t="shared" si="52"/>
        <v>---</v>
      </c>
      <c r="AT140" s="71" t="str">
        <f t="shared" si="53"/>
        <v>---</v>
      </c>
    </row>
    <row r="141" spans="1:46" ht="30" customHeight="1" x14ac:dyDescent="0.3">
      <c r="A141" s="123">
        <f t="shared" si="37"/>
        <v>137</v>
      </c>
      <c r="B141" s="140">
        <f>INDEX('PEER GROUP'!B:B,MATCH($A141,'PEER GROUP'!$A:$A,0))</f>
        <v>0</v>
      </c>
      <c r="C141" s="83">
        <f>INDEX('PEER GROUP'!C:C,MATCH($A141,'PEER GROUP'!$A:$A,0))</f>
        <v>0</v>
      </c>
      <c r="D141" s="83">
        <f>INDEX('PEER GROUP'!D:D,MATCH($A141,'PEER GROUP'!$A:$A,0))</f>
        <v>0</v>
      </c>
      <c r="E141" s="83">
        <f>INDEX('PEER GROUP'!E:E,MATCH(A141,'PEER GROUP'!$A:$A,0))</f>
        <v>0</v>
      </c>
      <c r="F141" s="84">
        <f>INDEX('PEER GROUP'!F:F,MATCH($A141,'PEER GROUP'!$A:$A,0))</f>
        <v>0</v>
      </c>
      <c r="G141" s="84">
        <f>INDEX('PEER GROUP'!G:G,MATCH($A141,'PEER GROUP'!$A:$A,0))</f>
        <v>0</v>
      </c>
      <c r="H141" s="85"/>
      <c r="I141" s="85"/>
      <c r="J141" s="70">
        <f>INDEX('PEER GROUP'!K:K,MATCH($A141,'PEER GROUP'!$A:$A,0))</f>
        <v>0</v>
      </c>
      <c r="K141" s="70">
        <f>INDEX('PEER GROUP'!L:L,MATCH($A141,'PEER GROUP'!$A:$A,0))</f>
        <v>0</v>
      </c>
      <c r="L141" s="70">
        <f>INDEX('PEER GROUP'!M:M,MATCH($A141,'PEER GROUP'!$A:$A,0))</f>
        <v>0</v>
      </c>
      <c r="M141" s="86">
        <f>INDEX('PEER GROUP'!N:N,MATCH($A141,'PEER GROUP'!$A:$A,0))</f>
        <v>0</v>
      </c>
      <c r="N141" s="118"/>
      <c r="O141" s="115"/>
      <c r="P141" s="117"/>
      <c r="Q141" s="87"/>
      <c r="R141" s="87">
        <f t="shared" si="38"/>
        <v>0</v>
      </c>
      <c r="S141" s="87"/>
      <c r="T141" s="87"/>
      <c r="U141" s="87"/>
      <c r="V141" s="87">
        <f t="shared" si="39"/>
        <v>0</v>
      </c>
      <c r="W141" s="113">
        <f t="shared" si="36"/>
        <v>36.913096727263202</v>
      </c>
      <c r="X141" s="69">
        <f t="shared" si="40"/>
        <v>0</v>
      </c>
      <c r="Y141" s="70">
        <f t="shared" si="41"/>
        <v>0</v>
      </c>
      <c r="Z141" s="70">
        <f t="shared" si="42"/>
        <v>0</v>
      </c>
      <c r="AA141" s="70">
        <f t="shared" si="43"/>
        <v>0</v>
      </c>
      <c r="AB141" s="70">
        <f t="shared" si="44"/>
        <v>0</v>
      </c>
      <c r="AC141" s="70">
        <f t="shared" si="45"/>
        <v>0</v>
      </c>
      <c r="AD141" s="71">
        <f t="shared" si="46"/>
        <v>0</v>
      </c>
      <c r="AE141" s="49"/>
      <c r="AF141" s="21"/>
      <c r="AG141" s="69"/>
      <c r="AH141" s="70"/>
      <c r="AI141" s="70"/>
      <c r="AJ141" s="70"/>
      <c r="AK141" s="70"/>
      <c r="AL141" s="70"/>
      <c r="AM141" s="70"/>
      <c r="AN141" s="70" t="str">
        <f t="shared" si="47"/>
        <v>---</v>
      </c>
      <c r="AO141" s="70" t="str">
        <f t="shared" si="48"/>
        <v>---</v>
      </c>
      <c r="AP141" s="70" t="str">
        <f t="shared" si="49"/>
        <v>---</v>
      </c>
      <c r="AQ141" s="70" t="str">
        <f t="shared" si="50"/>
        <v>---</v>
      </c>
      <c r="AR141" s="70" t="str">
        <f t="shared" si="51"/>
        <v>---</v>
      </c>
      <c r="AS141" s="70" t="str">
        <f t="shared" si="52"/>
        <v>---</v>
      </c>
      <c r="AT141" s="71" t="str">
        <f t="shared" si="53"/>
        <v>---</v>
      </c>
    </row>
    <row r="142" spans="1:46" ht="30" customHeight="1" x14ac:dyDescent="0.3">
      <c r="A142" s="123">
        <f t="shared" si="37"/>
        <v>138</v>
      </c>
      <c r="B142" s="140">
        <f>INDEX('PEER GROUP'!B:B,MATCH($A142,'PEER GROUP'!$A:$A,0))</f>
        <v>0</v>
      </c>
      <c r="C142" s="83">
        <f>INDEX('PEER GROUP'!C:C,MATCH($A142,'PEER GROUP'!$A:$A,0))</f>
        <v>0</v>
      </c>
      <c r="D142" s="83">
        <f>INDEX('PEER GROUP'!D:D,MATCH($A142,'PEER GROUP'!$A:$A,0))</f>
        <v>0</v>
      </c>
      <c r="E142" s="83">
        <f>INDEX('PEER GROUP'!E:E,MATCH(A142,'PEER GROUP'!$A:$A,0))</f>
        <v>0</v>
      </c>
      <c r="F142" s="84">
        <f>INDEX('PEER GROUP'!F:F,MATCH($A142,'PEER GROUP'!$A:$A,0))</f>
        <v>0</v>
      </c>
      <c r="G142" s="84">
        <f>INDEX('PEER GROUP'!G:G,MATCH($A142,'PEER GROUP'!$A:$A,0))</f>
        <v>0</v>
      </c>
      <c r="H142" s="85"/>
      <c r="I142" s="85"/>
      <c r="J142" s="70">
        <f>INDEX('PEER GROUP'!K:K,MATCH($A142,'PEER GROUP'!$A:$A,0))</f>
        <v>0</v>
      </c>
      <c r="K142" s="70">
        <f>INDEX('PEER GROUP'!L:L,MATCH($A142,'PEER GROUP'!$A:$A,0))</f>
        <v>0</v>
      </c>
      <c r="L142" s="70">
        <f>INDEX('PEER GROUP'!M:M,MATCH($A142,'PEER GROUP'!$A:$A,0))</f>
        <v>0</v>
      </c>
      <c r="M142" s="86">
        <f>INDEX('PEER GROUP'!N:N,MATCH($A142,'PEER GROUP'!$A:$A,0))</f>
        <v>0</v>
      </c>
      <c r="N142" s="118"/>
      <c r="O142" s="115"/>
      <c r="P142" s="117"/>
      <c r="Q142" s="87"/>
      <c r="R142" s="87">
        <f t="shared" si="38"/>
        <v>0</v>
      </c>
      <c r="S142" s="87"/>
      <c r="T142" s="87"/>
      <c r="U142" s="87"/>
      <c r="V142" s="87">
        <f t="shared" si="39"/>
        <v>0</v>
      </c>
      <c r="W142" s="113">
        <f t="shared" si="36"/>
        <v>36.913096727263202</v>
      </c>
      <c r="X142" s="69">
        <f t="shared" si="40"/>
        <v>0</v>
      </c>
      <c r="Y142" s="70">
        <f t="shared" si="41"/>
        <v>0</v>
      </c>
      <c r="Z142" s="70">
        <f t="shared" si="42"/>
        <v>0</v>
      </c>
      <c r="AA142" s="70">
        <f t="shared" si="43"/>
        <v>0</v>
      </c>
      <c r="AB142" s="70">
        <f t="shared" si="44"/>
        <v>0</v>
      </c>
      <c r="AC142" s="70">
        <f t="shared" si="45"/>
        <v>0</v>
      </c>
      <c r="AD142" s="71">
        <f t="shared" si="46"/>
        <v>0</v>
      </c>
      <c r="AE142" s="49"/>
      <c r="AF142" s="21"/>
      <c r="AG142" s="69"/>
      <c r="AH142" s="70"/>
      <c r="AI142" s="70"/>
      <c r="AJ142" s="70"/>
      <c r="AK142" s="70"/>
      <c r="AL142" s="70"/>
      <c r="AM142" s="70"/>
      <c r="AN142" s="70" t="str">
        <f t="shared" si="47"/>
        <v>---</v>
      </c>
      <c r="AO142" s="70" t="str">
        <f t="shared" si="48"/>
        <v>---</v>
      </c>
      <c r="AP142" s="70" t="str">
        <f t="shared" si="49"/>
        <v>---</v>
      </c>
      <c r="AQ142" s="70" t="str">
        <f t="shared" si="50"/>
        <v>---</v>
      </c>
      <c r="AR142" s="70" t="str">
        <f t="shared" si="51"/>
        <v>---</v>
      </c>
      <c r="AS142" s="70" t="str">
        <f t="shared" si="52"/>
        <v>---</v>
      </c>
      <c r="AT142" s="71" t="str">
        <f t="shared" si="53"/>
        <v>---</v>
      </c>
    </row>
    <row r="143" spans="1:46" ht="30" customHeight="1" x14ac:dyDescent="0.3">
      <c r="A143" s="123">
        <f t="shared" si="37"/>
        <v>139</v>
      </c>
      <c r="B143" s="140">
        <f>INDEX('PEER GROUP'!B:B,MATCH($A143,'PEER GROUP'!$A:$A,0))</f>
        <v>0</v>
      </c>
      <c r="C143" s="83">
        <f>INDEX('PEER GROUP'!C:C,MATCH($A143,'PEER GROUP'!$A:$A,0))</f>
        <v>0</v>
      </c>
      <c r="D143" s="83">
        <f>INDEX('PEER GROUP'!D:D,MATCH($A143,'PEER GROUP'!$A:$A,0))</f>
        <v>0</v>
      </c>
      <c r="E143" s="83">
        <f>INDEX('PEER GROUP'!E:E,MATCH(A143,'PEER GROUP'!$A:$A,0))</f>
        <v>0</v>
      </c>
      <c r="F143" s="84">
        <f>INDEX('PEER GROUP'!F:F,MATCH($A143,'PEER GROUP'!$A:$A,0))</f>
        <v>0</v>
      </c>
      <c r="G143" s="84">
        <f>INDEX('PEER GROUP'!G:G,MATCH($A143,'PEER GROUP'!$A:$A,0))</f>
        <v>0</v>
      </c>
      <c r="H143" s="85"/>
      <c r="I143" s="85"/>
      <c r="J143" s="70">
        <f>INDEX('PEER GROUP'!K:K,MATCH($A143,'PEER GROUP'!$A:$A,0))</f>
        <v>0</v>
      </c>
      <c r="K143" s="70">
        <f>INDEX('PEER GROUP'!L:L,MATCH($A143,'PEER GROUP'!$A:$A,0))</f>
        <v>0</v>
      </c>
      <c r="L143" s="70">
        <f>INDEX('PEER GROUP'!M:M,MATCH($A143,'PEER GROUP'!$A:$A,0))</f>
        <v>0</v>
      </c>
      <c r="M143" s="86">
        <f>INDEX('PEER GROUP'!N:N,MATCH($A143,'PEER GROUP'!$A:$A,0))</f>
        <v>0</v>
      </c>
      <c r="N143" s="118"/>
      <c r="O143" s="115"/>
      <c r="P143" s="117"/>
      <c r="Q143" s="87"/>
      <c r="R143" s="87">
        <f t="shared" si="38"/>
        <v>0</v>
      </c>
      <c r="S143" s="87"/>
      <c r="T143" s="87"/>
      <c r="U143" s="87"/>
      <c r="V143" s="87">
        <f t="shared" si="39"/>
        <v>0</v>
      </c>
      <c r="W143" s="113">
        <f t="shared" si="36"/>
        <v>36.913096727263202</v>
      </c>
      <c r="X143" s="69">
        <f t="shared" si="40"/>
        <v>0</v>
      </c>
      <c r="Y143" s="70">
        <f t="shared" si="41"/>
        <v>0</v>
      </c>
      <c r="Z143" s="70">
        <f t="shared" si="42"/>
        <v>0</v>
      </c>
      <c r="AA143" s="70">
        <f t="shared" si="43"/>
        <v>0</v>
      </c>
      <c r="AB143" s="70">
        <f t="shared" si="44"/>
        <v>0</v>
      </c>
      <c r="AC143" s="70">
        <f t="shared" si="45"/>
        <v>0</v>
      </c>
      <c r="AD143" s="71">
        <f t="shared" si="46"/>
        <v>0</v>
      </c>
      <c r="AE143" s="49"/>
      <c r="AF143" s="21"/>
      <c r="AG143" s="69"/>
      <c r="AH143" s="70"/>
      <c r="AI143" s="70"/>
      <c r="AJ143" s="70"/>
      <c r="AK143" s="70"/>
      <c r="AL143" s="70"/>
      <c r="AM143" s="70"/>
      <c r="AN143" s="70" t="str">
        <f t="shared" si="47"/>
        <v>---</v>
      </c>
      <c r="AO143" s="70" t="str">
        <f t="shared" si="48"/>
        <v>---</v>
      </c>
      <c r="AP143" s="70" t="str">
        <f t="shared" si="49"/>
        <v>---</v>
      </c>
      <c r="AQ143" s="70" t="str">
        <f t="shared" si="50"/>
        <v>---</v>
      </c>
      <c r="AR143" s="70" t="str">
        <f t="shared" si="51"/>
        <v>---</v>
      </c>
      <c r="AS143" s="70" t="str">
        <f t="shared" si="52"/>
        <v>---</v>
      </c>
      <c r="AT143" s="71" t="str">
        <f t="shared" si="53"/>
        <v>---</v>
      </c>
    </row>
    <row r="144" spans="1:46" ht="30" customHeight="1" x14ac:dyDescent="0.3">
      <c r="A144" s="123">
        <f t="shared" si="37"/>
        <v>140</v>
      </c>
      <c r="B144" s="140">
        <f>INDEX('PEER GROUP'!B:B,MATCH($A144,'PEER GROUP'!$A:$A,0))</f>
        <v>0</v>
      </c>
      <c r="C144" s="83">
        <f>INDEX('PEER GROUP'!C:C,MATCH($A144,'PEER GROUP'!$A:$A,0))</f>
        <v>0</v>
      </c>
      <c r="D144" s="83">
        <f>INDEX('PEER GROUP'!D:D,MATCH($A144,'PEER GROUP'!$A:$A,0))</f>
        <v>0</v>
      </c>
      <c r="E144" s="83">
        <f>INDEX('PEER GROUP'!E:E,MATCH(A144,'PEER GROUP'!$A:$A,0))</f>
        <v>0</v>
      </c>
      <c r="F144" s="84">
        <f>INDEX('PEER GROUP'!F:F,MATCH($A144,'PEER GROUP'!$A:$A,0))</f>
        <v>0</v>
      </c>
      <c r="G144" s="84">
        <f>INDEX('PEER GROUP'!G:G,MATCH($A144,'PEER GROUP'!$A:$A,0))</f>
        <v>0</v>
      </c>
      <c r="H144" s="85"/>
      <c r="I144" s="85"/>
      <c r="J144" s="70">
        <f>INDEX('PEER GROUP'!K:K,MATCH($A144,'PEER GROUP'!$A:$A,0))</f>
        <v>0</v>
      </c>
      <c r="K144" s="70">
        <f>INDEX('PEER GROUP'!L:L,MATCH($A144,'PEER GROUP'!$A:$A,0))</f>
        <v>0</v>
      </c>
      <c r="L144" s="70">
        <f>INDEX('PEER GROUP'!M:M,MATCH($A144,'PEER GROUP'!$A:$A,0))</f>
        <v>0</v>
      </c>
      <c r="M144" s="86">
        <f>INDEX('PEER GROUP'!N:N,MATCH($A144,'PEER GROUP'!$A:$A,0))</f>
        <v>0</v>
      </c>
      <c r="N144" s="118"/>
      <c r="O144" s="115"/>
      <c r="P144" s="117"/>
      <c r="Q144" s="87"/>
      <c r="R144" s="87">
        <f t="shared" si="38"/>
        <v>0</v>
      </c>
      <c r="S144" s="87"/>
      <c r="T144" s="87"/>
      <c r="U144" s="87"/>
      <c r="V144" s="87">
        <f t="shared" si="39"/>
        <v>0</v>
      </c>
      <c r="W144" s="113">
        <f t="shared" si="36"/>
        <v>36.913096727263202</v>
      </c>
      <c r="X144" s="69">
        <f t="shared" si="40"/>
        <v>0</v>
      </c>
      <c r="Y144" s="70">
        <f t="shared" si="41"/>
        <v>0</v>
      </c>
      <c r="Z144" s="70">
        <f t="shared" si="42"/>
        <v>0</v>
      </c>
      <c r="AA144" s="70">
        <f t="shared" si="43"/>
        <v>0</v>
      </c>
      <c r="AB144" s="70">
        <f t="shared" si="44"/>
        <v>0</v>
      </c>
      <c r="AC144" s="70">
        <f t="shared" si="45"/>
        <v>0</v>
      </c>
      <c r="AD144" s="71">
        <f t="shared" si="46"/>
        <v>0</v>
      </c>
      <c r="AE144" s="49"/>
      <c r="AF144" s="21"/>
      <c r="AG144" s="69"/>
      <c r="AH144" s="70"/>
      <c r="AI144" s="70"/>
      <c r="AJ144" s="70"/>
      <c r="AK144" s="70"/>
      <c r="AL144" s="70"/>
      <c r="AM144" s="70"/>
      <c r="AN144" s="70" t="str">
        <f t="shared" si="47"/>
        <v>---</v>
      </c>
      <c r="AO144" s="70" t="str">
        <f t="shared" si="48"/>
        <v>---</v>
      </c>
      <c r="AP144" s="70" t="str">
        <f t="shared" si="49"/>
        <v>---</v>
      </c>
      <c r="AQ144" s="70" t="str">
        <f t="shared" si="50"/>
        <v>---</v>
      </c>
      <c r="AR144" s="70" t="str">
        <f t="shared" si="51"/>
        <v>---</v>
      </c>
      <c r="AS144" s="70" t="str">
        <f t="shared" si="52"/>
        <v>---</v>
      </c>
      <c r="AT144" s="71" t="str">
        <f t="shared" si="53"/>
        <v>---</v>
      </c>
    </row>
    <row r="145" spans="1:46" ht="30" customHeight="1" x14ac:dyDescent="0.3">
      <c r="A145" s="123">
        <f t="shared" si="37"/>
        <v>141</v>
      </c>
      <c r="B145" s="140">
        <f>INDEX('PEER GROUP'!B:B,MATCH($A145,'PEER GROUP'!$A:$A,0))</f>
        <v>0</v>
      </c>
      <c r="C145" s="83">
        <f>INDEX('PEER GROUP'!C:C,MATCH($A145,'PEER GROUP'!$A:$A,0))</f>
        <v>0</v>
      </c>
      <c r="D145" s="83">
        <f>INDEX('PEER GROUP'!D:D,MATCH($A145,'PEER GROUP'!$A:$A,0))</f>
        <v>0</v>
      </c>
      <c r="E145" s="83">
        <f>INDEX('PEER GROUP'!E:E,MATCH(A145,'PEER GROUP'!$A:$A,0))</f>
        <v>0</v>
      </c>
      <c r="F145" s="84">
        <f>INDEX('PEER GROUP'!F:F,MATCH($A145,'PEER GROUP'!$A:$A,0))</f>
        <v>0</v>
      </c>
      <c r="G145" s="84">
        <f>INDEX('PEER GROUP'!G:G,MATCH($A145,'PEER GROUP'!$A:$A,0))</f>
        <v>0</v>
      </c>
      <c r="H145" s="85"/>
      <c r="I145" s="85"/>
      <c r="J145" s="70">
        <f>INDEX('PEER GROUP'!K:K,MATCH($A145,'PEER GROUP'!$A:$A,0))</f>
        <v>0</v>
      </c>
      <c r="K145" s="70">
        <f>INDEX('PEER GROUP'!L:L,MATCH($A145,'PEER GROUP'!$A:$A,0))</f>
        <v>0</v>
      </c>
      <c r="L145" s="70">
        <f>INDEX('PEER GROUP'!M:M,MATCH($A145,'PEER GROUP'!$A:$A,0))</f>
        <v>0</v>
      </c>
      <c r="M145" s="86">
        <f>INDEX('PEER GROUP'!N:N,MATCH($A145,'PEER GROUP'!$A:$A,0))</f>
        <v>0</v>
      </c>
      <c r="N145" s="118"/>
      <c r="O145" s="115"/>
      <c r="P145" s="117"/>
      <c r="Q145" s="87"/>
      <c r="R145" s="87">
        <f t="shared" si="38"/>
        <v>0</v>
      </c>
      <c r="S145" s="87"/>
      <c r="T145" s="87"/>
      <c r="U145" s="87"/>
      <c r="V145" s="87">
        <f t="shared" si="39"/>
        <v>0</v>
      </c>
      <c r="W145" s="113">
        <f t="shared" si="36"/>
        <v>36.913096727263202</v>
      </c>
      <c r="X145" s="69">
        <f t="shared" si="40"/>
        <v>0</v>
      </c>
      <c r="Y145" s="70">
        <f t="shared" si="41"/>
        <v>0</v>
      </c>
      <c r="Z145" s="70">
        <f t="shared" si="42"/>
        <v>0</v>
      </c>
      <c r="AA145" s="70">
        <f t="shared" si="43"/>
        <v>0</v>
      </c>
      <c r="AB145" s="70">
        <f t="shared" si="44"/>
        <v>0</v>
      </c>
      <c r="AC145" s="70">
        <f t="shared" si="45"/>
        <v>0</v>
      </c>
      <c r="AD145" s="71">
        <f t="shared" si="46"/>
        <v>0</v>
      </c>
      <c r="AE145" s="49"/>
      <c r="AF145" s="21"/>
      <c r="AG145" s="69"/>
      <c r="AH145" s="70"/>
      <c r="AI145" s="70"/>
      <c r="AJ145" s="70"/>
      <c r="AK145" s="70"/>
      <c r="AL145" s="70"/>
      <c r="AM145" s="70"/>
      <c r="AN145" s="70" t="str">
        <f t="shared" si="47"/>
        <v>---</v>
      </c>
      <c r="AO145" s="70" t="str">
        <f t="shared" si="48"/>
        <v>---</v>
      </c>
      <c r="AP145" s="70" t="str">
        <f t="shared" si="49"/>
        <v>---</v>
      </c>
      <c r="AQ145" s="70" t="str">
        <f t="shared" si="50"/>
        <v>---</v>
      </c>
      <c r="AR145" s="70" t="str">
        <f t="shared" si="51"/>
        <v>---</v>
      </c>
      <c r="AS145" s="70" t="str">
        <f t="shared" si="52"/>
        <v>---</v>
      </c>
      <c r="AT145" s="71" t="str">
        <f t="shared" si="53"/>
        <v>---</v>
      </c>
    </row>
    <row r="146" spans="1:46" ht="30" customHeight="1" x14ac:dyDescent="0.3">
      <c r="A146" s="123">
        <f t="shared" si="37"/>
        <v>142</v>
      </c>
      <c r="B146" s="140">
        <f>INDEX('PEER GROUP'!B:B,MATCH($A146,'PEER GROUP'!$A:$A,0))</f>
        <v>0</v>
      </c>
      <c r="C146" s="83">
        <f>INDEX('PEER GROUP'!C:C,MATCH($A146,'PEER GROUP'!$A:$A,0))</f>
        <v>0</v>
      </c>
      <c r="D146" s="83">
        <f>INDEX('PEER GROUP'!D:D,MATCH($A146,'PEER GROUP'!$A:$A,0))</f>
        <v>0</v>
      </c>
      <c r="E146" s="83">
        <f>INDEX('PEER GROUP'!E:E,MATCH(A146,'PEER GROUP'!$A:$A,0))</f>
        <v>0</v>
      </c>
      <c r="F146" s="84">
        <f>INDEX('PEER GROUP'!F:F,MATCH($A146,'PEER GROUP'!$A:$A,0))</f>
        <v>0</v>
      </c>
      <c r="G146" s="84">
        <f>INDEX('PEER GROUP'!G:G,MATCH($A146,'PEER GROUP'!$A:$A,0))</f>
        <v>0</v>
      </c>
      <c r="H146" s="85"/>
      <c r="I146" s="85"/>
      <c r="J146" s="70">
        <f>INDEX('PEER GROUP'!K:K,MATCH($A146,'PEER GROUP'!$A:$A,0))</f>
        <v>0</v>
      </c>
      <c r="K146" s="70">
        <f>INDEX('PEER GROUP'!L:L,MATCH($A146,'PEER GROUP'!$A:$A,0))</f>
        <v>0</v>
      </c>
      <c r="L146" s="70">
        <f>INDEX('PEER GROUP'!M:M,MATCH($A146,'PEER GROUP'!$A:$A,0))</f>
        <v>0</v>
      </c>
      <c r="M146" s="86">
        <f>INDEX('PEER GROUP'!N:N,MATCH($A146,'PEER GROUP'!$A:$A,0))</f>
        <v>0</v>
      </c>
      <c r="N146" s="118"/>
      <c r="O146" s="115"/>
      <c r="P146" s="117"/>
      <c r="Q146" s="87"/>
      <c r="R146" s="87">
        <f t="shared" si="38"/>
        <v>0</v>
      </c>
      <c r="S146" s="87"/>
      <c r="T146" s="87"/>
      <c r="U146" s="87"/>
      <c r="V146" s="87">
        <f t="shared" si="39"/>
        <v>0</v>
      </c>
      <c r="W146" s="113">
        <f t="shared" si="36"/>
        <v>36.913096727263202</v>
      </c>
      <c r="X146" s="69">
        <f t="shared" si="40"/>
        <v>0</v>
      </c>
      <c r="Y146" s="70">
        <f t="shared" si="41"/>
        <v>0</v>
      </c>
      <c r="Z146" s="70">
        <f t="shared" si="42"/>
        <v>0</v>
      </c>
      <c r="AA146" s="70">
        <f t="shared" si="43"/>
        <v>0</v>
      </c>
      <c r="AB146" s="70">
        <f t="shared" si="44"/>
        <v>0</v>
      </c>
      <c r="AC146" s="70">
        <f t="shared" si="45"/>
        <v>0</v>
      </c>
      <c r="AD146" s="71">
        <f t="shared" si="46"/>
        <v>0</v>
      </c>
      <c r="AE146" s="49"/>
      <c r="AF146" s="21"/>
      <c r="AG146" s="69"/>
      <c r="AH146" s="70"/>
      <c r="AI146" s="70"/>
      <c r="AJ146" s="70"/>
      <c r="AK146" s="70"/>
      <c r="AL146" s="70"/>
      <c r="AM146" s="70"/>
      <c r="AN146" s="70" t="str">
        <f t="shared" si="47"/>
        <v>---</v>
      </c>
      <c r="AO146" s="70" t="str">
        <f t="shared" si="48"/>
        <v>---</v>
      </c>
      <c r="AP146" s="70" t="str">
        <f t="shared" si="49"/>
        <v>---</v>
      </c>
      <c r="AQ146" s="70" t="str">
        <f t="shared" si="50"/>
        <v>---</v>
      </c>
      <c r="AR146" s="70" t="str">
        <f t="shared" si="51"/>
        <v>---</v>
      </c>
      <c r="AS146" s="70" t="str">
        <f t="shared" si="52"/>
        <v>---</v>
      </c>
      <c r="AT146" s="71" t="str">
        <f t="shared" si="53"/>
        <v>---</v>
      </c>
    </row>
    <row r="147" spans="1:46" ht="30" customHeight="1" x14ac:dyDescent="0.3">
      <c r="A147" s="123">
        <f t="shared" si="37"/>
        <v>143</v>
      </c>
      <c r="B147" s="140">
        <f>INDEX('PEER GROUP'!B:B,MATCH($A147,'PEER GROUP'!$A:$A,0))</f>
        <v>0</v>
      </c>
      <c r="C147" s="83">
        <f>INDEX('PEER GROUP'!C:C,MATCH($A147,'PEER GROUP'!$A:$A,0))</f>
        <v>0</v>
      </c>
      <c r="D147" s="83">
        <f>INDEX('PEER GROUP'!D:D,MATCH($A147,'PEER GROUP'!$A:$A,0))</f>
        <v>0</v>
      </c>
      <c r="E147" s="83">
        <f>INDEX('PEER GROUP'!E:E,MATCH(A147,'PEER GROUP'!$A:$A,0))</f>
        <v>0</v>
      </c>
      <c r="F147" s="84">
        <f>INDEX('PEER GROUP'!F:F,MATCH($A147,'PEER GROUP'!$A:$A,0))</f>
        <v>0</v>
      </c>
      <c r="G147" s="84">
        <f>INDEX('PEER GROUP'!G:G,MATCH($A147,'PEER GROUP'!$A:$A,0))</f>
        <v>0</v>
      </c>
      <c r="H147" s="85"/>
      <c r="I147" s="85"/>
      <c r="J147" s="70">
        <f>INDEX('PEER GROUP'!K:K,MATCH($A147,'PEER GROUP'!$A:$A,0))</f>
        <v>0</v>
      </c>
      <c r="K147" s="70">
        <f>INDEX('PEER GROUP'!L:L,MATCH($A147,'PEER GROUP'!$A:$A,0))</f>
        <v>0</v>
      </c>
      <c r="L147" s="70">
        <f>INDEX('PEER GROUP'!M:M,MATCH($A147,'PEER GROUP'!$A:$A,0))</f>
        <v>0</v>
      </c>
      <c r="M147" s="86">
        <f>INDEX('PEER GROUP'!N:N,MATCH($A147,'PEER GROUP'!$A:$A,0))</f>
        <v>0</v>
      </c>
      <c r="N147" s="118"/>
      <c r="O147" s="115"/>
      <c r="P147" s="117"/>
      <c r="Q147" s="87"/>
      <c r="R147" s="87">
        <f t="shared" si="38"/>
        <v>0</v>
      </c>
      <c r="S147" s="87"/>
      <c r="T147" s="87"/>
      <c r="U147" s="87"/>
      <c r="V147" s="87">
        <f t="shared" si="39"/>
        <v>0</v>
      </c>
      <c r="W147" s="113">
        <f t="shared" si="36"/>
        <v>36.913096727263202</v>
      </c>
      <c r="X147" s="69">
        <f t="shared" si="40"/>
        <v>0</v>
      </c>
      <c r="Y147" s="70">
        <f t="shared" si="41"/>
        <v>0</v>
      </c>
      <c r="Z147" s="70">
        <f t="shared" si="42"/>
        <v>0</v>
      </c>
      <c r="AA147" s="70">
        <f t="shared" si="43"/>
        <v>0</v>
      </c>
      <c r="AB147" s="70">
        <f t="shared" si="44"/>
        <v>0</v>
      </c>
      <c r="AC147" s="70">
        <f t="shared" si="45"/>
        <v>0</v>
      </c>
      <c r="AD147" s="71">
        <f t="shared" si="46"/>
        <v>0</v>
      </c>
      <c r="AE147" s="49"/>
      <c r="AF147" s="21"/>
      <c r="AG147" s="69"/>
      <c r="AH147" s="70"/>
      <c r="AI147" s="70"/>
      <c r="AJ147" s="70"/>
      <c r="AK147" s="70"/>
      <c r="AL147" s="70"/>
      <c r="AM147" s="70"/>
      <c r="AN147" s="70" t="str">
        <f t="shared" si="47"/>
        <v>---</v>
      </c>
      <c r="AO147" s="70" t="str">
        <f t="shared" si="48"/>
        <v>---</v>
      </c>
      <c r="AP147" s="70" t="str">
        <f t="shared" si="49"/>
        <v>---</v>
      </c>
      <c r="AQ147" s="70" t="str">
        <f t="shared" si="50"/>
        <v>---</v>
      </c>
      <c r="AR147" s="70" t="str">
        <f t="shared" si="51"/>
        <v>---</v>
      </c>
      <c r="AS147" s="70" t="str">
        <f t="shared" si="52"/>
        <v>---</v>
      </c>
      <c r="AT147" s="71" t="str">
        <f t="shared" si="53"/>
        <v>---</v>
      </c>
    </row>
    <row r="148" spans="1:46" ht="30" customHeight="1" x14ac:dyDescent="0.3">
      <c r="A148" s="123">
        <f t="shared" si="37"/>
        <v>144</v>
      </c>
      <c r="B148" s="140">
        <f>INDEX('PEER GROUP'!B:B,MATCH($A148,'PEER GROUP'!$A:$A,0))</f>
        <v>0</v>
      </c>
      <c r="C148" s="83">
        <f>INDEX('PEER GROUP'!C:C,MATCH($A148,'PEER GROUP'!$A:$A,0))</f>
        <v>0</v>
      </c>
      <c r="D148" s="83">
        <f>INDEX('PEER GROUP'!D:D,MATCH($A148,'PEER GROUP'!$A:$A,0))</f>
        <v>0</v>
      </c>
      <c r="E148" s="83">
        <f>INDEX('PEER GROUP'!E:E,MATCH(A148,'PEER GROUP'!$A:$A,0))</f>
        <v>0</v>
      </c>
      <c r="F148" s="84">
        <f>INDEX('PEER GROUP'!F:F,MATCH($A148,'PEER GROUP'!$A:$A,0))</f>
        <v>0</v>
      </c>
      <c r="G148" s="84">
        <f>INDEX('PEER GROUP'!G:G,MATCH($A148,'PEER GROUP'!$A:$A,0))</f>
        <v>0</v>
      </c>
      <c r="H148" s="85"/>
      <c r="I148" s="85"/>
      <c r="J148" s="70">
        <f>INDEX('PEER GROUP'!K:K,MATCH($A148,'PEER GROUP'!$A:$A,0))</f>
        <v>0</v>
      </c>
      <c r="K148" s="70">
        <f>INDEX('PEER GROUP'!L:L,MATCH($A148,'PEER GROUP'!$A:$A,0))</f>
        <v>0</v>
      </c>
      <c r="L148" s="70">
        <f>INDEX('PEER GROUP'!M:M,MATCH($A148,'PEER GROUP'!$A:$A,0))</f>
        <v>0</v>
      </c>
      <c r="M148" s="86">
        <f>INDEX('PEER GROUP'!N:N,MATCH($A148,'PEER GROUP'!$A:$A,0))</f>
        <v>0</v>
      </c>
      <c r="N148" s="118"/>
      <c r="O148" s="115"/>
      <c r="P148" s="117"/>
      <c r="Q148" s="87"/>
      <c r="R148" s="87">
        <f t="shared" si="38"/>
        <v>0</v>
      </c>
      <c r="S148" s="87"/>
      <c r="T148" s="87"/>
      <c r="U148" s="87"/>
      <c r="V148" s="87">
        <f t="shared" si="39"/>
        <v>0</v>
      </c>
      <c r="W148" s="113">
        <f t="shared" si="36"/>
        <v>36.913096727263202</v>
      </c>
      <c r="X148" s="69">
        <f t="shared" si="40"/>
        <v>0</v>
      </c>
      <c r="Y148" s="70">
        <f t="shared" si="41"/>
        <v>0</v>
      </c>
      <c r="Z148" s="70">
        <f t="shared" si="42"/>
        <v>0</v>
      </c>
      <c r="AA148" s="70">
        <f t="shared" si="43"/>
        <v>0</v>
      </c>
      <c r="AB148" s="70">
        <f t="shared" si="44"/>
        <v>0</v>
      </c>
      <c r="AC148" s="70">
        <f t="shared" si="45"/>
        <v>0</v>
      </c>
      <c r="AD148" s="71">
        <f t="shared" si="46"/>
        <v>0</v>
      </c>
      <c r="AE148" s="49"/>
      <c r="AF148" s="21"/>
      <c r="AG148" s="69"/>
      <c r="AH148" s="70"/>
      <c r="AI148" s="70"/>
      <c r="AJ148" s="70"/>
      <c r="AK148" s="70"/>
      <c r="AL148" s="70"/>
      <c r="AM148" s="70"/>
      <c r="AN148" s="70" t="str">
        <f t="shared" si="47"/>
        <v>---</v>
      </c>
      <c r="AO148" s="70" t="str">
        <f t="shared" si="48"/>
        <v>---</v>
      </c>
      <c r="AP148" s="70" t="str">
        <f t="shared" si="49"/>
        <v>---</v>
      </c>
      <c r="AQ148" s="70" t="str">
        <f t="shared" si="50"/>
        <v>---</v>
      </c>
      <c r="AR148" s="70" t="str">
        <f t="shared" si="51"/>
        <v>---</v>
      </c>
      <c r="AS148" s="70" t="str">
        <f t="shared" si="52"/>
        <v>---</v>
      </c>
      <c r="AT148" s="71" t="str">
        <f t="shared" si="53"/>
        <v>---</v>
      </c>
    </row>
    <row r="149" spans="1:46" ht="30" customHeight="1" x14ac:dyDescent="0.3">
      <c r="A149" s="123">
        <f t="shared" si="37"/>
        <v>145</v>
      </c>
      <c r="B149" s="140">
        <f>INDEX('PEER GROUP'!B:B,MATCH($A149,'PEER GROUP'!$A:$A,0))</f>
        <v>0</v>
      </c>
      <c r="C149" s="83">
        <f>INDEX('PEER GROUP'!C:C,MATCH($A149,'PEER GROUP'!$A:$A,0))</f>
        <v>0</v>
      </c>
      <c r="D149" s="83">
        <f>INDEX('PEER GROUP'!D:D,MATCH($A149,'PEER GROUP'!$A:$A,0))</f>
        <v>0</v>
      </c>
      <c r="E149" s="83">
        <f>INDEX('PEER GROUP'!E:E,MATCH(A149,'PEER GROUP'!$A:$A,0))</f>
        <v>0</v>
      </c>
      <c r="F149" s="84">
        <f>INDEX('PEER GROUP'!F:F,MATCH($A149,'PEER GROUP'!$A:$A,0))</f>
        <v>0</v>
      </c>
      <c r="G149" s="84">
        <f>INDEX('PEER GROUP'!G:G,MATCH($A149,'PEER GROUP'!$A:$A,0))</f>
        <v>0</v>
      </c>
      <c r="H149" s="85"/>
      <c r="I149" s="85"/>
      <c r="J149" s="70">
        <f>INDEX('PEER GROUP'!K:K,MATCH($A149,'PEER GROUP'!$A:$A,0))</f>
        <v>0</v>
      </c>
      <c r="K149" s="70">
        <f>INDEX('PEER GROUP'!L:L,MATCH($A149,'PEER GROUP'!$A:$A,0))</f>
        <v>0</v>
      </c>
      <c r="L149" s="70">
        <f>INDEX('PEER GROUP'!M:M,MATCH($A149,'PEER GROUP'!$A:$A,0))</f>
        <v>0</v>
      </c>
      <c r="M149" s="86">
        <f>INDEX('PEER GROUP'!N:N,MATCH($A149,'PEER GROUP'!$A:$A,0))</f>
        <v>0</v>
      </c>
      <c r="N149" s="118"/>
      <c r="O149" s="115"/>
      <c r="P149" s="117"/>
      <c r="Q149" s="87"/>
      <c r="R149" s="87">
        <f t="shared" si="38"/>
        <v>0</v>
      </c>
      <c r="S149" s="87"/>
      <c r="T149" s="87"/>
      <c r="U149" s="87"/>
      <c r="V149" s="87">
        <f t="shared" si="39"/>
        <v>0</v>
      </c>
      <c r="W149" s="113">
        <f t="shared" si="36"/>
        <v>36.913096727263202</v>
      </c>
      <c r="X149" s="69">
        <f t="shared" si="40"/>
        <v>0</v>
      </c>
      <c r="Y149" s="70">
        <f t="shared" si="41"/>
        <v>0</v>
      </c>
      <c r="Z149" s="70">
        <f t="shared" si="42"/>
        <v>0</v>
      </c>
      <c r="AA149" s="70">
        <f t="shared" si="43"/>
        <v>0</v>
      </c>
      <c r="AB149" s="70">
        <f t="shared" si="44"/>
        <v>0</v>
      </c>
      <c r="AC149" s="70">
        <f t="shared" si="45"/>
        <v>0</v>
      </c>
      <c r="AD149" s="71">
        <f t="shared" si="46"/>
        <v>0</v>
      </c>
      <c r="AE149" s="49"/>
      <c r="AF149" s="21"/>
      <c r="AG149" s="69"/>
      <c r="AH149" s="70"/>
      <c r="AI149" s="70"/>
      <c r="AJ149" s="70"/>
      <c r="AK149" s="70"/>
      <c r="AL149" s="70"/>
      <c r="AM149" s="70"/>
      <c r="AN149" s="70" t="str">
        <f t="shared" si="47"/>
        <v>---</v>
      </c>
      <c r="AO149" s="70" t="str">
        <f t="shared" si="48"/>
        <v>---</v>
      </c>
      <c r="AP149" s="70" t="str">
        <f t="shared" si="49"/>
        <v>---</v>
      </c>
      <c r="AQ149" s="70" t="str">
        <f t="shared" si="50"/>
        <v>---</v>
      </c>
      <c r="AR149" s="70" t="str">
        <f t="shared" si="51"/>
        <v>---</v>
      </c>
      <c r="AS149" s="70" t="str">
        <f t="shared" si="52"/>
        <v>---</v>
      </c>
      <c r="AT149" s="71" t="str">
        <f t="shared" si="53"/>
        <v>---</v>
      </c>
    </row>
    <row r="150" spans="1:46" ht="30" customHeight="1" x14ac:dyDescent="0.3">
      <c r="A150" s="123">
        <f t="shared" si="37"/>
        <v>146</v>
      </c>
      <c r="B150" s="140">
        <f>INDEX('PEER GROUP'!B:B,MATCH($A150,'PEER GROUP'!$A:$A,0))</f>
        <v>0</v>
      </c>
      <c r="C150" s="83">
        <f>INDEX('PEER GROUP'!C:C,MATCH($A150,'PEER GROUP'!$A:$A,0))</f>
        <v>0</v>
      </c>
      <c r="D150" s="83">
        <f>INDEX('PEER GROUP'!D:D,MATCH($A150,'PEER GROUP'!$A:$A,0))</f>
        <v>0</v>
      </c>
      <c r="E150" s="83">
        <f>INDEX('PEER GROUP'!E:E,MATCH(A150,'PEER GROUP'!$A:$A,0))</f>
        <v>0</v>
      </c>
      <c r="F150" s="84">
        <f>INDEX('PEER GROUP'!F:F,MATCH($A150,'PEER GROUP'!$A:$A,0))</f>
        <v>0</v>
      </c>
      <c r="G150" s="84">
        <f>INDEX('PEER GROUP'!G:G,MATCH($A150,'PEER GROUP'!$A:$A,0))</f>
        <v>0</v>
      </c>
      <c r="H150" s="85"/>
      <c r="I150" s="85"/>
      <c r="J150" s="70">
        <f>INDEX('PEER GROUP'!K:K,MATCH($A150,'PEER GROUP'!$A:$A,0))</f>
        <v>0</v>
      </c>
      <c r="K150" s="70">
        <f>INDEX('PEER GROUP'!L:L,MATCH($A150,'PEER GROUP'!$A:$A,0))</f>
        <v>0</v>
      </c>
      <c r="L150" s="70">
        <f>INDEX('PEER GROUP'!M:M,MATCH($A150,'PEER GROUP'!$A:$A,0))</f>
        <v>0</v>
      </c>
      <c r="M150" s="86">
        <f>INDEX('PEER GROUP'!N:N,MATCH($A150,'PEER GROUP'!$A:$A,0))</f>
        <v>0</v>
      </c>
      <c r="N150" s="118"/>
      <c r="O150" s="115"/>
      <c r="P150" s="117"/>
      <c r="Q150" s="87"/>
      <c r="R150" s="87">
        <f t="shared" si="38"/>
        <v>0</v>
      </c>
      <c r="S150" s="87"/>
      <c r="T150" s="87"/>
      <c r="U150" s="87"/>
      <c r="V150" s="87">
        <f t="shared" si="39"/>
        <v>0</v>
      </c>
      <c r="W150" s="113">
        <f t="shared" si="36"/>
        <v>36.913096727263202</v>
      </c>
      <c r="X150" s="69">
        <f t="shared" si="40"/>
        <v>0</v>
      </c>
      <c r="Y150" s="70">
        <f t="shared" si="41"/>
        <v>0</v>
      </c>
      <c r="Z150" s="70">
        <f t="shared" si="42"/>
        <v>0</v>
      </c>
      <c r="AA150" s="70">
        <f t="shared" si="43"/>
        <v>0</v>
      </c>
      <c r="AB150" s="70">
        <f t="shared" si="44"/>
        <v>0</v>
      </c>
      <c r="AC150" s="70">
        <f t="shared" si="45"/>
        <v>0</v>
      </c>
      <c r="AD150" s="71">
        <f t="shared" si="46"/>
        <v>0</v>
      </c>
      <c r="AE150" s="49"/>
      <c r="AF150" s="21"/>
      <c r="AG150" s="69"/>
      <c r="AH150" s="70"/>
      <c r="AI150" s="70"/>
      <c r="AJ150" s="70"/>
      <c r="AK150" s="70"/>
      <c r="AL150" s="70"/>
      <c r="AM150" s="70"/>
      <c r="AN150" s="70" t="str">
        <f t="shared" si="47"/>
        <v>---</v>
      </c>
      <c r="AO150" s="70" t="str">
        <f t="shared" si="48"/>
        <v>---</v>
      </c>
      <c r="AP150" s="70" t="str">
        <f t="shared" si="49"/>
        <v>---</v>
      </c>
      <c r="AQ150" s="70" t="str">
        <f t="shared" si="50"/>
        <v>---</v>
      </c>
      <c r="AR150" s="70" t="str">
        <f t="shared" si="51"/>
        <v>---</v>
      </c>
      <c r="AS150" s="70" t="str">
        <f t="shared" si="52"/>
        <v>---</v>
      </c>
      <c r="AT150" s="71" t="str">
        <f t="shared" si="53"/>
        <v>---</v>
      </c>
    </row>
    <row r="151" spans="1:46" ht="30" customHeight="1" x14ac:dyDescent="0.3">
      <c r="A151" s="123">
        <f t="shared" si="37"/>
        <v>147</v>
      </c>
      <c r="B151" s="140">
        <f>INDEX('PEER GROUP'!B:B,MATCH($A151,'PEER GROUP'!$A:$A,0))</f>
        <v>0</v>
      </c>
      <c r="C151" s="83">
        <f>INDEX('PEER GROUP'!C:C,MATCH($A151,'PEER GROUP'!$A:$A,0))</f>
        <v>0</v>
      </c>
      <c r="D151" s="83">
        <f>INDEX('PEER GROUP'!D:D,MATCH($A151,'PEER GROUP'!$A:$A,0))</f>
        <v>0</v>
      </c>
      <c r="E151" s="83">
        <f>INDEX('PEER GROUP'!E:E,MATCH(A151,'PEER GROUP'!$A:$A,0))</f>
        <v>0</v>
      </c>
      <c r="F151" s="84">
        <f>INDEX('PEER GROUP'!F:F,MATCH($A151,'PEER GROUP'!$A:$A,0))</f>
        <v>0</v>
      </c>
      <c r="G151" s="84">
        <f>INDEX('PEER GROUP'!G:G,MATCH($A151,'PEER GROUP'!$A:$A,0))</f>
        <v>0</v>
      </c>
      <c r="H151" s="85"/>
      <c r="I151" s="85"/>
      <c r="J151" s="70">
        <f>INDEX('PEER GROUP'!K:K,MATCH($A151,'PEER GROUP'!$A:$A,0))</f>
        <v>0</v>
      </c>
      <c r="K151" s="70">
        <f>INDEX('PEER GROUP'!L:L,MATCH($A151,'PEER GROUP'!$A:$A,0))</f>
        <v>0</v>
      </c>
      <c r="L151" s="70">
        <f>INDEX('PEER GROUP'!M:M,MATCH($A151,'PEER GROUP'!$A:$A,0))</f>
        <v>0</v>
      </c>
      <c r="M151" s="86">
        <f>INDEX('PEER GROUP'!N:N,MATCH($A151,'PEER GROUP'!$A:$A,0))</f>
        <v>0</v>
      </c>
      <c r="N151" s="118"/>
      <c r="O151" s="115"/>
      <c r="P151" s="117"/>
      <c r="Q151" s="87"/>
      <c r="R151" s="87">
        <f t="shared" si="38"/>
        <v>0</v>
      </c>
      <c r="S151" s="87"/>
      <c r="T151" s="87"/>
      <c r="U151" s="87"/>
      <c r="V151" s="87">
        <f t="shared" si="39"/>
        <v>0</v>
      </c>
      <c r="W151" s="113">
        <f t="shared" si="36"/>
        <v>36.913096727263202</v>
      </c>
      <c r="X151" s="69">
        <f t="shared" si="40"/>
        <v>0</v>
      </c>
      <c r="Y151" s="70">
        <f t="shared" si="41"/>
        <v>0</v>
      </c>
      <c r="Z151" s="70">
        <f t="shared" si="42"/>
        <v>0</v>
      </c>
      <c r="AA151" s="70">
        <f t="shared" si="43"/>
        <v>0</v>
      </c>
      <c r="AB151" s="70">
        <f t="shared" si="44"/>
        <v>0</v>
      </c>
      <c r="AC151" s="70">
        <f t="shared" si="45"/>
        <v>0</v>
      </c>
      <c r="AD151" s="71">
        <f t="shared" si="46"/>
        <v>0</v>
      </c>
      <c r="AE151" s="49"/>
      <c r="AF151" s="21"/>
      <c r="AG151" s="69"/>
      <c r="AH151" s="70"/>
      <c r="AI151" s="70"/>
      <c r="AJ151" s="70"/>
      <c r="AK151" s="70"/>
      <c r="AL151" s="70"/>
      <c r="AM151" s="70"/>
      <c r="AN151" s="70" t="str">
        <f t="shared" si="47"/>
        <v>---</v>
      </c>
      <c r="AO151" s="70" t="str">
        <f t="shared" si="48"/>
        <v>---</v>
      </c>
      <c r="AP151" s="70" t="str">
        <f t="shared" si="49"/>
        <v>---</v>
      </c>
      <c r="AQ151" s="70" t="str">
        <f t="shared" si="50"/>
        <v>---</v>
      </c>
      <c r="AR151" s="70" t="str">
        <f t="shared" si="51"/>
        <v>---</v>
      </c>
      <c r="AS151" s="70" t="str">
        <f t="shared" si="52"/>
        <v>---</v>
      </c>
      <c r="AT151" s="71" t="str">
        <f t="shared" si="53"/>
        <v>---</v>
      </c>
    </row>
    <row r="152" spans="1:46" ht="30" customHeight="1" x14ac:dyDescent="0.3">
      <c r="A152" s="123">
        <f t="shared" si="37"/>
        <v>148</v>
      </c>
      <c r="B152" s="140">
        <f>INDEX('PEER GROUP'!B:B,MATCH($A152,'PEER GROUP'!$A:$A,0))</f>
        <v>0</v>
      </c>
      <c r="C152" s="83">
        <f>INDEX('PEER GROUP'!C:C,MATCH($A152,'PEER GROUP'!$A:$A,0))</f>
        <v>0</v>
      </c>
      <c r="D152" s="83">
        <f>INDEX('PEER GROUP'!D:D,MATCH($A152,'PEER GROUP'!$A:$A,0))</f>
        <v>0</v>
      </c>
      <c r="E152" s="83">
        <f>INDEX('PEER GROUP'!E:E,MATCH(A152,'PEER GROUP'!$A:$A,0))</f>
        <v>0</v>
      </c>
      <c r="F152" s="84">
        <f>INDEX('PEER GROUP'!F:F,MATCH($A152,'PEER GROUP'!$A:$A,0))</f>
        <v>0</v>
      </c>
      <c r="G152" s="84">
        <f>INDEX('PEER GROUP'!G:G,MATCH($A152,'PEER GROUP'!$A:$A,0))</f>
        <v>0</v>
      </c>
      <c r="H152" s="85"/>
      <c r="I152" s="85"/>
      <c r="J152" s="70">
        <f>INDEX('PEER GROUP'!K:K,MATCH($A152,'PEER GROUP'!$A:$A,0))</f>
        <v>0</v>
      </c>
      <c r="K152" s="70">
        <f>INDEX('PEER GROUP'!L:L,MATCH($A152,'PEER GROUP'!$A:$A,0))</f>
        <v>0</v>
      </c>
      <c r="L152" s="70">
        <f>INDEX('PEER GROUP'!M:M,MATCH($A152,'PEER GROUP'!$A:$A,0))</f>
        <v>0</v>
      </c>
      <c r="M152" s="86">
        <f>INDEX('PEER GROUP'!N:N,MATCH($A152,'PEER GROUP'!$A:$A,0))</f>
        <v>0</v>
      </c>
      <c r="N152" s="118"/>
      <c r="O152" s="115"/>
      <c r="P152" s="117"/>
      <c r="Q152" s="87"/>
      <c r="R152" s="87">
        <f t="shared" si="38"/>
        <v>0</v>
      </c>
      <c r="S152" s="87"/>
      <c r="T152" s="87"/>
      <c r="U152" s="87"/>
      <c r="V152" s="87">
        <f t="shared" si="39"/>
        <v>0</v>
      </c>
      <c r="W152" s="113">
        <f t="shared" si="36"/>
        <v>36.913096727263202</v>
      </c>
      <c r="X152" s="69">
        <f t="shared" si="40"/>
        <v>0</v>
      </c>
      <c r="Y152" s="70">
        <f t="shared" si="41"/>
        <v>0</v>
      </c>
      <c r="Z152" s="70">
        <f t="shared" si="42"/>
        <v>0</v>
      </c>
      <c r="AA152" s="70">
        <f t="shared" si="43"/>
        <v>0</v>
      </c>
      <c r="AB152" s="70">
        <f t="shared" si="44"/>
        <v>0</v>
      </c>
      <c r="AC152" s="70">
        <f t="shared" si="45"/>
        <v>0</v>
      </c>
      <c r="AD152" s="71">
        <f t="shared" si="46"/>
        <v>0</v>
      </c>
      <c r="AE152" s="49"/>
      <c r="AF152" s="21"/>
      <c r="AG152" s="69"/>
      <c r="AH152" s="70"/>
      <c r="AI152" s="70"/>
      <c r="AJ152" s="70"/>
      <c r="AK152" s="70"/>
      <c r="AL152" s="70"/>
      <c r="AM152" s="70"/>
      <c r="AN152" s="70" t="str">
        <f t="shared" si="47"/>
        <v>---</v>
      </c>
      <c r="AO152" s="70" t="str">
        <f t="shared" si="48"/>
        <v>---</v>
      </c>
      <c r="AP152" s="70" t="str">
        <f t="shared" si="49"/>
        <v>---</v>
      </c>
      <c r="AQ152" s="70" t="str">
        <f t="shared" si="50"/>
        <v>---</v>
      </c>
      <c r="AR152" s="70" t="str">
        <f t="shared" si="51"/>
        <v>---</v>
      </c>
      <c r="AS152" s="70" t="str">
        <f t="shared" si="52"/>
        <v>---</v>
      </c>
      <c r="AT152" s="71" t="str">
        <f t="shared" si="53"/>
        <v>---</v>
      </c>
    </row>
    <row r="153" spans="1:46" ht="30" customHeight="1" x14ac:dyDescent="0.3">
      <c r="A153" s="123">
        <f t="shared" si="37"/>
        <v>149</v>
      </c>
      <c r="B153" s="140">
        <f>INDEX('PEER GROUP'!B:B,MATCH($A153,'PEER GROUP'!$A:$A,0))</f>
        <v>0</v>
      </c>
      <c r="C153" s="83">
        <f>INDEX('PEER GROUP'!C:C,MATCH($A153,'PEER GROUP'!$A:$A,0))</f>
        <v>0</v>
      </c>
      <c r="D153" s="83">
        <f>INDEX('PEER GROUP'!D:D,MATCH($A153,'PEER GROUP'!$A:$A,0))</f>
        <v>0</v>
      </c>
      <c r="E153" s="83">
        <f>INDEX('PEER GROUP'!E:E,MATCH(A153,'PEER GROUP'!$A:$A,0))</f>
        <v>0</v>
      </c>
      <c r="F153" s="84">
        <f>INDEX('PEER GROUP'!F:F,MATCH($A153,'PEER GROUP'!$A:$A,0))</f>
        <v>0</v>
      </c>
      <c r="G153" s="84">
        <f>INDEX('PEER GROUP'!G:G,MATCH($A153,'PEER GROUP'!$A:$A,0))</f>
        <v>0</v>
      </c>
      <c r="H153" s="85"/>
      <c r="I153" s="85"/>
      <c r="J153" s="70">
        <f>INDEX('PEER GROUP'!K:K,MATCH($A153,'PEER GROUP'!$A:$A,0))</f>
        <v>0</v>
      </c>
      <c r="K153" s="70">
        <f>INDEX('PEER GROUP'!L:L,MATCH($A153,'PEER GROUP'!$A:$A,0))</f>
        <v>0</v>
      </c>
      <c r="L153" s="70">
        <f>INDEX('PEER GROUP'!M:M,MATCH($A153,'PEER GROUP'!$A:$A,0))</f>
        <v>0</v>
      </c>
      <c r="M153" s="86">
        <f>INDEX('PEER GROUP'!N:N,MATCH($A153,'PEER GROUP'!$A:$A,0))</f>
        <v>0</v>
      </c>
      <c r="N153" s="118"/>
      <c r="O153" s="115"/>
      <c r="P153" s="117"/>
      <c r="Q153" s="87"/>
      <c r="R153" s="87">
        <f t="shared" si="38"/>
        <v>0</v>
      </c>
      <c r="S153" s="87"/>
      <c r="T153" s="87"/>
      <c r="U153" s="87"/>
      <c r="V153" s="87">
        <f t="shared" si="39"/>
        <v>0</v>
      </c>
      <c r="W153" s="113">
        <f t="shared" si="36"/>
        <v>36.913096727263202</v>
      </c>
      <c r="X153" s="69">
        <f t="shared" si="40"/>
        <v>0</v>
      </c>
      <c r="Y153" s="70">
        <f t="shared" si="41"/>
        <v>0</v>
      </c>
      <c r="Z153" s="70">
        <f t="shared" si="42"/>
        <v>0</v>
      </c>
      <c r="AA153" s="70">
        <f t="shared" si="43"/>
        <v>0</v>
      </c>
      <c r="AB153" s="70">
        <f t="shared" si="44"/>
        <v>0</v>
      </c>
      <c r="AC153" s="70">
        <f t="shared" si="45"/>
        <v>0</v>
      </c>
      <c r="AD153" s="71">
        <f t="shared" si="46"/>
        <v>0</v>
      </c>
      <c r="AE153" s="49"/>
      <c r="AF153" s="21"/>
      <c r="AG153" s="69"/>
      <c r="AH153" s="70"/>
      <c r="AI153" s="70"/>
      <c r="AJ153" s="70"/>
      <c r="AK153" s="70"/>
      <c r="AL153" s="70"/>
      <c r="AM153" s="70"/>
      <c r="AN153" s="70" t="str">
        <f t="shared" si="47"/>
        <v>---</v>
      </c>
      <c r="AO153" s="70" t="str">
        <f t="shared" si="48"/>
        <v>---</v>
      </c>
      <c r="AP153" s="70" t="str">
        <f t="shared" si="49"/>
        <v>---</v>
      </c>
      <c r="AQ153" s="70" t="str">
        <f t="shared" si="50"/>
        <v>---</v>
      </c>
      <c r="AR153" s="70" t="str">
        <f t="shared" si="51"/>
        <v>---</v>
      </c>
      <c r="AS153" s="70" t="str">
        <f t="shared" si="52"/>
        <v>---</v>
      </c>
      <c r="AT153" s="71" t="str">
        <f t="shared" si="53"/>
        <v>---</v>
      </c>
    </row>
    <row r="154" spans="1:46" ht="30" customHeight="1" x14ac:dyDescent="0.3">
      <c r="A154" s="123">
        <f t="shared" si="37"/>
        <v>150</v>
      </c>
      <c r="B154" s="140">
        <f>INDEX('PEER GROUP'!B:B,MATCH($A154,'PEER GROUP'!$A:$A,0))</f>
        <v>0</v>
      </c>
      <c r="C154" s="83">
        <f>INDEX('PEER GROUP'!C:C,MATCH($A154,'PEER GROUP'!$A:$A,0))</f>
        <v>0</v>
      </c>
      <c r="D154" s="83">
        <f>INDEX('PEER GROUP'!D:D,MATCH($A154,'PEER GROUP'!$A:$A,0))</f>
        <v>0</v>
      </c>
      <c r="E154" s="83">
        <f>INDEX('PEER GROUP'!E:E,MATCH(A154,'PEER GROUP'!$A:$A,0))</f>
        <v>0</v>
      </c>
      <c r="F154" s="84">
        <f>INDEX('PEER GROUP'!F:F,MATCH($A154,'PEER GROUP'!$A:$A,0))</f>
        <v>0</v>
      </c>
      <c r="G154" s="84">
        <f>INDEX('PEER GROUP'!G:G,MATCH($A154,'PEER GROUP'!$A:$A,0))</f>
        <v>0</v>
      </c>
      <c r="H154" s="85"/>
      <c r="I154" s="85"/>
      <c r="J154" s="70">
        <f>INDEX('PEER GROUP'!K:K,MATCH($A154,'PEER GROUP'!$A:$A,0))</f>
        <v>0</v>
      </c>
      <c r="K154" s="70">
        <f>INDEX('PEER GROUP'!L:L,MATCH($A154,'PEER GROUP'!$A:$A,0))</f>
        <v>0</v>
      </c>
      <c r="L154" s="70">
        <f>INDEX('PEER GROUP'!M:M,MATCH($A154,'PEER GROUP'!$A:$A,0))</f>
        <v>0</v>
      </c>
      <c r="M154" s="86">
        <f>INDEX('PEER GROUP'!N:N,MATCH($A154,'PEER GROUP'!$A:$A,0))</f>
        <v>0</v>
      </c>
      <c r="N154" s="118"/>
      <c r="O154" s="115"/>
      <c r="P154" s="117"/>
      <c r="Q154" s="87"/>
      <c r="R154" s="87">
        <f t="shared" si="38"/>
        <v>0</v>
      </c>
      <c r="S154" s="87"/>
      <c r="T154" s="87"/>
      <c r="U154" s="87"/>
      <c r="V154" s="87">
        <f t="shared" si="39"/>
        <v>0</v>
      </c>
      <c r="W154" s="113">
        <f t="shared" si="36"/>
        <v>36.913096727263202</v>
      </c>
      <c r="X154" s="69">
        <f t="shared" si="40"/>
        <v>0</v>
      </c>
      <c r="Y154" s="70">
        <f t="shared" si="41"/>
        <v>0</v>
      </c>
      <c r="Z154" s="70">
        <f t="shared" si="42"/>
        <v>0</v>
      </c>
      <c r="AA154" s="70">
        <f t="shared" si="43"/>
        <v>0</v>
      </c>
      <c r="AB154" s="70">
        <f t="shared" si="44"/>
        <v>0</v>
      </c>
      <c r="AC154" s="70">
        <f t="shared" si="45"/>
        <v>0</v>
      </c>
      <c r="AD154" s="71">
        <f t="shared" si="46"/>
        <v>0</v>
      </c>
      <c r="AE154" s="49"/>
      <c r="AF154" s="21"/>
      <c r="AG154" s="69"/>
      <c r="AH154" s="70"/>
      <c r="AI154" s="70"/>
      <c r="AJ154" s="70"/>
      <c r="AK154" s="70"/>
      <c r="AL154" s="70"/>
      <c r="AM154" s="70"/>
      <c r="AN154" s="70" t="str">
        <f t="shared" si="47"/>
        <v>---</v>
      </c>
      <c r="AO154" s="70" t="str">
        <f t="shared" si="48"/>
        <v>---</v>
      </c>
      <c r="AP154" s="70" t="str">
        <f t="shared" si="49"/>
        <v>---</v>
      </c>
      <c r="AQ154" s="70" t="str">
        <f t="shared" si="50"/>
        <v>---</v>
      </c>
      <c r="AR154" s="70" t="str">
        <f t="shared" si="51"/>
        <v>---</v>
      </c>
      <c r="AS154" s="70" t="str">
        <f t="shared" si="52"/>
        <v>---</v>
      </c>
      <c r="AT154" s="71" t="str">
        <f t="shared" si="53"/>
        <v>---</v>
      </c>
    </row>
    <row r="155" spans="1:46" ht="30" customHeight="1" x14ac:dyDescent="0.3">
      <c r="A155" s="123">
        <f t="shared" si="37"/>
        <v>151</v>
      </c>
      <c r="B155" s="140">
        <f>INDEX('PEER GROUP'!B:B,MATCH($A155,'PEER GROUP'!$A:$A,0))</f>
        <v>0</v>
      </c>
      <c r="C155" s="83">
        <f>INDEX('PEER GROUP'!C:C,MATCH($A155,'PEER GROUP'!$A:$A,0))</f>
        <v>0</v>
      </c>
      <c r="D155" s="83">
        <f>INDEX('PEER GROUP'!D:D,MATCH($A155,'PEER GROUP'!$A:$A,0))</f>
        <v>0</v>
      </c>
      <c r="E155" s="83">
        <f>INDEX('PEER GROUP'!E:E,MATCH(A155,'PEER GROUP'!$A:$A,0))</f>
        <v>0</v>
      </c>
      <c r="F155" s="84">
        <f>INDEX('PEER GROUP'!F:F,MATCH($A155,'PEER GROUP'!$A:$A,0))</f>
        <v>0</v>
      </c>
      <c r="G155" s="84">
        <f>INDEX('PEER GROUP'!G:G,MATCH($A155,'PEER GROUP'!$A:$A,0))</f>
        <v>0</v>
      </c>
      <c r="H155" s="85"/>
      <c r="I155" s="85"/>
      <c r="J155" s="70">
        <f>INDEX('PEER GROUP'!K:K,MATCH($A155,'PEER GROUP'!$A:$A,0))</f>
        <v>0</v>
      </c>
      <c r="K155" s="70">
        <f>INDEX('PEER GROUP'!L:L,MATCH($A155,'PEER GROUP'!$A:$A,0))</f>
        <v>0</v>
      </c>
      <c r="L155" s="70">
        <f>INDEX('PEER GROUP'!M:M,MATCH($A155,'PEER GROUP'!$A:$A,0))</f>
        <v>0</v>
      </c>
      <c r="M155" s="86">
        <f>INDEX('PEER GROUP'!N:N,MATCH($A155,'PEER GROUP'!$A:$A,0))</f>
        <v>0</v>
      </c>
      <c r="N155" s="118"/>
      <c r="O155" s="115"/>
      <c r="P155" s="117"/>
      <c r="Q155" s="87"/>
      <c r="R155" s="87">
        <f t="shared" si="38"/>
        <v>0</v>
      </c>
      <c r="S155" s="87"/>
      <c r="T155" s="87"/>
      <c r="U155" s="87"/>
      <c r="V155" s="87">
        <f t="shared" si="39"/>
        <v>0</v>
      </c>
      <c r="W155" s="113">
        <f t="shared" si="36"/>
        <v>36.913096727263202</v>
      </c>
      <c r="X155" s="69">
        <f t="shared" si="40"/>
        <v>0</v>
      </c>
      <c r="Y155" s="70">
        <f t="shared" si="41"/>
        <v>0</v>
      </c>
      <c r="Z155" s="70">
        <f t="shared" si="42"/>
        <v>0</v>
      </c>
      <c r="AA155" s="70">
        <f t="shared" si="43"/>
        <v>0</v>
      </c>
      <c r="AB155" s="70">
        <f t="shared" si="44"/>
        <v>0</v>
      </c>
      <c r="AC155" s="70">
        <f t="shared" si="45"/>
        <v>0</v>
      </c>
      <c r="AD155" s="71">
        <f t="shared" si="46"/>
        <v>0</v>
      </c>
      <c r="AE155" s="49"/>
      <c r="AF155" s="21"/>
      <c r="AG155" s="69"/>
      <c r="AH155" s="70"/>
      <c r="AI155" s="70"/>
      <c r="AJ155" s="70"/>
      <c r="AK155" s="70"/>
      <c r="AL155" s="70"/>
      <c r="AM155" s="70"/>
      <c r="AN155" s="70" t="str">
        <f t="shared" si="47"/>
        <v>---</v>
      </c>
      <c r="AO155" s="70" t="str">
        <f t="shared" si="48"/>
        <v>---</v>
      </c>
      <c r="AP155" s="70" t="str">
        <f t="shared" si="49"/>
        <v>---</v>
      </c>
      <c r="AQ155" s="70" t="str">
        <f t="shared" si="50"/>
        <v>---</v>
      </c>
      <c r="AR155" s="70" t="str">
        <f t="shared" si="51"/>
        <v>---</v>
      </c>
      <c r="AS155" s="70" t="str">
        <f t="shared" si="52"/>
        <v>---</v>
      </c>
      <c r="AT155" s="71" t="str">
        <f t="shared" si="53"/>
        <v>---</v>
      </c>
    </row>
    <row r="156" spans="1:46" ht="30" customHeight="1" x14ac:dyDescent="0.3">
      <c r="A156" s="123">
        <f t="shared" si="37"/>
        <v>152</v>
      </c>
      <c r="B156" s="140">
        <f>INDEX('PEER GROUP'!B:B,MATCH($A156,'PEER GROUP'!$A:$A,0))</f>
        <v>0</v>
      </c>
      <c r="C156" s="83">
        <f>INDEX('PEER GROUP'!C:C,MATCH($A156,'PEER GROUP'!$A:$A,0))</f>
        <v>0</v>
      </c>
      <c r="D156" s="83">
        <f>INDEX('PEER GROUP'!D:D,MATCH($A156,'PEER GROUP'!$A:$A,0))</f>
        <v>0</v>
      </c>
      <c r="E156" s="83">
        <f>INDEX('PEER GROUP'!E:E,MATCH(A156,'PEER GROUP'!$A:$A,0))</f>
        <v>0</v>
      </c>
      <c r="F156" s="84">
        <f>INDEX('PEER GROUP'!F:F,MATCH($A156,'PEER GROUP'!$A:$A,0))</f>
        <v>0</v>
      </c>
      <c r="G156" s="84">
        <f>INDEX('PEER GROUP'!G:G,MATCH($A156,'PEER GROUP'!$A:$A,0))</f>
        <v>0</v>
      </c>
      <c r="H156" s="85"/>
      <c r="I156" s="85"/>
      <c r="J156" s="70">
        <f>INDEX('PEER GROUP'!K:K,MATCH($A156,'PEER GROUP'!$A:$A,0))</f>
        <v>0</v>
      </c>
      <c r="K156" s="70">
        <f>INDEX('PEER GROUP'!L:L,MATCH($A156,'PEER GROUP'!$A:$A,0))</f>
        <v>0</v>
      </c>
      <c r="L156" s="70">
        <f>INDEX('PEER GROUP'!M:M,MATCH($A156,'PEER GROUP'!$A:$A,0))</f>
        <v>0</v>
      </c>
      <c r="M156" s="86">
        <f>INDEX('PEER GROUP'!N:N,MATCH($A156,'PEER GROUP'!$A:$A,0))</f>
        <v>0</v>
      </c>
      <c r="N156" s="118"/>
      <c r="O156" s="115"/>
      <c r="P156" s="117"/>
      <c r="Q156" s="87"/>
      <c r="R156" s="87">
        <f t="shared" si="38"/>
        <v>0</v>
      </c>
      <c r="S156" s="87"/>
      <c r="T156" s="87"/>
      <c r="U156" s="87"/>
      <c r="V156" s="87">
        <f t="shared" si="39"/>
        <v>0</v>
      </c>
      <c r="W156" s="113">
        <f t="shared" si="36"/>
        <v>36.913096727263202</v>
      </c>
      <c r="X156" s="69">
        <f t="shared" si="40"/>
        <v>0</v>
      </c>
      <c r="Y156" s="70">
        <f t="shared" si="41"/>
        <v>0</v>
      </c>
      <c r="Z156" s="70">
        <f t="shared" si="42"/>
        <v>0</v>
      </c>
      <c r="AA156" s="70">
        <f t="shared" si="43"/>
        <v>0</v>
      </c>
      <c r="AB156" s="70">
        <f t="shared" si="44"/>
        <v>0</v>
      </c>
      <c r="AC156" s="70">
        <f t="shared" si="45"/>
        <v>0</v>
      </c>
      <c r="AD156" s="71">
        <f t="shared" si="46"/>
        <v>0</v>
      </c>
      <c r="AE156" s="49"/>
      <c r="AF156" s="21"/>
      <c r="AG156" s="69"/>
      <c r="AH156" s="70"/>
      <c r="AI156" s="70"/>
      <c r="AJ156" s="70"/>
      <c r="AK156" s="70"/>
      <c r="AL156" s="70"/>
      <c r="AM156" s="70"/>
      <c r="AN156" s="70" t="str">
        <f t="shared" si="47"/>
        <v>---</v>
      </c>
      <c r="AO156" s="70" t="str">
        <f t="shared" si="48"/>
        <v>---</v>
      </c>
      <c r="AP156" s="70" t="str">
        <f t="shared" si="49"/>
        <v>---</v>
      </c>
      <c r="AQ156" s="70" t="str">
        <f t="shared" si="50"/>
        <v>---</v>
      </c>
      <c r="AR156" s="70" t="str">
        <f t="shared" si="51"/>
        <v>---</v>
      </c>
      <c r="AS156" s="70" t="str">
        <f t="shared" si="52"/>
        <v>---</v>
      </c>
      <c r="AT156" s="71" t="str">
        <f t="shared" si="53"/>
        <v>---</v>
      </c>
    </row>
    <row r="157" spans="1:46" ht="30" customHeight="1" x14ac:dyDescent="0.3">
      <c r="A157" s="123">
        <f t="shared" si="37"/>
        <v>153</v>
      </c>
      <c r="B157" s="140">
        <f>INDEX('PEER GROUP'!B:B,MATCH($A157,'PEER GROUP'!$A:$A,0))</f>
        <v>0</v>
      </c>
      <c r="C157" s="83">
        <f>INDEX('PEER GROUP'!C:C,MATCH($A157,'PEER GROUP'!$A:$A,0))</f>
        <v>0</v>
      </c>
      <c r="D157" s="83">
        <f>INDEX('PEER GROUP'!D:D,MATCH($A157,'PEER GROUP'!$A:$A,0))</f>
        <v>0</v>
      </c>
      <c r="E157" s="83">
        <f>INDEX('PEER GROUP'!E:E,MATCH(A157,'PEER GROUP'!$A:$A,0))</f>
        <v>0</v>
      </c>
      <c r="F157" s="84">
        <f>INDEX('PEER GROUP'!F:F,MATCH($A157,'PEER GROUP'!$A:$A,0))</f>
        <v>0</v>
      </c>
      <c r="G157" s="84">
        <f>INDEX('PEER GROUP'!G:G,MATCH($A157,'PEER GROUP'!$A:$A,0))</f>
        <v>0</v>
      </c>
      <c r="H157" s="85"/>
      <c r="I157" s="85"/>
      <c r="J157" s="70">
        <f>INDEX('PEER GROUP'!K:K,MATCH($A157,'PEER GROUP'!$A:$A,0))</f>
        <v>0</v>
      </c>
      <c r="K157" s="70">
        <f>INDEX('PEER GROUP'!L:L,MATCH($A157,'PEER GROUP'!$A:$A,0))</f>
        <v>0</v>
      </c>
      <c r="L157" s="70">
        <f>INDEX('PEER GROUP'!M:M,MATCH($A157,'PEER GROUP'!$A:$A,0))</f>
        <v>0</v>
      </c>
      <c r="M157" s="86">
        <f>INDEX('PEER GROUP'!N:N,MATCH($A157,'PEER GROUP'!$A:$A,0))</f>
        <v>0</v>
      </c>
      <c r="N157" s="118"/>
      <c r="O157" s="115"/>
      <c r="P157" s="117"/>
      <c r="Q157" s="87"/>
      <c r="R157" s="87">
        <f t="shared" si="38"/>
        <v>0</v>
      </c>
      <c r="S157" s="87"/>
      <c r="T157" s="87"/>
      <c r="U157" s="87"/>
      <c r="V157" s="87">
        <f t="shared" si="39"/>
        <v>0</v>
      </c>
      <c r="W157" s="113">
        <f t="shared" si="36"/>
        <v>36.913096727263202</v>
      </c>
      <c r="X157" s="69">
        <f t="shared" si="40"/>
        <v>0</v>
      </c>
      <c r="Y157" s="70">
        <f t="shared" si="41"/>
        <v>0</v>
      </c>
      <c r="Z157" s="70">
        <f t="shared" si="42"/>
        <v>0</v>
      </c>
      <c r="AA157" s="70">
        <f t="shared" si="43"/>
        <v>0</v>
      </c>
      <c r="AB157" s="70">
        <f t="shared" si="44"/>
        <v>0</v>
      </c>
      <c r="AC157" s="70">
        <f t="shared" si="45"/>
        <v>0</v>
      </c>
      <c r="AD157" s="71">
        <f t="shared" si="46"/>
        <v>0</v>
      </c>
      <c r="AE157" s="49"/>
      <c r="AF157" s="21"/>
      <c r="AG157" s="69"/>
      <c r="AH157" s="70"/>
      <c r="AI157" s="70"/>
      <c r="AJ157" s="70"/>
      <c r="AK157" s="70"/>
      <c r="AL157" s="70"/>
      <c r="AM157" s="70"/>
      <c r="AN157" s="70" t="str">
        <f t="shared" si="47"/>
        <v>---</v>
      </c>
      <c r="AO157" s="70" t="str">
        <f t="shared" si="48"/>
        <v>---</v>
      </c>
      <c r="AP157" s="70" t="str">
        <f t="shared" si="49"/>
        <v>---</v>
      </c>
      <c r="AQ157" s="70" t="str">
        <f t="shared" si="50"/>
        <v>---</v>
      </c>
      <c r="AR157" s="70" t="str">
        <f t="shared" si="51"/>
        <v>---</v>
      </c>
      <c r="AS157" s="70" t="str">
        <f t="shared" si="52"/>
        <v>---</v>
      </c>
      <c r="AT157" s="71" t="str">
        <f t="shared" si="53"/>
        <v>---</v>
      </c>
    </row>
    <row r="158" spans="1:46" ht="30" customHeight="1" x14ac:dyDescent="0.3">
      <c r="A158" s="123">
        <f t="shared" si="37"/>
        <v>154</v>
      </c>
      <c r="B158" s="140">
        <f>INDEX('PEER GROUP'!B:B,MATCH($A158,'PEER GROUP'!$A:$A,0))</f>
        <v>0</v>
      </c>
      <c r="C158" s="83">
        <f>INDEX('PEER GROUP'!C:C,MATCH($A158,'PEER GROUP'!$A:$A,0))</f>
        <v>0</v>
      </c>
      <c r="D158" s="83">
        <f>INDEX('PEER GROUP'!D:D,MATCH($A158,'PEER GROUP'!$A:$A,0))</f>
        <v>0</v>
      </c>
      <c r="E158" s="83">
        <f>INDEX('PEER GROUP'!E:E,MATCH(A158,'PEER GROUP'!$A:$A,0))</f>
        <v>0</v>
      </c>
      <c r="F158" s="84">
        <f>INDEX('PEER GROUP'!F:F,MATCH($A158,'PEER GROUP'!$A:$A,0))</f>
        <v>0</v>
      </c>
      <c r="G158" s="84">
        <f>INDEX('PEER GROUP'!G:G,MATCH($A158,'PEER GROUP'!$A:$A,0))</f>
        <v>0</v>
      </c>
      <c r="H158" s="85"/>
      <c r="I158" s="85"/>
      <c r="J158" s="70">
        <f>INDEX('PEER GROUP'!K:K,MATCH($A158,'PEER GROUP'!$A:$A,0))</f>
        <v>0</v>
      </c>
      <c r="K158" s="70">
        <f>INDEX('PEER GROUP'!L:L,MATCH($A158,'PEER GROUP'!$A:$A,0))</f>
        <v>0</v>
      </c>
      <c r="L158" s="70">
        <f>INDEX('PEER GROUP'!M:M,MATCH($A158,'PEER GROUP'!$A:$A,0))</f>
        <v>0</v>
      </c>
      <c r="M158" s="86">
        <f>INDEX('PEER GROUP'!N:N,MATCH($A158,'PEER GROUP'!$A:$A,0))</f>
        <v>0</v>
      </c>
      <c r="N158" s="118"/>
      <c r="O158" s="115"/>
      <c r="P158" s="117"/>
      <c r="Q158" s="87"/>
      <c r="R158" s="87">
        <f t="shared" si="38"/>
        <v>0</v>
      </c>
      <c r="S158" s="87"/>
      <c r="T158" s="87"/>
      <c r="U158" s="87"/>
      <c r="V158" s="87">
        <f t="shared" si="39"/>
        <v>0</v>
      </c>
      <c r="W158" s="113">
        <f t="shared" si="36"/>
        <v>36.913096727263202</v>
      </c>
      <c r="X158" s="69">
        <f t="shared" si="40"/>
        <v>0</v>
      </c>
      <c r="Y158" s="70">
        <f t="shared" si="41"/>
        <v>0</v>
      </c>
      <c r="Z158" s="70">
        <f t="shared" si="42"/>
        <v>0</v>
      </c>
      <c r="AA158" s="70">
        <f t="shared" si="43"/>
        <v>0</v>
      </c>
      <c r="AB158" s="70">
        <f t="shared" si="44"/>
        <v>0</v>
      </c>
      <c r="AC158" s="70">
        <f t="shared" si="45"/>
        <v>0</v>
      </c>
      <c r="AD158" s="71">
        <f t="shared" si="46"/>
        <v>0</v>
      </c>
      <c r="AE158" s="49"/>
      <c r="AF158" s="21"/>
      <c r="AG158" s="69"/>
      <c r="AH158" s="70"/>
      <c r="AI158" s="70"/>
      <c r="AJ158" s="70"/>
      <c r="AK158" s="70"/>
      <c r="AL158" s="70"/>
      <c r="AM158" s="70"/>
      <c r="AN158" s="70" t="str">
        <f t="shared" si="47"/>
        <v>---</v>
      </c>
      <c r="AO158" s="70" t="str">
        <f t="shared" si="48"/>
        <v>---</v>
      </c>
      <c r="AP158" s="70" t="str">
        <f t="shared" si="49"/>
        <v>---</v>
      </c>
      <c r="AQ158" s="70" t="str">
        <f t="shared" si="50"/>
        <v>---</v>
      </c>
      <c r="AR158" s="70" t="str">
        <f t="shared" si="51"/>
        <v>---</v>
      </c>
      <c r="AS158" s="70" t="str">
        <f t="shared" si="52"/>
        <v>---</v>
      </c>
      <c r="AT158" s="71" t="str">
        <f t="shared" si="53"/>
        <v>---</v>
      </c>
    </row>
    <row r="159" spans="1:46" ht="30" customHeight="1" x14ac:dyDescent="0.3">
      <c r="A159" s="123">
        <f t="shared" si="37"/>
        <v>155</v>
      </c>
      <c r="B159" s="140">
        <f>INDEX('PEER GROUP'!B:B,MATCH($A159,'PEER GROUP'!$A:$A,0))</f>
        <v>0</v>
      </c>
      <c r="C159" s="83">
        <f>INDEX('PEER GROUP'!C:C,MATCH($A159,'PEER GROUP'!$A:$A,0))</f>
        <v>0</v>
      </c>
      <c r="D159" s="83">
        <f>INDEX('PEER GROUP'!D:D,MATCH($A159,'PEER GROUP'!$A:$A,0))</f>
        <v>0</v>
      </c>
      <c r="E159" s="83">
        <f>INDEX('PEER GROUP'!E:E,MATCH(A159,'PEER GROUP'!$A:$A,0))</f>
        <v>0</v>
      </c>
      <c r="F159" s="84">
        <f>INDEX('PEER GROUP'!F:F,MATCH($A159,'PEER GROUP'!$A:$A,0))</f>
        <v>0</v>
      </c>
      <c r="G159" s="84">
        <f>INDEX('PEER GROUP'!G:G,MATCH($A159,'PEER GROUP'!$A:$A,0))</f>
        <v>0</v>
      </c>
      <c r="H159" s="85"/>
      <c r="I159" s="85"/>
      <c r="J159" s="70">
        <f>INDEX('PEER GROUP'!K:K,MATCH($A159,'PEER GROUP'!$A:$A,0))</f>
        <v>0</v>
      </c>
      <c r="K159" s="70">
        <f>INDEX('PEER GROUP'!L:L,MATCH($A159,'PEER GROUP'!$A:$A,0))</f>
        <v>0</v>
      </c>
      <c r="L159" s="70">
        <f>INDEX('PEER GROUP'!M:M,MATCH($A159,'PEER GROUP'!$A:$A,0))</f>
        <v>0</v>
      </c>
      <c r="M159" s="86">
        <f>INDEX('PEER GROUP'!N:N,MATCH($A159,'PEER GROUP'!$A:$A,0))</f>
        <v>0</v>
      </c>
      <c r="N159" s="118"/>
      <c r="O159" s="115"/>
      <c r="P159" s="117"/>
      <c r="Q159" s="87"/>
      <c r="R159" s="87">
        <f t="shared" si="38"/>
        <v>0</v>
      </c>
      <c r="S159" s="87"/>
      <c r="T159" s="87"/>
      <c r="U159" s="87"/>
      <c r="V159" s="87">
        <f t="shared" si="39"/>
        <v>0</v>
      </c>
      <c r="W159" s="113">
        <f t="shared" si="36"/>
        <v>36.913096727263202</v>
      </c>
      <c r="X159" s="69">
        <f t="shared" si="40"/>
        <v>0</v>
      </c>
      <c r="Y159" s="70">
        <f t="shared" si="41"/>
        <v>0</v>
      </c>
      <c r="Z159" s="70">
        <f t="shared" si="42"/>
        <v>0</v>
      </c>
      <c r="AA159" s="70">
        <f t="shared" si="43"/>
        <v>0</v>
      </c>
      <c r="AB159" s="70">
        <f t="shared" si="44"/>
        <v>0</v>
      </c>
      <c r="AC159" s="70">
        <f t="shared" si="45"/>
        <v>0</v>
      </c>
      <c r="AD159" s="71">
        <f t="shared" si="46"/>
        <v>0</v>
      </c>
      <c r="AE159" s="49"/>
      <c r="AF159" s="21"/>
      <c r="AG159" s="69"/>
      <c r="AH159" s="70"/>
      <c r="AI159" s="70"/>
      <c r="AJ159" s="70"/>
      <c r="AK159" s="70"/>
      <c r="AL159" s="70"/>
      <c r="AM159" s="70"/>
      <c r="AN159" s="70" t="str">
        <f t="shared" si="47"/>
        <v>---</v>
      </c>
      <c r="AO159" s="70" t="str">
        <f t="shared" si="48"/>
        <v>---</v>
      </c>
      <c r="AP159" s="70" t="str">
        <f t="shared" si="49"/>
        <v>---</v>
      </c>
      <c r="AQ159" s="70" t="str">
        <f t="shared" si="50"/>
        <v>---</v>
      </c>
      <c r="AR159" s="70" t="str">
        <f t="shared" si="51"/>
        <v>---</v>
      </c>
      <c r="AS159" s="70" t="str">
        <f t="shared" si="52"/>
        <v>---</v>
      </c>
      <c r="AT159" s="71" t="str">
        <f t="shared" si="53"/>
        <v>---</v>
      </c>
    </row>
    <row r="160" spans="1:46" ht="30" customHeight="1" x14ac:dyDescent="0.3">
      <c r="A160" s="123">
        <f t="shared" si="37"/>
        <v>156</v>
      </c>
      <c r="B160" s="140">
        <f>INDEX('PEER GROUP'!B:B,MATCH($A160,'PEER GROUP'!$A:$A,0))</f>
        <v>0</v>
      </c>
      <c r="C160" s="83">
        <f>INDEX('PEER GROUP'!C:C,MATCH($A160,'PEER GROUP'!$A:$A,0))</f>
        <v>0</v>
      </c>
      <c r="D160" s="83">
        <f>INDEX('PEER GROUP'!D:D,MATCH($A160,'PEER GROUP'!$A:$A,0))</f>
        <v>0</v>
      </c>
      <c r="E160" s="83">
        <f>INDEX('PEER GROUP'!E:E,MATCH(A160,'PEER GROUP'!$A:$A,0))</f>
        <v>0</v>
      </c>
      <c r="F160" s="84">
        <f>INDEX('PEER GROUP'!F:F,MATCH($A160,'PEER GROUP'!$A:$A,0))</f>
        <v>0</v>
      </c>
      <c r="G160" s="84">
        <f>INDEX('PEER GROUP'!G:G,MATCH($A160,'PEER GROUP'!$A:$A,0))</f>
        <v>0</v>
      </c>
      <c r="H160" s="85"/>
      <c r="I160" s="85"/>
      <c r="J160" s="70">
        <f>INDEX('PEER GROUP'!K:K,MATCH($A160,'PEER GROUP'!$A:$A,0))</f>
        <v>0</v>
      </c>
      <c r="K160" s="70">
        <f>INDEX('PEER GROUP'!L:L,MATCH($A160,'PEER GROUP'!$A:$A,0))</f>
        <v>0</v>
      </c>
      <c r="L160" s="70">
        <f>INDEX('PEER GROUP'!M:M,MATCH($A160,'PEER GROUP'!$A:$A,0))</f>
        <v>0</v>
      </c>
      <c r="M160" s="86">
        <f>INDEX('PEER GROUP'!N:N,MATCH($A160,'PEER GROUP'!$A:$A,0))</f>
        <v>0</v>
      </c>
      <c r="N160" s="118"/>
      <c r="O160" s="115"/>
      <c r="P160" s="117"/>
      <c r="Q160" s="87"/>
      <c r="R160" s="87">
        <f t="shared" si="38"/>
        <v>0</v>
      </c>
      <c r="S160" s="87"/>
      <c r="T160" s="87"/>
      <c r="U160" s="87"/>
      <c r="V160" s="87">
        <f t="shared" si="39"/>
        <v>0</v>
      </c>
      <c r="W160" s="113">
        <f t="shared" si="36"/>
        <v>36.913096727263202</v>
      </c>
      <c r="X160" s="69">
        <f t="shared" si="40"/>
        <v>0</v>
      </c>
      <c r="Y160" s="70">
        <f t="shared" si="41"/>
        <v>0</v>
      </c>
      <c r="Z160" s="70">
        <f t="shared" si="42"/>
        <v>0</v>
      </c>
      <c r="AA160" s="70">
        <f t="shared" si="43"/>
        <v>0</v>
      </c>
      <c r="AB160" s="70">
        <f t="shared" si="44"/>
        <v>0</v>
      </c>
      <c r="AC160" s="70">
        <f t="shared" si="45"/>
        <v>0</v>
      </c>
      <c r="AD160" s="71">
        <f t="shared" si="46"/>
        <v>0</v>
      </c>
      <c r="AE160" s="49"/>
      <c r="AF160" s="21"/>
      <c r="AG160" s="69"/>
      <c r="AH160" s="70"/>
      <c r="AI160" s="70"/>
      <c r="AJ160" s="70"/>
      <c r="AK160" s="70"/>
      <c r="AL160" s="70"/>
      <c r="AM160" s="70"/>
      <c r="AN160" s="70" t="str">
        <f t="shared" si="47"/>
        <v>---</v>
      </c>
      <c r="AO160" s="70" t="str">
        <f t="shared" si="48"/>
        <v>---</v>
      </c>
      <c r="AP160" s="70" t="str">
        <f t="shared" si="49"/>
        <v>---</v>
      </c>
      <c r="AQ160" s="70" t="str">
        <f t="shared" si="50"/>
        <v>---</v>
      </c>
      <c r="AR160" s="70" t="str">
        <f t="shared" si="51"/>
        <v>---</v>
      </c>
      <c r="AS160" s="70" t="str">
        <f t="shared" si="52"/>
        <v>---</v>
      </c>
      <c r="AT160" s="71" t="str">
        <f t="shared" si="53"/>
        <v>---</v>
      </c>
    </row>
    <row r="161" spans="1:46" ht="30" customHeight="1" x14ac:dyDescent="0.3">
      <c r="A161" s="123">
        <f t="shared" si="37"/>
        <v>157</v>
      </c>
      <c r="B161" s="140">
        <f>INDEX('PEER GROUP'!B:B,MATCH($A161,'PEER GROUP'!$A:$A,0))</f>
        <v>0</v>
      </c>
      <c r="C161" s="83">
        <f>INDEX('PEER GROUP'!C:C,MATCH($A161,'PEER GROUP'!$A:$A,0))</f>
        <v>0</v>
      </c>
      <c r="D161" s="83">
        <f>INDEX('PEER GROUP'!D:D,MATCH($A161,'PEER GROUP'!$A:$A,0))</f>
        <v>0</v>
      </c>
      <c r="E161" s="83">
        <f>INDEX('PEER GROUP'!E:E,MATCH(A161,'PEER GROUP'!$A:$A,0))</f>
        <v>0</v>
      </c>
      <c r="F161" s="84">
        <f>INDEX('PEER GROUP'!F:F,MATCH($A161,'PEER GROUP'!$A:$A,0))</f>
        <v>0</v>
      </c>
      <c r="G161" s="84">
        <f>INDEX('PEER GROUP'!G:G,MATCH($A161,'PEER GROUP'!$A:$A,0))</f>
        <v>0</v>
      </c>
      <c r="H161" s="85"/>
      <c r="I161" s="85"/>
      <c r="J161" s="70">
        <f>INDEX('PEER GROUP'!K:K,MATCH($A161,'PEER GROUP'!$A:$A,0))</f>
        <v>0</v>
      </c>
      <c r="K161" s="70">
        <f>INDEX('PEER GROUP'!L:L,MATCH($A161,'PEER GROUP'!$A:$A,0))</f>
        <v>0</v>
      </c>
      <c r="L161" s="70">
        <f>INDEX('PEER GROUP'!M:M,MATCH($A161,'PEER GROUP'!$A:$A,0))</f>
        <v>0</v>
      </c>
      <c r="M161" s="86">
        <f>INDEX('PEER GROUP'!N:N,MATCH($A161,'PEER GROUP'!$A:$A,0))</f>
        <v>0</v>
      </c>
      <c r="N161" s="118"/>
      <c r="O161" s="115"/>
      <c r="P161" s="117"/>
      <c r="Q161" s="87"/>
      <c r="R161" s="87">
        <f t="shared" si="38"/>
        <v>0</v>
      </c>
      <c r="S161" s="87"/>
      <c r="T161" s="87"/>
      <c r="U161" s="87"/>
      <c r="V161" s="87">
        <f t="shared" si="39"/>
        <v>0</v>
      </c>
      <c r="W161" s="113">
        <f t="shared" si="36"/>
        <v>36.913096727263202</v>
      </c>
      <c r="X161" s="69">
        <f t="shared" si="40"/>
        <v>0</v>
      </c>
      <c r="Y161" s="70">
        <f t="shared" si="41"/>
        <v>0</v>
      </c>
      <c r="Z161" s="70">
        <f t="shared" si="42"/>
        <v>0</v>
      </c>
      <c r="AA161" s="70">
        <f t="shared" si="43"/>
        <v>0</v>
      </c>
      <c r="AB161" s="70">
        <f t="shared" si="44"/>
        <v>0</v>
      </c>
      <c r="AC161" s="70">
        <f t="shared" si="45"/>
        <v>0</v>
      </c>
      <c r="AD161" s="71">
        <f t="shared" si="46"/>
        <v>0</v>
      </c>
      <c r="AE161" s="49"/>
      <c r="AF161" s="21"/>
      <c r="AG161" s="69"/>
      <c r="AH161" s="70"/>
      <c r="AI161" s="70"/>
      <c r="AJ161" s="70"/>
      <c r="AK161" s="70"/>
      <c r="AL161" s="70"/>
      <c r="AM161" s="70"/>
      <c r="AN161" s="70" t="str">
        <f t="shared" si="47"/>
        <v>---</v>
      </c>
      <c r="AO161" s="70" t="str">
        <f t="shared" si="48"/>
        <v>---</v>
      </c>
      <c r="AP161" s="70" t="str">
        <f t="shared" si="49"/>
        <v>---</v>
      </c>
      <c r="AQ161" s="70" t="str">
        <f t="shared" si="50"/>
        <v>---</v>
      </c>
      <c r="AR161" s="70" t="str">
        <f t="shared" si="51"/>
        <v>---</v>
      </c>
      <c r="AS161" s="70" t="str">
        <f t="shared" si="52"/>
        <v>---</v>
      </c>
      <c r="AT161" s="71" t="str">
        <f t="shared" si="53"/>
        <v>---</v>
      </c>
    </row>
    <row r="162" spans="1:46" ht="30" customHeight="1" x14ac:dyDescent="0.3">
      <c r="A162" s="123">
        <f t="shared" si="37"/>
        <v>158</v>
      </c>
      <c r="B162" s="140">
        <f>INDEX('PEER GROUP'!B:B,MATCH($A162,'PEER GROUP'!$A:$A,0))</f>
        <v>0</v>
      </c>
      <c r="C162" s="83">
        <f>INDEX('PEER GROUP'!C:C,MATCH($A162,'PEER GROUP'!$A:$A,0))</f>
        <v>0</v>
      </c>
      <c r="D162" s="83">
        <f>INDEX('PEER GROUP'!D:D,MATCH($A162,'PEER GROUP'!$A:$A,0))</f>
        <v>0</v>
      </c>
      <c r="E162" s="83">
        <f>INDEX('PEER GROUP'!E:E,MATCH(A162,'PEER GROUP'!$A:$A,0))</f>
        <v>0</v>
      </c>
      <c r="F162" s="84">
        <f>INDEX('PEER GROUP'!F:F,MATCH($A162,'PEER GROUP'!$A:$A,0))</f>
        <v>0</v>
      </c>
      <c r="G162" s="84">
        <f>INDEX('PEER GROUP'!G:G,MATCH($A162,'PEER GROUP'!$A:$A,0))</f>
        <v>0</v>
      </c>
      <c r="H162" s="85"/>
      <c r="I162" s="85"/>
      <c r="J162" s="70">
        <f>INDEX('PEER GROUP'!K:K,MATCH($A162,'PEER GROUP'!$A:$A,0))</f>
        <v>0</v>
      </c>
      <c r="K162" s="70">
        <f>INDEX('PEER GROUP'!L:L,MATCH($A162,'PEER GROUP'!$A:$A,0))</f>
        <v>0</v>
      </c>
      <c r="L162" s="70">
        <f>INDEX('PEER GROUP'!M:M,MATCH($A162,'PEER GROUP'!$A:$A,0))</f>
        <v>0</v>
      </c>
      <c r="M162" s="86">
        <f>INDEX('PEER GROUP'!N:N,MATCH($A162,'PEER GROUP'!$A:$A,0))</f>
        <v>0</v>
      </c>
      <c r="N162" s="118"/>
      <c r="O162" s="115"/>
      <c r="P162" s="117"/>
      <c r="Q162" s="87"/>
      <c r="R162" s="87">
        <f t="shared" si="38"/>
        <v>0</v>
      </c>
      <c r="S162" s="87"/>
      <c r="T162" s="87"/>
      <c r="U162" s="87"/>
      <c r="V162" s="87">
        <f t="shared" si="39"/>
        <v>0</v>
      </c>
      <c r="W162" s="113">
        <f t="shared" si="36"/>
        <v>36.913096727263202</v>
      </c>
      <c r="X162" s="69">
        <f t="shared" si="40"/>
        <v>0</v>
      </c>
      <c r="Y162" s="70">
        <f t="shared" si="41"/>
        <v>0</v>
      </c>
      <c r="Z162" s="70">
        <f t="shared" si="42"/>
        <v>0</v>
      </c>
      <c r="AA162" s="70">
        <f t="shared" si="43"/>
        <v>0</v>
      </c>
      <c r="AB162" s="70">
        <f t="shared" si="44"/>
        <v>0</v>
      </c>
      <c r="AC162" s="70">
        <f t="shared" si="45"/>
        <v>0</v>
      </c>
      <c r="AD162" s="71">
        <f t="shared" si="46"/>
        <v>0</v>
      </c>
      <c r="AE162" s="49"/>
      <c r="AF162" s="21"/>
      <c r="AG162" s="69"/>
      <c r="AH162" s="70"/>
      <c r="AI162" s="70"/>
      <c r="AJ162" s="70"/>
      <c r="AK162" s="70"/>
      <c r="AL162" s="70"/>
      <c r="AM162" s="70"/>
      <c r="AN162" s="70" t="str">
        <f t="shared" si="47"/>
        <v>---</v>
      </c>
      <c r="AO162" s="70" t="str">
        <f t="shared" si="48"/>
        <v>---</v>
      </c>
      <c r="AP162" s="70" t="str">
        <f t="shared" si="49"/>
        <v>---</v>
      </c>
      <c r="AQ162" s="70" t="str">
        <f t="shared" si="50"/>
        <v>---</v>
      </c>
      <c r="AR162" s="70" t="str">
        <f t="shared" si="51"/>
        <v>---</v>
      </c>
      <c r="AS162" s="70" t="str">
        <f t="shared" si="52"/>
        <v>---</v>
      </c>
      <c r="AT162" s="71" t="str">
        <f t="shared" si="53"/>
        <v>---</v>
      </c>
    </row>
    <row r="163" spans="1:46" ht="30" customHeight="1" x14ac:dyDescent="0.3">
      <c r="A163" s="123">
        <f t="shared" si="37"/>
        <v>159</v>
      </c>
      <c r="B163" s="140">
        <f>INDEX('PEER GROUP'!B:B,MATCH($A163,'PEER GROUP'!$A:$A,0))</f>
        <v>0</v>
      </c>
      <c r="C163" s="83">
        <f>INDEX('PEER GROUP'!C:C,MATCH($A163,'PEER GROUP'!$A:$A,0))</f>
        <v>0</v>
      </c>
      <c r="D163" s="83">
        <f>INDEX('PEER GROUP'!D:D,MATCH($A163,'PEER GROUP'!$A:$A,0))</f>
        <v>0</v>
      </c>
      <c r="E163" s="83">
        <f>INDEX('PEER GROUP'!E:E,MATCH(A163,'PEER GROUP'!$A:$A,0))</f>
        <v>0</v>
      </c>
      <c r="F163" s="84">
        <f>INDEX('PEER GROUP'!F:F,MATCH($A163,'PEER GROUP'!$A:$A,0))</f>
        <v>0</v>
      </c>
      <c r="G163" s="84">
        <f>INDEX('PEER GROUP'!G:G,MATCH($A163,'PEER GROUP'!$A:$A,0))</f>
        <v>0</v>
      </c>
      <c r="H163" s="85"/>
      <c r="I163" s="85"/>
      <c r="J163" s="70">
        <f>INDEX('PEER GROUP'!K:K,MATCH($A163,'PEER GROUP'!$A:$A,0))</f>
        <v>0</v>
      </c>
      <c r="K163" s="70">
        <f>INDEX('PEER GROUP'!L:L,MATCH($A163,'PEER GROUP'!$A:$A,0))</f>
        <v>0</v>
      </c>
      <c r="L163" s="70">
        <f>INDEX('PEER GROUP'!M:M,MATCH($A163,'PEER GROUP'!$A:$A,0))</f>
        <v>0</v>
      </c>
      <c r="M163" s="86">
        <f>INDEX('PEER GROUP'!N:N,MATCH($A163,'PEER GROUP'!$A:$A,0))</f>
        <v>0</v>
      </c>
      <c r="N163" s="118"/>
      <c r="O163" s="115"/>
      <c r="P163" s="117"/>
      <c r="Q163" s="87"/>
      <c r="R163" s="87">
        <f t="shared" si="38"/>
        <v>0</v>
      </c>
      <c r="S163" s="87"/>
      <c r="T163" s="87"/>
      <c r="U163" s="87"/>
      <c r="V163" s="87">
        <f t="shared" si="39"/>
        <v>0</v>
      </c>
      <c r="W163" s="113">
        <f t="shared" ref="W163:W226" si="54">IF(DataEffDate&gt;DATE(2022,1,1),
IF(E163&lt;DATE(2022,1,1),
(1+UpdateFactor)^(IF(E163&lt;DataEffDate,1,-1)*YEARFRAC(E163,DATE(2022,1,1),1))+(1+UpdateFactor_TEMP)^(IF(DATE(2022,1,1)&lt;DataEffDate,1,-1)*YEARFRAC(DATE(2022,1,1),DataEffDate,1))-1,
(1+UpdateFactor_TEMP)^(IF(E163&lt;DataEffDate,1,-1)*YEARFRAC(E163,DataEffDate,1))),
(1+UpdateFactor)^(IF(E163&lt;DataEffDate,1,-1)*YEARFRAC(E163,DataEffDate,1)))</f>
        <v>36.913096727263202</v>
      </c>
      <c r="X163" s="69">
        <f t="shared" si="40"/>
        <v>0</v>
      </c>
      <c r="Y163" s="70">
        <f t="shared" si="41"/>
        <v>0</v>
      </c>
      <c r="Z163" s="70">
        <f t="shared" si="42"/>
        <v>0</v>
      </c>
      <c r="AA163" s="70">
        <f t="shared" si="43"/>
        <v>0</v>
      </c>
      <c r="AB163" s="70">
        <f t="shared" si="44"/>
        <v>0</v>
      </c>
      <c r="AC163" s="70">
        <f t="shared" si="45"/>
        <v>0</v>
      </c>
      <c r="AD163" s="71">
        <f t="shared" si="46"/>
        <v>0</v>
      </c>
      <c r="AE163" s="49"/>
      <c r="AF163" s="21"/>
      <c r="AG163" s="69"/>
      <c r="AH163" s="70"/>
      <c r="AI163" s="70"/>
      <c r="AJ163" s="70"/>
      <c r="AK163" s="70"/>
      <c r="AL163" s="70"/>
      <c r="AM163" s="70"/>
      <c r="AN163" s="70" t="str">
        <f t="shared" si="47"/>
        <v>---</v>
      </c>
      <c r="AO163" s="70" t="str">
        <f t="shared" si="48"/>
        <v>---</v>
      </c>
      <c r="AP163" s="70" t="str">
        <f t="shared" si="49"/>
        <v>---</v>
      </c>
      <c r="AQ163" s="70" t="str">
        <f t="shared" si="50"/>
        <v>---</v>
      </c>
      <c r="AR163" s="70" t="str">
        <f t="shared" si="51"/>
        <v>---</v>
      </c>
      <c r="AS163" s="70" t="str">
        <f t="shared" si="52"/>
        <v>---</v>
      </c>
      <c r="AT163" s="71" t="str">
        <f t="shared" si="53"/>
        <v>---</v>
      </c>
    </row>
    <row r="164" spans="1:46" ht="30" customHeight="1" x14ac:dyDescent="0.3">
      <c r="A164" s="123">
        <f t="shared" ref="A164:A227" si="55">A163+1</f>
        <v>160</v>
      </c>
      <c r="B164" s="140">
        <f>INDEX('PEER GROUP'!B:B,MATCH($A164,'PEER GROUP'!$A:$A,0))</f>
        <v>0</v>
      </c>
      <c r="C164" s="83">
        <f>INDEX('PEER GROUP'!C:C,MATCH($A164,'PEER GROUP'!$A:$A,0))</f>
        <v>0</v>
      </c>
      <c r="D164" s="83">
        <f>INDEX('PEER GROUP'!D:D,MATCH($A164,'PEER GROUP'!$A:$A,0))</f>
        <v>0</v>
      </c>
      <c r="E164" s="83">
        <f>INDEX('PEER GROUP'!E:E,MATCH(A164,'PEER GROUP'!$A:$A,0))</f>
        <v>0</v>
      </c>
      <c r="F164" s="84">
        <f>INDEX('PEER GROUP'!F:F,MATCH($A164,'PEER GROUP'!$A:$A,0))</f>
        <v>0</v>
      </c>
      <c r="G164" s="84">
        <f>INDEX('PEER GROUP'!G:G,MATCH($A164,'PEER GROUP'!$A:$A,0))</f>
        <v>0</v>
      </c>
      <c r="H164" s="85"/>
      <c r="I164" s="85"/>
      <c r="J164" s="70">
        <f>INDEX('PEER GROUP'!K:K,MATCH($A164,'PEER GROUP'!$A:$A,0))</f>
        <v>0</v>
      </c>
      <c r="K164" s="70">
        <f>INDEX('PEER GROUP'!L:L,MATCH($A164,'PEER GROUP'!$A:$A,0))</f>
        <v>0</v>
      </c>
      <c r="L164" s="70">
        <f>INDEX('PEER GROUP'!M:M,MATCH($A164,'PEER GROUP'!$A:$A,0))</f>
        <v>0</v>
      </c>
      <c r="M164" s="86">
        <f>INDEX('PEER GROUP'!N:N,MATCH($A164,'PEER GROUP'!$A:$A,0))</f>
        <v>0</v>
      </c>
      <c r="N164" s="118"/>
      <c r="O164" s="115"/>
      <c r="P164" s="117"/>
      <c r="Q164" s="87"/>
      <c r="R164" s="87">
        <f t="shared" ref="R164:R227" si="56">SUM(P164:Q164)</f>
        <v>0</v>
      </c>
      <c r="S164" s="87"/>
      <c r="T164" s="87"/>
      <c r="U164" s="87"/>
      <c r="V164" s="87">
        <f t="shared" ref="V164:V227" si="57">SUM(R164:U164)</f>
        <v>0</v>
      </c>
      <c r="W164" s="113">
        <f t="shared" si="54"/>
        <v>36.913096727263202</v>
      </c>
      <c r="X164" s="69">
        <f t="shared" ref="X164:X227" si="58">P164*$W164</f>
        <v>0</v>
      </c>
      <c r="Y164" s="70">
        <f t="shared" ref="Y164:Y227" si="59">Q164*$W164</f>
        <v>0</v>
      </c>
      <c r="Z164" s="70">
        <f t="shared" ref="Z164:Z227" si="60">SUM(X164:Y164)</f>
        <v>0</v>
      </c>
      <c r="AA164" s="70">
        <f t="shared" ref="AA164:AA227" si="61">S164*$W164</f>
        <v>0</v>
      </c>
      <c r="AB164" s="70">
        <f t="shared" ref="AB164:AB227" si="62">T164*$W164</f>
        <v>0</v>
      </c>
      <c r="AC164" s="70">
        <f t="shared" ref="AC164:AC227" si="63">U164*$W164</f>
        <v>0</v>
      </c>
      <c r="AD164" s="71">
        <f t="shared" ref="AD164:AD227" si="64">SUM(Z164:AC164)</f>
        <v>0</v>
      </c>
      <c r="AE164" s="49"/>
      <c r="AF164" s="21"/>
      <c r="AG164" s="69"/>
      <c r="AH164" s="70"/>
      <c r="AI164" s="70"/>
      <c r="AJ164" s="70"/>
      <c r="AK164" s="70"/>
      <c r="AL164" s="70"/>
      <c r="AM164" s="70"/>
      <c r="AN164" s="70" t="str">
        <f t="shared" ref="AN164:AN227" si="65">IFERROR(P164/AG164-1,"---")</f>
        <v>---</v>
      </c>
      <c r="AO164" s="70" t="str">
        <f t="shared" ref="AO164:AO227" si="66">IFERROR(Q164/AH164-1,"---")</f>
        <v>---</v>
      </c>
      <c r="AP164" s="70" t="str">
        <f t="shared" ref="AP164:AP227" si="67">IFERROR(R164/AI164-1,"---")</f>
        <v>---</v>
      </c>
      <c r="AQ164" s="70" t="str">
        <f t="shared" ref="AQ164:AQ227" si="68">IFERROR(S164/AJ164-1,"---")</f>
        <v>---</v>
      </c>
      <c r="AR164" s="70" t="str">
        <f t="shared" ref="AR164:AR227" si="69">IFERROR(T164/AK164-1,"---")</f>
        <v>---</v>
      </c>
      <c r="AS164" s="70" t="str">
        <f t="shared" ref="AS164:AS227" si="70">IFERROR(U164/AL164-1,"---")</f>
        <v>---</v>
      </c>
      <c r="AT164" s="71" t="str">
        <f t="shared" ref="AT164:AT227" si="71">IFERROR(V164/AM164-1,"---")</f>
        <v>---</v>
      </c>
    </row>
    <row r="165" spans="1:46" ht="30" customHeight="1" x14ac:dyDescent="0.3">
      <c r="A165" s="123">
        <f t="shared" si="55"/>
        <v>161</v>
      </c>
      <c r="B165" s="140">
        <f>INDEX('PEER GROUP'!B:B,MATCH($A165,'PEER GROUP'!$A:$A,0))</f>
        <v>0</v>
      </c>
      <c r="C165" s="83">
        <f>INDEX('PEER GROUP'!C:C,MATCH($A165,'PEER GROUP'!$A:$A,0))</f>
        <v>0</v>
      </c>
      <c r="D165" s="83">
        <f>INDEX('PEER GROUP'!D:D,MATCH($A165,'PEER GROUP'!$A:$A,0))</f>
        <v>0</v>
      </c>
      <c r="E165" s="83">
        <f>INDEX('PEER GROUP'!E:E,MATCH(A165,'PEER GROUP'!$A:$A,0))</f>
        <v>0</v>
      </c>
      <c r="F165" s="84">
        <f>INDEX('PEER GROUP'!F:F,MATCH($A165,'PEER GROUP'!$A:$A,0))</f>
        <v>0</v>
      </c>
      <c r="G165" s="84">
        <f>INDEX('PEER GROUP'!G:G,MATCH($A165,'PEER GROUP'!$A:$A,0))</f>
        <v>0</v>
      </c>
      <c r="H165" s="85"/>
      <c r="I165" s="85"/>
      <c r="J165" s="70">
        <f>INDEX('PEER GROUP'!K:K,MATCH($A165,'PEER GROUP'!$A:$A,0))</f>
        <v>0</v>
      </c>
      <c r="K165" s="70">
        <f>INDEX('PEER GROUP'!L:L,MATCH($A165,'PEER GROUP'!$A:$A,0))</f>
        <v>0</v>
      </c>
      <c r="L165" s="70">
        <f>INDEX('PEER GROUP'!M:M,MATCH($A165,'PEER GROUP'!$A:$A,0))</f>
        <v>0</v>
      </c>
      <c r="M165" s="86">
        <f>INDEX('PEER GROUP'!N:N,MATCH($A165,'PEER GROUP'!$A:$A,0))</f>
        <v>0</v>
      </c>
      <c r="N165" s="118"/>
      <c r="O165" s="115"/>
      <c r="P165" s="117"/>
      <c r="Q165" s="87"/>
      <c r="R165" s="87">
        <f t="shared" si="56"/>
        <v>0</v>
      </c>
      <c r="S165" s="87"/>
      <c r="T165" s="87"/>
      <c r="U165" s="87"/>
      <c r="V165" s="87">
        <f t="shared" si="57"/>
        <v>0</v>
      </c>
      <c r="W165" s="113">
        <f t="shared" si="54"/>
        <v>36.913096727263202</v>
      </c>
      <c r="X165" s="69">
        <f t="shared" si="58"/>
        <v>0</v>
      </c>
      <c r="Y165" s="70">
        <f t="shared" si="59"/>
        <v>0</v>
      </c>
      <c r="Z165" s="70">
        <f t="shared" si="60"/>
        <v>0</v>
      </c>
      <c r="AA165" s="70">
        <f t="shared" si="61"/>
        <v>0</v>
      </c>
      <c r="AB165" s="70">
        <f t="shared" si="62"/>
        <v>0</v>
      </c>
      <c r="AC165" s="70">
        <f t="shared" si="63"/>
        <v>0</v>
      </c>
      <c r="AD165" s="71">
        <f t="shared" si="64"/>
        <v>0</v>
      </c>
      <c r="AE165" s="49"/>
      <c r="AF165" s="21"/>
      <c r="AG165" s="69"/>
      <c r="AH165" s="70"/>
      <c r="AI165" s="70"/>
      <c r="AJ165" s="70"/>
      <c r="AK165" s="70"/>
      <c r="AL165" s="70"/>
      <c r="AM165" s="70"/>
      <c r="AN165" s="70" t="str">
        <f t="shared" si="65"/>
        <v>---</v>
      </c>
      <c r="AO165" s="70" t="str">
        <f t="shared" si="66"/>
        <v>---</v>
      </c>
      <c r="AP165" s="70" t="str">
        <f t="shared" si="67"/>
        <v>---</v>
      </c>
      <c r="AQ165" s="70" t="str">
        <f t="shared" si="68"/>
        <v>---</v>
      </c>
      <c r="AR165" s="70" t="str">
        <f t="shared" si="69"/>
        <v>---</v>
      </c>
      <c r="AS165" s="70" t="str">
        <f t="shared" si="70"/>
        <v>---</v>
      </c>
      <c r="AT165" s="71" t="str">
        <f t="shared" si="71"/>
        <v>---</v>
      </c>
    </row>
    <row r="166" spans="1:46" ht="30" customHeight="1" x14ac:dyDescent="0.3">
      <c r="A166" s="123">
        <f t="shared" si="55"/>
        <v>162</v>
      </c>
      <c r="B166" s="140">
        <f>INDEX('PEER GROUP'!B:B,MATCH($A166,'PEER GROUP'!$A:$A,0))</f>
        <v>0</v>
      </c>
      <c r="C166" s="83">
        <f>INDEX('PEER GROUP'!C:C,MATCH($A166,'PEER GROUP'!$A:$A,0))</f>
        <v>0</v>
      </c>
      <c r="D166" s="83">
        <f>INDEX('PEER GROUP'!D:D,MATCH($A166,'PEER GROUP'!$A:$A,0))</f>
        <v>0</v>
      </c>
      <c r="E166" s="83">
        <f>INDEX('PEER GROUP'!E:E,MATCH(A166,'PEER GROUP'!$A:$A,0))</f>
        <v>0</v>
      </c>
      <c r="F166" s="84">
        <f>INDEX('PEER GROUP'!F:F,MATCH($A166,'PEER GROUP'!$A:$A,0))</f>
        <v>0</v>
      </c>
      <c r="G166" s="84">
        <f>INDEX('PEER GROUP'!G:G,MATCH($A166,'PEER GROUP'!$A:$A,0))</f>
        <v>0</v>
      </c>
      <c r="H166" s="85"/>
      <c r="I166" s="85"/>
      <c r="J166" s="70">
        <f>INDEX('PEER GROUP'!K:K,MATCH($A166,'PEER GROUP'!$A:$A,0))</f>
        <v>0</v>
      </c>
      <c r="K166" s="70">
        <f>INDEX('PEER GROUP'!L:L,MATCH($A166,'PEER GROUP'!$A:$A,0))</f>
        <v>0</v>
      </c>
      <c r="L166" s="70">
        <f>INDEX('PEER GROUP'!M:M,MATCH($A166,'PEER GROUP'!$A:$A,0))</f>
        <v>0</v>
      </c>
      <c r="M166" s="86">
        <f>INDEX('PEER GROUP'!N:N,MATCH($A166,'PEER GROUP'!$A:$A,0))</f>
        <v>0</v>
      </c>
      <c r="N166" s="118"/>
      <c r="O166" s="115"/>
      <c r="P166" s="117"/>
      <c r="Q166" s="87"/>
      <c r="R166" s="87">
        <f t="shared" si="56"/>
        <v>0</v>
      </c>
      <c r="S166" s="87"/>
      <c r="T166" s="87"/>
      <c r="U166" s="87"/>
      <c r="V166" s="87">
        <f t="shared" si="57"/>
        <v>0</v>
      </c>
      <c r="W166" s="113">
        <f t="shared" si="54"/>
        <v>36.913096727263202</v>
      </c>
      <c r="X166" s="69">
        <f t="shared" si="58"/>
        <v>0</v>
      </c>
      <c r="Y166" s="70">
        <f t="shared" si="59"/>
        <v>0</v>
      </c>
      <c r="Z166" s="70">
        <f t="shared" si="60"/>
        <v>0</v>
      </c>
      <c r="AA166" s="70">
        <f t="shared" si="61"/>
        <v>0</v>
      </c>
      <c r="AB166" s="70">
        <f t="shared" si="62"/>
        <v>0</v>
      </c>
      <c r="AC166" s="70">
        <f t="shared" si="63"/>
        <v>0</v>
      </c>
      <c r="AD166" s="71">
        <f t="shared" si="64"/>
        <v>0</v>
      </c>
      <c r="AE166" s="49"/>
      <c r="AF166" s="21"/>
      <c r="AG166" s="69"/>
      <c r="AH166" s="70"/>
      <c r="AI166" s="70"/>
      <c r="AJ166" s="70"/>
      <c r="AK166" s="70"/>
      <c r="AL166" s="70"/>
      <c r="AM166" s="70"/>
      <c r="AN166" s="70" t="str">
        <f t="shared" si="65"/>
        <v>---</v>
      </c>
      <c r="AO166" s="70" t="str">
        <f t="shared" si="66"/>
        <v>---</v>
      </c>
      <c r="AP166" s="70" t="str">
        <f t="shared" si="67"/>
        <v>---</v>
      </c>
      <c r="AQ166" s="70" t="str">
        <f t="shared" si="68"/>
        <v>---</v>
      </c>
      <c r="AR166" s="70" t="str">
        <f t="shared" si="69"/>
        <v>---</v>
      </c>
      <c r="AS166" s="70" t="str">
        <f t="shared" si="70"/>
        <v>---</v>
      </c>
      <c r="AT166" s="71" t="str">
        <f t="shared" si="71"/>
        <v>---</v>
      </c>
    </row>
    <row r="167" spans="1:46" ht="30" customHeight="1" x14ac:dyDescent="0.3">
      <c r="A167" s="123">
        <f t="shared" si="55"/>
        <v>163</v>
      </c>
      <c r="B167" s="140">
        <f>INDEX('PEER GROUP'!B:B,MATCH($A167,'PEER GROUP'!$A:$A,0))</f>
        <v>0</v>
      </c>
      <c r="C167" s="83">
        <f>INDEX('PEER GROUP'!C:C,MATCH($A167,'PEER GROUP'!$A:$A,0))</f>
        <v>0</v>
      </c>
      <c r="D167" s="83">
        <f>INDEX('PEER GROUP'!D:D,MATCH($A167,'PEER GROUP'!$A:$A,0))</f>
        <v>0</v>
      </c>
      <c r="E167" s="83">
        <f>INDEX('PEER GROUP'!E:E,MATCH(A167,'PEER GROUP'!$A:$A,0))</f>
        <v>0</v>
      </c>
      <c r="F167" s="84">
        <f>INDEX('PEER GROUP'!F:F,MATCH($A167,'PEER GROUP'!$A:$A,0))</f>
        <v>0</v>
      </c>
      <c r="G167" s="84">
        <f>INDEX('PEER GROUP'!G:G,MATCH($A167,'PEER GROUP'!$A:$A,0))</f>
        <v>0</v>
      </c>
      <c r="H167" s="85"/>
      <c r="I167" s="85"/>
      <c r="J167" s="70">
        <f>INDEX('PEER GROUP'!K:K,MATCH($A167,'PEER GROUP'!$A:$A,0))</f>
        <v>0</v>
      </c>
      <c r="K167" s="70">
        <f>INDEX('PEER GROUP'!L:L,MATCH($A167,'PEER GROUP'!$A:$A,0))</f>
        <v>0</v>
      </c>
      <c r="L167" s="70">
        <f>INDEX('PEER GROUP'!M:M,MATCH($A167,'PEER GROUP'!$A:$A,0))</f>
        <v>0</v>
      </c>
      <c r="M167" s="86">
        <f>INDEX('PEER GROUP'!N:N,MATCH($A167,'PEER GROUP'!$A:$A,0))</f>
        <v>0</v>
      </c>
      <c r="N167" s="118"/>
      <c r="O167" s="115"/>
      <c r="P167" s="117"/>
      <c r="Q167" s="87"/>
      <c r="R167" s="87">
        <f t="shared" si="56"/>
        <v>0</v>
      </c>
      <c r="S167" s="87"/>
      <c r="T167" s="87"/>
      <c r="U167" s="87"/>
      <c r="V167" s="87">
        <f t="shared" si="57"/>
        <v>0</v>
      </c>
      <c r="W167" s="113">
        <f t="shared" si="54"/>
        <v>36.913096727263202</v>
      </c>
      <c r="X167" s="69">
        <f t="shared" si="58"/>
        <v>0</v>
      </c>
      <c r="Y167" s="70">
        <f t="shared" si="59"/>
        <v>0</v>
      </c>
      <c r="Z167" s="70">
        <f t="shared" si="60"/>
        <v>0</v>
      </c>
      <c r="AA167" s="70">
        <f t="shared" si="61"/>
        <v>0</v>
      </c>
      <c r="AB167" s="70">
        <f t="shared" si="62"/>
        <v>0</v>
      </c>
      <c r="AC167" s="70">
        <f t="shared" si="63"/>
        <v>0</v>
      </c>
      <c r="AD167" s="71">
        <f t="shared" si="64"/>
        <v>0</v>
      </c>
      <c r="AE167" s="49"/>
      <c r="AF167" s="21"/>
      <c r="AG167" s="69"/>
      <c r="AH167" s="70"/>
      <c r="AI167" s="70"/>
      <c r="AJ167" s="70"/>
      <c r="AK167" s="70"/>
      <c r="AL167" s="70"/>
      <c r="AM167" s="70"/>
      <c r="AN167" s="70" t="str">
        <f t="shared" si="65"/>
        <v>---</v>
      </c>
      <c r="AO167" s="70" t="str">
        <f t="shared" si="66"/>
        <v>---</v>
      </c>
      <c r="AP167" s="70" t="str">
        <f t="shared" si="67"/>
        <v>---</v>
      </c>
      <c r="AQ167" s="70" t="str">
        <f t="shared" si="68"/>
        <v>---</v>
      </c>
      <c r="AR167" s="70" t="str">
        <f t="shared" si="69"/>
        <v>---</v>
      </c>
      <c r="AS167" s="70" t="str">
        <f t="shared" si="70"/>
        <v>---</v>
      </c>
      <c r="AT167" s="71" t="str">
        <f t="shared" si="71"/>
        <v>---</v>
      </c>
    </row>
    <row r="168" spans="1:46" ht="30" customHeight="1" x14ac:dyDescent="0.3">
      <c r="A168" s="123">
        <f t="shared" si="55"/>
        <v>164</v>
      </c>
      <c r="B168" s="140">
        <f>INDEX('PEER GROUP'!B:B,MATCH($A168,'PEER GROUP'!$A:$A,0))</f>
        <v>0</v>
      </c>
      <c r="C168" s="83">
        <f>INDEX('PEER GROUP'!C:C,MATCH($A168,'PEER GROUP'!$A:$A,0))</f>
        <v>0</v>
      </c>
      <c r="D168" s="83">
        <f>INDEX('PEER GROUP'!D:D,MATCH($A168,'PEER GROUP'!$A:$A,0))</f>
        <v>0</v>
      </c>
      <c r="E168" s="83">
        <f>INDEX('PEER GROUP'!E:E,MATCH(A168,'PEER GROUP'!$A:$A,0))</f>
        <v>0</v>
      </c>
      <c r="F168" s="84">
        <f>INDEX('PEER GROUP'!F:F,MATCH($A168,'PEER GROUP'!$A:$A,0))</f>
        <v>0</v>
      </c>
      <c r="G168" s="84">
        <f>INDEX('PEER GROUP'!G:G,MATCH($A168,'PEER GROUP'!$A:$A,0))</f>
        <v>0</v>
      </c>
      <c r="H168" s="85"/>
      <c r="I168" s="85"/>
      <c r="J168" s="70">
        <f>INDEX('PEER GROUP'!K:K,MATCH($A168,'PEER GROUP'!$A:$A,0))</f>
        <v>0</v>
      </c>
      <c r="K168" s="70">
        <f>INDEX('PEER GROUP'!L:L,MATCH($A168,'PEER GROUP'!$A:$A,0))</f>
        <v>0</v>
      </c>
      <c r="L168" s="70">
        <f>INDEX('PEER GROUP'!M:M,MATCH($A168,'PEER GROUP'!$A:$A,0))</f>
        <v>0</v>
      </c>
      <c r="M168" s="86">
        <f>INDEX('PEER GROUP'!N:N,MATCH($A168,'PEER GROUP'!$A:$A,0))</f>
        <v>0</v>
      </c>
      <c r="N168" s="118"/>
      <c r="O168" s="115"/>
      <c r="P168" s="117"/>
      <c r="Q168" s="87"/>
      <c r="R168" s="87">
        <f t="shared" si="56"/>
        <v>0</v>
      </c>
      <c r="S168" s="87"/>
      <c r="T168" s="87"/>
      <c r="U168" s="87"/>
      <c r="V168" s="87">
        <f t="shared" si="57"/>
        <v>0</v>
      </c>
      <c r="W168" s="113">
        <f t="shared" si="54"/>
        <v>36.913096727263202</v>
      </c>
      <c r="X168" s="69">
        <f t="shared" si="58"/>
        <v>0</v>
      </c>
      <c r="Y168" s="70">
        <f t="shared" si="59"/>
        <v>0</v>
      </c>
      <c r="Z168" s="70">
        <f t="shared" si="60"/>
        <v>0</v>
      </c>
      <c r="AA168" s="70">
        <f t="shared" si="61"/>
        <v>0</v>
      </c>
      <c r="AB168" s="70">
        <f t="shared" si="62"/>
        <v>0</v>
      </c>
      <c r="AC168" s="70">
        <f t="shared" si="63"/>
        <v>0</v>
      </c>
      <c r="AD168" s="71">
        <f t="shared" si="64"/>
        <v>0</v>
      </c>
      <c r="AE168" s="49"/>
      <c r="AF168" s="21"/>
      <c r="AG168" s="69"/>
      <c r="AH168" s="70"/>
      <c r="AI168" s="70"/>
      <c r="AJ168" s="70"/>
      <c r="AK168" s="70"/>
      <c r="AL168" s="70"/>
      <c r="AM168" s="70"/>
      <c r="AN168" s="70" t="str">
        <f t="shared" si="65"/>
        <v>---</v>
      </c>
      <c r="AO168" s="70" t="str">
        <f t="shared" si="66"/>
        <v>---</v>
      </c>
      <c r="AP168" s="70" t="str">
        <f t="shared" si="67"/>
        <v>---</v>
      </c>
      <c r="AQ168" s="70" t="str">
        <f t="shared" si="68"/>
        <v>---</v>
      </c>
      <c r="AR168" s="70" t="str">
        <f t="shared" si="69"/>
        <v>---</v>
      </c>
      <c r="AS168" s="70" t="str">
        <f t="shared" si="70"/>
        <v>---</v>
      </c>
      <c r="AT168" s="71" t="str">
        <f t="shared" si="71"/>
        <v>---</v>
      </c>
    </row>
    <row r="169" spans="1:46" ht="30" customHeight="1" x14ac:dyDescent="0.3">
      <c r="A169" s="123">
        <f t="shared" si="55"/>
        <v>165</v>
      </c>
      <c r="B169" s="140">
        <f>INDEX('PEER GROUP'!B:B,MATCH($A169,'PEER GROUP'!$A:$A,0))</f>
        <v>0</v>
      </c>
      <c r="C169" s="83">
        <f>INDEX('PEER GROUP'!C:C,MATCH($A169,'PEER GROUP'!$A:$A,0))</f>
        <v>0</v>
      </c>
      <c r="D169" s="83">
        <f>INDEX('PEER GROUP'!D:D,MATCH($A169,'PEER GROUP'!$A:$A,0))</f>
        <v>0</v>
      </c>
      <c r="E169" s="83">
        <f>INDEX('PEER GROUP'!E:E,MATCH(A169,'PEER GROUP'!$A:$A,0))</f>
        <v>0</v>
      </c>
      <c r="F169" s="84">
        <f>INDEX('PEER GROUP'!F:F,MATCH($A169,'PEER GROUP'!$A:$A,0))</f>
        <v>0</v>
      </c>
      <c r="G169" s="84">
        <f>INDEX('PEER GROUP'!G:G,MATCH($A169,'PEER GROUP'!$A:$A,0))</f>
        <v>0</v>
      </c>
      <c r="H169" s="85"/>
      <c r="I169" s="85"/>
      <c r="J169" s="70">
        <f>INDEX('PEER GROUP'!K:K,MATCH($A169,'PEER GROUP'!$A:$A,0))</f>
        <v>0</v>
      </c>
      <c r="K169" s="70">
        <f>INDEX('PEER GROUP'!L:L,MATCH($A169,'PEER GROUP'!$A:$A,0))</f>
        <v>0</v>
      </c>
      <c r="L169" s="70">
        <f>INDEX('PEER GROUP'!M:M,MATCH($A169,'PEER GROUP'!$A:$A,0))</f>
        <v>0</v>
      </c>
      <c r="M169" s="86">
        <f>INDEX('PEER GROUP'!N:N,MATCH($A169,'PEER GROUP'!$A:$A,0))</f>
        <v>0</v>
      </c>
      <c r="N169" s="118"/>
      <c r="O169" s="115"/>
      <c r="P169" s="117"/>
      <c r="Q169" s="87"/>
      <c r="R169" s="87">
        <f t="shared" si="56"/>
        <v>0</v>
      </c>
      <c r="S169" s="87"/>
      <c r="T169" s="87"/>
      <c r="U169" s="87"/>
      <c r="V169" s="87">
        <f t="shared" si="57"/>
        <v>0</v>
      </c>
      <c r="W169" s="113">
        <f t="shared" si="54"/>
        <v>36.913096727263202</v>
      </c>
      <c r="X169" s="69">
        <f t="shared" si="58"/>
        <v>0</v>
      </c>
      <c r="Y169" s="70">
        <f t="shared" si="59"/>
        <v>0</v>
      </c>
      <c r="Z169" s="70">
        <f t="shared" si="60"/>
        <v>0</v>
      </c>
      <c r="AA169" s="70">
        <f t="shared" si="61"/>
        <v>0</v>
      </c>
      <c r="AB169" s="70">
        <f t="shared" si="62"/>
        <v>0</v>
      </c>
      <c r="AC169" s="70">
        <f t="shared" si="63"/>
        <v>0</v>
      </c>
      <c r="AD169" s="71">
        <f t="shared" si="64"/>
        <v>0</v>
      </c>
      <c r="AE169" s="49"/>
      <c r="AF169" s="21"/>
      <c r="AG169" s="69"/>
      <c r="AH169" s="70"/>
      <c r="AI169" s="70"/>
      <c r="AJ169" s="70"/>
      <c r="AK169" s="70"/>
      <c r="AL169" s="70"/>
      <c r="AM169" s="70"/>
      <c r="AN169" s="70" t="str">
        <f t="shared" si="65"/>
        <v>---</v>
      </c>
      <c r="AO169" s="70" t="str">
        <f t="shared" si="66"/>
        <v>---</v>
      </c>
      <c r="AP169" s="70" t="str">
        <f t="shared" si="67"/>
        <v>---</v>
      </c>
      <c r="AQ169" s="70" t="str">
        <f t="shared" si="68"/>
        <v>---</v>
      </c>
      <c r="AR169" s="70" t="str">
        <f t="shared" si="69"/>
        <v>---</v>
      </c>
      <c r="AS169" s="70" t="str">
        <f t="shared" si="70"/>
        <v>---</v>
      </c>
      <c r="AT169" s="71" t="str">
        <f t="shared" si="71"/>
        <v>---</v>
      </c>
    </row>
    <row r="170" spans="1:46" ht="30" customHeight="1" x14ac:dyDescent="0.3">
      <c r="A170" s="123">
        <f t="shared" si="55"/>
        <v>166</v>
      </c>
      <c r="B170" s="140">
        <f>INDEX('PEER GROUP'!B:B,MATCH($A170,'PEER GROUP'!$A:$A,0))</f>
        <v>0</v>
      </c>
      <c r="C170" s="83">
        <f>INDEX('PEER GROUP'!C:C,MATCH($A170,'PEER GROUP'!$A:$A,0))</f>
        <v>0</v>
      </c>
      <c r="D170" s="83">
        <f>INDEX('PEER GROUP'!D:D,MATCH($A170,'PEER GROUP'!$A:$A,0))</f>
        <v>0</v>
      </c>
      <c r="E170" s="83">
        <f>INDEX('PEER GROUP'!E:E,MATCH(A170,'PEER GROUP'!$A:$A,0))</f>
        <v>0</v>
      </c>
      <c r="F170" s="84">
        <f>INDEX('PEER GROUP'!F:F,MATCH($A170,'PEER GROUP'!$A:$A,0))</f>
        <v>0</v>
      </c>
      <c r="G170" s="84">
        <f>INDEX('PEER GROUP'!G:G,MATCH($A170,'PEER GROUP'!$A:$A,0))</f>
        <v>0</v>
      </c>
      <c r="H170" s="85"/>
      <c r="I170" s="85"/>
      <c r="J170" s="70">
        <f>INDEX('PEER GROUP'!K:K,MATCH($A170,'PEER GROUP'!$A:$A,0))</f>
        <v>0</v>
      </c>
      <c r="K170" s="70">
        <f>INDEX('PEER GROUP'!L:L,MATCH($A170,'PEER GROUP'!$A:$A,0))</f>
        <v>0</v>
      </c>
      <c r="L170" s="70">
        <f>INDEX('PEER GROUP'!M:M,MATCH($A170,'PEER GROUP'!$A:$A,0))</f>
        <v>0</v>
      </c>
      <c r="M170" s="86">
        <f>INDEX('PEER GROUP'!N:N,MATCH($A170,'PEER GROUP'!$A:$A,0))</f>
        <v>0</v>
      </c>
      <c r="N170" s="118"/>
      <c r="O170" s="115"/>
      <c r="P170" s="117"/>
      <c r="Q170" s="87"/>
      <c r="R170" s="87">
        <f t="shared" si="56"/>
        <v>0</v>
      </c>
      <c r="S170" s="87"/>
      <c r="T170" s="87"/>
      <c r="U170" s="87"/>
      <c r="V170" s="87">
        <f t="shared" si="57"/>
        <v>0</v>
      </c>
      <c r="W170" s="113">
        <f t="shared" si="54"/>
        <v>36.913096727263202</v>
      </c>
      <c r="X170" s="69">
        <f t="shared" si="58"/>
        <v>0</v>
      </c>
      <c r="Y170" s="70">
        <f t="shared" si="59"/>
        <v>0</v>
      </c>
      <c r="Z170" s="70">
        <f t="shared" si="60"/>
        <v>0</v>
      </c>
      <c r="AA170" s="70">
        <f t="shared" si="61"/>
        <v>0</v>
      </c>
      <c r="AB170" s="70">
        <f t="shared" si="62"/>
        <v>0</v>
      </c>
      <c r="AC170" s="70">
        <f t="shared" si="63"/>
        <v>0</v>
      </c>
      <c r="AD170" s="71">
        <f t="shared" si="64"/>
        <v>0</v>
      </c>
      <c r="AE170" s="49"/>
      <c r="AF170" s="21"/>
      <c r="AG170" s="69"/>
      <c r="AH170" s="70"/>
      <c r="AI170" s="70"/>
      <c r="AJ170" s="70"/>
      <c r="AK170" s="70"/>
      <c r="AL170" s="70"/>
      <c r="AM170" s="70"/>
      <c r="AN170" s="70" t="str">
        <f t="shared" si="65"/>
        <v>---</v>
      </c>
      <c r="AO170" s="70" t="str">
        <f t="shared" si="66"/>
        <v>---</v>
      </c>
      <c r="AP170" s="70" t="str">
        <f t="shared" si="67"/>
        <v>---</v>
      </c>
      <c r="AQ170" s="70" t="str">
        <f t="shared" si="68"/>
        <v>---</v>
      </c>
      <c r="AR170" s="70" t="str">
        <f t="shared" si="69"/>
        <v>---</v>
      </c>
      <c r="AS170" s="70" t="str">
        <f t="shared" si="70"/>
        <v>---</v>
      </c>
      <c r="AT170" s="71" t="str">
        <f t="shared" si="71"/>
        <v>---</v>
      </c>
    </row>
    <row r="171" spans="1:46" ht="30" customHeight="1" x14ac:dyDescent="0.3">
      <c r="A171" s="123">
        <f t="shared" si="55"/>
        <v>167</v>
      </c>
      <c r="B171" s="140">
        <f>INDEX('PEER GROUP'!B:B,MATCH($A171,'PEER GROUP'!$A:$A,0))</f>
        <v>0</v>
      </c>
      <c r="C171" s="83">
        <f>INDEX('PEER GROUP'!C:C,MATCH($A171,'PEER GROUP'!$A:$A,0))</f>
        <v>0</v>
      </c>
      <c r="D171" s="83">
        <f>INDEX('PEER GROUP'!D:D,MATCH($A171,'PEER GROUP'!$A:$A,0))</f>
        <v>0</v>
      </c>
      <c r="E171" s="83">
        <f>INDEX('PEER GROUP'!E:E,MATCH(A171,'PEER GROUP'!$A:$A,0))</f>
        <v>0</v>
      </c>
      <c r="F171" s="84">
        <f>INDEX('PEER GROUP'!F:F,MATCH($A171,'PEER GROUP'!$A:$A,0))</f>
        <v>0</v>
      </c>
      <c r="G171" s="84">
        <f>INDEX('PEER GROUP'!G:G,MATCH($A171,'PEER GROUP'!$A:$A,0))</f>
        <v>0</v>
      </c>
      <c r="H171" s="85"/>
      <c r="I171" s="85"/>
      <c r="J171" s="70">
        <f>INDEX('PEER GROUP'!K:K,MATCH($A171,'PEER GROUP'!$A:$A,0))</f>
        <v>0</v>
      </c>
      <c r="K171" s="70">
        <f>INDEX('PEER GROUP'!L:L,MATCH($A171,'PEER GROUP'!$A:$A,0))</f>
        <v>0</v>
      </c>
      <c r="L171" s="70">
        <f>INDEX('PEER GROUP'!M:M,MATCH($A171,'PEER GROUP'!$A:$A,0))</f>
        <v>0</v>
      </c>
      <c r="M171" s="86">
        <f>INDEX('PEER GROUP'!N:N,MATCH($A171,'PEER GROUP'!$A:$A,0))</f>
        <v>0</v>
      </c>
      <c r="N171" s="118"/>
      <c r="O171" s="115"/>
      <c r="P171" s="117"/>
      <c r="Q171" s="87"/>
      <c r="R171" s="87">
        <f t="shared" si="56"/>
        <v>0</v>
      </c>
      <c r="S171" s="87"/>
      <c r="T171" s="87"/>
      <c r="U171" s="87"/>
      <c r="V171" s="87">
        <f t="shared" si="57"/>
        <v>0</v>
      </c>
      <c r="W171" s="113">
        <f t="shared" si="54"/>
        <v>36.913096727263202</v>
      </c>
      <c r="X171" s="69">
        <f t="shared" si="58"/>
        <v>0</v>
      </c>
      <c r="Y171" s="70">
        <f t="shared" si="59"/>
        <v>0</v>
      </c>
      <c r="Z171" s="70">
        <f t="shared" si="60"/>
        <v>0</v>
      </c>
      <c r="AA171" s="70">
        <f t="shared" si="61"/>
        <v>0</v>
      </c>
      <c r="AB171" s="70">
        <f t="shared" si="62"/>
        <v>0</v>
      </c>
      <c r="AC171" s="70">
        <f t="shared" si="63"/>
        <v>0</v>
      </c>
      <c r="AD171" s="71">
        <f t="shared" si="64"/>
        <v>0</v>
      </c>
      <c r="AE171" s="49"/>
      <c r="AF171" s="21"/>
      <c r="AG171" s="69"/>
      <c r="AH171" s="70"/>
      <c r="AI171" s="70"/>
      <c r="AJ171" s="70"/>
      <c r="AK171" s="70"/>
      <c r="AL171" s="70"/>
      <c r="AM171" s="70"/>
      <c r="AN171" s="70" t="str">
        <f t="shared" si="65"/>
        <v>---</v>
      </c>
      <c r="AO171" s="70" t="str">
        <f t="shared" si="66"/>
        <v>---</v>
      </c>
      <c r="AP171" s="70" t="str">
        <f t="shared" si="67"/>
        <v>---</v>
      </c>
      <c r="AQ171" s="70" t="str">
        <f t="shared" si="68"/>
        <v>---</v>
      </c>
      <c r="AR171" s="70" t="str">
        <f t="shared" si="69"/>
        <v>---</v>
      </c>
      <c r="AS171" s="70" t="str">
        <f t="shared" si="70"/>
        <v>---</v>
      </c>
      <c r="AT171" s="71" t="str">
        <f t="shared" si="71"/>
        <v>---</v>
      </c>
    </row>
    <row r="172" spans="1:46" ht="30" customHeight="1" x14ac:dyDescent="0.3">
      <c r="A172" s="123">
        <f t="shared" si="55"/>
        <v>168</v>
      </c>
      <c r="B172" s="140">
        <f>INDEX('PEER GROUP'!B:B,MATCH($A172,'PEER GROUP'!$A:$A,0))</f>
        <v>0</v>
      </c>
      <c r="C172" s="83">
        <f>INDEX('PEER GROUP'!C:C,MATCH($A172,'PEER GROUP'!$A:$A,0))</f>
        <v>0</v>
      </c>
      <c r="D172" s="83">
        <f>INDEX('PEER GROUP'!D:D,MATCH($A172,'PEER GROUP'!$A:$A,0))</f>
        <v>0</v>
      </c>
      <c r="E172" s="83">
        <f>INDEX('PEER GROUP'!E:E,MATCH(A172,'PEER GROUP'!$A:$A,0))</f>
        <v>0</v>
      </c>
      <c r="F172" s="84">
        <f>INDEX('PEER GROUP'!F:F,MATCH($A172,'PEER GROUP'!$A:$A,0))</f>
        <v>0</v>
      </c>
      <c r="G172" s="84">
        <f>INDEX('PEER GROUP'!G:G,MATCH($A172,'PEER GROUP'!$A:$A,0))</f>
        <v>0</v>
      </c>
      <c r="H172" s="85"/>
      <c r="I172" s="85"/>
      <c r="J172" s="70">
        <f>INDEX('PEER GROUP'!K:K,MATCH($A172,'PEER GROUP'!$A:$A,0))</f>
        <v>0</v>
      </c>
      <c r="K172" s="70">
        <f>INDEX('PEER GROUP'!L:L,MATCH($A172,'PEER GROUP'!$A:$A,0))</f>
        <v>0</v>
      </c>
      <c r="L172" s="70">
        <f>INDEX('PEER GROUP'!M:M,MATCH($A172,'PEER GROUP'!$A:$A,0))</f>
        <v>0</v>
      </c>
      <c r="M172" s="86">
        <f>INDEX('PEER GROUP'!N:N,MATCH($A172,'PEER GROUP'!$A:$A,0))</f>
        <v>0</v>
      </c>
      <c r="N172" s="118"/>
      <c r="O172" s="115"/>
      <c r="P172" s="117"/>
      <c r="Q172" s="87"/>
      <c r="R172" s="87">
        <f t="shared" si="56"/>
        <v>0</v>
      </c>
      <c r="S172" s="87"/>
      <c r="T172" s="87"/>
      <c r="U172" s="87"/>
      <c r="V172" s="87">
        <f t="shared" si="57"/>
        <v>0</v>
      </c>
      <c r="W172" s="113">
        <f t="shared" si="54"/>
        <v>36.913096727263202</v>
      </c>
      <c r="X172" s="69">
        <f t="shared" si="58"/>
        <v>0</v>
      </c>
      <c r="Y172" s="70">
        <f t="shared" si="59"/>
        <v>0</v>
      </c>
      <c r="Z172" s="70">
        <f t="shared" si="60"/>
        <v>0</v>
      </c>
      <c r="AA172" s="70">
        <f t="shared" si="61"/>
        <v>0</v>
      </c>
      <c r="AB172" s="70">
        <f t="shared" si="62"/>
        <v>0</v>
      </c>
      <c r="AC172" s="70">
        <f t="shared" si="63"/>
        <v>0</v>
      </c>
      <c r="AD172" s="71">
        <f t="shared" si="64"/>
        <v>0</v>
      </c>
      <c r="AE172" s="49"/>
      <c r="AF172" s="21"/>
      <c r="AG172" s="69"/>
      <c r="AH172" s="70"/>
      <c r="AI172" s="70"/>
      <c r="AJ172" s="70"/>
      <c r="AK172" s="70"/>
      <c r="AL172" s="70"/>
      <c r="AM172" s="70"/>
      <c r="AN172" s="70" t="str">
        <f t="shared" si="65"/>
        <v>---</v>
      </c>
      <c r="AO172" s="70" t="str">
        <f t="shared" si="66"/>
        <v>---</v>
      </c>
      <c r="AP172" s="70" t="str">
        <f t="shared" si="67"/>
        <v>---</v>
      </c>
      <c r="AQ172" s="70" t="str">
        <f t="shared" si="68"/>
        <v>---</v>
      </c>
      <c r="AR172" s="70" t="str">
        <f t="shared" si="69"/>
        <v>---</v>
      </c>
      <c r="AS172" s="70" t="str">
        <f t="shared" si="70"/>
        <v>---</v>
      </c>
      <c r="AT172" s="71" t="str">
        <f t="shared" si="71"/>
        <v>---</v>
      </c>
    </row>
    <row r="173" spans="1:46" ht="30" customHeight="1" x14ac:dyDescent="0.3">
      <c r="A173" s="123">
        <f t="shared" si="55"/>
        <v>169</v>
      </c>
      <c r="B173" s="140">
        <f>INDEX('PEER GROUP'!B:B,MATCH($A173,'PEER GROUP'!$A:$A,0))</f>
        <v>0</v>
      </c>
      <c r="C173" s="83">
        <f>INDEX('PEER GROUP'!C:C,MATCH($A173,'PEER GROUP'!$A:$A,0))</f>
        <v>0</v>
      </c>
      <c r="D173" s="83">
        <f>INDEX('PEER GROUP'!D:D,MATCH($A173,'PEER GROUP'!$A:$A,0))</f>
        <v>0</v>
      </c>
      <c r="E173" s="83">
        <f>INDEX('PEER GROUP'!E:E,MATCH(A173,'PEER GROUP'!$A:$A,0))</f>
        <v>0</v>
      </c>
      <c r="F173" s="84">
        <f>INDEX('PEER GROUP'!F:F,MATCH($A173,'PEER GROUP'!$A:$A,0))</f>
        <v>0</v>
      </c>
      <c r="G173" s="84">
        <f>INDEX('PEER GROUP'!G:G,MATCH($A173,'PEER GROUP'!$A:$A,0))</f>
        <v>0</v>
      </c>
      <c r="H173" s="85"/>
      <c r="I173" s="85"/>
      <c r="J173" s="70">
        <f>INDEX('PEER GROUP'!K:K,MATCH($A173,'PEER GROUP'!$A:$A,0))</f>
        <v>0</v>
      </c>
      <c r="K173" s="70">
        <f>INDEX('PEER GROUP'!L:L,MATCH($A173,'PEER GROUP'!$A:$A,0))</f>
        <v>0</v>
      </c>
      <c r="L173" s="70">
        <f>INDEX('PEER GROUP'!M:M,MATCH($A173,'PEER GROUP'!$A:$A,0))</f>
        <v>0</v>
      </c>
      <c r="M173" s="86">
        <f>INDEX('PEER GROUP'!N:N,MATCH($A173,'PEER GROUP'!$A:$A,0))</f>
        <v>0</v>
      </c>
      <c r="N173" s="118"/>
      <c r="O173" s="115"/>
      <c r="P173" s="117"/>
      <c r="Q173" s="87"/>
      <c r="R173" s="87">
        <f t="shared" si="56"/>
        <v>0</v>
      </c>
      <c r="S173" s="87"/>
      <c r="T173" s="87"/>
      <c r="U173" s="87"/>
      <c r="V173" s="87">
        <f t="shared" si="57"/>
        <v>0</v>
      </c>
      <c r="W173" s="113">
        <f t="shared" si="54"/>
        <v>36.913096727263202</v>
      </c>
      <c r="X173" s="69">
        <f t="shared" si="58"/>
        <v>0</v>
      </c>
      <c r="Y173" s="70">
        <f t="shared" si="59"/>
        <v>0</v>
      </c>
      <c r="Z173" s="70">
        <f t="shared" si="60"/>
        <v>0</v>
      </c>
      <c r="AA173" s="70">
        <f t="shared" si="61"/>
        <v>0</v>
      </c>
      <c r="AB173" s="70">
        <f t="shared" si="62"/>
        <v>0</v>
      </c>
      <c r="AC173" s="70">
        <f t="shared" si="63"/>
        <v>0</v>
      </c>
      <c r="AD173" s="71">
        <f t="shared" si="64"/>
        <v>0</v>
      </c>
      <c r="AE173" s="49"/>
      <c r="AF173" s="21"/>
      <c r="AG173" s="69"/>
      <c r="AH173" s="70"/>
      <c r="AI173" s="70"/>
      <c r="AJ173" s="70"/>
      <c r="AK173" s="70"/>
      <c r="AL173" s="70"/>
      <c r="AM173" s="70"/>
      <c r="AN173" s="70" t="str">
        <f t="shared" si="65"/>
        <v>---</v>
      </c>
      <c r="AO173" s="70" t="str">
        <f t="shared" si="66"/>
        <v>---</v>
      </c>
      <c r="AP173" s="70" t="str">
        <f t="shared" si="67"/>
        <v>---</v>
      </c>
      <c r="AQ173" s="70" t="str">
        <f t="shared" si="68"/>
        <v>---</v>
      </c>
      <c r="AR173" s="70" t="str">
        <f t="shared" si="69"/>
        <v>---</v>
      </c>
      <c r="AS173" s="70" t="str">
        <f t="shared" si="70"/>
        <v>---</v>
      </c>
      <c r="AT173" s="71" t="str">
        <f t="shared" si="71"/>
        <v>---</v>
      </c>
    </row>
    <row r="174" spans="1:46" ht="30" customHeight="1" x14ac:dyDescent="0.3">
      <c r="A174" s="123">
        <f t="shared" si="55"/>
        <v>170</v>
      </c>
      <c r="B174" s="140">
        <f>INDEX('PEER GROUP'!B:B,MATCH($A174,'PEER GROUP'!$A:$A,0))</f>
        <v>0</v>
      </c>
      <c r="C174" s="83">
        <f>INDEX('PEER GROUP'!C:C,MATCH($A174,'PEER GROUP'!$A:$A,0))</f>
        <v>0</v>
      </c>
      <c r="D174" s="83">
        <f>INDEX('PEER GROUP'!D:D,MATCH($A174,'PEER GROUP'!$A:$A,0))</f>
        <v>0</v>
      </c>
      <c r="E174" s="83">
        <f>INDEX('PEER GROUP'!E:E,MATCH(A174,'PEER GROUP'!$A:$A,0))</f>
        <v>0</v>
      </c>
      <c r="F174" s="84">
        <f>INDEX('PEER GROUP'!F:F,MATCH($A174,'PEER GROUP'!$A:$A,0))</f>
        <v>0</v>
      </c>
      <c r="G174" s="84">
        <f>INDEX('PEER GROUP'!G:G,MATCH($A174,'PEER GROUP'!$A:$A,0))</f>
        <v>0</v>
      </c>
      <c r="H174" s="85"/>
      <c r="I174" s="85"/>
      <c r="J174" s="70">
        <f>INDEX('PEER GROUP'!K:K,MATCH($A174,'PEER GROUP'!$A:$A,0))</f>
        <v>0</v>
      </c>
      <c r="K174" s="70">
        <f>INDEX('PEER GROUP'!L:L,MATCH($A174,'PEER GROUP'!$A:$A,0))</f>
        <v>0</v>
      </c>
      <c r="L174" s="70">
        <f>INDEX('PEER GROUP'!M:M,MATCH($A174,'PEER GROUP'!$A:$A,0))</f>
        <v>0</v>
      </c>
      <c r="M174" s="86">
        <f>INDEX('PEER GROUP'!N:N,MATCH($A174,'PEER GROUP'!$A:$A,0))</f>
        <v>0</v>
      </c>
      <c r="N174" s="118"/>
      <c r="O174" s="115"/>
      <c r="P174" s="117"/>
      <c r="Q174" s="87"/>
      <c r="R174" s="87">
        <f t="shared" si="56"/>
        <v>0</v>
      </c>
      <c r="S174" s="87"/>
      <c r="T174" s="87"/>
      <c r="U174" s="87"/>
      <c r="V174" s="87">
        <f t="shared" si="57"/>
        <v>0</v>
      </c>
      <c r="W174" s="113">
        <f t="shared" si="54"/>
        <v>36.913096727263202</v>
      </c>
      <c r="X174" s="69">
        <f t="shared" si="58"/>
        <v>0</v>
      </c>
      <c r="Y174" s="70">
        <f t="shared" si="59"/>
        <v>0</v>
      </c>
      <c r="Z174" s="70">
        <f t="shared" si="60"/>
        <v>0</v>
      </c>
      <c r="AA174" s="70">
        <f t="shared" si="61"/>
        <v>0</v>
      </c>
      <c r="AB174" s="70">
        <f t="shared" si="62"/>
        <v>0</v>
      </c>
      <c r="AC174" s="70">
        <f t="shared" si="63"/>
        <v>0</v>
      </c>
      <c r="AD174" s="71">
        <f t="shared" si="64"/>
        <v>0</v>
      </c>
      <c r="AE174" s="49"/>
      <c r="AF174" s="21"/>
      <c r="AG174" s="69"/>
      <c r="AH174" s="70"/>
      <c r="AI174" s="70"/>
      <c r="AJ174" s="70"/>
      <c r="AK174" s="70"/>
      <c r="AL174" s="70"/>
      <c r="AM174" s="70"/>
      <c r="AN174" s="70" t="str">
        <f t="shared" si="65"/>
        <v>---</v>
      </c>
      <c r="AO174" s="70" t="str">
        <f t="shared" si="66"/>
        <v>---</v>
      </c>
      <c r="AP174" s="70" t="str">
        <f t="shared" si="67"/>
        <v>---</v>
      </c>
      <c r="AQ174" s="70" t="str">
        <f t="shared" si="68"/>
        <v>---</v>
      </c>
      <c r="AR174" s="70" t="str">
        <f t="shared" si="69"/>
        <v>---</v>
      </c>
      <c r="AS174" s="70" t="str">
        <f t="shared" si="70"/>
        <v>---</v>
      </c>
      <c r="AT174" s="71" t="str">
        <f t="shared" si="71"/>
        <v>---</v>
      </c>
    </row>
    <row r="175" spans="1:46" ht="30" customHeight="1" x14ac:dyDescent="0.3">
      <c r="A175" s="123">
        <f t="shared" si="55"/>
        <v>171</v>
      </c>
      <c r="B175" s="140">
        <f>INDEX('PEER GROUP'!B:B,MATCH($A175,'PEER GROUP'!$A:$A,0))</f>
        <v>0</v>
      </c>
      <c r="C175" s="83">
        <f>INDEX('PEER GROUP'!C:C,MATCH($A175,'PEER GROUP'!$A:$A,0))</f>
        <v>0</v>
      </c>
      <c r="D175" s="83">
        <f>INDEX('PEER GROUP'!D:D,MATCH($A175,'PEER GROUP'!$A:$A,0))</f>
        <v>0</v>
      </c>
      <c r="E175" s="83">
        <f>INDEX('PEER GROUP'!E:E,MATCH(A175,'PEER GROUP'!$A:$A,0))</f>
        <v>0</v>
      </c>
      <c r="F175" s="84">
        <f>INDEX('PEER GROUP'!F:F,MATCH($A175,'PEER GROUP'!$A:$A,0))</f>
        <v>0</v>
      </c>
      <c r="G175" s="84">
        <f>INDEX('PEER GROUP'!G:G,MATCH($A175,'PEER GROUP'!$A:$A,0))</f>
        <v>0</v>
      </c>
      <c r="H175" s="85"/>
      <c r="I175" s="85"/>
      <c r="J175" s="70">
        <f>INDEX('PEER GROUP'!K:K,MATCH($A175,'PEER GROUP'!$A:$A,0))</f>
        <v>0</v>
      </c>
      <c r="K175" s="70">
        <f>INDEX('PEER GROUP'!L:L,MATCH($A175,'PEER GROUP'!$A:$A,0))</f>
        <v>0</v>
      </c>
      <c r="L175" s="70">
        <f>INDEX('PEER GROUP'!M:M,MATCH($A175,'PEER GROUP'!$A:$A,0))</f>
        <v>0</v>
      </c>
      <c r="M175" s="86">
        <f>INDEX('PEER GROUP'!N:N,MATCH($A175,'PEER GROUP'!$A:$A,0))</f>
        <v>0</v>
      </c>
      <c r="N175" s="118"/>
      <c r="O175" s="115"/>
      <c r="P175" s="117"/>
      <c r="Q175" s="87"/>
      <c r="R175" s="87">
        <f t="shared" si="56"/>
        <v>0</v>
      </c>
      <c r="S175" s="87"/>
      <c r="T175" s="87"/>
      <c r="U175" s="87"/>
      <c r="V175" s="87">
        <f t="shared" si="57"/>
        <v>0</v>
      </c>
      <c r="W175" s="113">
        <f t="shared" si="54"/>
        <v>36.913096727263202</v>
      </c>
      <c r="X175" s="69">
        <f t="shared" si="58"/>
        <v>0</v>
      </c>
      <c r="Y175" s="70">
        <f t="shared" si="59"/>
        <v>0</v>
      </c>
      <c r="Z175" s="70">
        <f t="shared" si="60"/>
        <v>0</v>
      </c>
      <c r="AA175" s="70">
        <f t="shared" si="61"/>
        <v>0</v>
      </c>
      <c r="AB175" s="70">
        <f t="shared" si="62"/>
        <v>0</v>
      </c>
      <c r="AC175" s="70">
        <f t="shared" si="63"/>
        <v>0</v>
      </c>
      <c r="AD175" s="71">
        <f t="shared" si="64"/>
        <v>0</v>
      </c>
      <c r="AE175" s="49"/>
      <c r="AF175" s="21"/>
      <c r="AG175" s="69"/>
      <c r="AH175" s="70"/>
      <c r="AI175" s="70"/>
      <c r="AJ175" s="70"/>
      <c r="AK175" s="70"/>
      <c r="AL175" s="70"/>
      <c r="AM175" s="70"/>
      <c r="AN175" s="70" t="str">
        <f t="shared" si="65"/>
        <v>---</v>
      </c>
      <c r="AO175" s="70" t="str">
        <f t="shared" si="66"/>
        <v>---</v>
      </c>
      <c r="AP175" s="70" t="str">
        <f t="shared" si="67"/>
        <v>---</v>
      </c>
      <c r="AQ175" s="70" t="str">
        <f t="shared" si="68"/>
        <v>---</v>
      </c>
      <c r="AR175" s="70" t="str">
        <f t="shared" si="69"/>
        <v>---</v>
      </c>
      <c r="AS175" s="70" t="str">
        <f t="shared" si="70"/>
        <v>---</v>
      </c>
      <c r="AT175" s="71" t="str">
        <f t="shared" si="71"/>
        <v>---</v>
      </c>
    </row>
    <row r="176" spans="1:46" ht="30" customHeight="1" x14ac:dyDescent="0.3">
      <c r="A176" s="123">
        <f t="shared" si="55"/>
        <v>172</v>
      </c>
      <c r="B176" s="140">
        <f>INDEX('PEER GROUP'!B:B,MATCH($A176,'PEER GROUP'!$A:$A,0))</f>
        <v>0</v>
      </c>
      <c r="C176" s="83">
        <f>INDEX('PEER GROUP'!C:C,MATCH($A176,'PEER GROUP'!$A:$A,0))</f>
        <v>0</v>
      </c>
      <c r="D176" s="83">
        <f>INDEX('PEER GROUP'!D:D,MATCH($A176,'PEER GROUP'!$A:$A,0))</f>
        <v>0</v>
      </c>
      <c r="E176" s="83">
        <f>INDEX('PEER GROUP'!E:E,MATCH(A176,'PEER GROUP'!$A:$A,0))</f>
        <v>0</v>
      </c>
      <c r="F176" s="84">
        <f>INDEX('PEER GROUP'!F:F,MATCH($A176,'PEER GROUP'!$A:$A,0))</f>
        <v>0</v>
      </c>
      <c r="G176" s="84">
        <f>INDEX('PEER GROUP'!G:G,MATCH($A176,'PEER GROUP'!$A:$A,0))</f>
        <v>0</v>
      </c>
      <c r="H176" s="85"/>
      <c r="I176" s="85"/>
      <c r="J176" s="70">
        <f>INDEX('PEER GROUP'!K:K,MATCH($A176,'PEER GROUP'!$A:$A,0))</f>
        <v>0</v>
      </c>
      <c r="K176" s="70">
        <f>INDEX('PEER GROUP'!L:L,MATCH($A176,'PEER GROUP'!$A:$A,0))</f>
        <v>0</v>
      </c>
      <c r="L176" s="70">
        <f>INDEX('PEER GROUP'!M:M,MATCH($A176,'PEER GROUP'!$A:$A,0))</f>
        <v>0</v>
      </c>
      <c r="M176" s="86">
        <f>INDEX('PEER GROUP'!N:N,MATCH($A176,'PEER GROUP'!$A:$A,0))</f>
        <v>0</v>
      </c>
      <c r="N176" s="118"/>
      <c r="O176" s="115"/>
      <c r="P176" s="117"/>
      <c r="Q176" s="87"/>
      <c r="R176" s="87">
        <f t="shared" si="56"/>
        <v>0</v>
      </c>
      <c r="S176" s="87"/>
      <c r="T176" s="87"/>
      <c r="U176" s="87"/>
      <c r="V176" s="87">
        <f t="shared" si="57"/>
        <v>0</v>
      </c>
      <c r="W176" s="113">
        <f t="shared" si="54"/>
        <v>36.913096727263202</v>
      </c>
      <c r="X176" s="69">
        <f t="shared" si="58"/>
        <v>0</v>
      </c>
      <c r="Y176" s="70">
        <f t="shared" si="59"/>
        <v>0</v>
      </c>
      <c r="Z176" s="70">
        <f t="shared" si="60"/>
        <v>0</v>
      </c>
      <c r="AA176" s="70">
        <f t="shared" si="61"/>
        <v>0</v>
      </c>
      <c r="AB176" s="70">
        <f t="shared" si="62"/>
        <v>0</v>
      </c>
      <c r="AC176" s="70">
        <f t="shared" si="63"/>
        <v>0</v>
      </c>
      <c r="AD176" s="71">
        <f t="shared" si="64"/>
        <v>0</v>
      </c>
      <c r="AE176" s="49"/>
      <c r="AF176" s="21"/>
      <c r="AG176" s="69"/>
      <c r="AH176" s="70"/>
      <c r="AI176" s="70"/>
      <c r="AJ176" s="70"/>
      <c r="AK176" s="70"/>
      <c r="AL176" s="70"/>
      <c r="AM176" s="70"/>
      <c r="AN176" s="70" t="str">
        <f t="shared" si="65"/>
        <v>---</v>
      </c>
      <c r="AO176" s="70" t="str">
        <f t="shared" si="66"/>
        <v>---</v>
      </c>
      <c r="AP176" s="70" t="str">
        <f t="shared" si="67"/>
        <v>---</v>
      </c>
      <c r="AQ176" s="70" t="str">
        <f t="shared" si="68"/>
        <v>---</v>
      </c>
      <c r="AR176" s="70" t="str">
        <f t="shared" si="69"/>
        <v>---</v>
      </c>
      <c r="AS176" s="70" t="str">
        <f t="shared" si="70"/>
        <v>---</v>
      </c>
      <c r="AT176" s="71" t="str">
        <f t="shared" si="71"/>
        <v>---</v>
      </c>
    </row>
    <row r="177" spans="1:46" ht="30" customHeight="1" x14ac:dyDescent="0.3">
      <c r="A177" s="123">
        <f t="shared" si="55"/>
        <v>173</v>
      </c>
      <c r="B177" s="140">
        <f>INDEX('PEER GROUP'!B:B,MATCH($A177,'PEER GROUP'!$A:$A,0))</f>
        <v>0</v>
      </c>
      <c r="C177" s="83">
        <f>INDEX('PEER GROUP'!C:C,MATCH($A177,'PEER GROUP'!$A:$A,0))</f>
        <v>0</v>
      </c>
      <c r="D177" s="83">
        <f>INDEX('PEER GROUP'!D:D,MATCH($A177,'PEER GROUP'!$A:$A,0))</f>
        <v>0</v>
      </c>
      <c r="E177" s="83">
        <f>INDEX('PEER GROUP'!E:E,MATCH(A177,'PEER GROUP'!$A:$A,0))</f>
        <v>0</v>
      </c>
      <c r="F177" s="84">
        <f>INDEX('PEER GROUP'!F:F,MATCH($A177,'PEER GROUP'!$A:$A,0))</f>
        <v>0</v>
      </c>
      <c r="G177" s="84">
        <f>INDEX('PEER GROUP'!G:G,MATCH($A177,'PEER GROUP'!$A:$A,0))</f>
        <v>0</v>
      </c>
      <c r="H177" s="85"/>
      <c r="I177" s="85"/>
      <c r="J177" s="70">
        <f>INDEX('PEER GROUP'!K:K,MATCH($A177,'PEER GROUP'!$A:$A,0))</f>
        <v>0</v>
      </c>
      <c r="K177" s="70">
        <f>INDEX('PEER GROUP'!L:L,MATCH($A177,'PEER GROUP'!$A:$A,0))</f>
        <v>0</v>
      </c>
      <c r="L177" s="70">
        <f>INDEX('PEER GROUP'!M:M,MATCH($A177,'PEER GROUP'!$A:$A,0))</f>
        <v>0</v>
      </c>
      <c r="M177" s="86">
        <f>INDEX('PEER GROUP'!N:N,MATCH($A177,'PEER GROUP'!$A:$A,0))</f>
        <v>0</v>
      </c>
      <c r="N177" s="118"/>
      <c r="O177" s="115"/>
      <c r="P177" s="117"/>
      <c r="Q177" s="87"/>
      <c r="R177" s="87">
        <f t="shared" si="56"/>
        <v>0</v>
      </c>
      <c r="S177" s="87"/>
      <c r="T177" s="87"/>
      <c r="U177" s="87"/>
      <c r="V177" s="87">
        <f t="shared" si="57"/>
        <v>0</v>
      </c>
      <c r="W177" s="113">
        <f t="shared" si="54"/>
        <v>36.913096727263202</v>
      </c>
      <c r="X177" s="69">
        <f t="shared" si="58"/>
        <v>0</v>
      </c>
      <c r="Y177" s="70">
        <f t="shared" si="59"/>
        <v>0</v>
      </c>
      <c r="Z177" s="70">
        <f t="shared" si="60"/>
        <v>0</v>
      </c>
      <c r="AA177" s="70">
        <f t="shared" si="61"/>
        <v>0</v>
      </c>
      <c r="AB177" s="70">
        <f t="shared" si="62"/>
        <v>0</v>
      </c>
      <c r="AC177" s="70">
        <f t="shared" si="63"/>
        <v>0</v>
      </c>
      <c r="AD177" s="71">
        <f t="shared" si="64"/>
        <v>0</v>
      </c>
      <c r="AE177" s="49"/>
      <c r="AF177" s="21"/>
      <c r="AG177" s="69"/>
      <c r="AH177" s="70"/>
      <c r="AI177" s="70"/>
      <c r="AJ177" s="70"/>
      <c r="AK177" s="70"/>
      <c r="AL177" s="70"/>
      <c r="AM177" s="70"/>
      <c r="AN177" s="70" t="str">
        <f t="shared" si="65"/>
        <v>---</v>
      </c>
      <c r="AO177" s="70" t="str">
        <f t="shared" si="66"/>
        <v>---</v>
      </c>
      <c r="AP177" s="70" t="str">
        <f t="shared" si="67"/>
        <v>---</v>
      </c>
      <c r="AQ177" s="70" t="str">
        <f t="shared" si="68"/>
        <v>---</v>
      </c>
      <c r="AR177" s="70" t="str">
        <f t="shared" si="69"/>
        <v>---</v>
      </c>
      <c r="AS177" s="70" t="str">
        <f t="shared" si="70"/>
        <v>---</v>
      </c>
      <c r="AT177" s="71" t="str">
        <f t="shared" si="71"/>
        <v>---</v>
      </c>
    </row>
    <row r="178" spans="1:46" ht="30" customHeight="1" x14ac:dyDescent="0.3">
      <c r="A178" s="123">
        <f t="shared" si="55"/>
        <v>174</v>
      </c>
      <c r="B178" s="140">
        <f>INDEX('PEER GROUP'!B:B,MATCH($A178,'PEER GROUP'!$A:$A,0))</f>
        <v>0</v>
      </c>
      <c r="C178" s="83">
        <f>INDEX('PEER GROUP'!C:C,MATCH($A178,'PEER GROUP'!$A:$A,0))</f>
        <v>0</v>
      </c>
      <c r="D178" s="83">
        <f>INDEX('PEER GROUP'!D:D,MATCH($A178,'PEER GROUP'!$A:$A,0))</f>
        <v>0</v>
      </c>
      <c r="E178" s="83">
        <f>INDEX('PEER GROUP'!E:E,MATCH(A178,'PEER GROUP'!$A:$A,0))</f>
        <v>0</v>
      </c>
      <c r="F178" s="84">
        <f>INDEX('PEER GROUP'!F:F,MATCH($A178,'PEER GROUP'!$A:$A,0))</f>
        <v>0</v>
      </c>
      <c r="G178" s="84">
        <f>INDEX('PEER GROUP'!G:G,MATCH($A178,'PEER GROUP'!$A:$A,0))</f>
        <v>0</v>
      </c>
      <c r="H178" s="85"/>
      <c r="I178" s="85"/>
      <c r="J178" s="70">
        <f>INDEX('PEER GROUP'!K:K,MATCH($A178,'PEER GROUP'!$A:$A,0))</f>
        <v>0</v>
      </c>
      <c r="K178" s="70">
        <f>INDEX('PEER GROUP'!L:L,MATCH($A178,'PEER GROUP'!$A:$A,0))</f>
        <v>0</v>
      </c>
      <c r="L178" s="70">
        <f>INDEX('PEER GROUP'!M:M,MATCH($A178,'PEER GROUP'!$A:$A,0))</f>
        <v>0</v>
      </c>
      <c r="M178" s="86">
        <f>INDEX('PEER GROUP'!N:N,MATCH($A178,'PEER GROUP'!$A:$A,0))</f>
        <v>0</v>
      </c>
      <c r="N178" s="118"/>
      <c r="O178" s="115"/>
      <c r="P178" s="117"/>
      <c r="Q178" s="87"/>
      <c r="R178" s="87">
        <f t="shared" si="56"/>
        <v>0</v>
      </c>
      <c r="S178" s="87"/>
      <c r="T178" s="87"/>
      <c r="U178" s="87"/>
      <c r="V178" s="87">
        <f t="shared" si="57"/>
        <v>0</v>
      </c>
      <c r="W178" s="113">
        <f t="shared" si="54"/>
        <v>36.913096727263202</v>
      </c>
      <c r="X178" s="69">
        <f t="shared" si="58"/>
        <v>0</v>
      </c>
      <c r="Y178" s="70">
        <f t="shared" si="59"/>
        <v>0</v>
      </c>
      <c r="Z178" s="70">
        <f t="shared" si="60"/>
        <v>0</v>
      </c>
      <c r="AA178" s="70">
        <f t="shared" si="61"/>
        <v>0</v>
      </c>
      <c r="AB178" s="70">
        <f t="shared" si="62"/>
        <v>0</v>
      </c>
      <c r="AC178" s="70">
        <f t="shared" si="63"/>
        <v>0</v>
      </c>
      <c r="AD178" s="71">
        <f t="shared" si="64"/>
        <v>0</v>
      </c>
      <c r="AE178" s="49"/>
      <c r="AF178" s="21"/>
      <c r="AG178" s="69"/>
      <c r="AH178" s="70"/>
      <c r="AI178" s="70"/>
      <c r="AJ178" s="70"/>
      <c r="AK178" s="70"/>
      <c r="AL178" s="70"/>
      <c r="AM178" s="70"/>
      <c r="AN178" s="70" t="str">
        <f t="shared" si="65"/>
        <v>---</v>
      </c>
      <c r="AO178" s="70" t="str">
        <f t="shared" si="66"/>
        <v>---</v>
      </c>
      <c r="AP178" s="70" t="str">
        <f t="shared" si="67"/>
        <v>---</v>
      </c>
      <c r="AQ178" s="70" t="str">
        <f t="shared" si="68"/>
        <v>---</v>
      </c>
      <c r="AR178" s="70" t="str">
        <f t="shared" si="69"/>
        <v>---</v>
      </c>
      <c r="AS178" s="70" t="str">
        <f t="shared" si="70"/>
        <v>---</v>
      </c>
      <c r="AT178" s="71" t="str">
        <f t="shared" si="71"/>
        <v>---</v>
      </c>
    </row>
    <row r="179" spans="1:46" ht="30" customHeight="1" x14ac:dyDescent="0.3">
      <c r="A179" s="123">
        <f t="shared" si="55"/>
        <v>175</v>
      </c>
      <c r="B179" s="140">
        <f>INDEX('PEER GROUP'!B:B,MATCH($A179,'PEER GROUP'!$A:$A,0))</f>
        <v>0</v>
      </c>
      <c r="C179" s="83">
        <f>INDEX('PEER GROUP'!C:C,MATCH($A179,'PEER GROUP'!$A:$A,0))</f>
        <v>0</v>
      </c>
      <c r="D179" s="83">
        <f>INDEX('PEER GROUP'!D:D,MATCH($A179,'PEER GROUP'!$A:$A,0))</f>
        <v>0</v>
      </c>
      <c r="E179" s="83">
        <f>INDEX('PEER GROUP'!E:E,MATCH(A179,'PEER GROUP'!$A:$A,0))</f>
        <v>0</v>
      </c>
      <c r="F179" s="84">
        <f>INDEX('PEER GROUP'!F:F,MATCH($A179,'PEER GROUP'!$A:$A,0))</f>
        <v>0</v>
      </c>
      <c r="G179" s="84">
        <f>INDEX('PEER GROUP'!G:G,MATCH($A179,'PEER GROUP'!$A:$A,0))</f>
        <v>0</v>
      </c>
      <c r="H179" s="85"/>
      <c r="I179" s="85"/>
      <c r="J179" s="70">
        <f>INDEX('PEER GROUP'!K:K,MATCH($A179,'PEER GROUP'!$A:$A,0))</f>
        <v>0</v>
      </c>
      <c r="K179" s="70">
        <f>INDEX('PEER GROUP'!L:L,MATCH($A179,'PEER GROUP'!$A:$A,0))</f>
        <v>0</v>
      </c>
      <c r="L179" s="70">
        <f>INDEX('PEER GROUP'!M:M,MATCH($A179,'PEER GROUP'!$A:$A,0))</f>
        <v>0</v>
      </c>
      <c r="M179" s="86">
        <f>INDEX('PEER GROUP'!N:N,MATCH($A179,'PEER GROUP'!$A:$A,0))</f>
        <v>0</v>
      </c>
      <c r="N179" s="118"/>
      <c r="O179" s="115"/>
      <c r="P179" s="117"/>
      <c r="Q179" s="87"/>
      <c r="R179" s="87">
        <f t="shared" si="56"/>
        <v>0</v>
      </c>
      <c r="S179" s="87"/>
      <c r="T179" s="87"/>
      <c r="U179" s="87"/>
      <c r="V179" s="87">
        <f t="shared" si="57"/>
        <v>0</v>
      </c>
      <c r="W179" s="113">
        <f t="shared" si="54"/>
        <v>36.913096727263202</v>
      </c>
      <c r="X179" s="69">
        <f t="shared" si="58"/>
        <v>0</v>
      </c>
      <c r="Y179" s="70">
        <f t="shared" si="59"/>
        <v>0</v>
      </c>
      <c r="Z179" s="70">
        <f t="shared" si="60"/>
        <v>0</v>
      </c>
      <c r="AA179" s="70">
        <f t="shared" si="61"/>
        <v>0</v>
      </c>
      <c r="AB179" s="70">
        <f t="shared" si="62"/>
        <v>0</v>
      </c>
      <c r="AC179" s="70">
        <f t="shared" si="63"/>
        <v>0</v>
      </c>
      <c r="AD179" s="71">
        <f t="shared" si="64"/>
        <v>0</v>
      </c>
      <c r="AE179" s="49"/>
      <c r="AF179" s="21"/>
      <c r="AG179" s="69"/>
      <c r="AH179" s="70"/>
      <c r="AI179" s="70"/>
      <c r="AJ179" s="70"/>
      <c r="AK179" s="70"/>
      <c r="AL179" s="70"/>
      <c r="AM179" s="70"/>
      <c r="AN179" s="70" t="str">
        <f t="shared" si="65"/>
        <v>---</v>
      </c>
      <c r="AO179" s="70" t="str">
        <f t="shared" si="66"/>
        <v>---</v>
      </c>
      <c r="AP179" s="70" t="str">
        <f t="shared" si="67"/>
        <v>---</v>
      </c>
      <c r="AQ179" s="70" t="str">
        <f t="shared" si="68"/>
        <v>---</v>
      </c>
      <c r="AR179" s="70" t="str">
        <f t="shared" si="69"/>
        <v>---</v>
      </c>
      <c r="AS179" s="70" t="str">
        <f t="shared" si="70"/>
        <v>---</v>
      </c>
      <c r="AT179" s="71" t="str">
        <f t="shared" si="71"/>
        <v>---</v>
      </c>
    </row>
    <row r="180" spans="1:46" ht="30" customHeight="1" x14ac:dyDescent="0.3">
      <c r="A180" s="123">
        <f t="shared" si="55"/>
        <v>176</v>
      </c>
      <c r="B180" s="140">
        <f>INDEX('PEER GROUP'!B:B,MATCH($A180,'PEER GROUP'!$A:$A,0))</f>
        <v>0</v>
      </c>
      <c r="C180" s="83">
        <f>INDEX('PEER GROUP'!C:C,MATCH($A180,'PEER GROUP'!$A:$A,0))</f>
        <v>0</v>
      </c>
      <c r="D180" s="83">
        <f>INDEX('PEER GROUP'!D:D,MATCH($A180,'PEER GROUP'!$A:$A,0))</f>
        <v>0</v>
      </c>
      <c r="E180" s="83">
        <f>INDEX('PEER GROUP'!E:E,MATCH(A180,'PEER GROUP'!$A:$A,0))</f>
        <v>0</v>
      </c>
      <c r="F180" s="84">
        <f>INDEX('PEER GROUP'!F:F,MATCH($A180,'PEER GROUP'!$A:$A,0))</f>
        <v>0</v>
      </c>
      <c r="G180" s="84">
        <f>INDEX('PEER GROUP'!G:G,MATCH($A180,'PEER GROUP'!$A:$A,0))</f>
        <v>0</v>
      </c>
      <c r="H180" s="85"/>
      <c r="I180" s="85"/>
      <c r="J180" s="70">
        <f>INDEX('PEER GROUP'!K:K,MATCH($A180,'PEER GROUP'!$A:$A,0))</f>
        <v>0</v>
      </c>
      <c r="K180" s="70">
        <f>INDEX('PEER GROUP'!L:L,MATCH($A180,'PEER GROUP'!$A:$A,0))</f>
        <v>0</v>
      </c>
      <c r="L180" s="70">
        <f>INDEX('PEER GROUP'!M:M,MATCH($A180,'PEER GROUP'!$A:$A,0))</f>
        <v>0</v>
      </c>
      <c r="M180" s="86">
        <f>INDEX('PEER GROUP'!N:N,MATCH($A180,'PEER GROUP'!$A:$A,0))</f>
        <v>0</v>
      </c>
      <c r="N180" s="118"/>
      <c r="O180" s="115"/>
      <c r="P180" s="117"/>
      <c r="Q180" s="87"/>
      <c r="R180" s="87">
        <f t="shared" si="56"/>
        <v>0</v>
      </c>
      <c r="S180" s="87"/>
      <c r="T180" s="87"/>
      <c r="U180" s="87"/>
      <c r="V180" s="87">
        <f t="shared" si="57"/>
        <v>0</v>
      </c>
      <c r="W180" s="113">
        <f t="shared" si="54"/>
        <v>36.913096727263202</v>
      </c>
      <c r="X180" s="69">
        <f t="shared" si="58"/>
        <v>0</v>
      </c>
      <c r="Y180" s="70">
        <f t="shared" si="59"/>
        <v>0</v>
      </c>
      <c r="Z180" s="70">
        <f t="shared" si="60"/>
        <v>0</v>
      </c>
      <c r="AA180" s="70">
        <f t="shared" si="61"/>
        <v>0</v>
      </c>
      <c r="AB180" s="70">
        <f t="shared" si="62"/>
        <v>0</v>
      </c>
      <c r="AC180" s="70">
        <f t="shared" si="63"/>
        <v>0</v>
      </c>
      <c r="AD180" s="71">
        <f t="shared" si="64"/>
        <v>0</v>
      </c>
      <c r="AE180" s="49"/>
      <c r="AF180" s="21"/>
      <c r="AG180" s="69"/>
      <c r="AH180" s="70"/>
      <c r="AI180" s="70"/>
      <c r="AJ180" s="70"/>
      <c r="AK180" s="70"/>
      <c r="AL180" s="70"/>
      <c r="AM180" s="70"/>
      <c r="AN180" s="70" t="str">
        <f t="shared" si="65"/>
        <v>---</v>
      </c>
      <c r="AO180" s="70" t="str">
        <f t="shared" si="66"/>
        <v>---</v>
      </c>
      <c r="AP180" s="70" t="str">
        <f t="shared" si="67"/>
        <v>---</v>
      </c>
      <c r="AQ180" s="70" t="str">
        <f t="shared" si="68"/>
        <v>---</v>
      </c>
      <c r="AR180" s="70" t="str">
        <f t="shared" si="69"/>
        <v>---</v>
      </c>
      <c r="AS180" s="70" t="str">
        <f t="shared" si="70"/>
        <v>---</v>
      </c>
      <c r="AT180" s="71" t="str">
        <f t="shared" si="71"/>
        <v>---</v>
      </c>
    </row>
    <row r="181" spans="1:46" ht="30" customHeight="1" x14ac:dyDescent="0.3">
      <c r="A181" s="123">
        <f t="shared" si="55"/>
        <v>177</v>
      </c>
      <c r="B181" s="140">
        <f>INDEX('PEER GROUP'!B:B,MATCH($A181,'PEER GROUP'!$A:$A,0))</f>
        <v>0</v>
      </c>
      <c r="C181" s="83">
        <f>INDEX('PEER GROUP'!C:C,MATCH($A181,'PEER GROUP'!$A:$A,0))</f>
        <v>0</v>
      </c>
      <c r="D181" s="83">
        <f>INDEX('PEER GROUP'!D:D,MATCH($A181,'PEER GROUP'!$A:$A,0))</f>
        <v>0</v>
      </c>
      <c r="E181" s="83">
        <f>INDEX('PEER GROUP'!E:E,MATCH(A181,'PEER GROUP'!$A:$A,0))</f>
        <v>0</v>
      </c>
      <c r="F181" s="84">
        <f>INDEX('PEER GROUP'!F:F,MATCH($A181,'PEER GROUP'!$A:$A,0))</f>
        <v>0</v>
      </c>
      <c r="G181" s="84">
        <f>INDEX('PEER GROUP'!G:G,MATCH($A181,'PEER GROUP'!$A:$A,0))</f>
        <v>0</v>
      </c>
      <c r="H181" s="85"/>
      <c r="I181" s="85"/>
      <c r="J181" s="70">
        <f>INDEX('PEER GROUP'!K:K,MATCH($A181,'PEER GROUP'!$A:$A,0))</f>
        <v>0</v>
      </c>
      <c r="K181" s="70">
        <f>INDEX('PEER GROUP'!L:L,MATCH($A181,'PEER GROUP'!$A:$A,0))</f>
        <v>0</v>
      </c>
      <c r="L181" s="70">
        <f>INDEX('PEER GROUP'!M:M,MATCH($A181,'PEER GROUP'!$A:$A,0))</f>
        <v>0</v>
      </c>
      <c r="M181" s="86">
        <f>INDEX('PEER GROUP'!N:N,MATCH($A181,'PEER GROUP'!$A:$A,0))</f>
        <v>0</v>
      </c>
      <c r="N181" s="118"/>
      <c r="O181" s="115"/>
      <c r="P181" s="117"/>
      <c r="Q181" s="87"/>
      <c r="R181" s="87">
        <f t="shared" si="56"/>
        <v>0</v>
      </c>
      <c r="S181" s="87"/>
      <c r="T181" s="87"/>
      <c r="U181" s="87"/>
      <c r="V181" s="87">
        <f t="shared" si="57"/>
        <v>0</v>
      </c>
      <c r="W181" s="113">
        <f t="shared" si="54"/>
        <v>36.913096727263202</v>
      </c>
      <c r="X181" s="69">
        <f t="shared" si="58"/>
        <v>0</v>
      </c>
      <c r="Y181" s="70">
        <f t="shared" si="59"/>
        <v>0</v>
      </c>
      <c r="Z181" s="70">
        <f t="shared" si="60"/>
        <v>0</v>
      </c>
      <c r="AA181" s="70">
        <f t="shared" si="61"/>
        <v>0</v>
      </c>
      <c r="AB181" s="70">
        <f t="shared" si="62"/>
        <v>0</v>
      </c>
      <c r="AC181" s="70">
        <f t="shared" si="63"/>
        <v>0</v>
      </c>
      <c r="AD181" s="71">
        <f t="shared" si="64"/>
        <v>0</v>
      </c>
      <c r="AE181" s="49"/>
      <c r="AF181" s="21"/>
      <c r="AG181" s="69"/>
      <c r="AH181" s="70"/>
      <c r="AI181" s="70"/>
      <c r="AJ181" s="70"/>
      <c r="AK181" s="70"/>
      <c r="AL181" s="70"/>
      <c r="AM181" s="70"/>
      <c r="AN181" s="70" t="str">
        <f t="shared" si="65"/>
        <v>---</v>
      </c>
      <c r="AO181" s="70" t="str">
        <f t="shared" si="66"/>
        <v>---</v>
      </c>
      <c r="AP181" s="70" t="str">
        <f t="shared" si="67"/>
        <v>---</v>
      </c>
      <c r="AQ181" s="70" t="str">
        <f t="shared" si="68"/>
        <v>---</v>
      </c>
      <c r="AR181" s="70" t="str">
        <f t="shared" si="69"/>
        <v>---</v>
      </c>
      <c r="AS181" s="70" t="str">
        <f t="shared" si="70"/>
        <v>---</v>
      </c>
      <c r="AT181" s="71" t="str">
        <f t="shared" si="71"/>
        <v>---</v>
      </c>
    </row>
    <row r="182" spans="1:46" ht="30" customHeight="1" x14ac:dyDescent="0.3">
      <c r="A182" s="123">
        <f t="shared" si="55"/>
        <v>178</v>
      </c>
      <c r="B182" s="140">
        <f>INDEX('PEER GROUP'!B:B,MATCH($A182,'PEER GROUP'!$A:$A,0))</f>
        <v>0</v>
      </c>
      <c r="C182" s="83">
        <f>INDEX('PEER GROUP'!C:C,MATCH($A182,'PEER GROUP'!$A:$A,0))</f>
        <v>0</v>
      </c>
      <c r="D182" s="83">
        <f>INDEX('PEER GROUP'!D:D,MATCH($A182,'PEER GROUP'!$A:$A,0))</f>
        <v>0</v>
      </c>
      <c r="E182" s="83">
        <f>INDEX('PEER GROUP'!E:E,MATCH(A182,'PEER GROUP'!$A:$A,0))</f>
        <v>0</v>
      </c>
      <c r="F182" s="84">
        <f>INDEX('PEER GROUP'!F:F,MATCH($A182,'PEER GROUP'!$A:$A,0))</f>
        <v>0</v>
      </c>
      <c r="G182" s="84">
        <f>INDEX('PEER GROUP'!G:G,MATCH($A182,'PEER GROUP'!$A:$A,0))</f>
        <v>0</v>
      </c>
      <c r="H182" s="85"/>
      <c r="I182" s="85"/>
      <c r="J182" s="70">
        <f>INDEX('PEER GROUP'!K:K,MATCH($A182,'PEER GROUP'!$A:$A,0))</f>
        <v>0</v>
      </c>
      <c r="K182" s="70">
        <f>INDEX('PEER GROUP'!L:L,MATCH($A182,'PEER GROUP'!$A:$A,0))</f>
        <v>0</v>
      </c>
      <c r="L182" s="70">
        <f>INDEX('PEER GROUP'!M:M,MATCH($A182,'PEER GROUP'!$A:$A,0))</f>
        <v>0</v>
      </c>
      <c r="M182" s="86">
        <f>INDEX('PEER GROUP'!N:N,MATCH($A182,'PEER GROUP'!$A:$A,0))</f>
        <v>0</v>
      </c>
      <c r="N182" s="118"/>
      <c r="O182" s="115"/>
      <c r="P182" s="117"/>
      <c r="Q182" s="87"/>
      <c r="R182" s="87">
        <f t="shared" si="56"/>
        <v>0</v>
      </c>
      <c r="S182" s="87"/>
      <c r="T182" s="87"/>
      <c r="U182" s="87"/>
      <c r="V182" s="87">
        <f t="shared" si="57"/>
        <v>0</v>
      </c>
      <c r="W182" s="113">
        <f t="shared" si="54"/>
        <v>36.913096727263202</v>
      </c>
      <c r="X182" s="69">
        <f t="shared" si="58"/>
        <v>0</v>
      </c>
      <c r="Y182" s="70">
        <f t="shared" si="59"/>
        <v>0</v>
      </c>
      <c r="Z182" s="70">
        <f t="shared" si="60"/>
        <v>0</v>
      </c>
      <c r="AA182" s="70">
        <f t="shared" si="61"/>
        <v>0</v>
      </c>
      <c r="AB182" s="70">
        <f t="shared" si="62"/>
        <v>0</v>
      </c>
      <c r="AC182" s="70">
        <f t="shared" si="63"/>
        <v>0</v>
      </c>
      <c r="AD182" s="71">
        <f t="shared" si="64"/>
        <v>0</v>
      </c>
      <c r="AE182" s="49"/>
      <c r="AF182" s="21"/>
      <c r="AG182" s="69"/>
      <c r="AH182" s="70"/>
      <c r="AI182" s="70"/>
      <c r="AJ182" s="70"/>
      <c r="AK182" s="70"/>
      <c r="AL182" s="70"/>
      <c r="AM182" s="70"/>
      <c r="AN182" s="70" t="str">
        <f t="shared" si="65"/>
        <v>---</v>
      </c>
      <c r="AO182" s="70" t="str">
        <f t="shared" si="66"/>
        <v>---</v>
      </c>
      <c r="AP182" s="70" t="str">
        <f t="shared" si="67"/>
        <v>---</v>
      </c>
      <c r="AQ182" s="70" t="str">
        <f t="shared" si="68"/>
        <v>---</v>
      </c>
      <c r="AR182" s="70" t="str">
        <f t="shared" si="69"/>
        <v>---</v>
      </c>
      <c r="AS182" s="70" t="str">
        <f t="shared" si="70"/>
        <v>---</v>
      </c>
      <c r="AT182" s="71" t="str">
        <f t="shared" si="71"/>
        <v>---</v>
      </c>
    </row>
    <row r="183" spans="1:46" ht="30" customHeight="1" x14ac:dyDescent="0.3">
      <c r="A183" s="123">
        <f t="shared" si="55"/>
        <v>179</v>
      </c>
      <c r="B183" s="140">
        <f>INDEX('PEER GROUP'!B:B,MATCH($A183,'PEER GROUP'!$A:$A,0))</f>
        <v>0</v>
      </c>
      <c r="C183" s="83">
        <f>INDEX('PEER GROUP'!C:C,MATCH($A183,'PEER GROUP'!$A:$A,0))</f>
        <v>0</v>
      </c>
      <c r="D183" s="83">
        <f>INDEX('PEER GROUP'!D:D,MATCH($A183,'PEER GROUP'!$A:$A,0))</f>
        <v>0</v>
      </c>
      <c r="E183" s="83">
        <f>INDEX('PEER GROUP'!E:E,MATCH(A183,'PEER GROUP'!$A:$A,0))</f>
        <v>0</v>
      </c>
      <c r="F183" s="84">
        <f>INDEX('PEER GROUP'!F:F,MATCH($A183,'PEER GROUP'!$A:$A,0))</f>
        <v>0</v>
      </c>
      <c r="G183" s="84">
        <f>INDEX('PEER GROUP'!G:G,MATCH($A183,'PEER GROUP'!$A:$A,0))</f>
        <v>0</v>
      </c>
      <c r="H183" s="85"/>
      <c r="I183" s="85"/>
      <c r="J183" s="70">
        <f>INDEX('PEER GROUP'!K:K,MATCH($A183,'PEER GROUP'!$A:$A,0))</f>
        <v>0</v>
      </c>
      <c r="K183" s="70">
        <f>INDEX('PEER GROUP'!L:L,MATCH($A183,'PEER GROUP'!$A:$A,0))</f>
        <v>0</v>
      </c>
      <c r="L183" s="70">
        <f>INDEX('PEER GROUP'!M:M,MATCH($A183,'PEER GROUP'!$A:$A,0))</f>
        <v>0</v>
      </c>
      <c r="M183" s="86">
        <f>INDEX('PEER GROUP'!N:N,MATCH($A183,'PEER GROUP'!$A:$A,0))</f>
        <v>0</v>
      </c>
      <c r="N183" s="118"/>
      <c r="O183" s="115"/>
      <c r="P183" s="117"/>
      <c r="Q183" s="87"/>
      <c r="R183" s="87">
        <f t="shared" si="56"/>
        <v>0</v>
      </c>
      <c r="S183" s="87"/>
      <c r="T183" s="87"/>
      <c r="U183" s="87"/>
      <c r="V183" s="87">
        <f t="shared" si="57"/>
        <v>0</v>
      </c>
      <c r="W183" s="113">
        <f t="shared" si="54"/>
        <v>36.913096727263202</v>
      </c>
      <c r="X183" s="69">
        <f t="shared" si="58"/>
        <v>0</v>
      </c>
      <c r="Y183" s="70">
        <f t="shared" si="59"/>
        <v>0</v>
      </c>
      <c r="Z183" s="70">
        <f t="shared" si="60"/>
        <v>0</v>
      </c>
      <c r="AA183" s="70">
        <f t="shared" si="61"/>
        <v>0</v>
      </c>
      <c r="AB183" s="70">
        <f t="shared" si="62"/>
        <v>0</v>
      </c>
      <c r="AC183" s="70">
        <f t="shared" si="63"/>
        <v>0</v>
      </c>
      <c r="AD183" s="71">
        <f t="shared" si="64"/>
        <v>0</v>
      </c>
      <c r="AE183" s="49"/>
      <c r="AF183" s="21"/>
      <c r="AG183" s="69"/>
      <c r="AH183" s="70"/>
      <c r="AI183" s="70"/>
      <c r="AJ183" s="70"/>
      <c r="AK183" s="70"/>
      <c r="AL183" s="70"/>
      <c r="AM183" s="70"/>
      <c r="AN183" s="70" t="str">
        <f t="shared" si="65"/>
        <v>---</v>
      </c>
      <c r="AO183" s="70" t="str">
        <f t="shared" si="66"/>
        <v>---</v>
      </c>
      <c r="AP183" s="70" t="str">
        <f t="shared" si="67"/>
        <v>---</v>
      </c>
      <c r="AQ183" s="70" t="str">
        <f t="shared" si="68"/>
        <v>---</v>
      </c>
      <c r="AR183" s="70" t="str">
        <f t="shared" si="69"/>
        <v>---</v>
      </c>
      <c r="AS183" s="70" t="str">
        <f t="shared" si="70"/>
        <v>---</v>
      </c>
      <c r="AT183" s="71" t="str">
        <f t="shared" si="71"/>
        <v>---</v>
      </c>
    </row>
    <row r="184" spans="1:46" ht="30" customHeight="1" x14ac:dyDescent="0.3">
      <c r="A184" s="123">
        <f t="shared" si="55"/>
        <v>180</v>
      </c>
      <c r="B184" s="140">
        <f>INDEX('PEER GROUP'!B:B,MATCH($A184,'PEER GROUP'!$A:$A,0))</f>
        <v>0</v>
      </c>
      <c r="C184" s="83">
        <f>INDEX('PEER GROUP'!C:C,MATCH($A184,'PEER GROUP'!$A:$A,0))</f>
        <v>0</v>
      </c>
      <c r="D184" s="83">
        <f>INDEX('PEER GROUP'!D:D,MATCH($A184,'PEER GROUP'!$A:$A,0))</f>
        <v>0</v>
      </c>
      <c r="E184" s="83">
        <f>INDEX('PEER GROUP'!E:E,MATCH(A184,'PEER GROUP'!$A:$A,0))</f>
        <v>0</v>
      </c>
      <c r="F184" s="84">
        <f>INDEX('PEER GROUP'!F:F,MATCH($A184,'PEER GROUP'!$A:$A,0))</f>
        <v>0</v>
      </c>
      <c r="G184" s="84">
        <f>INDEX('PEER GROUP'!G:G,MATCH($A184,'PEER GROUP'!$A:$A,0))</f>
        <v>0</v>
      </c>
      <c r="H184" s="85"/>
      <c r="I184" s="85"/>
      <c r="J184" s="70">
        <f>INDEX('PEER GROUP'!K:K,MATCH($A184,'PEER GROUP'!$A:$A,0))</f>
        <v>0</v>
      </c>
      <c r="K184" s="70">
        <f>INDEX('PEER GROUP'!L:L,MATCH($A184,'PEER GROUP'!$A:$A,0))</f>
        <v>0</v>
      </c>
      <c r="L184" s="70">
        <f>INDEX('PEER GROUP'!M:M,MATCH($A184,'PEER GROUP'!$A:$A,0))</f>
        <v>0</v>
      </c>
      <c r="M184" s="86">
        <f>INDEX('PEER GROUP'!N:N,MATCH($A184,'PEER GROUP'!$A:$A,0))</f>
        <v>0</v>
      </c>
      <c r="N184" s="118"/>
      <c r="O184" s="115"/>
      <c r="P184" s="117"/>
      <c r="Q184" s="87"/>
      <c r="R184" s="87">
        <f t="shared" si="56"/>
        <v>0</v>
      </c>
      <c r="S184" s="87"/>
      <c r="T184" s="87"/>
      <c r="U184" s="87"/>
      <c r="V184" s="87">
        <f t="shared" si="57"/>
        <v>0</v>
      </c>
      <c r="W184" s="113">
        <f t="shared" si="54"/>
        <v>36.913096727263202</v>
      </c>
      <c r="X184" s="69">
        <f t="shared" si="58"/>
        <v>0</v>
      </c>
      <c r="Y184" s="70">
        <f t="shared" si="59"/>
        <v>0</v>
      </c>
      <c r="Z184" s="70">
        <f t="shared" si="60"/>
        <v>0</v>
      </c>
      <c r="AA184" s="70">
        <f t="shared" si="61"/>
        <v>0</v>
      </c>
      <c r="AB184" s="70">
        <f t="shared" si="62"/>
        <v>0</v>
      </c>
      <c r="AC184" s="70">
        <f t="shared" si="63"/>
        <v>0</v>
      </c>
      <c r="AD184" s="71">
        <f t="shared" si="64"/>
        <v>0</v>
      </c>
      <c r="AE184" s="49"/>
      <c r="AF184" s="21"/>
      <c r="AG184" s="69"/>
      <c r="AH184" s="70"/>
      <c r="AI184" s="70"/>
      <c r="AJ184" s="70"/>
      <c r="AK184" s="70"/>
      <c r="AL184" s="70"/>
      <c r="AM184" s="70"/>
      <c r="AN184" s="70" t="str">
        <f t="shared" si="65"/>
        <v>---</v>
      </c>
      <c r="AO184" s="70" t="str">
        <f t="shared" si="66"/>
        <v>---</v>
      </c>
      <c r="AP184" s="70" t="str">
        <f t="shared" si="67"/>
        <v>---</v>
      </c>
      <c r="AQ184" s="70" t="str">
        <f t="shared" si="68"/>
        <v>---</v>
      </c>
      <c r="AR184" s="70" t="str">
        <f t="shared" si="69"/>
        <v>---</v>
      </c>
      <c r="AS184" s="70" t="str">
        <f t="shared" si="70"/>
        <v>---</v>
      </c>
      <c r="AT184" s="71" t="str">
        <f t="shared" si="71"/>
        <v>---</v>
      </c>
    </row>
    <row r="185" spans="1:46" ht="30" customHeight="1" x14ac:dyDescent="0.3">
      <c r="A185" s="123">
        <f t="shared" si="55"/>
        <v>181</v>
      </c>
      <c r="B185" s="140">
        <f>INDEX('PEER GROUP'!B:B,MATCH($A185,'PEER GROUP'!$A:$A,0))</f>
        <v>0</v>
      </c>
      <c r="C185" s="83">
        <f>INDEX('PEER GROUP'!C:C,MATCH($A185,'PEER GROUP'!$A:$A,0))</f>
        <v>0</v>
      </c>
      <c r="D185" s="83">
        <f>INDEX('PEER GROUP'!D:D,MATCH($A185,'PEER GROUP'!$A:$A,0))</f>
        <v>0</v>
      </c>
      <c r="E185" s="83">
        <f>INDEX('PEER GROUP'!E:E,MATCH(A185,'PEER GROUP'!$A:$A,0))</f>
        <v>0</v>
      </c>
      <c r="F185" s="84">
        <f>INDEX('PEER GROUP'!F:F,MATCH($A185,'PEER GROUP'!$A:$A,0))</f>
        <v>0</v>
      </c>
      <c r="G185" s="84">
        <f>INDEX('PEER GROUP'!G:G,MATCH($A185,'PEER GROUP'!$A:$A,0))</f>
        <v>0</v>
      </c>
      <c r="H185" s="85"/>
      <c r="I185" s="85"/>
      <c r="J185" s="70">
        <f>INDEX('PEER GROUP'!K:K,MATCH($A185,'PEER GROUP'!$A:$A,0))</f>
        <v>0</v>
      </c>
      <c r="K185" s="70">
        <f>INDEX('PEER GROUP'!L:L,MATCH($A185,'PEER GROUP'!$A:$A,0))</f>
        <v>0</v>
      </c>
      <c r="L185" s="70">
        <f>INDEX('PEER GROUP'!M:M,MATCH($A185,'PEER GROUP'!$A:$A,0))</f>
        <v>0</v>
      </c>
      <c r="M185" s="86">
        <f>INDEX('PEER GROUP'!N:N,MATCH($A185,'PEER GROUP'!$A:$A,0))</f>
        <v>0</v>
      </c>
      <c r="N185" s="118"/>
      <c r="O185" s="115"/>
      <c r="P185" s="117"/>
      <c r="Q185" s="87"/>
      <c r="R185" s="87">
        <f t="shared" si="56"/>
        <v>0</v>
      </c>
      <c r="S185" s="87"/>
      <c r="T185" s="87"/>
      <c r="U185" s="87"/>
      <c r="V185" s="87">
        <f t="shared" si="57"/>
        <v>0</v>
      </c>
      <c r="W185" s="113">
        <f t="shared" si="54"/>
        <v>36.913096727263202</v>
      </c>
      <c r="X185" s="69">
        <f t="shared" si="58"/>
        <v>0</v>
      </c>
      <c r="Y185" s="70">
        <f t="shared" si="59"/>
        <v>0</v>
      </c>
      <c r="Z185" s="70">
        <f t="shared" si="60"/>
        <v>0</v>
      </c>
      <c r="AA185" s="70">
        <f t="shared" si="61"/>
        <v>0</v>
      </c>
      <c r="AB185" s="70">
        <f t="shared" si="62"/>
        <v>0</v>
      </c>
      <c r="AC185" s="70">
        <f t="shared" si="63"/>
        <v>0</v>
      </c>
      <c r="AD185" s="71">
        <f t="shared" si="64"/>
        <v>0</v>
      </c>
      <c r="AE185" s="49"/>
      <c r="AF185" s="21"/>
      <c r="AG185" s="69"/>
      <c r="AH185" s="70"/>
      <c r="AI185" s="70"/>
      <c r="AJ185" s="70"/>
      <c r="AK185" s="70"/>
      <c r="AL185" s="70"/>
      <c r="AM185" s="70"/>
      <c r="AN185" s="70" t="str">
        <f t="shared" si="65"/>
        <v>---</v>
      </c>
      <c r="AO185" s="70" t="str">
        <f t="shared" si="66"/>
        <v>---</v>
      </c>
      <c r="AP185" s="70" t="str">
        <f t="shared" si="67"/>
        <v>---</v>
      </c>
      <c r="AQ185" s="70" t="str">
        <f t="shared" si="68"/>
        <v>---</v>
      </c>
      <c r="AR185" s="70" t="str">
        <f t="shared" si="69"/>
        <v>---</v>
      </c>
      <c r="AS185" s="70" t="str">
        <f t="shared" si="70"/>
        <v>---</v>
      </c>
      <c r="AT185" s="71" t="str">
        <f t="shared" si="71"/>
        <v>---</v>
      </c>
    </row>
    <row r="186" spans="1:46" ht="30" customHeight="1" x14ac:dyDescent="0.3">
      <c r="A186" s="123">
        <f t="shared" si="55"/>
        <v>182</v>
      </c>
      <c r="B186" s="140">
        <f>INDEX('PEER GROUP'!B:B,MATCH($A186,'PEER GROUP'!$A:$A,0))</f>
        <v>0</v>
      </c>
      <c r="C186" s="83">
        <f>INDEX('PEER GROUP'!C:C,MATCH($A186,'PEER GROUP'!$A:$A,0))</f>
        <v>0</v>
      </c>
      <c r="D186" s="83">
        <f>INDEX('PEER GROUP'!D:D,MATCH($A186,'PEER GROUP'!$A:$A,0))</f>
        <v>0</v>
      </c>
      <c r="E186" s="83">
        <f>INDEX('PEER GROUP'!E:E,MATCH(A186,'PEER GROUP'!$A:$A,0))</f>
        <v>0</v>
      </c>
      <c r="F186" s="84">
        <f>INDEX('PEER GROUP'!F:F,MATCH($A186,'PEER GROUP'!$A:$A,0))</f>
        <v>0</v>
      </c>
      <c r="G186" s="84">
        <f>INDEX('PEER GROUP'!G:G,MATCH($A186,'PEER GROUP'!$A:$A,0))</f>
        <v>0</v>
      </c>
      <c r="H186" s="85"/>
      <c r="I186" s="85"/>
      <c r="J186" s="70">
        <f>INDEX('PEER GROUP'!K:K,MATCH($A186,'PEER GROUP'!$A:$A,0))</f>
        <v>0</v>
      </c>
      <c r="K186" s="70">
        <f>INDEX('PEER GROUP'!L:L,MATCH($A186,'PEER GROUP'!$A:$A,0))</f>
        <v>0</v>
      </c>
      <c r="L186" s="70">
        <f>INDEX('PEER GROUP'!M:M,MATCH($A186,'PEER GROUP'!$A:$A,0))</f>
        <v>0</v>
      </c>
      <c r="M186" s="86">
        <f>INDEX('PEER GROUP'!N:N,MATCH($A186,'PEER GROUP'!$A:$A,0))</f>
        <v>0</v>
      </c>
      <c r="N186" s="118"/>
      <c r="O186" s="115"/>
      <c r="P186" s="117"/>
      <c r="Q186" s="87"/>
      <c r="R186" s="87">
        <f t="shared" si="56"/>
        <v>0</v>
      </c>
      <c r="S186" s="87"/>
      <c r="T186" s="87"/>
      <c r="U186" s="87"/>
      <c r="V186" s="87">
        <f t="shared" si="57"/>
        <v>0</v>
      </c>
      <c r="W186" s="113">
        <f t="shared" si="54"/>
        <v>36.913096727263202</v>
      </c>
      <c r="X186" s="69">
        <f t="shared" si="58"/>
        <v>0</v>
      </c>
      <c r="Y186" s="70">
        <f t="shared" si="59"/>
        <v>0</v>
      </c>
      <c r="Z186" s="70">
        <f t="shared" si="60"/>
        <v>0</v>
      </c>
      <c r="AA186" s="70">
        <f t="shared" si="61"/>
        <v>0</v>
      </c>
      <c r="AB186" s="70">
        <f t="shared" si="62"/>
        <v>0</v>
      </c>
      <c r="AC186" s="70">
        <f t="shared" si="63"/>
        <v>0</v>
      </c>
      <c r="AD186" s="71">
        <f t="shared" si="64"/>
        <v>0</v>
      </c>
      <c r="AE186" s="49"/>
      <c r="AF186" s="21"/>
      <c r="AG186" s="69"/>
      <c r="AH186" s="70"/>
      <c r="AI186" s="70"/>
      <c r="AJ186" s="70"/>
      <c r="AK186" s="70"/>
      <c r="AL186" s="70"/>
      <c r="AM186" s="70"/>
      <c r="AN186" s="70" t="str">
        <f t="shared" si="65"/>
        <v>---</v>
      </c>
      <c r="AO186" s="70" t="str">
        <f t="shared" si="66"/>
        <v>---</v>
      </c>
      <c r="AP186" s="70" t="str">
        <f t="shared" si="67"/>
        <v>---</v>
      </c>
      <c r="AQ186" s="70" t="str">
        <f t="shared" si="68"/>
        <v>---</v>
      </c>
      <c r="AR186" s="70" t="str">
        <f t="shared" si="69"/>
        <v>---</v>
      </c>
      <c r="AS186" s="70" t="str">
        <f t="shared" si="70"/>
        <v>---</v>
      </c>
      <c r="AT186" s="71" t="str">
        <f t="shared" si="71"/>
        <v>---</v>
      </c>
    </row>
    <row r="187" spans="1:46" ht="30" customHeight="1" x14ac:dyDescent="0.3">
      <c r="A187" s="123">
        <f t="shared" si="55"/>
        <v>183</v>
      </c>
      <c r="B187" s="140">
        <f>INDEX('PEER GROUP'!B:B,MATCH($A187,'PEER GROUP'!$A:$A,0))</f>
        <v>0</v>
      </c>
      <c r="C187" s="83">
        <f>INDEX('PEER GROUP'!C:C,MATCH($A187,'PEER GROUP'!$A:$A,0))</f>
        <v>0</v>
      </c>
      <c r="D187" s="83">
        <f>INDEX('PEER GROUP'!D:D,MATCH($A187,'PEER GROUP'!$A:$A,0))</f>
        <v>0</v>
      </c>
      <c r="E187" s="83">
        <f>INDEX('PEER GROUP'!E:E,MATCH(A187,'PEER GROUP'!$A:$A,0))</f>
        <v>0</v>
      </c>
      <c r="F187" s="84">
        <f>INDEX('PEER GROUP'!F:F,MATCH($A187,'PEER GROUP'!$A:$A,0))</f>
        <v>0</v>
      </c>
      <c r="G187" s="84">
        <f>INDEX('PEER GROUP'!G:G,MATCH($A187,'PEER GROUP'!$A:$A,0))</f>
        <v>0</v>
      </c>
      <c r="H187" s="85"/>
      <c r="I187" s="85"/>
      <c r="J187" s="70">
        <f>INDEX('PEER GROUP'!K:K,MATCH($A187,'PEER GROUP'!$A:$A,0))</f>
        <v>0</v>
      </c>
      <c r="K187" s="70">
        <f>INDEX('PEER GROUP'!L:L,MATCH($A187,'PEER GROUP'!$A:$A,0))</f>
        <v>0</v>
      </c>
      <c r="L187" s="70">
        <f>INDEX('PEER GROUP'!M:M,MATCH($A187,'PEER GROUP'!$A:$A,0))</f>
        <v>0</v>
      </c>
      <c r="M187" s="86">
        <f>INDEX('PEER GROUP'!N:N,MATCH($A187,'PEER GROUP'!$A:$A,0))</f>
        <v>0</v>
      </c>
      <c r="N187" s="118"/>
      <c r="O187" s="115"/>
      <c r="P187" s="117"/>
      <c r="Q187" s="87"/>
      <c r="R187" s="87">
        <f t="shared" si="56"/>
        <v>0</v>
      </c>
      <c r="S187" s="87"/>
      <c r="T187" s="87"/>
      <c r="U187" s="87"/>
      <c r="V187" s="87">
        <f t="shared" si="57"/>
        <v>0</v>
      </c>
      <c r="W187" s="113">
        <f t="shared" si="54"/>
        <v>36.913096727263202</v>
      </c>
      <c r="X187" s="69">
        <f t="shared" si="58"/>
        <v>0</v>
      </c>
      <c r="Y187" s="70">
        <f t="shared" si="59"/>
        <v>0</v>
      </c>
      <c r="Z187" s="70">
        <f t="shared" si="60"/>
        <v>0</v>
      </c>
      <c r="AA187" s="70">
        <f t="shared" si="61"/>
        <v>0</v>
      </c>
      <c r="AB187" s="70">
        <f t="shared" si="62"/>
        <v>0</v>
      </c>
      <c r="AC187" s="70">
        <f t="shared" si="63"/>
        <v>0</v>
      </c>
      <c r="AD187" s="71">
        <f t="shared" si="64"/>
        <v>0</v>
      </c>
      <c r="AE187" s="49"/>
      <c r="AF187" s="21"/>
      <c r="AG187" s="69"/>
      <c r="AH187" s="70"/>
      <c r="AI187" s="70"/>
      <c r="AJ187" s="70"/>
      <c r="AK187" s="70"/>
      <c r="AL187" s="70"/>
      <c r="AM187" s="70"/>
      <c r="AN187" s="70" t="str">
        <f t="shared" si="65"/>
        <v>---</v>
      </c>
      <c r="AO187" s="70" t="str">
        <f t="shared" si="66"/>
        <v>---</v>
      </c>
      <c r="AP187" s="70" t="str">
        <f t="shared" si="67"/>
        <v>---</v>
      </c>
      <c r="AQ187" s="70" t="str">
        <f t="shared" si="68"/>
        <v>---</v>
      </c>
      <c r="AR187" s="70" t="str">
        <f t="shared" si="69"/>
        <v>---</v>
      </c>
      <c r="AS187" s="70" t="str">
        <f t="shared" si="70"/>
        <v>---</v>
      </c>
      <c r="AT187" s="71" t="str">
        <f t="shared" si="71"/>
        <v>---</v>
      </c>
    </row>
    <row r="188" spans="1:46" ht="30" customHeight="1" x14ac:dyDescent="0.3">
      <c r="A188" s="123">
        <f t="shared" si="55"/>
        <v>184</v>
      </c>
      <c r="B188" s="140">
        <f>INDEX('PEER GROUP'!B:B,MATCH($A188,'PEER GROUP'!$A:$A,0))</f>
        <v>0</v>
      </c>
      <c r="C188" s="83">
        <f>INDEX('PEER GROUP'!C:C,MATCH($A188,'PEER GROUP'!$A:$A,0))</f>
        <v>0</v>
      </c>
      <c r="D188" s="83">
        <f>INDEX('PEER GROUP'!D:D,MATCH($A188,'PEER GROUP'!$A:$A,0))</f>
        <v>0</v>
      </c>
      <c r="E188" s="83">
        <f>INDEX('PEER GROUP'!E:E,MATCH(A188,'PEER GROUP'!$A:$A,0))</f>
        <v>0</v>
      </c>
      <c r="F188" s="84">
        <f>INDEX('PEER GROUP'!F:F,MATCH($A188,'PEER GROUP'!$A:$A,0))</f>
        <v>0</v>
      </c>
      <c r="G188" s="84">
        <f>INDEX('PEER GROUP'!G:G,MATCH($A188,'PEER GROUP'!$A:$A,0))</f>
        <v>0</v>
      </c>
      <c r="H188" s="85"/>
      <c r="I188" s="85"/>
      <c r="J188" s="70">
        <f>INDEX('PEER GROUP'!K:K,MATCH($A188,'PEER GROUP'!$A:$A,0))</f>
        <v>0</v>
      </c>
      <c r="K188" s="70">
        <f>INDEX('PEER GROUP'!L:L,MATCH($A188,'PEER GROUP'!$A:$A,0))</f>
        <v>0</v>
      </c>
      <c r="L188" s="70">
        <f>INDEX('PEER GROUP'!M:M,MATCH($A188,'PEER GROUP'!$A:$A,0))</f>
        <v>0</v>
      </c>
      <c r="M188" s="86">
        <f>INDEX('PEER GROUP'!N:N,MATCH($A188,'PEER GROUP'!$A:$A,0))</f>
        <v>0</v>
      </c>
      <c r="N188" s="118"/>
      <c r="O188" s="115"/>
      <c r="P188" s="117"/>
      <c r="Q188" s="87"/>
      <c r="R188" s="87">
        <f t="shared" si="56"/>
        <v>0</v>
      </c>
      <c r="S188" s="87"/>
      <c r="T188" s="87"/>
      <c r="U188" s="87"/>
      <c r="V188" s="87">
        <f t="shared" si="57"/>
        <v>0</v>
      </c>
      <c r="W188" s="113">
        <f t="shared" si="54"/>
        <v>36.913096727263202</v>
      </c>
      <c r="X188" s="69">
        <f t="shared" si="58"/>
        <v>0</v>
      </c>
      <c r="Y188" s="70">
        <f t="shared" si="59"/>
        <v>0</v>
      </c>
      <c r="Z188" s="70">
        <f t="shared" si="60"/>
        <v>0</v>
      </c>
      <c r="AA188" s="70">
        <f t="shared" si="61"/>
        <v>0</v>
      </c>
      <c r="AB188" s="70">
        <f t="shared" si="62"/>
        <v>0</v>
      </c>
      <c r="AC188" s="70">
        <f t="shared" si="63"/>
        <v>0</v>
      </c>
      <c r="AD188" s="71">
        <f t="shared" si="64"/>
        <v>0</v>
      </c>
      <c r="AE188" s="49"/>
      <c r="AF188" s="21"/>
      <c r="AG188" s="69"/>
      <c r="AH188" s="70"/>
      <c r="AI188" s="70"/>
      <c r="AJ188" s="70"/>
      <c r="AK188" s="70"/>
      <c r="AL188" s="70"/>
      <c r="AM188" s="70"/>
      <c r="AN188" s="70" t="str">
        <f t="shared" si="65"/>
        <v>---</v>
      </c>
      <c r="AO188" s="70" t="str">
        <f t="shared" si="66"/>
        <v>---</v>
      </c>
      <c r="AP188" s="70" t="str">
        <f t="shared" si="67"/>
        <v>---</v>
      </c>
      <c r="AQ188" s="70" t="str">
        <f t="shared" si="68"/>
        <v>---</v>
      </c>
      <c r="AR188" s="70" t="str">
        <f t="shared" si="69"/>
        <v>---</v>
      </c>
      <c r="AS188" s="70" t="str">
        <f t="shared" si="70"/>
        <v>---</v>
      </c>
      <c r="AT188" s="71" t="str">
        <f t="shared" si="71"/>
        <v>---</v>
      </c>
    </row>
    <row r="189" spans="1:46" ht="30" customHeight="1" x14ac:dyDescent="0.3">
      <c r="A189" s="123">
        <f t="shared" si="55"/>
        <v>185</v>
      </c>
      <c r="B189" s="140">
        <f>INDEX('PEER GROUP'!B:B,MATCH($A189,'PEER GROUP'!$A:$A,0))</f>
        <v>0</v>
      </c>
      <c r="C189" s="83">
        <f>INDEX('PEER GROUP'!C:C,MATCH($A189,'PEER GROUP'!$A:$A,0))</f>
        <v>0</v>
      </c>
      <c r="D189" s="83">
        <f>INDEX('PEER GROUP'!D:D,MATCH($A189,'PEER GROUP'!$A:$A,0))</f>
        <v>0</v>
      </c>
      <c r="E189" s="83">
        <f>INDEX('PEER GROUP'!E:E,MATCH(A189,'PEER GROUP'!$A:$A,0))</f>
        <v>0</v>
      </c>
      <c r="F189" s="84">
        <f>INDEX('PEER GROUP'!F:F,MATCH($A189,'PEER GROUP'!$A:$A,0))</f>
        <v>0</v>
      </c>
      <c r="G189" s="84">
        <f>INDEX('PEER GROUP'!G:G,MATCH($A189,'PEER GROUP'!$A:$A,0))</f>
        <v>0</v>
      </c>
      <c r="H189" s="85"/>
      <c r="I189" s="85"/>
      <c r="J189" s="70">
        <f>INDEX('PEER GROUP'!K:K,MATCH($A189,'PEER GROUP'!$A:$A,0))</f>
        <v>0</v>
      </c>
      <c r="K189" s="70">
        <f>INDEX('PEER GROUP'!L:L,MATCH($A189,'PEER GROUP'!$A:$A,0))</f>
        <v>0</v>
      </c>
      <c r="L189" s="70">
        <f>INDEX('PEER GROUP'!M:M,MATCH($A189,'PEER GROUP'!$A:$A,0))</f>
        <v>0</v>
      </c>
      <c r="M189" s="86">
        <f>INDEX('PEER GROUP'!N:N,MATCH($A189,'PEER GROUP'!$A:$A,0))</f>
        <v>0</v>
      </c>
      <c r="N189" s="118"/>
      <c r="O189" s="115"/>
      <c r="P189" s="117"/>
      <c r="Q189" s="87"/>
      <c r="R189" s="87">
        <f t="shared" si="56"/>
        <v>0</v>
      </c>
      <c r="S189" s="87"/>
      <c r="T189" s="87"/>
      <c r="U189" s="87"/>
      <c r="V189" s="87">
        <f t="shared" si="57"/>
        <v>0</v>
      </c>
      <c r="W189" s="113">
        <f t="shared" si="54"/>
        <v>36.913096727263202</v>
      </c>
      <c r="X189" s="69">
        <f t="shared" si="58"/>
        <v>0</v>
      </c>
      <c r="Y189" s="70">
        <f t="shared" si="59"/>
        <v>0</v>
      </c>
      <c r="Z189" s="70">
        <f t="shared" si="60"/>
        <v>0</v>
      </c>
      <c r="AA189" s="70">
        <f t="shared" si="61"/>
        <v>0</v>
      </c>
      <c r="AB189" s="70">
        <f t="shared" si="62"/>
        <v>0</v>
      </c>
      <c r="AC189" s="70">
        <f t="shared" si="63"/>
        <v>0</v>
      </c>
      <c r="AD189" s="71">
        <f t="shared" si="64"/>
        <v>0</v>
      </c>
      <c r="AE189" s="49"/>
      <c r="AF189" s="21"/>
      <c r="AG189" s="69"/>
      <c r="AH189" s="70"/>
      <c r="AI189" s="70"/>
      <c r="AJ189" s="70"/>
      <c r="AK189" s="70"/>
      <c r="AL189" s="70"/>
      <c r="AM189" s="70"/>
      <c r="AN189" s="70" t="str">
        <f t="shared" si="65"/>
        <v>---</v>
      </c>
      <c r="AO189" s="70" t="str">
        <f t="shared" si="66"/>
        <v>---</v>
      </c>
      <c r="AP189" s="70" t="str">
        <f t="shared" si="67"/>
        <v>---</v>
      </c>
      <c r="AQ189" s="70" t="str">
        <f t="shared" si="68"/>
        <v>---</v>
      </c>
      <c r="AR189" s="70" t="str">
        <f t="shared" si="69"/>
        <v>---</v>
      </c>
      <c r="AS189" s="70" t="str">
        <f t="shared" si="70"/>
        <v>---</v>
      </c>
      <c r="AT189" s="71" t="str">
        <f t="shared" si="71"/>
        <v>---</v>
      </c>
    </row>
    <row r="190" spans="1:46" ht="30" customHeight="1" x14ac:dyDescent="0.3">
      <c r="A190" s="123">
        <f t="shared" si="55"/>
        <v>186</v>
      </c>
      <c r="B190" s="140">
        <f>INDEX('PEER GROUP'!B:B,MATCH($A190,'PEER GROUP'!$A:$A,0))</f>
        <v>0</v>
      </c>
      <c r="C190" s="83">
        <f>INDEX('PEER GROUP'!C:C,MATCH($A190,'PEER GROUP'!$A:$A,0))</f>
        <v>0</v>
      </c>
      <c r="D190" s="83">
        <f>INDEX('PEER GROUP'!D:D,MATCH($A190,'PEER GROUP'!$A:$A,0))</f>
        <v>0</v>
      </c>
      <c r="E190" s="83">
        <f>INDEX('PEER GROUP'!E:E,MATCH(A190,'PEER GROUP'!$A:$A,0))</f>
        <v>0</v>
      </c>
      <c r="F190" s="84">
        <f>INDEX('PEER GROUP'!F:F,MATCH($A190,'PEER GROUP'!$A:$A,0))</f>
        <v>0</v>
      </c>
      <c r="G190" s="84">
        <f>INDEX('PEER GROUP'!G:G,MATCH($A190,'PEER GROUP'!$A:$A,0))</f>
        <v>0</v>
      </c>
      <c r="H190" s="85"/>
      <c r="I190" s="85"/>
      <c r="J190" s="70">
        <f>INDEX('PEER GROUP'!K:K,MATCH($A190,'PEER GROUP'!$A:$A,0))</f>
        <v>0</v>
      </c>
      <c r="K190" s="70">
        <f>INDEX('PEER GROUP'!L:L,MATCH($A190,'PEER GROUP'!$A:$A,0))</f>
        <v>0</v>
      </c>
      <c r="L190" s="70">
        <f>INDEX('PEER GROUP'!M:M,MATCH($A190,'PEER GROUP'!$A:$A,0))</f>
        <v>0</v>
      </c>
      <c r="M190" s="86">
        <f>INDEX('PEER GROUP'!N:N,MATCH($A190,'PEER GROUP'!$A:$A,0))</f>
        <v>0</v>
      </c>
      <c r="N190" s="118"/>
      <c r="O190" s="115"/>
      <c r="P190" s="117"/>
      <c r="Q190" s="87"/>
      <c r="R190" s="87">
        <f t="shared" si="56"/>
        <v>0</v>
      </c>
      <c r="S190" s="87"/>
      <c r="T190" s="87"/>
      <c r="U190" s="87"/>
      <c r="V190" s="87">
        <f t="shared" si="57"/>
        <v>0</v>
      </c>
      <c r="W190" s="113">
        <f t="shared" si="54"/>
        <v>36.913096727263202</v>
      </c>
      <c r="X190" s="69">
        <f t="shared" si="58"/>
        <v>0</v>
      </c>
      <c r="Y190" s="70">
        <f t="shared" si="59"/>
        <v>0</v>
      </c>
      <c r="Z190" s="70">
        <f t="shared" si="60"/>
        <v>0</v>
      </c>
      <c r="AA190" s="70">
        <f t="shared" si="61"/>
        <v>0</v>
      </c>
      <c r="AB190" s="70">
        <f t="shared" si="62"/>
        <v>0</v>
      </c>
      <c r="AC190" s="70">
        <f t="shared" si="63"/>
        <v>0</v>
      </c>
      <c r="AD190" s="71">
        <f t="shared" si="64"/>
        <v>0</v>
      </c>
      <c r="AE190" s="49"/>
      <c r="AF190" s="21"/>
      <c r="AG190" s="69"/>
      <c r="AH190" s="70"/>
      <c r="AI190" s="70"/>
      <c r="AJ190" s="70"/>
      <c r="AK190" s="70"/>
      <c r="AL190" s="70"/>
      <c r="AM190" s="70"/>
      <c r="AN190" s="70" t="str">
        <f t="shared" si="65"/>
        <v>---</v>
      </c>
      <c r="AO190" s="70" t="str">
        <f t="shared" si="66"/>
        <v>---</v>
      </c>
      <c r="AP190" s="70" t="str">
        <f t="shared" si="67"/>
        <v>---</v>
      </c>
      <c r="AQ190" s="70" t="str">
        <f t="shared" si="68"/>
        <v>---</v>
      </c>
      <c r="AR190" s="70" t="str">
        <f t="shared" si="69"/>
        <v>---</v>
      </c>
      <c r="AS190" s="70" t="str">
        <f t="shared" si="70"/>
        <v>---</v>
      </c>
      <c r="AT190" s="71" t="str">
        <f t="shared" si="71"/>
        <v>---</v>
      </c>
    </row>
    <row r="191" spans="1:46" ht="30" customHeight="1" x14ac:dyDescent="0.3">
      <c r="A191" s="123">
        <f t="shared" si="55"/>
        <v>187</v>
      </c>
      <c r="B191" s="140">
        <f>INDEX('PEER GROUP'!B:B,MATCH($A191,'PEER GROUP'!$A:$A,0))</f>
        <v>0</v>
      </c>
      <c r="C191" s="83">
        <f>INDEX('PEER GROUP'!C:C,MATCH($A191,'PEER GROUP'!$A:$A,0))</f>
        <v>0</v>
      </c>
      <c r="D191" s="83">
        <f>INDEX('PEER GROUP'!D:D,MATCH($A191,'PEER GROUP'!$A:$A,0))</f>
        <v>0</v>
      </c>
      <c r="E191" s="83">
        <f>INDEX('PEER GROUP'!E:E,MATCH(A191,'PEER GROUP'!$A:$A,0))</f>
        <v>0</v>
      </c>
      <c r="F191" s="84">
        <f>INDEX('PEER GROUP'!F:F,MATCH($A191,'PEER GROUP'!$A:$A,0))</f>
        <v>0</v>
      </c>
      <c r="G191" s="84">
        <f>INDEX('PEER GROUP'!G:G,MATCH($A191,'PEER GROUP'!$A:$A,0))</f>
        <v>0</v>
      </c>
      <c r="H191" s="85"/>
      <c r="I191" s="85"/>
      <c r="J191" s="70">
        <f>INDEX('PEER GROUP'!K:K,MATCH($A191,'PEER GROUP'!$A:$A,0))</f>
        <v>0</v>
      </c>
      <c r="K191" s="70">
        <f>INDEX('PEER GROUP'!L:L,MATCH($A191,'PEER GROUP'!$A:$A,0))</f>
        <v>0</v>
      </c>
      <c r="L191" s="70">
        <f>INDEX('PEER GROUP'!M:M,MATCH($A191,'PEER GROUP'!$A:$A,0))</f>
        <v>0</v>
      </c>
      <c r="M191" s="86">
        <f>INDEX('PEER GROUP'!N:N,MATCH($A191,'PEER GROUP'!$A:$A,0))</f>
        <v>0</v>
      </c>
      <c r="N191" s="118"/>
      <c r="O191" s="115"/>
      <c r="P191" s="117"/>
      <c r="Q191" s="87"/>
      <c r="R191" s="87">
        <f t="shared" si="56"/>
        <v>0</v>
      </c>
      <c r="S191" s="87"/>
      <c r="T191" s="87"/>
      <c r="U191" s="87"/>
      <c r="V191" s="87">
        <f t="shared" si="57"/>
        <v>0</v>
      </c>
      <c r="W191" s="113">
        <f t="shared" si="54"/>
        <v>36.913096727263202</v>
      </c>
      <c r="X191" s="69">
        <f t="shared" si="58"/>
        <v>0</v>
      </c>
      <c r="Y191" s="70">
        <f t="shared" si="59"/>
        <v>0</v>
      </c>
      <c r="Z191" s="70">
        <f t="shared" si="60"/>
        <v>0</v>
      </c>
      <c r="AA191" s="70">
        <f t="shared" si="61"/>
        <v>0</v>
      </c>
      <c r="AB191" s="70">
        <f t="shared" si="62"/>
        <v>0</v>
      </c>
      <c r="AC191" s="70">
        <f t="shared" si="63"/>
        <v>0</v>
      </c>
      <c r="AD191" s="71">
        <f t="shared" si="64"/>
        <v>0</v>
      </c>
      <c r="AE191" s="49"/>
      <c r="AF191" s="21"/>
      <c r="AG191" s="69"/>
      <c r="AH191" s="70"/>
      <c r="AI191" s="70"/>
      <c r="AJ191" s="70"/>
      <c r="AK191" s="70"/>
      <c r="AL191" s="70"/>
      <c r="AM191" s="70"/>
      <c r="AN191" s="70" t="str">
        <f t="shared" si="65"/>
        <v>---</v>
      </c>
      <c r="AO191" s="70" t="str">
        <f t="shared" si="66"/>
        <v>---</v>
      </c>
      <c r="AP191" s="70" t="str">
        <f t="shared" si="67"/>
        <v>---</v>
      </c>
      <c r="AQ191" s="70" t="str">
        <f t="shared" si="68"/>
        <v>---</v>
      </c>
      <c r="AR191" s="70" t="str">
        <f t="shared" si="69"/>
        <v>---</v>
      </c>
      <c r="AS191" s="70" t="str">
        <f t="shared" si="70"/>
        <v>---</v>
      </c>
      <c r="AT191" s="71" t="str">
        <f t="shared" si="71"/>
        <v>---</v>
      </c>
    </row>
    <row r="192" spans="1:46" ht="30" customHeight="1" x14ac:dyDescent="0.3">
      <c r="A192" s="123">
        <f t="shared" si="55"/>
        <v>188</v>
      </c>
      <c r="B192" s="140">
        <f>INDEX('PEER GROUP'!B:B,MATCH($A192,'PEER GROUP'!$A:$A,0))</f>
        <v>0</v>
      </c>
      <c r="C192" s="83">
        <f>INDEX('PEER GROUP'!C:C,MATCH($A192,'PEER GROUP'!$A:$A,0))</f>
        <v>0</v>
      </c>
      <c r="D192" s="83">
        <f>INDEX('PEER GROUP'!D:D,MATCH($A192,'PEER GROUP'!$A:$A,0))</f>
        <v>0</v>
      </c>
      <c r="E192" s="83">
        <f>INDEX('PEER GROUP'!E:E,MATCH(A192,'PEER GROUP'!$A:$A,0))</f>
        <v>0</v>
      </c>
      <c r="F192" s="84">
        <f>INDEX('PEER GROUP'!F:F,MATCH($A192,'PEER GROUP'!$A:$A,0))</f>
        <v>0</v>
      </c>
      <c r="G192" s="84">
        <f>INDEX('PEER GROUP'!G:G,MATCH($A192,'PEER GROUP'!$A:$A,0))</f>
        <v>0</v>
      </c>
      <c r="H192" s="85"/>
      <c r="I192" s="85"/>
      <c r="J192" s="70">
        <f>INDEX('PEER GROUP'!K:K,MATCH($A192,'PEER GROUP'!$A:$A,0))</f>
        <v>0</v>
      </c>
      <c r="K192" s="70">
        <f>INDEX('PEER GROUP'!L:L,MATCH($A192,'PEER GROUP'!$A:$A,0))</f>
        <v>0</v>
      </c>
      <c r="L192" s="70">
        <f>INDEX('PEER GROUP'!M:M,MATCH($A192,'PEER GROUP'!$A:$A,0))</f>
        <v>0</v>
      </c>
      <c r="M192" s="86">
        <f>INDEX('PEER GROUP'!N:N,MATCH($A192,'PEER GROUP'!$A:$A,0))</f>
        <v>0</v>
      </c>
      <c r="N192" s="118"/>
      <c r="O192" s="115"/>
      <c r="P192" s="117"/>
      <c r="Q192" s="87"/>
      <c r="R192" s="87">
        <f t="shared" si="56"/>
        <v>0</v>
      </c>
      <c r="S192" s="87"/>
      <c r="T192" s="87"/>
      <c r="U192" s="87"/>
      <c r="V192" s="87">
        <f t="shared" si="57"/>
        <v>0</v>
      </c>
      <c r="W192" s="113">
        <f t="shared" si="54"/>
        <v>36.913096727263202</v>
      </c>
      <c r="X192" s="69">
        <f t="shared" si="58"/>
        <v>0</v>
      </c>
      <c r="Y192" s="70">
        <f t="shared" si="59"/>
        <v>0</v>
      </c>
      <c r="Z192" s="70">
        <f t="shared" si="60"/>
        <v>0</v>
      </c>
      <c r="AA192" s="70">
        <f t="shared" si="61"/>
        <v>0</v>
      </c>
      <c r="AB192" s="70">
        <f t="shared" si="62"/>
        <v>0</v>
      </c>
      <c r="AC192" s="70">
        <f t="shared" si="63"/>
        <v>0</v>
      </c>
      <c r="AD192" s="71">
        <f t="shared" si="64"/>
        <v>0</v>
      </c>
      <c r="AE192" s="49"/>
      <c r="AF192" s="21"/>
      <c r="AG192" s="69"/>
      <c r="AH192" s="70"/>
      <c r="AI192" s="70"/>
      <c r="AJ192" s="70"/>
      <c r="AK192" s="70"/>
      <c r="AL192" s="70"/>
      <c r="AM192" s="70"/>
      <c r="AN192" s="70" t="str">
        <f t="shared" si="65"/>
        <v>---</v>
      </c>
      <c r="AO192" s="70" t="str">
        <f t="shared" si="66"/>
        <v>---</v>
      </c>
      <c r="AP192" s="70" t="str">
        <f t="shared" si="67"/>
        <v>---</v>
      </c>
      <c r="AQ192" s="70" t="str">
        <f t="shared" si="68"/>
        <v>---</v>
      </c>
      <c r="AR192" s="70" t="str">
        <f t="shared" si="69"/>
        <v>---</v>
      </c>
      <c r="AS192" s="70" t="str">
        <f t="shared" si="70"/>
        <v>---</v>
      </c>
      <c r="AT192" s="71" t="str">
        <f t="shared" si="71"/>
        <v>---</v>
      </c>
    </row>
    <row r="193" spans="1:46" ht="30" customHeight="1" x14ac:dyDescent="0.3">
      <c r="A193" s="123">
        <f t="shared" si="55"/>
        <v>189</v>
      </c>
      <c r="B193" s="140">
        <f>INDEX('PEER GROUP'!B:B,MATCH($A193,'PEER GROUP'!$A:$A,0))</f>
        <v>0</v>
      </c>
      <c r="C193" s="83">
        <f>INDEX('PEER GROUP'!C:C,MATCH($A193,'PEER GROUP'!$A:$A,0))</f>
        <v>0</v>
      </c>
      <c r="D193" s="83">
        <f>INDEX('PEER GROUP'!D:D,MATCH($A193,'PEER GROUP'!$A:$A,0))</f>
        <v>0</v>
      </c>
      <c r="E193" s="83">
        <f>INDEX('PEER GROUP'!E:E,MATCH(A193,'PEER GROUP'!$A:$A,0))</f>
        <v>0</v>
      </c>
      <c r="F193" s="84">
        <f>INDEX('PEER GROUP'!F:F,MATCH($A193,'PEER GROUP'!$A:$A,0))</f>
        <v>0</v>
      </c>
      <c r="G193" s="84">
        <f>INDEX('PEER GROUP'!G:G,MATCH($A193,'PEER GROUP'!$A:$A,0))</f>
        <v>0</v>
      </c>
      <c r="H193" s="85"/>
      <c r="I193" s="85"/>
      <c r="J193" s="70">
        <f>INDEX('PEER GROUP'!K:K,MATCH($A193,'PEER GROUP'!$A:$A,0))</f>
        <v>0</v>
      </c>
      <c r="K193" s="70">
        <f>INDEX('PEER GROUP'!L:L,MATCH($A193,'PEER GROUP'!$A:$A,0))</f>
        <v>0</v>
      </c>
      <c r="L193" s="70">
        <f>INDEX('PEER GROUP'!M:M,MATCH($A193,'PEER GROUP'!$A:$A,0))</f>
        <v>0</v>
      </c>
      <c r="M193" s="86">
        <f>INDEX('PEER GROUP'!N:N,MATCH($A193,'PEER GROUP'!$A:$A,0))</f>
        <v>0</v>
      </c>
      <c r="N193" s="118"/>
      <c r="O193" s="115"/>
      <c r="P193" s="117"/>
      <c r="Q193" s="87"/>
      <c r="R193" s="87">
        <f t="shared" si="56"/>
        <v>0</v>
      </c>
      <c r="S193" s="87"/>
      <c r="T193" s="87"/>
      <c r="U193" s="87"/>
      <c r="V193" s="87">
        <f t="shared" si="57"/>
        <v>0</v>
      </c>
      <c r="W193" s="113">
        <f t="shared" si="54"/>
        <v>36.913096727263202</v>
      </c>
      <c r="X193" s="69">
        <f t="shared" si="58"/>
        <v>0</v>
      </c>
      <c r="Y193" s="70">
        <f t="shared" si="59"/>
        <v>0</v>
      </c>
      <c r="Z193" s="70">
        <f t="shared" si="60"/>
        <v>0</v>
      </c>
      <c r="AA193" s="70">
        <f t="shared" si="61"/>
        <v>0</v>
      </c>
      <c r="AB193" s="70">
        <f t="shared" si="62"/>
        <v>0</v>
      </c>
      <c r="AC193" s="70">
        <f t="shared" si="63"/>
        <v>0</v>
      </c>
      <c r="AD193" s="71">
        <f t="shared" si="64"/>
        <v>0</v>
      </c>
      <c r="AE193" s="49"/>
      <c r="AF193" s="21"/>
      <c r="AG193" s="69"/>
      <c r="AH193" s="70"/>
      <c r="AI193" s="70"/>
      <c r="AJ193" s="70"/>
      <c r="AK193" s="70"/>
      <c r="AL193" s="70"/>
      <c r="AM193" s="70"/>
      <c r="AN193" s="70" t="str">
        <f t="shared" si="65"/>
        <v>---</v>
      </c>
      <c r="AO193" s="70" t="str">
        <f t="shared" si="66"/>
        <v>---</v>
      </c>
      <c r="AP193" s="70" t="str">
        <f t="shared" si="67"/>
        <v>---</v>
      </c>
      <c r="AQ193" s="70" t="str">
        <f t="shared" si="68"/>
        <v>---</v>
      </c>
      <c r="AR193" s="70" t="str">
        <f t="shared" si="69"/>
        <v>---</v>
      </c>
      <c r="AS193" s="70" t="str">
        <f t="shared" si="70"/>
        <v>---</v>
      </c>
      <c r="AT193" s="71" t="str">
        <f t="shared" si="71"/>
        <v>---</v>
      </c>
    </row>
    <row r="194" spans="1:46" ht="30" customHeight="1" x14ac:dyDescent="0.3">
      <c r="A194" s="123">
        <f t="shared" si="55"/>
        <v>190</v>
      </c>
      <c r="B194" s="140">
        <f>INDEX('PEER GROUP'!B:B,MATCH($A194,'PEER GROUP'!$A:$A,0))</f>
        <v>0</v>
      </c>
      <c r="C194" s="83">
        <f>INDEX('PEER GROUP'!C:C,MATCH($A194,'PEER GROUP'!$A:$A,0))</f>
        <v>0</v>
      </c>
      <c r="D194" s="83">
        <f>INDEX('PEER GROUP'!D:D,MATCH($A194,'PEER GROUP'!$A:$A,0))</f>
        <v>0</v>
      </c>
      <c r="E194" s="83">
        <f>INDEX('PEER GROUP'!E:E,MATCH(A194,'PEER GROUP'!$A:$A,0))</f>
        <v>0</v>
      </c>
      <c r="F194" s="84">
        <f>INDEX('PEER GROUP'!F:F,MATCH($A194,'PEER GROUP'!$A:$A,0))</f>
        <v>0</v>
      </c>
      <c r="G194" s="84">
        <f>INDEX('PEER GROUP'!G:G,MATCH($A194,'PEER GROUP'!$A:$A,0))</f>
        <v>0</v>
      </c>
      <c r="H194" s="85"/>
      <c r="I194" s="85"/>
      <c r="J194" s="70">
        <f>INDEX('PEER GROUP'!K:K,MATCH($A194,'PEER GROUP'!$A:$A,0))</f>
        <v>0</v>
      </c>
      <c r="K194" s="70">
        <f>INDEX('PEER GROUP'!L:L,MATCH($A194,'PEER GROUP'!$A:$A,0))</f>
        <v>0</v>
      </c>
      <c r="L194" s="70">
        <f>INDEX('PEER GROUP'!M:M,MATCH($A194,'PEER GROUP'!$A:$A,0))</f>
        <v>0</v>
      </c>
      <c r="M194" s="86">
        <f>INDEX('PEER GROUP'!N:N,MATCH($A194,'PEER GROUP'!$A:$A,0))</f>
        <v>0</v>
      </c>
      <c r="N194" s="118"/>
      <c r="O194" s="115"/>
      <c r="P194" s="117"/>
      <c r="Q194" s="87"/>
      <c r="R194" s="87">
        <f t="shared" si="56"/>
        <v>0</v>
      </c>
      <c r="S194" s="87"/>
      <c r="T194" s="87"/>
      <c r="U194" s="87"/>
      <c r="V194" s="87">
        <f t="shared" si="57"/>
        <v>0</v>
      </c>
      <c r="W194" s="113">
        <f t="shared" si="54"/>
        <v>36.913096727263202</v>
      </c>
      <c r="X194" s="69">
        <f t="shared" si="58"/>
        <v>0</v>
      </c>
      <c r="Y194" s="70">
        <f t="shared" si="59"/>
        <v>0</v>
      </c>
      <c r="Z194" s="70">
        <f t="shared" si="60"/>
        <v>0</v>
      </c>
      <c r="AA194" s="70">
        <f t="shared" si="61"/>
        <v>0</v>
      </c>
      <c r="AB194" s="70">
        <f t="shared" si="62"/>
        <v>0</v>
      </c>
      <c r="AC194" s="70">
        <f t="shared" si="63"/>
        <v>0</v>
      </c>
      <c r="AD194" s="71">
        <f t="shared" si="64"/>
        <v>0</v>
      </c>
      <c r="AE194" s="49"/>
      <c r="AF194" s="21"/>
      <c r="AG194" s="69"/>
      <c r="AH194" s="70"/>
      <c r="AI194" s="70"/>
      <c r="AJ194" s="70"/>
      <c r="AK194" s="70"/>
      <c r="AL194" s="70"/>
      <c r="AM194" s="70"/>
      <c r="AN194" s="70" t="str">
        <f t="shared" si="65"/>
        <v>---</v>
      </c>
      <c r="AO194" s="70" t="str">
        <f t="shared" si="66"/>
        <v>---</v>
      </c>
      <c r="AP194" s="70" t="str">
        <f t="shared" si="67"/>
        <v>---</v>
      </c>
      <c r="AQ194" s="70" t="str">
        <f t="shared" si="68"/>
        <v>---</v>
      </c>
      <c r="AR194" s="70" t="str">
        <f t="shared" si="69"/>
        <v>---</v>
      </c>
      <c r="AS194" s="70" t="str">
        <f t="shared" si="70"/>
        <v>---</v>
      </c>
      <c r="AT194" s="71" t="str">
        <f t="shared" si="71"/>
        <v>---</v>
      </c>
    </row>
    <row r="195" spans="1:46" ht="30" customHeight="1" x14ac:dyDescent="0.3">
      <c r="A195" s="123">
        <f t="shared" si="55"/>
        <v>191</v>
      </c>
      <c r="B195" s="140">
        <f>INDEX('PEER GROUP'!B:B,MATCH($A195,'PEER GROUP'!$A:$A,0))</f>
        <v>0</v>
      </c>
      <c r="C195" s="83">
        <f>INDEX('PEER GROUP'!C:C,MATCH($A195,'PEER GROUP'!$A:$A,0))</f>
        <v>0</v>
      </c>
      <c r="D195" s="83">
        <f>INDEX('PEER GROUP'!D:D,MATCH($A195,'PEER GROUP'!$A:$A,0))</f>
        <v>0</v>
      </c>
      <c r="E195" s="83">
        <f>INDEX('PEER GROUP'!E:E,MATCH(A195,'PEER GROUP'!$A:$A,0))</f>
        <v>0</v>
      </c>
      <c r="F195" s="84">
        <f>INDEX('PEER GROUP'!F:F,MATCH($A195,'PEER GROUP'!$A:$A,0))</f>
        <v>0</v>
      </c>
      <c r="G195" s="84">
        <f>INDEX('PEER GROUP'!G:G,MATCH($A195,'PEER GROUP'!$A:$A,0))</f>
        <v>0</v>
      </c>
      <c r="H195" s="85"/>
      <c r="I195" s="85"/>
      <c r="J195" s="70">
        <f>INDEX('PEER GROUP'!K:K,MATCH($A195,'PEER GROUP'!$A:$A,0))</f>
        <v>0</v>
      </c>
      <c r="K195" s="70">
        <f>INDEX('PEER GROUP'!L:L,MATCH($A195,'PEER GROUP'!$A:$A,0))</f>
        <v>0</v>
      </c>
      <c r="L195" s="70">
        <f>INDEX('PEER GROUP'!M:M,MATCH($A195,'PEER GROUP'!$A:$A,0))</f>
        <v>0</v>
      </c>
      <c r="M195" s="86">
        <f>INDEX('PEER GROUP'!N:N,MATCH($A195,'PEER GROUP'!$A:$A,0))</f>
        <v>0</v>
      </c>
      <c r="N195" s="118"/>
      <c r="O195" s="115"/>
      <c r="P195" s="117"/>
      <c r="Q195" s="87"/>
      <c r="R195" s="87">
        <f t="shared" si="56"/>
        <v>0</v>
      </c>
      <c r="S195" s="87"/>
      <c r="T195" s="87"/>
      <c r="U195" s="87"/>
      <c r="V195" s="87">
        <f t="shared" si="57"/>
        <v>0</v>
      </c>
      <c r="W195" s="113">
        <f t="shared" si="54"/>
        <v>36.913096727263202</v>
      </c>
      <c r="X195" s="69">
        <f t="shared" si="58"/>
        <v>0</v>
      </c>
      <c r="Y195" s="70">
        <f t="shared" si="59"/>
        <v>0</v>
      </c>
      <c r="Z195" s="70">
        <f t="shared" si="60"/>
        <v>0</v>
      </c>
      <c r="AA195" s="70">
        <f t="shared" si="61"/>
        <v>0</v>
      </c>
      <c r="AB195" s="70">
        <f t="shared" si="62"/>
        <v>0</v>
      </c>
      <c r="AC195" s="70">
        <f t="shared" si="63"/>
        <v>0</v>
      </c>
      <c r="AD195" s="71">
        <f t="shared" si="64"/>
        <v>0</v>
      </c>
      <c r="AE195" s="49"/>
      <c r="AF195" s="21"/>
      <c r="AG195" s="69"/>
      <c r="AH195" s="70"/>
      <c r="AI195" s="70"/>
      <c r="AJ195" s="70"/>
      <c r="AK195" s="70"/>
      <c r="AL195" s="70"/>
      <c r="AM195" s="70"/>
      <c r="AN195" s="70" t="str">
        <f t="shared" si="65"/>
        <v>---</v>
      </c>
      <c r="AO195" s="70" t="str">
        <f t="shared" si="66"/>
        <v>---</v>
      </c>
      <c r="AP195" s="70" t="str">
        <f t="shared" si="67"/>
        <v>---</v>
      </c>
      <c r="AQ195" s="70" t="str">
        <f t="shared" si="68"/>
        <v>---</v>
      </c>
      <c r="AR195" s="70" t="str">
        <f t="shared" si="69"/>
        <v>---</v>
      </c>
      <c r="AS195" s="70" t="str">
        <f t="shared" si="70"/>
        <v>---</v>
      </c>
      <c r="AT195" s="71" t="str">
        <f t="shared" si="71"/>
        <v>---</v>
      </c>
    </row>
    <row r="196" spans="1:46" ht="30" customHeight="1" x14ac:dyDescent="0.3">
      <c r="A196" s="123">
        <f t="shared" si="55"/>
        <v>192</v>
      </c>
      <c r="B196" s="140">
        <f>INDEX('PEER GROUP'!B:B,MATCH($A196,'PEER GROUP'!$A:$A,0))</f>
        <v>0</v>
      </c>
      <c r="C196" s="83">
        <f>INDEX('PEER GROUP'!C:C,MATCH($A196,'PEER GROUP'!$A:$A,0))</f>
        <v>0</v>
      </c>
      <c r="D196" s="83">
        <f>INDEX('PEER GROUP'!D:D,MATCH($A196,'PEER GROUP'!$A:$A,0))</f>
        <v>0</v>
      </c>
      <c r="E196" s="83">
        <f>INDEX('PEER GROUP'!E:E,MATCH(A196,'PEER GROUP'!$A:$A,0))</f>
        <v>0</v>
      </c>
      <c r="F196" s="84">
        <f>INDEX('PEER GROUP'!F:F,MATCH($A196,'PEER GROUP'!$A:$A,0))</f>
        <v>0</v>
      </c>
      <c r="G196" s="84">
        <f>INDEX('PEER GROUP'!G:G,MATCH($A196,'PEER GROUP'!$A:$A,0))</f>
        <v>0</v>
      </c>
      <c r="H196" s="85"/>
      <c r="I196" s="85"/>
      <c r="J196" s="70">
        <f>INDEX('PEER GROUP'!K:K,MATCH($A196,'PEER GROUP'!$A:$A,0))</f>
        <v>0</v>
      </c>
      <c r="K196" s="70">
        <f>INDEX('PEER GROUP'!L:L,MATCH($A196,'PEER GROUP'!$A:$A,0))</f>
        <v>0</v>
      </c>
      <c r="L196" s="70">
        <f>INDEX('PEER GROUP'!M:M,MATCH($A196,'PEER GROUP'!$A:$A,0))</f>
        <v>0</v>
      </c>
      <c r="M196" s="86">
        <f>INDEX('PEER GROUP'!N:N,MATCH($A196,'PEER GROUP'!$A:$A,0))</f>
        <v>0</v>
      </c>
      <c r="N196" s="118"/>
      <c r="O196" s="115"/>
      <c r="P196" s="117"/>
      <c r="Q196" s="87"/>
      <c r="R196" s="87">
        <f t="shared" si="56"/>
        <v>0</v>
      </c>
      <c r="S196" s="87"/>
      <c r="T196" s="87"/>
      <c r="U196" s="87"/>
      <c r="V196" s="87">
        <f t="shared" si="57"/>
        <v>0</v>
      </c>
      <c r="W196" s="113">
        <f t="shared" si="54"/>
        <v>36.913096727263202</v>
      </c>
      <c r="X196" s="69">
        <f t="shared" si="58"/>
        <v>0</v>
      </c>
      <c r="Y196" s="70">
        <f t="shared" si="59"/>
        <v>0</v>
      </c>
      <c r="Z196" s="70">
        <f t="shared" si="60"/>
        <v>0</v>
      </c>
      <c r="AA196" s="70">
        <f t="shared" si="61"/>
        <v>0</v>
      </c>
      <c r="AB196" s="70">
        <f t="shared" si="62"/>
        <v>0</v>
      </c>
      <c r="AC196" s="70">
        <f t="shared" si="63"/>
        <v>0</v>
      </c>
      <c r="AD196" s="71">
        <f t="shared" si="64"/>
        <v>0</v>
      </c>
      <c r="AE196" s="49"/>
      <c r="AF196" s="21"/>
      <c r="AG196" s="69"/>
      <c r="AH196" s="70"/>
      <c r="AI196" s="70"/>
      <c r="AJ196" s="70"/>
      <c r="AK196" s="70"/>
      <c r="AL196" s="70"/>
      <c r="AM196" s="70"/>
      <c r="AN196" s="70" t="str">
        <f t="shared" si="65"/>
        <v>---</v>
      </c>
      <c r="AO196" s="70" t="str">
        <f t="shared" si="66"/>
        <v>---</v>
      </c>
      <c r="AP196" s="70" t="str">
        <f t="shared" si="67"/>
        <v>---</v>
      </c>
      <c r="AQ196" s="70" t="str">
        <f t="shared" si="68"/>
        <v>---</v>
      </c>
      <c r="AR196" s="70" t="str">
        <f t="shared" si="69"/>
        <v>---</v>
      </c>
      <c r="AS196" s="70" t="str">
        <f t="shared" si="70"/>
        <v>---</v>
      </c>
      <c r="AT196" s="71" t="str">
        <f t="shared" si="71"/>
        <v>---</v>
      </c>
    </row>
    <row r="197" spans="1:46" ht="30" customHeight="1" x14ac:dyDescent="0.3">
      <c r="A197" s="123">
        <f t="shared" si="55"/>
        <v>193</v>
      </c>
      <c r="B197" s="140">
        <f>INDEX('PEER GROUP'!B:B,MATCH($A197,'PEER GROUP'!$A:$A,0))</f>
        <v>0</v>
      </c>
      <c r="C197" s="83">
        <f>INDEX('PEER GROUP'!C:C,MATCH($A197,'PEER GROUP'!$A:$A,0))</f>
        <v>0</v>
      </c>
      <c r="D197" s="83">
        <f>INDEX('PEER GROUP'!D:D,MATCH($A197,'PEER GROUP'!$A:$A,0))</f>
        <v>0</v>
      </c>
      <c r="E197" s="83">
        <f>INDEX('PEER GROUP'!E:E,MATCH(A197,'PEER GROUP'!$A:$A,0))</f>
        <v>0</v>
      </c>
      <c r="F197" s="84">
        <f>INDEX('PEER GROUP'!F:F,MATCH($A197,'PEER GROUP'!$A:$A,0))</f>
        <v>0</v>
      </c>
      <c r="G197" s="84">
        <f>INDEX('PEER GROUP'!G:G,MATCH($A197,'PEER GROUP'!$A:$A,0))</f>
        <v>0</v>
      </c>
      <c r="H197" s="85"/>
      <c r="I197" s="85"/>
      <c r="J197" s="70">
        <f>INDEX('PEER GROUP'!K:K,MATCH($A197,'PEER GROUP'!$A:$A,0))</f>
        <v>0</v>
      </c>
      <c r="K197" s="70">
        <f>INDEX('PEER GROUP'!L:L,MATCH($A197,'PEER GROUP'!$A:$A,0))</f>
        <v>0</v>
      </c>
      <c r="L197" s="70">
        <f>INDEX('PEER GROUP'!M:M,MATCH($A197,'PEER GROUP'!$A:$A,0))</f>
        <v>0</v>
      </c>
      <c r="M197" s="86">
        <f>INDEX('PEER GROUP'!N:N,MATCH($A197,'PEER GROUP'!$A:$A,0))</f>
        <v>0</v>
      </c>
      <c r="N197" s="118"/>
      <c r="O197" s="115"/>
      <c r="P197" s="117"/>
      <c r="Q197" s="87"/>
      <c r="R197" s="87">
        <f t="shared" si="56"/>
        <v>0</v>
      </c>
      <c r="S197" s="87"/>
      <c r="T197" s="87"/>
      <c r="U197" s="87"/>
      <c r="V197" s="87">
        <f t="shared" si="57"/>
        <v>0</v>
      </c>
      <c r="W197" s="113">
        <f t="shared" si="54"/>
        <v>36.913096727263202</v>
      </c>
      <c r="X197" s="69">
        <f t="shared" si="58"/>
        <v>0</v>
      </c>
      <c r="Y197" s="70">
        <f t="shared" si="59"/>
        <v>0</v>
      </c>
      <c r="Z197" s="70">
        <f t="shared" si="60"/>
        <v>0</v>
      </c>
      <c r="AA197" s="70">
        <f t="shared" si="61"/>
        <v>0</v>
      </c>
      <c r="AB197" s="70">
        <f t="shared" si="62"/>
        <v>0</v>
      </c>
      <c r="AC197" s="70">
        <f t="shared" si="63"/>
        <v>0</v>
      </c>
      <c r="AD197" s="71">
        <f t="shared" si="64"/>
        <v>0</v>
      </c>
      <c r="AE197" s="49"/>
      <c r="AF197" s="21"/>
      <c r="AG197" s="69"/>
      <c r="AH197" s="70"/>
      <c r="AI197" s="70"/>
      <c r="AJ197" s="70"/>
      <c r="AK197" s="70"/>
      <c r="AL197" s="70"/>
      <c r="AM197" s="70"/>
      <c r="AN197" s="70" t="str">
        <f t="shared" si="65"/>
        <v>---</v>
      </c>
      <c r="AO197" s="70" t="str">
        <f t="shared" si="66"/>
        <v>---</v>
      </c>
      <c r="AP197" s="70" t="str">
        <f t="shared" si="67"/>
        <v>---</v>
      </c>
      <c r="AQ197" s="70" t="str">
        <f t="shared" si="68"/>
        <v>---</v>
      </c>
      <c r="AR197" s="70" t="str">
        <f t="shared" si="69"/>
        <v>---</v>
      </c>
      <c r="AS197" s="70" t="str">
        <f t="shared" si="70"/>
        <v>---</v>
      </c>
      <c r="AT197" s="71" t="str">
        <f t="shared" si="71"/>
        <v>---</v>
      </c>
    </row>
    <row r="198" spans="1:46" ht="30" customHeight="1" x14ac:dyDescent="0.3">
      <c r="A198" s="123">
        <f t="shared" si="55"/>
        <v>194</v>
      </c>
      <c r="B198" s="140">
        <f>INDEX('PEER GROUP'!B:B,MATCH($A198,'PEER GROUP'!$A:$A,0))</f>
        <v>0</v>
      </c>
      <c r="C198" s="83">
        <f>INDEX('PEER GROUP'!C:C,MATCH($A198,'PEER GROUP'!$A:$A,0))</f>
        <v>0</v>
      </c>
      <c r="D198" s="83">
        <f>INDEX('PEER GROUP'!D:D,MATCH($A198,'PEER GROUP'!$A:$A,0))</f>
        <v>0</v>
      </c>
      <c r="E198" s="83">
        <f>INDEX('PEER GROUP'!E:E,MATCH(A198,'PEER GROUP'!$A:$A,0))</f>
        <v>0</v>
      </c>
      <c r="F198" s="84">
        <f>INDEX('PEER GROUP'!F:F,MATCH($A198,'PEER GROUP'!$A:$A,0))</f>
        <v>0</v>
      </c>
      <c r="G198" s="84">
        <f>INDEX('PEER GROUP'!G:G,MATCH($A198,'PEER GROUP'!$A:$A,0))</f>
        <v>0</v>
      </c>
      <c r="H198" s="85"/>
      <c r="I198" s="85"/>
      <c r="J198" s="70">
        <f>INDEX('PEER GROUP'!K:K,MATCH($A198,'PEER GROUP'!$A:$A,0))</f>
        <v>0</v>
      </c>
      <c r="K198" s="70">
        <f>INDEX('PEER GROUP'!L:L,MATCH($A198,'PEER GROUP'!$A:$A,0))</f>
        <v>0</v>
      </c>
      <c r="L198" s="70">
        <f>INDEX('PEER GROUP'!M:M,MATCH($A198,'PEER GROUP'!$A:$A,0))</f>
        <v>0</v>
      </c>
      <c r="M198" s="86">
        <f>INDEX('PEER GROUP'!N:N,MATCH($A198,'PEER GROUP'!$A:$A,0))</f>
        <v>0</v>
      </c>
      <c r="N198" s="118"/>
      <c r="O198" s="115"/>
      <c r="P198" s="117"/>
      <c r="Q198" s="87"/>
      <c r="R198" s="87">
        <f t="shared" si="56"/>
        <v>0</v>
      </c>
      <c r="S198" s="87"/>
      <c r="T198" s="87"/>
      <c r="U198" s="87"/>
      <c r="V198" s="87">
        <f t="shared" si="57"/>
        <v>0</v>
      </c>
      <c r="W198" s="113">
        <f t="shared" si="54"/>
        <v>36.913096727263202</v>
      </c>
      <c r="X198" s="69">
        <f t="shared" si="58"/>
        <v>0</v>
      </c>
      <c r="Y198" s="70">
        <f t="shared" si="59"/>
        <v>0</v>
      </c>
      <c r="Z198" s="70">
        <f t="shared" si="60"/>
        <v>0</v>
      </c>
      <c r="AA198" s="70">
        <f t="shared" si="61"/>
        <v>0</v>
      </c>
      <c r="AB198" s="70">
        <f t="shared" si="62"/>
        <v>0</v>
      </c>
      <c r="AC198" s="70">
        <f t="shared" si="63"/>
        <v>0</v>
      </c>
      <c r="AD198" s="71">
        <f t="shared" si="64"/>
        <v>0</v>
      </c>
      <c r="AE198" s="49"/>
      <c r="AF198" s="21"/>
      <c r="AG198" s="69"/>
      <c r="AH198" s="70"/>
      <c r="AI198" s="70"/>
      <c r="AJ198" s="70"/>
      <c r="AK198" s="70"/>
      <c r="AL198" s="70"/>
      <c r="AM198" s="70"/>
      <c r="AN198" s="70" t="str">
        <f t="shared" si="65"/>
        <v>---</v>
      </c>
      <c r="AO198" s="70" t="str">
        <f t="shared" si="66"/>
        <v>---</v>
      </c>
      <c r="AP198" s="70" t="str">
        <f t="shared" si="67"/>
        <v>---</v>
      </c>
      <c r="AQ198" s="70" t="str">
        <f t="shared" si="68"/>
        <v>---</v>
      </c>
      <c r="AR198" s="70" t="str">
        <f t="shared" si="69"/>
        <v>---</v>
      </c>
      <c r="AS198" s="70" t="str">
        <f t="shared" si="70"/>
        <v>---</v>
      </c>
      <c r="AT198" s="71" t="str">
        <f t="shared" si="71"/>
        <v>---</v>
      </c>
    </row>
    <row r="199" spans="1:46" ht="30" customHeight="1" x14ac:dyDescent="0.3">
      <c r="A199" s="123">
        <f t="shared" si="55"/>
        <v>195</v>
      </c>
      <c r="B199" s="140">
        <f>INDEX('PEER GROUP'!B:B,MATCH($A199,'PEER GROUP'!$A:$A,0))</f>
        <v>0</v>
      </c>
      <c r="C199" s="83">
        <f>INDEX('PEER GROUP'!C:C,MATCH($A199,'PEER GROUP'!$A:$A,0))</f>
        <v>0</v>
      </c>
      <c r="D199" s="83">
        <f>INDEX('PEER GROUP'!D:D,MATCH($A199,'PEER GROUP'!$A:$A,0))</f>
        <v>0</v>
      </c>
      <c r="E199" s="83">
        <f>INDEX('PEER GROUP'!E:E,MATCH(A199,'PEER GROUP'!$A:$A,0))</f>
        <v>0</v>
      </c>
      <c r="F199" s="84">
        <f>INDEX('PEER GROUP'!F:F,MATCH($A199,'PEER GROUP'!$A:$A,0))</f>
        <v>0</v>
      </c>
      <c r="G199" s="84">
        <f>INDEX('PEER GROUP'!G:G,MATCH($A199,'PEER GROUP'!$A:$A,0))</f>
        <v>0</v>
      </c>
      <c r="H199" s="85"/>
      <c r="I199" s="85"/>
      <c r="J199" s="70">
        <f>INDEX('PEER GROUP'!K:K,MATCH($A199,'PEER GROUP'!$A:$A,0))</f>
        <v>0</v>
      </c>
      <c r="K199" s="70">
        <f>INDEX('PEER GROUP'!L:L,MATCH($A199,'PEER GROUP'!$A:$A,0))</f>
        <v>0</v>
      </c>
      <c r="L199" s="70">
        <f>INDEX('PEER GROUP'!M:M,MATCH($A199,'PEER GROUP'!$A:$A,0))</f>
        <v>0</v>
      </c>
      <c r="M199" s="86">
        <f>INDEX('PEER GROUP'!N:N,MATCH($A199,'PEER GROUP'!$A:$A,0))</f>
        <v>0</v>
      </c>
      <c r="N199" s="118"/>
      <c r="O199" s="115"/>
      <c r="P199" s="117"/>
      <c r="Q199" s="87"/>
      <c r="R199" s="87">
        <f t="shared" si="56"/>
        <v>0</v>
      </c>
      <c r="S199" s="87"/>
      <c r="T199" s="87"/>
      <c r="U199" s="87"/>
      <c r="V199" s="87">
        <f t="shared" si="57"/>
        <v>0</v>
      </c>
      <c r="W199" s="113">
        <f t="shared" si="54"/>
        <v>36.913096727263202</v>
      </c>
      <c r="X199" s="69">
        <f t="shared" si="58"/>
        <v>0</v>
      </c>
      <c r="Y199" s="70">
        <f t="shared" si="59"/>
        <v>0</v>
      </c>
      <c r="Z199" s="70">
        <f t="shared" si="60"/>
        <v>0</v>
      </c>
      <c r="AA199" s="70">
        <f t="shared" si="61"/>
        <v>0</v>
      </c>
      <c r="AB199" s="70">
        <f t="shared" si="62"/>
        <v>0</v>
      </c>
      <c r="AC199" s="70">
        <f t="shared" si="63"/>
        <v>0</v>
      </c>
      <c r="AD199" s="71">
        <f t="shared" si="64"/>
        <v>0</v>
      </c>
      <c r="AE199" s="49"/>
      <c r="AF199" s="21"/>
      <c r="AG199" s="69"/>
      <c r="AH199" s="70"/>
      <c r="AI199" s="70"/>
      <c r="AJ199" s="70"/>
      <c r="AK199" s="70"/>
      <c r="AL199" s="70"/>
      <c r="AM199" s="70"/>
      <c r="AN199" s="70" t="str">
        <f t="shared" si="65"/>
        <v>---</v>
      </c>
      <c r="AO199" s="70" t="str">
        <f t="shared" si="66"/>
        <v>---</v>
      </c>
      <c r="AP199" s="70" t="str">
        <f t="shared" si="67"/>
        <v>---</v>
      </c>
      <c r="AQ199" s="70" t="str">
        <f t="shared" si="68"/>
        <v>---</v>
      </c>
      <c r="AR199" s="70" t="str">
        <f t="shared" si="69"/>
        <v>---</v>
      </c>
      <c r="AS199" s="70" t="str">
        <f t="shared" si="70"/>
        <v>---</v>
      </c>
      <c r="AT199" s="71" t="str">
        <f t="shared" si="71"/>
        <v>---</v>
      </c>
    </row>
    <row r="200" spans="1:46" ht="30" customHeight="1" x14ac:dyDescent="0.3">
      <c r="A200" s="123">
        <f t="shared" si="55"/>
        <v>196</v>
      </c>
      <c r="B200" s="140">
        <f>INDEX('PEER GROUP'!B:B,MATCH($A200,'PEER GROUP'!$A:$A,0))</f>
        <v>0</v>
      </c>
      <c r="C200" s="83">
        <f>INDEX('PEER GROUP'!C:C,MATCH($A200,'PEER GROUP'!$A:$A,0))</f>
        <v>0</v>
      </c>
      <c r="D200" s="83">
        <f>INDEX('PEER GROUP'!D:D,MATCH($A200,'PEER GROUP'!$A:$A,0))</f>
        <v>0</v>
      </c>
      <c r="E200" s="83">
        <f>INDEX('PEER GROUP'!E:E,MATCH(A200,'PEER GROUP'!$A:$A,0))</f>
        <v>0</v>
      </c>
      <c r="F200" s="84">
        <f>INDEX('PEER GROUP'!F:F,MATCH($A200,'PEER GROUP'!$A:$A,0))</f>
        <v>0</v>
      </c>
      <c r="G200" s="84">
        <f>INDEX('PEER GROUP'!G:G,MATCH($A200,'PEER GROUP'!$A:$A,0))</f>
        <v>0</v>
      </c>
      <c r="H200" s="85"/>
      <c r="I200" s="85"/>
      <c r="J200" s="70">
        <f>INDEX('PEER GROUP'!K:K,MATCH($A200,'PEER GROUP'!$A:$A,0))</f>
        <v>0</v>
      </c>
      <c r="K200" s="70">
        <f>INDEX('PEER GROUP'!L:L,MATCH($A200,'PEER GROUP'!$A:$A,0))</f>
        <v>0</v>
      </c>
      <c r="L200" s="70">
        <f>INDEX('PEER GROUP'!M:M,MATCH($A200,'PEER GROUP'!$A:$A,0))</f>
        <v>0</v>
      </c>
      <c r="M200" s="86">
        <f>INDEX('PEER GROUP'!N:N,MATCH($A200,'PEER GROUP'!$A:$A,0))</f>
        <v>0</v>
      </c>
      <c r="N200" s="118"/>
      <c r="O200" s="115"/>
      <c r="P200" s="117"/>
      <c r="Q200" s="87"/>
      <c r="R200" s="87">
        <f t="shared" si="56"/>
        <v>0</v>
      </c>
      <c r="S200" s="87"/>
      <c r="T200" s="87"/>
      <c r="U200" s="87"/>
      <c r="V200" s="87">
        <f t="shared" si="57"/>
        <v>0</v>
      </c>
      <c r="W200" s="113">
        <f t="shared" si="54"/>
        <v>36.913096727263202</v>
      </c>
      <c r="X200" s="69">
        <f t="shared" si="58"/>
        <v>0</v>
      </c>
      <c r="Y200" s="70">
        <f t="shared" si="59"/>
        <v>0</v>
      </c>
      <c r="Z200" s="70">
        <f t="shared" si="60"/>
        <v>0</v>
      </c>
      <c r="AA200" s="70">
        <f t="shared" si="61"/>
        <v>0</v>
      </c>
      <c r="AB200" s="70">
        <f t="shared" si="62"/>
        <v>0</v>
      </c>
      <c r="AC200" s="70">
        <f t="shared" si="63"/>
        <v>0</v>
      </c>
      <c r="AD200" s="71">
        <f t="shared" si="64"/>
        <v>0</v>
      </c>
      <c r="AE200" s="49"/>
      <c r="AF200" s="21"/>
      <c r="AG200" s="69"/>
      <c r="AH200" s="70"/>
      <c r="AI200" s="70"/>
      <c r="AJ200" s="70"/>
      <c r="AK200" s="70"/>
      <c r="AL200" s="70"/>
      <c r="AM200" s="70"/>
      <c r="AN200" s="70" t="str">
        <f t="shared" si="65"/>
        <v>---</v>
      </c>
      <c r="AO200" s="70" t="str">
        <f t="shared" si="66"/>
        <v>---</v>
      </c>
      <c r="AP200" s="70" t="str">
        <f t="shared" si="67"/>
        <v>---</v>
      </c>
      <c r="AQ200" s="70" t="str">
        <f t="shared" si="68"/>
        <v>---</v>
      </c>
      <c r="AR200" s="70" t="str">
        <f t="shared" si="69"/>
        <v>---</v>
      </c>
      <c r="AS200" s="70" t="str">
        <f t="shared" si="70"/>
        <v>---</v>
      </c>
      <c r="AT200" s="71" t="str">
        <f t="shared" si="71"/>
        <v>---</v>
      </c>
    </row>
    <row r="201" spans="1:46" ht="30" customHeight="1" x14ac:dyDescent="0.3">
      <c r="A201" s="123">
        <f t="shared" si="55"/>
        <v>197</v>
      </c>
      <c r="B201" s="140">
        <f>INDEX('PEER GROUP'!B:B,MATCH($A201,'PEER GROUP'!$A:$A,0))</f>
        <v>0</v>
      </c>
      <c r="C201" s="83">
        <f>INDEX('PEER GROUP'!C:C,MATCH($A201,'PEER GROUP'!$A:$A,0))</f>
        <v>0</v>
      </c>
      <c r="D201" s="83">
        <f>INDEX('PEER GROUP'!D:D,MATCH($A201,'PEER GROUP'!$A:$A,0))</f>
        <v>0</v>
      </c>
      <c r="E201" s="83">
        <f>INDEX('PEER GROUP'!E:E,MATCH(A201,'PEER GROUP'!$A:$A,0))</f>
        <v>0</v>
      </c>
      <c r="F201" s="84">
        <f>INDEX('PEER GROUP'!F:F,MATCH($A201,'PEER GROUP'!$A:$A,0))</f>
        <v>0</v>
      </c>
      <c r="G201" s="84">
        <f>INDEX('PEER GROUP'!G:G,MATCH($A201,'PEER GROUP'!$A:$A,0))</f>
        <v>0</v>
      </c>
      <c r="H201" s="85"/>
      <c r="I201" s="85"/>
      <c r="J201" s="70">
        <f>INDEX('PEER GROUP'!K:K,MATCH($A201,'PEER GROUP'!$A:$A,0))</f>
        <v>0</v>
      </c>
      <c r="K201" s="70">
        <f>INDEX('PEER GROUP'!L:L,MATCH($A201,'PEER GROUP'!$A:$A,0))</f>
        <v>0</v>
      </c>
      <c r="L201" s="70">
        <f>INDEX('PEER GROUP'!M:M,MATCH($A201,'PEER GROUP'!$A:$A,0))</f>
        <v>0</v>
      </c>
      <c r="M201" s="86">
        <f>INDEX('PEER GROUP'!N:N,MATCH($A201,'PEER GROUP'!$A:$A,0))</f>
        <v>0</v>
      </c>
      <c r="N201" s="118"/>
      <c r="O201" s="115"/>
      <c r="P201" s="117"/>
      <c r="Q201" s="87"/>
      <c r="R201" s="87">
        <f t="shared" si="56"/>
        <v>0</v>
      </c>
      <c r="S201" s="87"/>
      <c r="T201" s="87"/>
      <c r="U201" s="87"/>
      <c r="V201" s="87">
        <f t="shared" si="57"/>
        <v>0</v>
      </c>
      <c r="W201" s="113">
        <f t="shared" si="54"/>
        <v>36.913096727263202</v>
      </c>
      <c r="X201" s="69">
        <f t="shared" si="58"/>
        <v>0</v>
      </c>
      <c r="Y201" s="70">
        <f t="shared" si="59"/>
        <v>0</v>
      </c>
      <c r="Z201" s="70">
        <f t="shared" si="60"/>
        <v>0</v>
      </c>
      <c r="AA201" s="70">
        <f t="shared" si="61"/>
        <v>0</v>
      </c>
      <c r="AB201" s="70">
        <f t="shared" si="62"/>
        <v>0</v>
      </c>
      <c r="AC201" s="70">
        <f t="shared" si="63"/>
        <v>0</v>
      </c>
      <c r="AD201" s="71">
        <f t="shared" si="64"/>
        <v>0</v>
      </c>
      <c r="AE201" s="49"/>
      <c r="AF201" s="21"/>
      <c r="AG201" s="69"/>
      <c r="AH201" s="70"/>
      <c r="AI201" s="70"/>
      <c r="AJ201" s="70"/>
      <c r="AK201" s="70"/>
      <c r="AL201" s="70"/>
      <c r="AM201" s="70"/>
      <c r="AN201" s="70" t="str">
        <f t="shared" si="65"/>
        <v>---</v>
      </c>
      <c r="AO201" s="70" t="str">
        <f t="shared" si="66"/>
        <v>---</v>
      </c>
      <c r="AP201" s="70" t="str">
        <f t="shared" si="67"/>
        <v>---</v>
      </c>
      <c r="AQ201" s="70" t="str">
        <f t="shared" si="68"/>
        <v>---</v>
      </c>
      <c r="AR201" s="70" t="str">
        <f t="shared" si="69"/>
        <v>---</v>
      </c>
      <c r="AS201" s="70" t="str">
        <f t="shared" si="70"/>
        <v>---</v>
      </c>
      <c r="AT201" s="71" t="str">
        <f t="shared" si="71"/>
        <v>---</v>
      </c>
    </row>
    <row r="202" spans="1:46" ht="30" customHeight="1" x14ac:dyDescent="0.3">
      <c r="A202" s="123">
        <f t="shared" si="55"/>
        <v>198</v>
      </c>
      <c r="B202" s="140">
        <f>INDEX('PEER GROUP'!B:B,MATCH($A202,'PEER GROUP'!$A:$A,0))</f>
        <v>0</v>
      </c>
      <c r="C202" s="83">
        <f>INDEX('PEER GROUP'!C:C,MATCH($A202,'PEER GROUP'!$A:$A,0))</f>
        <v>0</v>
      </c>
      <c r="D202" s="83">
        <f>INDEX('PEER GROUP'!D:D,MATCH($A202,'PEER GROUP'!$A:$A,0))</f>
        <v>0</v>
      </c>
      <c r="E202" s="83">
        <f>INDEX('PEER GROUP'!E:E,MATCH(A202,'PEER GROUP'!$A:$A,0))</f>
        <v>0</v>
      </c>
      <c r="F202" s="84">
        <f>INDEX('PEER GROUP'!F:F,MATCH($A202,'PEER GROUP'!$A:$A,0))</f>
        <v>0</v>
      </c>
      <c r="G202" s="84">
        <f>INDEX('PEER GROUP'!G:G,MATCH($A202,'PEER GROUP'!$A:$A,0))</f>
        <v>0</v>
      </c>
      <c r="H202" s="85"/>
      <c r="I202" s="85"/>
      <c r="J202" s="70">
        <f>INDEX('PEER GROUP'!K:K,MATCH($A202,'PEER GROUP'!$A:$A,0))</f>
        <v>0</v>
      </c>
      <c r="K202" s="70">
        <f>INDEX('PEER GROUP'!L:L,MATCH($A202,'PEER GROUP'!$A:$A,0))</f>
        <v>0</v>
      </c>
      <c r="L202" s="70">
        <f>INDEX('PEER GROUP'!M:M,MATCH($A202,'PEER GROUP'!$A:$A,0))</f>
        <v>0</v>
      </c>
      <c r="M202" s="86">
        <f>INDEX('PEER GROUP'!N:N,MATCH($A202,'PEER GROUP'!$A:$A,0))</f>
        <v>0</v>
      </c>
      <c r="N202" s="118"/>
      <c r="O202" s="115"/>
      <c r="P202" s="117"/>
      <c r="Q202" s="87"/>
      <c r="R202" s="87">
        <f t="shared" si="56"/>
        <v>0</v>
      </c>
      <c r="S202" s="87"/>
      <c r="T202" s="87"/>
      <c r="U202" s="87"/>
      <c r="V202" s="87">
        <f t="shared" si="57"/>
        <v>0</v>
      </c>
      <c r="W202" s="113">
        <f t="shared" si="54"/>
        <v>36.913096727263202</v>
      </c>
      <c r="X202" s="69">
        <f t="shared" si="58"/>
        <v>0</v>
      </c>
      <c r="Y202" s="70">
        <f t="shared" si="59"/>
        <v>0</v>
      </c>
      <c r="Z202" s="70">
        <f t="shared" si="60"/>
        <v>0</v>
      </c>
      <c r="AA202" s="70">
        <f t="shared" si="61"/>
        <v>0</v>
      </c>
      <c r="AB202" s="70">
        <f t="shared" si="62"/>
        <v>0</v>
      </c>
      <c r="AC202" s="70">
        <f t="shared" si="63"/>
        <v>0</v>
      </c>
      <c r="AD202" s="71">
        <f t="shared" si="64"/>
        <v>0</v>
      </c>
      <c r="AE202" s="49"/>
      <c r="AF202" s="21"/>
      <c r="AG202" s="69"/>
      <c r="AH202" s="70"/>
      <c r="AI202" s="70"/>
      <c r="AJ202" s="70"/>
      <c r="AK202" s="70"/>
      <c r="AL202" s="70"/>
      <c r="AM202" s="70"/>
      <c r="AN202" s="70" t="str">
        <f t="shared" si="65"/>
        <v>---</v>
      </c>
      <c r="AO202" s="70" t="str">
        <f t="shared" si="66"/>
        <v>---</v>
      </c>
      <c r="AP202" s="70" t="str">
        <f t="shared" si="67"/>
        <v>---</v>
      </c>
      <c r="AQ202" s="70" t="str">
        <f t="shared" si="68"/>
        <v>---</v>
      </c>
      <c r="AR202" s="70" t="str">
        <f t="shared" si="69"/>
        <v>---</v>
      </c>
      <c r="AS202" s="70" t="str">
        <f t="shared" si="70"/>
        <v>---</v>
      </c>
      <c r="AT202" s="71" t="str">
        <f t="shared" si="71"/>
        <v>---</v>
      </c>
    </row>
    <row r="203" spans="1:46" ht="30" customHeight="1" x14ac:dyDescent="0.3">
      <c r="A203" s="123">
        <f t="shared" si="55"/>
        <v>199</v>
      </c>
      <c r="B203" s="140">
        <f>INDEX('PEER GROUP'!B:B,MATCH($A203,'PEER GROUP'!$A:$A,0))</f>
        <v>0</v>
      </c>
      <c r="C203" s="83">
        <f>INDEX('PEER GROUP'!C:C,MATCH($A203,'PEER GROUP'!$A:$A,0))</f>
        <v>0</v>
      </c>
      <c r="D203" s="83">
        <f>INDEX('PEER GROUP'!D:D,MATCH($A203,'PEER GROUP'!$A:$A,0))</f>
        <v>0</v>
      </c>
      <c r="E203" s="83">
        <f>INDEX('PEER GROUP'!E:E,MATCH(A203,'PEER GROUP'!$A:$A,0))</f>
        <v>0</v>
      </c>
      <c r="F203" s="84">
        <f>INDEX('PEER GROUP'!F:F,MATCH($A203,'PEER GROUP'!$A:$A,0))</f>
        <v>0</v>
      </c>
      <c r="G203" s="84">
        <f>INDEX('PEER GROUP'!G:G,MATCH($A203,'PEER GROUP'!$A:$A,0))</f>
        <v>0</v>
      </c>
      <c r="H203" s="85"/>
      <c r="I203" s="85"/>
      <c r="J203" s="70">
        <f>INDEX('PEER GROUP'!K:K,MATCH($A203,'PEER GROUP'!$A:$A,0))</f>
        <v>0</v>
      </c>
      <c r="K203" s="70">
        <f>INDEX('PEER GROUP'!L:L,MATCH($A203,'PEER GROUP'!$A:$A,0))</f>
        <v>0</v>
      </c>
      <c r="L203" s="70">
        <f>INDEX('PEER GROUP'!M:M,MATCH($A203,'PEER GROUP'!$A:$A,0))</f>
        <v>0</v>
      </c>
      <c r="M203" s="86">
        <f>INDEX('PEER GROUP'!N:N,MATCH($A203,'PEER GROUP'!$A:$A,0))</f>
        <v>0</v>
      </c>
      <c r="N203" s="118"/>
      <c r="O203" s="115"/>
      <c r="P203" s="117"/>
      <c r="Q203" s="87"/>
      <c r="R203" s="87">
        <f t="shared" si="56"/>
        <v>0</v>
      </c>
      <c r="S203" s="87"/>
      <c r="T203" s="87"/>
      <c r="U203" s="87"/>
      <c r="V203" s="87">
        <f t="shared" si="57"/>
        <v>0</v>
      </c>
      <c r="W203" s="113">
        <f t="shared" si="54"/>
        <v>36.913096727263202</v>
      </c>
      <c r="X203" s="69">
        <f t="shared" si="58"/>
        <v>0</v>
      </c>
      <c r="Y203" s="70">
        <f t="shared" si="59"/>
        <v>0</v>
      </c>
      <c r="Z203" s="70">
        <f t="shared" si="60"/>
        <v>0</v>
      </c>
      <c r="AA203" s="70">
        <f t="shared" si="61"/>
        <v>0</v>
      </c>
      <c r="AB203" s="70">
        <f t="shared" si="62"/>
        <v>0</v>
      </c>
      <c r="AC203" s="70">
        <f t="shared" si="63"/>
        <v>0</v>
      </c>
      <c r="AD203" s="71">
        <f t="shared" si="64"/>
        <v>0</v>
      </c>
      <c r="AE203" s="49"/>
      <c r="AF203" s="21"/>
      <c r="AG203" s="69"/>
      <c r="AH203" s="70"/>
      <c r="AI203" s="70"/>
      <c r="AJ203" s="70"/>
      <c r="AK203" s="70"/>
      <c r="AL203" s="70"/>
      <c r="AM203" s="70"/>
      <c r="AN203" s="70" t="str">
        <f t="shared" si="65"/>
        <v>---</v>
      </c>
      <c r="AO203" s="70" t="str">
        <f t="shared" si="66"/>
        <v>---</v>
      </c>
      <c r="AP203" s="70" t="str">
        <f t="shared" si="67"/>
        <v>---</v>
      </c>
      <c r="AQ203" s="70" t="str">
        <f t="shared" si="68"/>
        <v>---</v>
      </c>
      <c r="AR203" s="70" t="str">
        <f t="shared" si="69"/>
        <v>---</v>
      </c>
      <c r="AS203" s="70" t="str">
        <f t="shared" si="70"/>
        <v>---</v>
      </c>
      <c r="AT203" s="71" t="str">
        <f t="shared" si="71"/>
        <v>---</v>
      </c>
    </row>
    <row r="204" spans="1:46" ht="30" customHeight="1" x14ac:dyDescent="0.3">
      <c r="A204" s="123">
        <f t="shared" si="55"/>
        <v>200</v>
      </c>
      <c r="B204" s="140">
        <f>INDEX('PEER GROUP'!B:B,MATCH($A204,'PEER GROUP'!$A:$A,0))</f>
        <v>0</v>
      </c>
      <c r="C204" s="83">
        <f>INDEX('PEER GROUP'!C:C,MATCH($A204,'PEER GROUP'!$A:$A,0))</f>
        <v>0</v>
      </c>
      <c r="D204" s="83">
        <f>INDEX('PEER GROUP'!D:D,MATCH($A204,'PEER GROUP'!$A:$A,0))</f>
        <v>0</v>
      </c>
      <c r="E204" s="83">
        <f>INDEX('PEER GROUP'!E:E,MATCH(A204,'PEER GROUP'!$A:$A,0))</f>
        <v>0</v>
      </c>
      <c r="F204" s="84">
        <f>INDEX('PEER GROUP'!F:F,MATCH($A204,'PEER GROUP'!$A:$A,0))</f>
        <v>0</v>
      </c>
      <c r="G204" s="84">
        <f>INDEX('PEER GROUP'!G:G,MATCH($A204,'PEER GROUP'!$A:$A,0))</f>
        <v>0</v>
      </c>
      <c r="H204" s="85"/>
      <c r="I204" s="85"/>
      <c r="J204" s="70">
        <f>INDEX('PEER GROUP'!K:K,MATCH($A204,'PEER GROUP'!$A:$A,0))</f>
        <v>0</v>
      </c>
      <c r="K204" s="70">
        <f>INDEX('PEER GROUP'!L:L,MATCH($A204,'PEER GROUP'!$A:$A,0))</f>
        <v>0</v>
      </c>
      <c r="L204" s="70">
        <f>INDEX('PEER GROUP'!M:M,MATCH($A204,'PEER GROUP'!$A:$A,0))</f>
        <v>0</v>
      </c>
      <c r="M204" s="86">
        <f>INDEX('PEER GROUP'!N:N,MATCH($A204,'PEER GROUP'!$A:$A,0))</f>
        <v>0</v>
      </c>
      <c r="N204" s="118"/>
      <c r="O204" s="115"/>
      <c r="P204" s="117"/>
      <c r="Q204" s="87"/>
      <c r="R204" s="87">
        <f t="shared" si="56"/>
        <v>0</v>
      </c>
      <c r="S204" s="87"/>
      <c r="T204" s="87"/>
      <c r="U204" s="87"/>
      <c r="V204" s="87">
        <f t="shared" si="57"/>
        <v>0</v>
      </c>
      <c r="W204" s="113">
        <f t="shared" si="54"/>
        <v>36.913096727263202</v>
      </c>
      <c r="X204" s="69">
        <f t="shared" si="58"/>
        <v>0</v>
      </c>
      <c r="Y204" s="70">
        <f t="shared" si="59"/>
        <v>0</v>
      </c>
      <c r="Z204" s="70">
        <f t="shared" si="60"/>
        <v>0</v>
      </c>
      <c r="AA204" s="70">
        <f t="shared" si="61"/>
        <v>0</v>
      </c>
      <c r="AB204" s="70">
        <f t="shared" si="62"/>
        <v>0</v>
      </c>
      <c r="AC204" s="70">
        <f t="shared" si="63"/>
        <v>0</v>
      </c>
      <c r="AD204" s="71">
        <f t="shared" si="64"/>
        <v>0</v>
      </c>
      <c r="AE204" s="49"/>
      <c r="AF204" s="21"/>
      <c r="AG204" s="69"/>
      <c r="AH204" s="70"/>
      <c r="AI204" s="70"/>
      <c r="AJ204" s="70"/>
      <c r="AK204" s="70"/>
      <c r="AL204" s="70"/>
      <c r="AM204" s="70"/>
      <c r="AN204" s="70" t="str">
        <f t="shared" si="65"/>
        <v>---</v>
      </c>
      <c r="AO204" s="70" t="str">
        <f t="shared" si="66"/>
        <v>---</v>
      </c>
      <c r="AP204" s="70" t="str">
        <f t="shared" si="67"/>
        <v>---</v>
      </c>
      <c r="AQ204" s="70" t="str">
        <f t="shared" si="68"/>
        <v>---</v>
      </c>
      <c r="AR204" s="70" t="str">
        <f t="shared" si="69"/>
        <v>---</v>
      </c>
      <c r="AS204" s="70" t="str">
        <f t="shared" si="70"/>
        <v>---</v>
      </c>
      <c r="AT204" s="71" t="str">
        <f t="shared" si="71"/>
        <v>---</v>
      </c>
    </row>
    <row r="205" spans="1:46" ht="30" customHeight="1" x14ac:dyDescent="0.3">
      <c r="A205" s="123">
        <f t="shared" si="55"/>
        <v>201</v>
      </c>
      <c r="B205" s="140">
        <f>INDEX('PEER GROUP'!B:B,MATCH($A205,'PEER GROUP'!$A:$A,0))</f>
        <v>0</v>
      </c>
      <c r="C205" s="83">
        <f>INDEX('PEER GROUP'!C:C,MATCH($A205,'PEER GROUP'!$A:$A,0))</f>
        <v>0</v>
      </c>
      <c r="D205" s="83">
        <f>INDEX('PEER GROUP'!D:D,MATCH($A205,'PEER GROUP'!$A:$A,0))</f>
        <v>0</v>
      </c>
      <c r="E205" s="83">
        <f>INDEX('PEER GROUP'!E:E,MATCH(A205,'PEER GROUP'!$A:$A,0))</f>
        <v>0</v>
      </c>
      <c r="F205" s="84">
        <f>INDEX('PEER GROUP'!F:F,MATCH($A205,'PEER GROUP'!$A:$A,0))</f>
        <v>0</v>
      </c>
      <c r="G205" s="84">
        <f>INDEX('PEER GROUP'!G:G,MATCH($A205,'PEER GROUP'!$A:$A,0))</f>
        <v>0</v>
      </c>
      <c r="H205" s="85"/>
      <c r="I205" s="85"/>
      <c r="J205" s="70">
        <f>INDEX('PEER GROUP'!K:K,MATCH($A205,'PEER GROUP'!$A:$A,0))</f>
        <v>0</v>
      </c>
      <c r="K205" s="70">
        <f>INDEX('PEER GROUP'!L:L,MATCH($A205,'PEER GROUP'!$A:$A,0))</f>
        <v>0</v>
      </c>
      <c r="L205" s="70">
        <f>INDEX('PEER GROUP'!M:M,MATCH($A205,'PEER GROUP'!$A:$A,0))</f>
        <v>0</v>
      </c>
      <c r="M205" s="86">
        <f>INDEX('PEER GROUP'!N:N,MATCH($A205,'PEER GROUP'!$A:$A,0))</f>
        <v>0</v>
      </c>
      <c r="N205" s="118"/>
      <c r="O205" s="115"/>
      <c r="P205" s="117"/>
      <c r="Q205" s="87"/>
      <c r="R205" s="87">
        <f t="shared" si="56"/>
        <v>0</v>
      </c>
      <c r="S205" s="87"/>
      <c r="T205" s="87"/>
      <c r="U205" s="87"/>
      <c r="V205" s="87">
        <f t="shared" si="57"/>
        <v>0</v>
      </c>
      <c r="W205" s="113">
        <f t="shared" si="54"/>
        <v>36.913096727263202</v>
      </c>
      <c r="X205" s="69">
        <f t="shared" si="58"/>
        <v>0</v>
      </c>
      <c r="Y205" s="70">
        <f t="shared" si="59"/>
        <v>0</v>
      </c>
      <c r="Z205" s="70">
        <f t="shared" si="60"/>
        <v>0</v>
      </c>
      <c r="AA205" s="70">
        <f t="shared" si="61"/>
        <v>0</v>
      </c>
      <c r="AB205" s="70">
        <f t="shared" si="62"/>
        <v>0</v>
      </c>
      <c r="AC205" s="70">
        <f t="shared" si="63"/>
        <v>0</v>
      </c>
      <c r="AD205" s="71">
        <f t="shared" si="64"/>
        <v>0</v>
      </c>
      <c r="AE205" s="49"/>
      <c r="AF205" s="21"/>
      <c r="AG205" s="69"/>
      <c r="AH205" s="70"/>
      <c r="AI205" s="70"/>
      <c r="AJ205" s="70"/>
      <c r="AK205" s="70"/>
      <c r="AL205" s="70"/>
      <c r="AM205" s="70"/>
      <c r="AN205" s="70" t="str">
        <f t="shared" si="65"/>
        <v>---</v>
      </c>
      <c r="AO205" s="70" t="str">
        <f t="shared" si="66"/>
        <v>---</v>
      </c>
      <c r="AP205" s="70" t="str">
        <f t="shared" si="67"/>
        <v>---</v>
      </c>
      <c r="AQ205" s="70" t="str">
        <f t="shared" si="68"/>
        <v>---</v>
      </c>
      <c r="AR205" s="70" t="str">
        <f t="shared" si="69"/>
        <v>---</v>
      </c>
      <c r="AS205" s="70" t="str">
        <f t="shared" si="70"/>
        <v>---</v>
      </c>
      <c r="AT205" s="71" t="str">
        <f t="shared" si="71"/>
        <v>---</v>
      </c>
    </row>
    <row r="206" spans="1:46" ht="30" customHeight="1" x14ac:dyDescent="0.3">
      <c r="A206" s="123">
        <f t="shared" si="55"/>
        <v>202</v>
      </c>
      <c r="B206" s="140">
        <f>INDEX('PEER GROUP'!B:B,MATCH($A206,'PEER GROUP'!$A:$A,0))</f>
        <v>0</v>
      </c>
      <c r="C206" s="83">
        <f>INDEX('PEER GROUP'!C:C,MATCH($A206,'PEER GROUP'!$A:$A,0))</f>
        <v>0</v>
      </c>
      <c r="D206" s="83">
        <f>INDEX('PEER GROUP'!D:D,MATCH($A206,'PEER GROUP'!$A:$A,0))</f>
        <v>0</v>
      </c>
      <c r="E206" s="83">
        <f>INDEX('PEER GROUP'!E:E,MATCH(A206,'PEER GROUP'!$A:$A,0))</f>
        <v>0</v>
      </c>
      <c r="F206" s="84">
        <f>INDEX('PEER GROUP'!F:F,MATCH($A206,'PEER GROUP'!$A:$A,0))</f>
        <v>0</v>
      </c>
      <c r="G206" s="84">
        <f>INDEX('PEER GROUP'!G:G,MATCH($A206,'PEER GROUP'!$A:$A,0))</f>
        <v>0</v>
      </c>
      <c r="H206" s="85"/>
      <c r="I206" s="85"/>
      <c r="J206" s="70">
        <f>INDEX('PEER GROUP'!K:K,MATCH($A206,'PEER GROUP'!$A:$A,0))</f>
        <v>0</v>
      </c>
      <c r="K206" s="70">
        <f>INDEX('PEER GROUP'!L:L,MATCH($A206,'PEER GROUP'!$A:$A,0))</f>
        <v>0</v>
      </c>
      <c r="L206" s="70">
        <f>INDEX('PEER GROUP'!M:M,MATCH($A206,'PEER GROUP'!$A:$A,0))</f>
        <v>0</v>
      </c>
      <c r="M206" s="86">
        <f>INDEX('PEER GROUP'!N:N,MATCH($A206,'PEER GROUP'!$A:$A,0))</f>
        <v>0</v>
      </c>
      <c r="N206" s="118"/>
      <c r="O206" s="115"/>
      <c r="P206" s="117"/>
      <c r="Q206" s="87"/>
      <c r="R206" s="87">
        <f t="shared" si="56"/>
        <v>0</v>
      </c>
      <c r="S206" s="87"/>
      <c r="T206" s="87"/>
      <c r="U206" s="87"/>
      <c r="V206" s="87">
        <f t="shared" si="57"/>
        <v>0</v>
      </c>
      <c r="W206" s="113">
        <f t="shared" si="54"/>
        <v>36.913096727263202</v>
      </c>
      <c r="X206" s="69">
        <f t="shared" si="58"/>
        <v>0</v>
      </c>
      <c r="Y206" s="70">
        <f t="shared" si="59"/>
        <v>0</v>
      </c>
      <c r="Z206" s="70">
        <f t="shared" si="60"/>
        <v>0</v>
      </c>
      <c r="AA206" s="70">
        <f t="shared" si="61"/>
        <v>0</v>
      </c>
      <c r="AB206" s="70">
        <f t="shared" si="62"/>
        <v>0</v>
      </c>
      <c r="AC206" s="70">
        <f t="shared" si="63"/>
        <v>0</v>
      </c>
      <c r="AD206" s="71">
        <f t="shared" si="64"/>
        <v>0</v>
      </c>
      <c r="AE206" s="49"/>
      <c r="AF206" s="21"/>
      <c r="AG206" s="69"/>
      <c r="AH206" s="70"/>
      <c r="AI206" s="70"/>
      <c r="AJ206" s="70"/>
      <c r="AK206" s="70"/>
      <c r="AL206" s="70"/>
      <c r="AM206" s="70"/>
      <c r="AN206" s="70" t="str">
        <f t="shared" si="65"/>
        <v>---</v>
      </c>
      <c r="AO206" s="70" t="str">
        <f t="shared" si="66"/>
        <v>---</v>
      </c>
      <c r="AP206" s="70" t="str">
        <f t="shared" si="67"/>
        <v>---</v>
      </c>
      <c r="AQ206" s="70" t="str">
        <f t="shared" si="68"/>
        <v>---</v>
      </c>
      <c r="AR206" s="70" t="str">
        <f t="shared" si="69"/>
        <v>---</v>
      </c>
      <c r="AS206" s="70" t="str">
        <f t="shared" si="70"/>
        <v>---</v>
      </c>
      <c r="AT206" s="71" t="str">
        <f t="shared" si="71"/>
        <v>---</v>
      </c>
    </row>
    <row r="207" spans="1:46" ht="30" customHeight="1" x14ac:dyDescent="0.3">
      <c r="A207" s="123">
        <f t="shared" si="55"/>
        <v>203</v>
      </c>
      <c r="B207" s="140">
        <f>INDEX('PEER GROUP'!B:B,MATCH($A207,'PEER GROUP'!$A:$A,0))</f>
        <v>0</v>
      </c>
      <c r="C207" s="83">
        <f>INDEX('PEER GROUP'!C:C,MATCH($A207,'PEER GROUP'!$A:$A,0))</f>
        <v>0</v>
      </c>
      <c r="D207" s="83">
        <f>INDEX('PEER GROUP'!D:D,MATCH($A207,'PEER GROUP'!$A:$A,0))</f>
        <v>0</v>
      </c>
      <c r="E207" s="83">
        <f>INDEX('PEER GROUP'!E:E,MATCH(A207,'PEER GROUP'!$A:$A,0))</f>
        <v>0</v>
      </c>
      <c r="F207" s="84">
        <f>INDEX('PEER GROUP'!F:F,MATCH($A207,'PEER GROUP'!$A:$A,0))</f>
        <v>0</v>
      </c>
      <c r="G207" s="84">
        <f>INDEX('PEER GROUP'!G:G,MATCH($A207,'PEER GROUP'!$A:$A,0))</f>
        <v>0</v>
      </c>
      <c r="H207" s="85"/>
      <c r="I207" s="85"/>
      <c r="J207" s="70">
        <f>INDEX('PEER GROUP'!K:K,MATCH($A207,'PEER GROUP'!$A:$A,0))</f>
        <v>0</v>
      </c>
      <c r="K207" s="70">
        <f>INDEX('PEER GROUP'!L:L,MATCH($A207,'PEER GROUP'!$A:$A,0))</f>
        <v>0</v>
      </c>
      <c r="L207" s="70">
        <f>INDEX('PEER GROUP'!M:M,MATCH($A207,'PEER GROUP'!$A:$A,0))</f>
        <v>0</v>
      </c>
      <c r="M207" s="86">
        <f>INDEX('PEER GROUP'!N:N,MATCH($A207,'PEER GROUP'!$A:$A,0))</f>
        <v>0</v>
      </c>
      <c r="N207" s="118"/>
      <c r="O207" s="115"/>
      <c r="P207" s="117"/>
      <c r="Q207" s="87"/>
      <c r="R207" s="87">
        <f t="shared" si="56"/>
        <v>0</v>
      </c>
      <c r="S207" s="87"/>
      <c r="T207" s="87"/>
      <c r="U207" s="87"/>
      <c r="V207" s="87">
        <f t="shared" si="57"/>
        <v>0</v>
      </c>
      <c r="W207" s="113">
        <f t="shared" si="54"/>
        <v>36.913096727263202</v>
      </c>
      <c r="X207" s="69">
        <f t="shared" si="58"/>
        <v>0</v>
      </c>
      <c r="Y207" s="70">
        <f t="shared" si="59"/>
        <v>0</v>
      </c>
      <c r="Z207" s="70">
        <f t="shared" si="60"/>
        <v>0</v>
      </c>
      <c r="AA207" s="70">
        <f t="shared" si="61"/>
        <v>0</v>
      </c>
      <c r="AB207" s="70">
        <f t="shared" si="62"/>
        <v>0</v>
      </c>
      <c r="AC207" s="70">
        <f t="shared" si="63"/>
        <v>0</v>
      </c>
      <c r="AD207" s="71">
        <f t="shared" si="64"/>
        <v>0</v>
      </c>
      <c r="AE207" s="49"/>
      <c r="AF207" s="21"/>
      <c r="AG207" s="69"/>
      <c r="AH207" s="70"/>
      <c r="AI207" s="70"/>
      <c r="AJ207" s="70"/>
      <c r="AK207" s="70"/>
      <c r="AL207" s="70"/>
      <c r="AM207" s="70"/>
      <c r="AN207" s="70" t="str">
        <f t="shared" si="65"/>
        <v>---</v>
      </c>
      <c r="AO207" s="70" t="str">
        <f t="shared" si="66"/>
        <v>---</v>
      </c>
      <c r="AP207" s="70" t="str">
        <f t="shared" si="67"/>
        <v>---</v>
      </c>
      <c r="AQ207" s="70" t="str">
        <f t="shared" si="68"/>
        <v>---</v>
      </c>
      <c r="AR207" s="70" t="str">
        <f t="shared" si="69"/>
        <v>---</v>
      </c>
      <c r="AS207" s="70" t="str">
        <f t="shared" si="70"/>
        <v>---</v>
      </c>
      <c r="AT207" s="71" t="str">
        <f t="shared" si="71"/>
        <v>---</v>
      </c>
    </row>
    <row r="208" spans="1:46" ht="30" customHeight="1" x14ac:dyDescent="0.3">
      <c r="A208" s="123">
        <f t="shared" si="55"/>
        <v>204</v>
      </c>
      <c r="B208" s="140">
        <f>INDEX('PEER GROUP'!B:B,MATCH($A208,'PEER GROUP'!$A:$A,0))</f>
        <v>0</v>
      </c>
      <c r="C208" s="83">
        <f>INDEX('PEER GROUP'!C:C,MATCH($A208,'PEER GROUP'!$A:$A,0))</f>
        <v>0</v>
      </c>
      <c r="D208" s="83">
        <f>INDEX('PEER GROUP'!D:D,MATCH($A208,'PEER GROUP'!$A:$A,0))</f>
        <v>0</v>
      </c>
      <c r="E208" s="83">
        <f>INDEX('PEER GROUP'!E:E,MATCH(A208,'PEER GROUP'!$A:$A,0))</f>
        <v>0</v>
      </c>
      <c r="F208" s="84">
        <f>INDEX('PEER GROUP'!F:F,MATCH($A208,'PEER GROUP'!$A:$A,0))</f>
        <v>0</v>
      </c>
      <c r="G208" s="84">
        <f>INDEX('PEER GROUP'!G:G,MATCH($A208,'PEER GROUP'!$A:$A,0))</f>
        <v>0</v>
      </c>
      <c r="H208" s="85"/>
      <c r="I208" s="85"/>
      <c r="J208" s="70">
        <f>INDEX('PEER GROUP'!K:K,MATCH($A208,'PEER GROUP'!$A:$A,0))</f>
        <v>0</v>
      </c>
      <c r="K208" s="70">
        <f>INDEX('PEER GROUP'!L:L,MATCH($A208,'PEER GROUP'!$A:$A,0))</f>
        <v>0</v>
      </c>
      <c r="L208" s="70">
        <f>INDEX('PEER GROUP'!M:M,MATCH($A208,'PEER GROUP'!$A:$A,0))</f>
        <v>0</v>
      </c>
      <c r="M208" s="86">
        <f>INDEX('PEER GROUP'!N:N,MATCH($A208,'PEER GROUP'!$A:$A,0))</f>
        <v>0</v>
      </c>
      <c r="N208" s="118"/>
      <c r="O208" s="115"/>
      <c r="P208" s="117"/>
      <c r="Q208" s="87"/>
      <c r="R208" s="87">
        <f t="shared" si="56"/>
        <v>0</v>
      </c>
      <c r="S208" s="87"/>
      <c r="T208" s="87"/>
      <c r="U208" s="87"/>
      <c r="V208" s="87">
        <f t="shared" si="57"/>
        <v>0</v>
      </c>
      <c r="W208" s="113">
        <f t="shared" si="54"/>
        <v>36.913096727263202</v>
      </c>
      <c r="X208" s="69">
        <f t="shared" si="58"/>
        <v>0</v>
      </c>
      <c r="Y208" s="70">
        <f t="shared" si="59"/>
        <v>0</v>
      </c>
      <c r="Z208" s="70">
        <f t="shared" si="60"/>
        <v>0</v>
      </c>
      <c r="AA208" s="70">
        <f t="shared" si="61"/>
        <v>0</v>
      </c>
      <c r="AB208" s="70">
        <f t="shared" si="62"/>
        <v>0</v>
      </c>
      <c r="AC208" s="70">
        <f t="shared" si="63"/>
        <v>0</v>
      </c>
      <c r="AD208" s="71">
        <f t="shared" si="64"/>
        <v>0</v>
      </c>
      <c r="AE208" s="49"/>
      <c r="AF208" s="21"/>
      <c r="AG208" s="69"/>
      <c r="AH208" s="70"/>
      <c r="AI208" s="70"/>
      <c r="AJ208" s="70"/>
      <c r="AK208" s="70"/>
      <c r="AL208" s="70"/>
      <c r="AM208" s="70"/>
      <c r="AN208" s="70" t="str">
        <f t="shared" si="65"/>
        <v>---</v>
      </c>
      <c r="AO208" s="70" t="str">
        <f t="shared" si="66"/>
        <v>---</v>
      </c>
      <c r="AP208" s="70" t="str">
        <f t="shared" si="67"/>
        <v>---</v>
      </c>
      <c r="AQ208" s="70" t="str">
        <f t="shared" si="68"/>
        <v>---</v>
      </c>
      <c r="AR208" s="70" t="str">
        <f t="shared" si="69"/>
        <v>---</v>
      </c>
      <c r="AS208" s="70" t="str">
        <f t="shared" si="70"/>
        <v>---</v>
      </c>
      <c r="AT208" s="71" t="str">
        <f t="shared" si="71"/>
        <v>---</v>
      </c>
    </row>
    <row r="209" spans="1:46" ht="30" customHeight="1" x14ac:dyDescent="0.3">
      <c r="A209" s="123">
        <f t="shared" si="55"/>
        <v>205</v>
      </c>
      <c r="B209" s="140">
        <f>INDEX('PEER GROUP'!B:B,MATCH($A209,'PEER GROUP'!$A:$A,0))</f>
        <v>0</v>
      </c>
      <c r="C209" s="83">
        <f>INDEX('PEER GROUP'!C:C,MATCH($A209,'PEER GROUP'!$A:$A,0))</f>
        <v>0</v>
      </c>
      <c r="D209" s="83">
        <f>INDEX('PEER GROUP'!D:D,MATCH($A209,'PEER GROUP'!$A:$A,0))</f>
        <v>0</v>
      </c>
      <c r="E209" s="83">
        <f>INDEX('PEER GROUP'!E:E,MATCH(A209,'PEER GROUP'!$A:$A,0))</f>
        <v>0</v>
      </c>
      <c r="F209" s="84">
        <f>INDEX('PEER GROUP'!F:F,MATCH($A209,'PEER GROUP'!$A:$A,0))</f>
        <v>0</v>
      </c>
      <c r="G209" s="84">
        <f>INDEX('PEER GROUP'!G:G,MATCH($A209,'PEER GROUP'!$A:$A,0))</f>
        <v>0</v>
      </c>
      <c r="H209" s="85"/>
      <c r="I209" s="85"/>
      <c r="J209" s="70">
        <f>INDEX('PEER GROUP'!K:K,MATCH($A209,'PEER GROUP'!$A:$A,0))</f>
        <v>0</v>
      </c>
      <c r="K209" s="70">
        <f>INDEX('PEER GROUP'!L:L,MATCH($A209,'PEER GROUP'!$A:$A,0))</f>
        <v>0</v>
      </c>
      <c r="L209" s="70">
        <f>INDEX('PEER GROUP'!M:M,MATCH($A209,'PEER GROUP'!$A:$A,0))</f>
        <v>0</v>
      </c>
      <c r="M209" s="86">
        <f>INDEX('PEER GROUP'!N:N,MATCH($A209,'PEER GROUP'!$A:$A,0))</f>
        <v>0</v>
      </c>
      <c r="N209" s="118"/>
      <c r="O209" s="115"/>
      <c r="P209" s="117"/>
      <c r="Q209" s="87"/>
      <c r="R209" s="87">
        <f t="shared" si="56"/>
        <v>0</v>
      </c>
      <c r="S209" s="87"/>
      <c r="T209" s="87"/>
      <c r="U209" s="87"/>
      <c r="V209" s="87">
        <f t="shared" si="57"/>
        <v>0</v>
      </c>
      <c r="W209" s="113">
        <f t="shared" si="54"/>
        <v>36.913096727263202</v>
      </c>
      <c r="X209" s="69">
        <f t="shared" si="58"/>
        <v>0</v>
      </c>
      <c r="Y209" s="70">
        <f t="shared" si="59"/>
        <v>0</v>
      </c>
      <c r="Z209" s="70">
        <f t="shared" si="60"/>
        <v>0</v>
      </c>
      <c r="AA209" s="70">
        <f t="shared" si="61"/>
        <v>0</v>
      </c>
      <c r="AB209" s="70">
        <f t="shared" si="62"/>
        <v>0</v>
      </c>
      <c r="AC209" s="70">
        <f t="shared" si="63"/>
        <v>0</v>
      </c>
      <c r="AD209" s="71">
        <f t="shared" si="64"/>
        <v>0</v>
      </c>
      <c r="AE209" s="49"/>
      <c r="AF209" s="21"/>
      <c r="AG209" s="69"/>
      <c r="AH209" s="70"/>
      <c r="AI209" s="70"/>
      <c r="AJ209" s="70"/>
      <c r="AK209" s="70"/>
      <c r="AL209" s="70"/>
      <c r="AM209" s="70"/>
      <c r="AN209" s="70" t="str">
        <f t="shared" si="65"/>
        <v>---</v>
      </c>
      <c r="AO209" s="70" t="str">
        <f t="shared" si="66"/>
        <v>---</v>
      </c>
      <c r="AP209" s="70" t="str">
        <f t="shared" si="67"/>
        <v>---</v>
      </c>
      <c r="AQ209" s="70" t="str">
        <f t="shared" si="68"/>
        <v>---</v>
      </c>
      <c r="AR209" s="70" t="str">
        <f t="shared" si="69"/>
        <v>---</v>
      </c>
      <c r="AS209" s="70" t="str">
        <f t="shared" si="70"/>
        <v>---</v>
      </c>
      <c r="AT209" s="71" t="str">
        <f t="shared" si="71"/>
        <v>---</v>
      </c>
    </row>
    <row r="210" spans="1:46" ht="30" customHeight="1" x14ac:dyDescent="0.3">
      <c r="A210" s="123">
        <f t="shared" si="55"/>
        <v>206</v>
      </c>
      <c r="B210" s="140">
        <f>INDEX('PEER GROUP'!B:B,MATCH($A210,'PEER GROUP'!$A:$A,0))</f>
        <v>0</v>
      </c>
      <c r="C210" s="83">
        <f>INDEX('PEER GROUP'!C:C,MATCH($A210,'PEER GROUP'!$A:$A,0))</f>
        <v>0</v>
      </c>
      <c r="D210" s="83">
        <f>INDEX('PEER GROUP'!D:D,MATCH($A210,'PEER GROUP'!$A:$A,0))</f>
        <v>0</v>
      </c>
      <c r="E210" s="83">
        <f>INDEX('PEER GROUP'!E:E,MATCH(A210,'PEER GROUP'!$A:$A,0))</f>
        <v>0</v>
      </c>
      <c r="F210" s="84">
        <f>INDEX('PEER GROUP'!F:F,MATCH($A210,'PEER GROUP'!$A:$A,0))</f>
        <v>0</v>
      </c>
      <c r="G210" s="84">
        <f>INDEX('PEER GROUP'!G:G,MATCH($A210,'PEER GROUP'!$A:$A,0))</f>
        <v>0</v>
      </c>
      <c r="H210" s="85"/>
      <c r="I210" s="85"/>
      <c r="J210" s="70">
        <f>INDEX('PEER GROUP'!K:K,MATCH($A210,'PEER GROUP'!$A:$A,0))</f>
        <v>0</v>
      </c>
      <c r="K210" s="70">
        <f>INDEX('PEER GROUP'!L:L,MATCH($A210,'PEER GROUP'!$A:$A,0))</f>
        <v>0</v>
      </c>
      <c r="L210" s="70">
        <f>INDEX('PEER GROUP'!M:M,MATCH($A210,'PEER GROUP'!$A:$A,0))</f>
        <v>0</v>
      </c>
      <c r="M210" s="86">
        <f>INDEX('PEER GROUP'!N:N,MATCH($A210,'PEER GROUP'!$A:$A,0))</f>
        <v>0</v>
      </c>
      <c r="N210" s="118"/>
      <c r="O210" s="115"/>
      <c r="P210" s="117"/>
      <c r="Q210" s="87"/>
      <c r="R210" s="87">
        <f t="shared" si="56"/>
        <v>0</v>
      </c>
      <c r="S210" s="87"/>
      <c r="T210" s="87"/>
      <c r="U210" s="87"/>
      <c r="V210" s="87">
        <f t="shared" si="57"/>
        <v>0</v>
      </c>
      <c r="W210" s="113">
        <f t="shared" si="54"/>
        <v>36.913096727263202</v>
      </c>
      <c r="X210" s="69">
        <f t="shared" si="58"/>
        <v>0</v>
      </c>
      <c r="Y210" s="70">
        <f t="shared" si="59"/>
        <v>0</v>
      </c>
      <c r="Z210" s="70">
        <f t="shared" si="60"/>
        <v>0</v>
      </c>
      <c r="AA210" s="70">
        <f t="shared" si="61"/>
        <v>0</v>
      </c>
      <c r="AB210" s="70">
        <f t="shared" si="62"/>
        <v>0</v>
      </c>
      <c r="AC210" s="70">
        <f t="shared" si="63"/>
        <v>0</v>
      </c>
      <c r="AD210" s="71">
        <f t="shared" si="64"/>
        <v>0</v>
      </c>
      <c r="AE210" s="49"/>
      <c r="AF210" s="21"/>
      <c r="AG210" s="69"/>
      <c r="AH210" s="70"/>
      <c r="AI210" s="70"/>
      <c r="AJ210" s="70"/>
      <c r="AK210" s="70"/>
      <c r="AL210" s="70"/>
      <c r="AM210" s="70"/>
      <c r="AN210" s="70" t="str">
        <f t="shared" si="65"/>
        <v>---</v>
      </c>
      <c r="AO210" s="70" t="str">
        <f t="shared" si="66"/>
        <v>---</v>
      </c>
      <c r="AP210" s="70" t="str">
        <f t="shared" si="67"/>
        <v>---</v>
      </c>
      <c r="AQ210" s="70" t="str">
        <f t="shared" si="68"/>
        <v>---</v>
      </c>
      <c r="AR210" s="70" t="str">
        <f t="shared" si="69"/>
        <v>---</v>
      </c>
      <c r="AS210" s="70" t="str">
        <f t="shared" si="70"/>
        <v>---</v>
      </c>
      <c r="AT210" s="71" t="str">
        <f t="shared" si="71"/>
        <v>---</v>
      </c>
    </row>
    <row r="211" spans="1:46" ht="30" customHeight="1" x14ac:dyDescent="0.3">
      <c r="A211" s="123">
        <f t="shared" si="55"/>
        <v>207</v>
      </c>
      <c r="B211" s="140">
        <f>INDEX('PEER GROUP'!B:B,MATCH($A211,'PEER GROUP'!$A:$A,0))</f>
        <v>0</v>
      </c>
      <c r="C211" s="83">
        <f>INDEX('PEER GROUP'!C:C,MATCH($A211,'PEER GROUP'!$A:$A,0))</f>
        <v>0</v>
      </c>
      <c r="D211" s="83">
        <f>INDEX('PEER GROUP'!D:D,MATCH($A211,'PEER GROUP'!$A:$A,0))</f>
        <v>0</v>
      </c>
      <c r="E211" s="83">
        <f>INDEX('PEER GROUP'!E:E,MATCH(A211,'PEER GROUP'!$A:$A,0))</f>
        <v>0</v>
      </c>
      <c r="F211" s="84">
        <f>INDEX('PEER GROUP'!F:F,MATCH($A211,'PEER GROUP'!$A:$A,0))</f>
        <v>0</v>
      </c>
      <c r="G211" s="84">
        <f>INDEX('PEER GROUP'!G:G,MATCH($A211,'PEER GROUP'!$A:$A,0))</f>
        <v>0</v>
      </c>
      <c r="H211" s="85"/>
      <c r="I211" s="85"/>
      <c r="J211" s="70">
        <f>INDEX('PEER GROUP'!K:K,MATCH($A211,'PEER GROUP'!$A:$A,0))</f>
        <v>0</v>
      </c>
      <c r="K211" s="70">
        <f>INDEX('PEER GROUP'!L:L,MATCH($A211,'PEER GROUP'!$A:$A,0))</f>
        <v>0</v>
      </c>
      <c r="L211" s="70">
        <f>INDEX('PEER GROUP'!M:M,MATCH($A211,'PEER GROUP'!$A:$A,0))</f>
        <v>0</v>
      </c>
      <c r="M211" s="86">
        <f>INDEX('PEER GROUP'!N:N,MATCH($A211,'PEER GROUP'!$A:$A,0))</f>
        <v>0</v>
      </c>
      <c r="N211" s="118"/>
      <c r="O211" s="115"/>
      <c r="P211" s="117"/>
      <c r="Q211" s="87"/>
      <c r="R211" s="87">
        <f t="shared" si="56"/>
        <v>0</v>
      </c>
      <c r="S211" s="87"/>
      <c r="T211" s="87"/>
      <c r="U211" s="87"/>
      <c r="V211" s="87">
        <f t="shared" si="57"/>
        <v>0</v>
      </c>
      <c r="W211" s="113">
        <f t="shared" si="54"/>
        <v>36.913096727263202</v>
      </c>
      <c r="X211" s="69">
        <f t="shared" si="58"/>
        <v>0</v>
      </c>
      <c r="Y211" s="70">
        <f t="shared" si="59"/>
        <v>0</v>
      </c>
      <c r="Z211" s="70">
        <f t="shared" si="60"/>
        <v>0</v>
      </c>
      <c r="AA211" s="70">
        <f t="shared" si="61"/>
        <v>0</v>
      </c>
      <c r="AB211" s="70">
        <f t="shared" si="62"/>
        <v>0</v>
      </c>
      <c r="AC211" s="70">
        <f t="shared" si="63"/>
        <v>0</v>
      </c>
      <c r="AD211" s="71">
        <f t="shared" si="64"/>
        <v>0</v>
      </c>
      <c r="AE211" s="49"/>
      <c r="AF211" s="21"/>
      <c r="AG211" s="69"/>
      <c r="AH211" s="70"/>
      <c r="AI211" s="70"/>
      <c r="AJ211" s="70"/>
      <c r="AK211" s="70"/>
      <c r="AL211" s="70"/>
      <c r="AM211" s="70"/>
      <c r="AN211" s="70" t="str">
        <f t="shared" si="65"/>
        <v>---</v>
      </c>
      <c r="AO211" s="70" t="str">
        <f t="shared" si="66"/>
        <v>---</v>
      </c>
      <c r="AP211" s="70" t="str">
        <f t="shared" si="67"/>
        <v>---</v>
      </c>
      <c r="AQ211" s="70" t="str">
        <f t="shared" si="68"/>
        <v>---</v>
      </c>
      <c r="AR211" s="70" t="str">
        <f t="shared" si="69"/>
        <v>---</v>
      </c>
      <c r="AS211" s="70" t="str">
        <f t="shared" si="70"/>
        <v>---</v>
      </c>
      <c r="AT211" s="71" t="str">
        <f t="shared" si="71"/>
        <v>---</v>
      </c>
    </row>
    <row r="212" spans="1:46" ht="30" customHeight="1" x14ac:dyDescent="0.3">
      <c r="A212" s="123">
        <f t="shared" si="55"/>
        <v>208</v>
      </c>
      <c r="B212" s="140">
        <f>INDEX('PEER GROUP'!B:B,MATCH($A212,'PEER GROUP'!$A:$A,0))</f>
        <v>0</v>
      </c>
      <c r="C212" s="83">
        <f>INDEX('PEER GROUP'!C:C,MATCH($A212,'PEER GROUP'!$A:$A,0))</f>
        <v>0</v>
      </c>
      <c r="D212" s="83">
        <f>INDEX('PEER GROUP'!D:D,MATCH($A212,'PEER GROUP'!$A:$A,0))</f>
        <v>0</v>
      </c>
      <c r="E212" s="83">
        <f>INDEX('PEER GROUP'!E:E,MATCH(A212,'PEER GROUP'!$A:$A,0))</f>
        <v>0</v>
      </c>
      <c r="F212" s="84">
        <f>INDEX('PEER GROUP'!F:F,MATCH($A212,'PEER GROUP'!$A:$A,0))</f>
        <v>0</v>
      </c>
      <c r="G212" s="84">
        <f>INDEX('PEER GROUP'!G:G,MATCH($A212,'PEER GROUP'!$A:$A,0))</f>
        <v>0</v>
      </c>
      <c r="H212" s="85"/>
      <c r="I212" s="85"/>
      <c r="J212" s="70">
        <f>INDEX('PEER GROUP'!K:K,MATCH($A212,'PEER GROUP'!$A:$A,0))</f>
        <v>0</v>
      </c>
      <c r="K212" s="70">
        <f>INDEX('PEER GROUP'!L:L,MATCH($A212,'PEER GROUP'!$A:$A,0))</f>
        <v>0</v>
      </c>
      <c r="L212" s="70">
        <f>INDEX('PEER GROUP'!M:M,MATCH($A212,'PEER GROUP'!$A:$A,0))</f>
        <v>0</v>
      </c>
      <c r="M212" s="86">
        <f>INDEX('PEER GROUP'!N:N,MATCH($A212,'PEER GROUP'!$A:$A,0))</f>
        <v>0</v>
      </c>
      <c r="N212" s="118"/>
      <c r="O212" s="115"/>
      <c r="P212" s="117"/>
      <c r="Q212" s="87"/>
      <c r="R212" s="87">
        <f t="shared" si="56"/>
        <v>0</v>
      </c>
      <c r="S212" s="87"/>
      <c r="T212" s="87"/>
      <c r="U212" s="87"/>
      <c r="V212" s="87">
        <f t="shared" si="57"/>
        <v>0</v>
      </c>
      <c r="W212" s="113">
        <f t="shared" si="54"/>
        <v>36.913096727263202</v>
      </c>
      <c r="X212" s="69">
        <f t="shared" si="58"/>
        <v>0</v>
      </c>
      <c r="Y212" s="70">
        <f t="shared" si="59"/>
        <v>0</v>
      </c>
      <c r="Z212" s="70">
        <f t="shared" si="60"/>
        <v>0</v>
      </c>
      <c r="AA212" s="70">
        <f t="shared" si="61"/>
        <v>0</v>
      </c>
      <c r="AB212" s="70">
        <f t="shared" si="62"/>
        <v>0</v>
      </c>
      <c r="AC212" s="70">
        <f t="shared" si="63"/>
        <v>0</v>
      </c>
      <c r="AD212" s="71">
        <f t="shared" si="64"/>
        <v>0</v>
      </c>
      <c r="AE212" s="49"/>
      <c r="AF212" s="21"/>
      <c r="AG212" s="69"/>
      <c r="AH212" s="70"/>
      <c r="AI212" s="70"/>
      <c r="AJ212" s="70"/>
      <c r="AK212" s="70"/>
      <c r="AL212" s="70"/>
      <c r="AM212" s="70"/>
      <c r="AN212" s="70" t="str">
        <f t="shared" si="65"/>
        <v>---</v>
      </c>
      <c r="AO212" s="70" t="str">
        <f t="shared" si="66"/>
        <v>---</v>
      </c>
      <c r="AP212" s="70" t="str">
        <f t="shared" si="67"/>
        <v>---</v>
      </c>
      <c r="AQ212" s="70" t="str">
        <f t="shared" si="68"/>
        <v>---</v>
      </c>
      <c r="AR212" s="70" t="str">
        <f t="shared" si="69"/>
        <v>---</v>
      </c>
      <c r="AS212" s="70" t="str">
        <f t="shared" si="70"/>
        <v>---</v>
      </c>
      <c r="AT212" s="71" t="str">
        <f t="shared" si="71"/>
        <v>---</v>
      </c>
    </row>
    <row r="213" spans="1:46" ht="30" customHeight="1" x14ac:dyDescent="0.3">
      <c r="A213" s="123">
        <f t="shared" si="55"/>
        <v>209</v>
      </c>
      <c r="B213" s="140">
        <f>INDEX('PEER GROUP'!B:B,MATCH($A213,'PEER GROUP'!$A:$A,0))</f>
        <v>0</v>
      </c>
      <c r="C213" s="83">
        <f>INDEX('PEER GROUP'!C:C,MATCH($A213,'PEER GROUP'!$A:$A,0))</f>
        <v>0</v>
      </c>
      <c r="D213" s="83">
        <f>INDEX('PEER GROUP'!D:D,MATCH($A213,'PEER GROUP'!$A:$A,0))</f>
        <v>0</v>
      </c>
      <c r="E213" s="83">
        <f>INDEX('PEER GROUP'!E:E,MATCH(A213,'PEER GROUP'!$A:$A,0))</f>
        <v>0</v>
      </c>
      <c r="F213" s="84">
        <f>INDEX('PEER GROUP'!F:F,MATCH($A213,'PEER GROUP'!$A:$A,0))</f>
        <v>0</v>
      </c>
      <c r="G213" s="84">
        <f>INDEX('PEER GROUP'!G:G,MATCH($A213,'PEER GROUP'!$A:$A,0))</f>
        <v>0</v>
      </c>
      <c r="H213" s="85"/>
      <c r="I213" s="85"/>
      <c r="J213" s="70">
        <f>INDEX('PEER GROUP'!K:K,MATCH($A213,'PEER GROUP'!$A:$A,0))</f>
        <v>0</v>
      </c>
      <c r="K213" s="70">
        <f>INDEX('PEER GROUP'!L:L,MATCH($A213,'PEER GROUP'!$A:$A,0))</f>
        <v>0</v>
      </c>
      <c r="L213" s="70">
        <f>INDEX('PEER GROUP'!M:M,MATCH($A213,'PEER GROUP'!$A:$A,0))</f>
        <v>0</v>
      </c>
      <c r="M213" s="86">
        <f>INDEX('PEER GROUP'!N:N,MATCH($A213,'PEER GROUP'!$A:$A,0))</f>
        <v>0</v>
      </c>
      <c r="N213" s="118"/>
      <c r="O213" s="115"/>
      <c r="P213" s="117"/>
      <c r="Q213" s="87"/>
      <c r="R213" s="87">
        <f t="shared" si="56"/>
        <v>0</v>
      </c>
      <c r="S213" s="87"/>
      <c r="T213" s="87"/>
      <c r="U213" s="87"/>
      <c r="V213" s="87">
        <f t="shared" si="57"/>
        <v>0</v>
      </c>
      <c r="W213" s="113">
        <f t="shared" si="54"/>
        <v>36.913096727263202</v>
      </c>
      <c r="X213" s="69">
        <f t="shared" si="58"/>
        <v>0</v>
      </c>
      <c r="Y213" s="70">
        <f t="shared" si="59"/>
        <v>0</v>
      </c>
      <c r="Z213" s="70">
        <f t="shared" si="60"/>
        <v>0</v>
      </c>
      <c r="AA213" s="70">
        <f t="shared" si="61"/>
        <v>0</v>
      </c>
      <c r="AB213" s="70">
        <f t="shared" si="62"/>
        <v>0</v>
      </c>
      <c r="AC213" s="70">
        <f t="shared" si="63"/>
        <v>0</v>
      </c>
      <c r="AD213" s="71">
        <f t="shared" si="64"/>
        <v>0</v>
      </c>
      <c r="AE213" s="49"/>
      <c r="AF213" s="21"/>
      <c r="AG213" s="69"/>
      <c r="AH213" s="70"/>
      <c r="AI213" s="70"/>
      <c r="AJ213" s="70"/>
      <c r="AK213" s="70"/>
      <c r="AL213" s="70"/>
      <c r="AM213" s="70"/>
      <c r="AN213" s="70" t="str">
        <f t="shared" si="65"/>
        <v>---</v>
      </c>
      <c r="AO213" s="70" t="str">
        <f t="shared" si="66"/>
        <v>---</v>
      </c>
      <c r="AP213" s="70" t="str">
        <f t="shared" si="67"/>
        <v>---</v>
      </c>
      <c r="AQ213" s="70" t="str">
        <f t="shared" si="68"/>
        <v>---</v>
      </c>
      <c r="AR213" s="70" t="str">
        <f t="shared" si="69"/>
        <v>---</v>
      </c>
      <c r="AS213" s="70" t="str">
        <f t="shared" si="70"/>
        <v>---</v>
      </c>
      <c r="AT213" s="71" t="str">
        <f t="shared" si="71"/>
        <v>---</v>
      </c>
    </row>
    <row r="214" spans="1:46" ht="30" customHeight="1" x14ac:dyDescent="0.3">
      <c r="A214" s="123">
        <f t="shared" si="55"/>
        <v>210</v>
      </c>
      <c r="B214" s="140">
        <f>INDEX('PEER GROUP'!B:B,MATCH($A214,'PEER GROUP'!$A:$A,0))</f>
        <v>0</v>
      </c>
      <c r="C214" s="83">
        <f>INDEX('PEER GROUP'!C:C,MATCH($A214,'PEER GROUP'!$A:$A,0))</f>
        <v>0</v>
      </c>
      <c r="D214" s="83">
        <f>INDEX('PEER GROUP'!D:D,MATCH($A214,'PEER GROUP'!$A:$A,0))</f>
        <v>0</v>
      </c>
      <c r="E214" s="83">
        <f>INDEX('PEER GROUP'!E:E,MATCH(A214,'PEER GROUP'!$A:$A,0))</f>
        <v>0</v>
      </c>
      <c r="F214" s="84">
        <f>INDEX('PEER GROUP'!F:F,MATCH($A214,'PEER GROUP'!$A:$A,0))</f>
        <v>0</v>
      </c>
      <c r="G214" s="84">
        <f>INDEX('PEER GROUP'!G:G,MATCH($A214,'PEER GROUP'!$A:$A,0))</f>
        <v>0</v>
      </c>
      <c r="H214" s="85"/>
      <c r="I214" s="85"/>
      <c r="J214" s="70">
        <f>INDEX('PEER GROUP'!K:K,MATCH($A214,'PEER GROUP'!$A:$A,0))</f>
        <v>0</v>
      </c>
      <c r="K214" s="70">
        <f>INDEX('PEER GROUP'!L:L,MATCH($A214,'PEER GROUP'!$A:$A,0))</f>
        <v>0</v>
      </c>
      <c r="L214" s="70">
        <f>INDEX('PEER GROUP'!M:M,MATCH($A214,'PEER GROUP'!$A:$A,0))</f>
        <v>0</v>
      </c>
      <c r="M214" s="86">
        <f>INDEX('PEER GROUP'!N:N,MATCH($A214,'PEER GROUP'!$A:$A,0))</f>
        <v>0</v>
      </c>
      <c r="N214" s="118"/>
      <c r="O214" s="115"/>
      <c r="P214" s="117"/>
      <c r="Q214" s="87"/>
      <c r="R214" s="87">
        <f t="shared" si="56"/>
        <v>0</v>
      </c>
      <c r="S214" s="87"/>
      <c r="T214" s="87"/>
      <c r="U214" s="87"/>
      <c r="V214" s="87">
        <f t="shared" si="57"/>
        <v>0</v>
      </c>
      <c r="W214" s="113">
        <f t="shared" si="54"/>
        <v>36.913096727263202</v>
      </c>
      <c r="X214" s="69">
        <f t="shared" si="58"/>
        <v>0</v>
      </c>
      <c r="Y214" s="70">
        <f t="shared" si="59"/>
        <v>0</v>
      </c>
      <c r="Z214" s="70">
        <f t="shared" si="60"/>
        <v>0</v>
      </c>
      <c r="AA214" s="70">
        <f t="shared" si="61"/>
        <v>0</v>
      </c>
      <c r="AB214" s="70">
        <f t="shared" si="62"/>
        <v>0</v>
      </c>
      <c r="AC214" s="70">
        <f t="shared" si="63"/>
        <v>0</v>
      </c>
      <c r="AD214" s="71">
        <f t="shared" si="64"/>
        <v>0</v>
      </c>
      <c r="AE214" s="49"/>
      <c r="AF214" s="21"/>
      <c r="AG214" s="69"/>
      <c r="AH214" s="70"/>
      <c r="AI214" s="70"/>
      <c r="AJ214" s="70"/>
      <c r="AK214" s="70"/>
      <c r="AL214" s="70"/>
      <c r="AM214" s="70"/>
      <c r="AN214" s="70" t="str">
        <f t="shared" si="65"/>
        <v>---</v>
      </c>
      <c r="AO214" s="70" t="str">
        <f t="shared" si="66"/>
        <v>---</v>
      </c>
      <c r="AP214" s="70" t="str">
        <f t="shared" si="67"/>
        <v>---</v>
      </c>
      <c r="AQ214" s="70" t="str">
        <f t="shared" si="68"/>
        <v>---</v>
      </c>
      <c r="AR214" s="70" t="str">
        <f t="shared" si="69"/>
        <v>---</v>
      </c>
      <c r="AS214" s="70" t="str">
        <f t="shared" si="70"/>
        <v>---</v>
      </c>
      <c r="AT214" s="71" t="str">
        <f t="shared" si="71"/>
        <v>---</v>
      </c>
    </row>
    <row r="215" spans="1:46" ht="30" customHeight="1" x14ac:dyDescent="0.3">
      <c r="A215" s="123">
        <f t="shared" si="55"/>
        <v>211</v>
      </c>
      <c r="B215" s="140">
        <f>INDEX('PEER GROUP'!B:B,MATCH($A215,'PEER GROUP'!$A:$A,0))</f>
        <v>0</v>
      </c>
      <c r="C215" s="83">
        <f>INDEX('PEER GROUP'!C:C,MATCH($A215,'PEER GROUP'!$A:$A,0))</f>
        <v>0</v>
      </c>
      <c r="D215" s="83">
        <f>INDEX('PEER GROUP'!D:D,MATCH($A215,'PEER GROUP'!$A:$A,0))</f>
        <v>0</v>
      </c>
      <c r="E215" s="83">
        <f>INDEX('PEER GROUP'!E:E,MATCH(A215,'PEER GROUP'!$A:$A,0))</f>
        <v>0</v>
      </c>
      <c r="F215" s="84">
        <f>INDEX('PEER GROUP'!F:F,MATCH($A215,'PEER GROUP'!$A:$A,0))</f>
        <v>0</v>
      </c>
      <c r="G215" s="84">
        <f>INDEX('PEER GROUP'!G:G,MATCH($A215,'PEER GROUP'!$A:$A,0))</f>
        <v>0</v>
      </c>
      <c r="H215" s="85"/>
      <c r="I215" s="85"/>
      <c r="J215" s="70">
        <f>INDEX('PEER GROUP'!K:K,MATCH($A215,'PEER GROUP'!$A:$A,0))</f>
        <v>0</v>
      </c>
      <c r="K215" s="70">
        <f>INDEX('PEER GROUP'!L:L,MATCH($A215,'PEER GROUP'!$A:$A,0))</f>
        <v>0</v>
      </c>
      <c r="L215" s="70">
        <f>INDEX('PEER GROUP'!M:M,MATCH($A215,'PEER GROUP'!$A:$A,0))</f>
        <v>0</v>
      </c>
      <c r="M215" s="86">
        <f>INDEX('PEER GROUP'!N:N,MATCH($A215,'PEER GROUP'!$A:$A,0))</f>
        <v>0</v>
      </c>
      <c r="N215" s="118"/>
      <c r="O215" s="115"/>
      <c r="P215" s="117"/>
      <c r="Q215" s="87"/>
      <c r="R215" s="87">
        <f t="shared" si="56"/>
        <v>0</v>
      </c>
      <c r="S215" s="87"/>
      <c r="T215" s="87"/>
      <c r="U215" s="87"/>
      <c r="V215" s="87">
        <f t="shared" si="57"/>
        <v>0</v>
      </c>
      <c r="W215" s="113">
        <f t="shared" si="54"/>
        <v>36.913096727263202</v>
      </c>
      <c r="X215" s="69">
        <f t="shared" si="58"/>
        <v>0</v>
      </c>
      <c r="Y215" s="70">
        <f t="shared" si="59"/>
        <v>0</v>
      </c>
      <c r="Z215" s="70">
        <f t="shared" si="60"/>
        <v>0</v>
      </c>
      <c r="AA215" s="70">
        <f t="shared" si="61"/>
        <v>0</v>
      </c>
      <c r="AB215" s="70">
        <f t="shared" si="62"/>
        <v>0</v>
      </c>
      <c r="AC215" s="70">
        <f t="shared" si="63"/>
        <v>0</v>
      </c>
      <c r="AD215" s="71">
        <f t="shared" si="64"/>
        <v>0</v>
      </c>
      <c r="AE215" s="49"/>
      <c r="AF215" s="21"/>
      <c r="AG215" s="69"/>
      <c r="AH215" s="70"/>
      <c r="AI215" s="70"/>
      <c r="AJ215" s="70"/>
      <c r="AK215" s="70"/>
      <c r="AL215" s="70"/>
      <c r="AM215" s="70"/>
      <c r="AN215" s="70" t="str">
        <f t="shared" si="65"/>
        <v>---</v>
      </c>
      <c r="AO215" s="70" t="str">
        <f t="shared" si="66"/>
        <v>---</v>
      </c>
      <c r="AP215" s="70" t="str">
        <f t="shared" si="67"/>
        <v>---</v>
      </c>
      <c r="AQ215" s="70" t="str">
        <f t="shared" si="68"/>
        <v>---</v>
      </c>
      <c r="AR215" s="70" t="str">
        <f t="shared" si="69"/>
        <v>---</v>
      </c>
      <c r="AS215" s="70" t="str">
        <f t="shared" si="70"/>
        <v>---</v>
      </c>
      <c r="AT215" s="71" t="str">
        <f t="shared" si="71"/>
        <v>---</v>
      </c>
    </row>
    <row r="216" spans="1:46" ht="30" customHeight="1" x14ac:dyDescent="0.3">
      <c r="A216" s="123">
        <f t="shared" si="55"/>
        <v>212</v>
      </c>
      <c r="B216" s="140">
        <f>INDEX('PEER GROUP'!B:B,MATCH($A216,'PEER GROUP'!$A:$A,0))</f>
        <v>0</v>
      </c>
      <c r="C216" s="83">
        <f>INDEX('PEER GROUP'!C:C,MATCH($A216,'PEER GROUP'!$A:$A,0))</f>
        <v>0</v>
      </c>
      <c r="D216" s="83">
        <f>INDEX('PEER GROUP'!D:D,MATCH($A216,'PEER GROUP'!$A:$A,0))</f>
        <v>0</v>
      </c>
      <c r="E216" s="83">
        <f>INDEX('PEER GROUP'!E:E,MATCH(A216,'PEER GROUP'!$A:$A,0))</f>
        <v>0</v>
      </c>
      <c r="F216" s="84">
        <f>INDEX('PEER GROUP'!F:F,MATCH($A216,'PEER GROUP'!$A:$A,0))</f>
        <v>0</v>
      </c>
      <c r="G216" s="84">
        <f>INDEX('PEER GROUP'!G:G,MATCH($A216,'PEER GROUP'!$A:$A,0))</f>
        <v>0</v>
      </c>
      <c r="H216" s="85"/>
      <c r="I216" s="85"/>
      <c r="J216" s="70">
        <f>INDEX('PEER GROUP'!K:K,MATCH($A216,'PEER GROUP'!$A:$A,0))</f>
        <v>0</v>
      </c>
      <c r="K216" s="70">
        <f>INDEX('PEER GROUP'!L:L,MATCH($A216,'PEER GROUP'!$A:$A,0))</f>
        <v>0</v>
      </c>
      <c r="L216" s="70">
        <f>INDEX('PEER GROUP'!M:M,MATCH($A216,'PEER GROUP'!$A:$A,0))</f>
        <v>0</v>
      </c>
      <c r="M216" s="86">
        <f>INDEX('PEER GROUP'!N:N,MATCH($A216,'PEER GROUP'!$A:$A,0))</f>
        <v>0</v>
      </c>
      <c r="N216" s="118"/>
      <c r="O216" s="115"/>
      <c r="P216" s="117"/>
      <c r="Q216" s="87"/>
      <c r="R216" s="87">
        <f t="shared" si="56"/>
        <v>0</v>
      </c>
      <c r="S216" s="87"/>
      <c r="T216" s="87"/>
      <c r="U216" s="87"/>
      <c r="V216" s="87">
        <f t="shared" si="57"/>
        <v>0</v>
      </c>
      <c r="W216" s="113">
        <f t="shared" si="54"/>
        <v>36.913096727263202</v>
      </c>
      <c r="X216" s="69">
        <f t="shared" si="58"/>
        <v>0</v>
      </c>
      <c r="Y216" s="70">
        <f t="shared" si="59"/>
        <v>0</v>
      </c>
      <c r="Z216" s="70">
        <f t="shared" si="60"/>
        <v>0</v>
      </c>
      <c r="AA216" s="70">
        <f t="shared" si="61"/>
        <v>0</v>
      </c>
      <c r="AB216" s="70">
        <f t="shared" si="62"/>
        <v>0</v>
      </c>
      <c r="AC216" s="70">
        <f t="shared" si="63"/>
        <v>0</v>
      </c>
      <c r="AD216" s="71">
        <f t="shared" si="64"/>
        <v>0</v>
      </c>
      <c r="AE216" s="49"/>
      <c r="AF216" s="21"/>
      <c r="AG216" s="69"/>
      <c r="AH216" s="70"/>
      <c r="AI216" s="70"/>
      <c r="AJ216" s="70"/>
      <c r="AK216" s="70"/>
      <c r="AL216" s="70"/>
      <c r="AM216" s="70"/>
      <c r="AN216" s="70" t="str">
        <f t="shared" si="65"/>
        <v>---</v>
      </c>
      <c r="AO216" s="70" t="str">
        <f t="shared" si="66"/>
        <v>---</v>
      </c>
      <c r="AP216" s="70" t="str">
        <f t="shared" si="67"/>
        <v>---</v>
      </c>
      <c r="AQ216" s="70" t="str">
        <f t="shared" si="68"/>
        <v>---</v>
      </c>
      <c r="AR216" s="70" t="str">
        <f t="shared" si="69"/>
        <v>---</v>
      </c>
      <c r="AS216" s="70" t="str">
        <f t="shared" si="70"/>
        <v>---</v>
      </c>
      <c r="AT216" s="71" t="str">
        <f t="shared" si="71"/>
        <v>---</v>
      </c>
    </row>
    <row r="217" spans="1:46" ht="30" customHeight="1" x14ac:dyDescent="0.3">
      <c r="A217" s="123">
        <f t="shared" si="55"/>
        <v>213</v>
      </c>
      <c r="B217" s="140">
        <f>INDEX('PEER GROUP'!B:B,MATCH($A217,'PEER GROUP'!$A:$A,0))</f>
        <v>0</v>
      </c>
      <c r="C217" s="83">
        <f>INDEX('PEER GROUP'!C:C,MATCH($A217,'PEER GROUP'!$A:$A,0))</f>
        <v>0</v>
      </c>
      <c r="D217" s="83">
        <f>INDEX('PEER GROUP'!D:D,MATCH($A217,'PEER GROUP'!$A:$A,0))</f>
        <v>0</v>
      </c>
      <c r="E217" s="83">
        <f>INDEX('PEER GROUP'!E:E,MATCH(A217,'PEER GROUP'!$A:$A,0))</f>
        <v>0</v>
      </c>
      <c r="F217" s="84">
        <f>INDEX('PEER GROUP'!F:F,MATCH($A217,'PEER GROUP'!$A:$A,0))</f>
        <v>0</v>
      </c>
      <c r="G217" s="84">
        <f>INDEX('PEER GROUP'!G:G,MATCH($A217,'PEER GROUP'!$A:$A,0))</f>
        <v>0</v>
      </c>
      <c r="H217" s="85"/>
      <c r="I217" s="85"/>
      <c r="J217" s="70">
        <f>INDEX('PEER GROUP'!K:K,MATCH($A217,'PEER GROUP'!$A:$A,0))</f>
        <v>0</v>
      </c>
      <c r="K217" s="70">
        <f>INDEX('PEER GROUP'!L:L,MATCH($A217,'PEER GROUP'!$A:$A,0))</f>
        <v>0</v>
      </c>
      <c r="L217" s="70">
        <f>INDEX('PEER GROUP'!M:M,MATCH($A217,'PEER GROUP'!$A:$A,0))</f>
        <v>0</v>
      </c>
      <c r="M217" s="86">
        <f>INDEX('PEER GROUP'!N:N,MATCH($A217,'PEER GROUP'!$A:$A,0))</f>
        <v>0</v>
      </c>
      <c r="N217" s="118"/>
      <c r="O217" s="115"/>
      <c r="P217" s="117"/>
      <c r="Q217" s="87"/>
      <c r="R217" s="87">
        <f t="shared" si="56"/>
        <v>0</v>
      </c>
      <c r="S217" s="87"/>
      <c r="T217" s="87"/>
      <c r="U217" s="87"/>
      <c r="V217" s="87">
        <f t="shared" si="57"/>
        <v>0</v>
      </c>
      <c r="W217" s="113">
        <f t="shared" si="54"/>
        <v>36.913096727263202</v>
      </c>
      <c r="X217" s="69">
        <f t="shared" si="58"/>
        <v>0</v>
      </c>
      <c r="Y217" s="70">
        <f t="shared" si="59"/>
        <v>0</v>
      </c>
      <c r="Z217" s="70">
        <f t="shared" si="60"/>
        <v>0</v>
      </c>
      <c r="AA217" s="70">
        <f t="shared" si="61"/>
        <v>0</v>
      </c>
      <c r="AB217" s="70">
        <f t="shared" si="62"/>
        <v>0</v>
      </c>
      <c r="AC217" s="70">
        <f t="shared" si="63"/>
        <v>0</v>
      </c>
      <c r="AD217" s="71">
        <f t="shared" si="64"/>
        <v>0</v>
      </c>
      <c r="AE217" s="49"/>
      <c r="AF217" s="21"/>
      <c r="AG217" s="69"/>
      <c r="AH217" s="70"/>
      <c r="AI217" s="70"/>
      <c r="AJ217" s="70"/>
      <c r="AK217" s="70"/>
      <c r="AL217" s="70"/>
      <c r="AM217" s="70"/>
      <c r="AN217" s="70" t="str">
        <f t="shared" si="65"/>
        <v>---</v>
      </c>
      <c r="AO217" s="70" t="str">
        <f t="shared" si="66"/>
        <v>---</v>
      </c>
      <c r="AP217" s="70" t="str">
        <f t="shared" si="67"/>
        <v>---</v>
      </c>
      <c r="AQ217" s="70" t="str">
        <f t="shared" si="68"/>
        <v>---</v>
      </c>
      <c r="AR217" s="70" t="str">
        <f t="shared" si="69"/>
        <v>---</v>
      </c>
      <c r="AS217" s="70" t="str">
        <f t="shared" si="70"/>
        <v>---</v>
      </c>
      <c r="AT217" s="71" t="str">
        <f t="shared" si="71"/>
        <v>---</v>
      </c>
    </row>
    <row r="218" spans="1:46" ht="30" customHeight="1" x14ac:dyDescent="0.3">
      <c r="A218" s="123">
        <f t="shared" si="55"/>
        <v>214</v>
      </c>
      <c r="B218" s="140">
        <f>INDEX('PEER GROUP'!B:B,MATCH($A218,'PEER GROUP'!$A:$A,0))</f>
        <v>0</v>
      </c>
      <c r="C218" s="83">
        <f>INDEX('PEER GROUP'!C:C,MATCH($A218,'PEER GROUP'!$A:$A,0))</f>
        <v>0</v>
      </c>
      <c r="D218" s="83">
        <f>INDEX('PEER GROUP'!D:D,MATCH($A218,'PEER GROUP'!$A:$A,0))</f>
        <v>0</v>
      </c>
      <c r="E218" s="83">
        <f>INDEX('PEER GROUP'!E:E,MATCH(A218,'PEER GROUP'!$A:$A,0))</f>
        <v>0</v>
      </c>
      <c r="F218" s="84">
        <f>INDEX('PEER GROUP'!F:F,MATCH($A218,'PEER GROUP'!$A:$A,0))</f>
        <v>0</v>
      </c>
      <c r="G218" s="84">
        <f>INDEX('PEER GROUP'!G:G,MATCH($A218,'PEER GROUP'!$A:$A,0))</f>
        <v>0</v>
      </c>
      <c r="H218" s="85"/>
      <c r="I218" s="85"/>
      <c r="J218" s="70">
        <f>INDEX('PEER GROUP'!K:K,MATCH($A218,'PEER GROUP'!$A:$A,0))</f>
        <v>0</v>
      </c>
      <c r="K218" s="70">
        <f>INDEX('PEER GROUP'!L:L,MATCH($A218,'PEER GROUP'!$A:$A,0))</f>
        <v>0</v>
      </c>
      <c r="L218" s="70">
        <f>INDEX('PEER GROUP'!M:M,MATCH($A218,'PEER GROUP'!$A:$A,0))</f>
        <v>0</v>
      </c>
      <c r="M218" s="86">
        <f>INDEX('PEER GROUP'!N:N,MATCH($A218,'PEER GROUP'!$A:$A,0))</f>
        <v>0</v>
      </c>
      <c r="N218" s="118"/>
      <c r="O218" s="115"/>
      <c r="P218" s="117"/>
      <c r="Q218" s="87"/>
      <c r="R218" s="87">
        <f t="shared" si="56"/>
        <v>0</v>
      </c>
      <c r="S218" s="87"/>
      <c r="T218" s="87"/>
      <c r="U218" s="87"/>
      <c r="V218" s="87">
        <f t="shared" si="57"/>
        <v>0</v>
      </c>
      <c r="W218" s="113">
        <f t="shared" si="54"/>
        <v>36.913096727263202</v>
      </c>
      <c r="X218" s="69">
        <f t="shared" si="58"/>
        <v>0</v>
      </c>
      <c r="Y218" s="70">
        <f t="shared" si="59"/>
        <v>0</v>
      </c>
      <c r="Z218" s="70">
        <f t="shared" si="60"/>
        <v>0</v>
      </c>
      <c r="AA218" s="70">
        <f t="shared" si="61"/>
        <v>0</v>
      </c>
      <c r="AB218" s="70">
        <f t="shared" si="62"/>
        <v>0</v>
      </c>
      <c r="AC218" s="70">
        <f t="shared" si="63"/>
        <v>0</v>
      </c>
      <c r="AD218" s="71">
        <f t="shared" si="64"/>
        <v>0</v>
      </c>
      <c r="AE218" s="49"/>
      <c r="AF218" s="21"/>
      <c r="AG218" s="69"/>
      <c r="AH218" s="70"/>
      <c r="AI218" s="70"/>
      <c r="AJ218" s="70"/>
      <c r="AK218" s="70"/>
      <c r="AL218" s="70"/>
      <c r="AM218" s="70"/>
      <c r="AN218" s="70" t="str">
        <f t="shared" si="65"/>
        <v>---</v>
      </c>
      <c r="AO218" s="70" t="str">
        <f t="shared" si="66"/>
        <v>---</v>
      </c>
      <c r="AP218" s="70" t="str">
        <f t="shared" si="67"/>
        <v>---</v>
      </c>
      <c r="AQ218" s="70" t="str">
        <f t="shared" si="68"/>
        <v>---</v>
      </c>
      <c r="AR218" s="70" t="str">
        <f t="shared" si="69"/>
        <v>---</v>
      </c>
      <c r="AS218" s="70" t="str">
        <f t="shared" si="70"/>
        <v>---</v>
      </c>
      <c r="AT218" s="71" t="str">
        <f t="shared" si="71"/>
        <v>---</v>
      </c>
    </row>
    <row r="219" spans="1:46" ht="30" customHeight="1" x14ac:dyDescent="0.3">
      <c r="A219" s="123">
        <f t="shared" si="55"/>
        <v>215</v>
      </c>
      <c r="B219" s="140">
        <f>INDEX('PEER GROUP'!B:B,MATCH($A219,'PEER GROUP'!$A:$A,0))</f>
        <v>0</v>
      </c>
      <c r="C219" s="83">
        <f>INDEX('PEER GROUP'!C:C,MATCH($A219,'PEER GROUP'!$A:$A,0))</f>
        <v>0</v>
      </c>
      <c r="D219" s="83">
        <f>INDEX('PEER GROUP'!D:D,MATCH($A219,'PEER GROUP'!$A:$A,0))</f>
        <v>0</v>
      </c>
      <c r="E219" s="83">
        <f>INDEX('PEER GROUP'!E:E,MATCH(A219,'PEER GROUP'!$A:$A,0))</f>
        <v>0</v>
      </c>
      <c r="F219" s="84">
        <f>INDEX('PEER GROUP'!F:F,MATCH($A219,'PEER GROUP'!$A:$A,0))</f>
        <v>0</v>
      </c>
      <c r="G219" s="84">
        <f>INDEX('PEER GROUP'!G:G,MATCH($A219,'PEER GROUP'!$A:$A,0))</f>
        <v>0</v>
      </c>
      <c r="H219" s="85"/>
      <c r="I219" s="85"/>
      <c r="J219" s="70">
        <f>INDEX('PEER GROUP'!K:K,MATCH($A219,'PEER GROUP'!$A:$A,0))</f>
        <v>0</v>
      </c>
      <c r="K219" s="70">
        <f>INDEX('PEER GROUP'!L:L,MATCH($A219,'PEER GROUP'!$A:$A,0))</f>
        <v>0</v>
      </c>
      <c r="L219" s="70">
        <f>INDEX('PEER GROUP'!M:M,MATCH($A219,'PEER GROUP'!$A:$A,0))</f>
        <v>0</v>
      </c>
      <c r="M219" s="86">
        <f>INDEX('PEER GROUP'!N:N,MATCH($A219,'PEER GROUP'!$A:$A,0))</f>
        <v>0</v>
      </c>
      <c r="N219" s="118"/>
      <c r="O219" s="115"/>
      <c r="P219" s="117"/>
      <c r="Q219" s="87"/>
      <c r="R219" s="87">
        <f t="shared" si="56"/>
        <v>0</v>
      </c>
      <c r="S219" s="87"/>
      <c r="T219" s="87"/>
      <c r="U219" s="87"/>
      <c r="V219" s="87">
        <f t="shared" si="57"/>
        <v>0</v>
      </c>
      <c r="W219" s="113">
        <f t="shared" si="54"/>
        <v>36.913096727263202</v>
      </c>
      <c r="X219" s="69">
        <f t="shared" si="58"/>
        <v>0</v>
      </c>
      <c r="Y219" s="70">
        <f t="shared" si="59"/>
        <v>0</v>
      </c>
      <c r="Z219" s="70">
        <f t="shared" si="60"/>
        <v>0</v>
      </c>
      <c r="AA219" s="70">
        <f t="shared" si="61"/>
        <v>0</v>
      </c>
      <c r="AB219" s="70">
        <f t="shared" si="62"/>
        <v>0</v>
      </c>
      <c r="AC219" s="70">
        <f t="shared" si="63"/>
        <v>0</v>
      </c>
      <c r="AD219" s="71">
        <f t="shared" si="64"/>
        <v>0</v>
      </c>
      <c r="AE219" s="49"/>
      <c r="AF219" s="21"/>
      <c r="AG219" s="69"/>
      <c r="AH219" s="70"/>
      <c r="AI219" s="70"/>
      <c r="AJ219" s="70"/>
      <c r="AK219" s="70"/>
      <c r="AL219" s="70"/>
      <c r="AM219" s="70"/>
      <c r="AN219" s="70" t="str">
        <f t="shared" si="65"/>
        <v>---</v>
      </c>
      <c r="AO219" s="70" t="str">
        <f t="shared" si="66"/>
        <v>---</v>
      </c>
      <c r="AP219" s="70" t="str">
        <f t="shared" si="67"/>
        <v>---</v>
      </c>
      <c r="AQ219" s="70" t="str">
        <f t="shared" si="68"/>
        <v>---</v>
      </c>
      <c r="AR219" s="70" t="str">
        <f t="shared" si="69"/>
        <v>---</v>
      </c>
      <c r="AS219" s="70" t="str">
        <f t="shared" si="70"/>
        <v>---</v>
      </c>
      <c r="AT219" s="71" t="str">
        <f t="shared" si="71"/>
        <v>---</v>
      </c>
    </row>
    <row r="220" spans="1:46" ht="30" customHeight="1" x14ac:dyDescent="0.3">
      <c r="A220" s="123">
        <f t="shared" si="55"/>
        <v>216</v>
      </c>
      <c r="B220" s="140">
        <f>INDEX('PEER GROUP'!B:B,MATCH($A220,'PEER GROUP'!$A:$A,0))</f>
        <v>0</v>
      </c>
      <c r="C220" s="83">
        <f>INDEX('PEER GROUP'!C:C,MATCH($A220,'PEER GROUP'!$A:$A,0))</f>
        <v>0</v>
      </c>
      <c r="D220" s="83">
        <f>INDEX('PEER GROUP'!D:D,MATCH($A220,'PEER GROUP'!$A:$A,0))</f>
        <v>0</v>
      </c>
      <c r="E220" s="83">
        <f>INDEX('PEER GROUP'!E:E,MATCH(A220,'PEER GROUP'!$A:$A,0))</f>
        <v>0</v>
      </c>
      <c r="F220" s="84">
        <f>INDEX('PEER GROUP'!F:F,MATCH($A220,'PEER GROUP'!$A:$A,0))</f>
        <v>0</v>
      </c>
      <c r="G220" s="84">
        <f>INDEX('PEER GROUP'!G:G,MATCH($A220,'PEER GROUP'!$A:$A,0))</f>
        <v>0</v>
      </c>
      <c r="H220" s="85"/>
      <c r="I220" s="85"/>
      <c r="J220" s="70">
        <f>INDEX('PEER GROUP'!K:K,MATCH($A220,'PEER GROUP'!$A:$A,0))</f>
        <v>0</v>
      </c>
      <c r="K220" s="70">
        <f>INDEX('PEER GROUP'!L:L,MATCH($A220,'PEER GROUP'!$A:$A,0))</f>
        <v>0</v>
      </c>
      <c r="L220" s="70">
        <f>INDEX('PEER GROUP'!M:M,MATCH($A220,'PEER GROUP'!$A:$A,0))</f>
        <v>0</v>
      </c>
      <c r="M220" s="86">
        <f>INDEX('PEER GROUP'!N:N,MATCH($A220,'PEER GROUP'!$A:$A,0))</f>
        <v>0</v>
      </c>
      <c r="N220" s="118"/>
      <c r="O220" s="115"/>
      <c r="P220" s="117"/>
      <c r="Q220" s="87"/>
      <c r="R220" s="87">
        <f t="shared" si="56"/>
        <v>0</v>
      </c>
      <c r="S220" s="87"/>
      <c r="T220" s="87"/>
      <c r="U220" s="87"/>
      <c r="V220" s="87">
        <f t="shared" si="57"/>
        <v>0</v>
      </c>
      <c r="W220" s="113">
        <f t="shared" si="54"/>
        <v>36.913096727263202</v>
      </c>
      <c r="X220" s="69">
        <f t="shared" si="58"/>
        <v>0</v>
      </c>
      <c r="Y220" s="70">
        <f t="shared" si="59"/>
        <v>0</v>
      </c>
      <c r="Z220" s="70">
        <f t="shared" si="60"/>
        <v>0</v>
      </c>
      <c r="AA220" s="70">
        <f t="shared" si="61"/>
        <v>0</v>
      </c>
      <c r="AB220" s="70">
        <f t="shared" si="62"/>
        <v>0</v>
      </c>
      <c r="AC220" s="70">
        <f t="shared" si="63"/>
        <v>0</v>
      </c>
      <c r="AD220" s="71">
        <f t="shared" si="64"/>
        <v>0</v>
      </c>
      <c r="AE220" s="49"/>
      <c r="AF220" s="21"/>
      <c r="AG220" s="69"/>
      <c r="AH220" s="70"/>
      <c r="AI220" s="70"/>
      <c r="AJ220" s="70"/>
      <c r="AK220" s="70"/>
      <c r="AL220" s="70"/>
      <c r="AM220" s="70"/>
      <c r="AN220" s="70" t="str">
        <f t="shared" si="65"/>
        <v>---</v>
      </c>
      <c r="AO220" s="70" t="str">
        <f t="shared" si="66"/>
        <v>---</v>
      </c>
      <c r="AP220" s="70" t="str">
        <f t="shared" si="67"/>
        <v>---</v>
      </c>
      <c r="AQ220" s="70" t="str">
        <f t="shared" si="68"/>
        <v>---</v>
      </c>
      <c r="AR220" s="70" t="str">
        <f t="shared" si="69"/>
        <v>---</v>
      </c>
      <c r="AS220" s="70" t="str">
        <f t="shared" si="70"/>
        <v>---</v>
      </c>
      <c r="AT220" s="71" t="str">
        <f t="shared" si="71"/>
        <v>---</v>
      </c>
    </row>
    <row r="221" spans="1:46" ht="30" customHeight="1" x14ac:dyDescent="0.3">
      <c r="A221" s="123">
        <f t="shared" si="55"/>
        <v>217</v>
      </c>
      <c r="B221" s="140">
        <f>INDEX('PEER GROUP'!B:B,MATCH($A221,'PEER GROUP'!$A:$A,0))</f>
        <v>0</v>
      </c>
      <c r="C221" s="83">
        <f>INDEX('PEER GROUP'!C:C,MATCH($A221,'PEER GROUP'!$A:$A,0))</f>
        <v>0</v>
      </c>
      <c r="D221" s="83">
        <f>INDEX('PEER GROUP'!D:D,MATCH($A221,'PEER GROUP'!$A:$A,0))</f>
        <v>0</v>
      </c>
      <c r="E221" s="83">
        <f>INDEX('PEER GROUP'!E:E,MATCH(A221,'PEER GROUP'!$A:$A,0))</f>
        <v>0</v>
      </c>
      <c r="F221" s="84">
        <f>INDEX('PEER GROUP'!F:F,MATCH($A221,'PEER GROUP'!$A:$A,0))</f>
        <v>0</v>
      </c>
      <c r="G221" s="84">
        <f>INDEX('PEER GROUP'!G:G,MATCH($A221,'PEER GROUP'!$A:$A,0))</f>
        <v>0</v>
      </c>
      <c r="H221" s="85"/>
      <c r="I221" s="85"/>
      <c r="J221" s="70">
        <f>INDEX('PEER GROUP'!K:K,MATCH($A221,'PEER GROUP'!$A:$A,0))</f>
        <v>0</v>
      </c>
      <c r="K221" s="70">
        <f>INDEX('PEER GROUP'!L:L,MATCH($A221,'PEER GROUP'!$A:$A,0))</f>
        <v>0</v>
      </c>
      <c r="L221" s="70">
        <f>INDEX('PEER GROUP'!M:M,MATCH($A221,'PEER GROUP'!$A:$A,0))</f>
        <v>0</v>
      </c>
      <c r="M221" s="86">
        <f>INDEX('PEER GROUP'!N:N,MATCH($A221,'PEER GROUP'!$A:$A,0))</f>
        <v>0</v>
      </c>
      <c r="N221" s="118"/>
      <c r="O221" s="115"/>
      <c r="P221" s="117"/>
      <c r="Q221" s="87"/>
      <c r="R221" s="87">
        <f t="shared" si="56"/>
        <v>0</v>
      </c>
      <c r="S221" s="87"/>
      <c r="T221" s="87"/>
      <c r="U221" s="87"/>
      <c r="V221" s="87">
        <f t="shared" si="57"/>
        <v>0</v>
      </c>
      <c r="W221" s="113">
        <f t="shared" si="54"/>
        <v>36.913096727263202</v>
      </c>
      <c r="X221" s="69">
        <f t="shared" si="58"/>
        <v>0</v>
      </c>
      <c r="Y221" s="70">
        <f t="shared" si="59"/>
        <v>0</v>
      </c>
      <c r="Z221" s="70">
        <f t="shared" si="60"/>
        <v>0</v>
      </c>
      <c r="AA221" s="70">
        <f t="shared" si="61"/>
        <v>0</v>
      </c>
      <c r="AB221" s="70">
        <f t="shared" si="62"/>
        <v>0</v>
      </c>
      <c r="AC221" s="70">
        <f t="shared" si="63"/>
        <v>0</v>
      </c>
      <c r="AD221" s="71">
        <f t="shared" si="64"/>
        <v>0</v>
      </c>
      <c r="AE221" s="49"/>
      <c r="AF221" s="21"/>
      <c r="AG221" s="69"/>
      <c r="AH221" s="70"/>
      <c r="AI221" s="70"/>
      <c r="AJ221" s="70"/>
      <c r="AK221" s="70"/>
      <c r="AL221" s="70"/>
      <c r="AM221" s="70"/>
      <c r="AN221" s="70" t="str">
        <f t="shared" si="65"/>
        <v>---</v>
      </c>
      <c r="AO221" s="70" t="str">
        <f t="shared" si="66"/>
        <v>---</v>
      </c>
      <c r="AP221" s="70" t="str">
        <f t="shared" si="67"/>
        <v>---</v>
      </c>
      <c r="AQ221" s="70" t="str">
        <f t="shared" si="68"/>
        <v>---</v>
      </c>
      <c r="AR221" s="70" t="str">
        <f t="shared" si="69"/>
        <v>---</v>
      </c>
      <c r="AS221" s="70" t="str">
        <f t="shared" si="70"/>
        <v>---</v>
      </c>
      <c r="AT221" s="71" t="str">
        <f t="shared" si="71"/>
        <v>---</v>
      </c>
    </row>
    <row r="222" spans="1:46" ht="30" customHeight="1" x14ac:dyDescent="0.3">
      <c r="A222" s="123">
        <f t="shared" si="55"/>
        <v>218</v>
      </c>
      <c r="B222" s="140">
        <f>INDEX('PEER GROUP'!B:B,MATCH($A222,'PEER GROUP'!$A:$A,0))</f>
        <v>0</v>
      </c>
      <c r="C222" s="83">
        <f>INDEX('PEER GROUP'!C:C,MATCH($A222,'PEER GROUP'!$A:$A,0))</f>
        <v>0</v>
      </c>
      <c r="D222" s="83">
        <f>INDEX('PEER GROUP'!D:D,MATCH($A222,'PEER GROUP'!$A:$A,0))</f>
        <v>0</v>
      </c>
      <c r="E222" s="83">
        <f>INDEX('PEER GROUP'!E:E,MATCH(A222,'PEER GROUP'!$A:$A,0))</f>
        <v>0</v>
      </c>
      <c r="F222" s="84">
        <f>INDEX('PEER GROUP'!F:F,MATCH($A222,'PEER GROUP'!$A:$A,0))</f>
        <v>0</v>
      </c>
      <c r="G222" s="84">
        <f>INDEX('PEER GROUP'!G:G,MATCH($A222,'PEER GROUP'!$A:$A,0))</f>
        <v>0</v>
      </c>
      <c r="H222" s="85"/>
      <c r="I222" s="85"/>
      <c r="J222" s="70">
        <f>INDEX('PEER GROUP'!K:K,MATCH($A222,'PEER GROUP'!$A:$A,0))</f>
        <v>0</v>
      </c>
      <c r="K222" s="70">
        <f>INDEX('PEER GROUP'!L:L,MATCH($A222,'PEER GROUP'!$A:$A,0))</f>
        <v>0</v>
      </c>
      <c r="L222" s="70">
        <f>INDEX('PEER GROUP'!M:M,MATCH($A222,'PEER GROUP'!$A:$A,0))</f>
        <v>0</v>
      </c>
      <c r="M222" s="86">
        <f>INDEX('PEER GROUP'!N:N,MATCH($A222,'PEER GROUP'!$A:$A,0))</f>
        <v>0</v>
      </c>
      <c r="N222" s="118"/>
      <c r="O222" s="115"/>
      <c r="P222" s="117"/>
      <c r="Q222" s="87"/>
      <c r="R222" s="87">
        <f t="shared" si="56"/>
        <v>0</v>
      </c>
      <c r="S222" s="87"/>
      <c r="T222" s="87"/>
      <c r="U222" s="87"/>
      <c r="V222" s="87">
        <f t="shared" si="57"/>
        <v>0</v>
      </c>
      <c r="W222" s="113">
        <f t="shared" si="54"/>
        <v>36.913096727263202</v>
      </c>
      <c r="X222" s="69">
        <f t="shared" si="58"/>
        <v>0</v>
      </c>
      <c r="Y222" s="70">
        <f t="shared" si="59"/>
        <v>0</v>
      </c>
      <c r="Z222" s="70">
        <f t="shared" si="60"/>
        <v>0</v>
      </c>
      <c r="AA222" s="70">
        <f t="shared" si="61"/>
        <v>0</v>
      </c>
      <c r="AB222" s="70">
        <f t="shared" si="62"/>
        <v>0</v>
      </c>
      <c r="AC222" s="70">
        <f t="shared" si="63"/>
        <v>0</v>
      </c>
      <c r="AD222" s="71">
        <f t="shared" si="64"/>
        <v>0</v>
      </c>
      <c r="AE222" s="49"/>
      <c r="AF222" s="21"/>
      <c r="AG222" s="69"/>
      <c r="AH222" s="70"/>
      <c r="AI222" s="70"/>
      <c r="AJ222" s="70"/>
      <c r="AK222" s="70"/>
      <c r="AL222" s="70"/>
      <c r="AM222" s="70"/>
      <c r="AN222" s="70" t="str">
        <f t="shared" si="65"/>
        <v>---</v>
      </c>
      <c r="AO222" s="70" t="str">
        <f t="shared" si="66"/>
        <v>---</v>
      </c>
      <c r="AP222" s="70" t="str">
        <f t="shared" si="67"/>
        <v>---</v>
      </c>
      <c r="AQ222" s="70" t="str">
        <f t="shared" si="68"/>
        <v>---</v>
      </c>
      <c r="AR222" s="70" t="str">
        <f t="shared" si="69"/>
        <v>---</v>
      </c>
      <c r="AS222" s="70" t="str">
        <f t="shared" si="70"/>
        <v>---</v>
      </c>
      <c r="AT222" s="71" t="str">
        <f t="shared" si="71"/>
        <v>---</v>
      </c>
    </row>
    <row r="223" spans="1:46" ht="30" customHeight="1" x14ac:dyDescent="0.3">
      <c r="A223" s="123">
        <f t="shared" si="55"/>
        <v>219</v>
      </c>
      <c r="B223" s="140">
        <f>INDEX('PEER GROUP'!B:B,MATCH($A223,'PEER GROUP'!$A:$A,0))</f>
        <v>0</v>
      </c>
      <c r="C223" s="83">
        <f>INDEX('PEER GROUP'!C:C,MATCH($A223,'PEER GROUP'!$A:$A,0))</f>
        <v>0</v>
      </c>
      <c r="D223" s="83">
        <f>INDEX('PEER GROUP'!D:D,MATCH($A223,'PEER GROUP'!$A:$A,0))</f>
        <v>0</v>
      </c>
      <c r="E223" s="83">
        <f>INDEX('PEER GROUP'!E:E,MATCH(A223,'PEER GROUP'!$A:$A,0))</f>
        <v>0</v>
      </c>
      <c r="F223" s="84">
        <f>INDEX('PEER GROUP'!F:F,MATCH($A223,'PEER GROUP'!$A:$A,0))</f>
        <v>0</v>
      </c>
      <c r="G223" s="84">
        <f>INDEX('PEER GROUP'!G:G,MATCH($A223,'PEER GROUP'!$A:$A,0))</f>
        <v>0</v>
      </c>
      <c r="H223" s="85"/>
      <c r="I223" s="85"/>
      <c r="J223" s="70">
        <f>INDEX('PEER GROUP'!K:K,MATCH($A223,'PEER GROUP'!$A:$A,0))</f>
        <v>0</v>
      </c>
      <c r="K223" s="70">
        <f>INDEX('PEER GROUP'!L:L,MATCH($A223,'PEER GROUP'!$A:$A,0))</f>
        <v>0</v>
      </c>
      <c r="L223" s="70">
        <f>INDEX('PEER GROUP'!M:M,MATCH($A223,'PEER GROUP'!$A:$A,0))</f>
        <v>0</v>
      </c>
      <c r="M223" s="86">
        <f>INDEX('PEER GROUP'!N:N,MATCH($A223,'PEER GROUP'!$A:$A,0))</f>
        <v>0</v>
      </c>
      <c r="N223" s="118"/>
      <c r="O223" s="115"/>
      <c r="P223" s="117"/>
      <c r="Q223" s="87"/>
      <c r="R223" s="87">
        <f t="shared" si="56"/>
        <v>0</v>
      </c>
      <c r="S223" s="87"/>
      <c r="T223" s="87"/>
      <c r="U223" s="87"/>
      <c r="V223" s="87">
        <f t="shared" si="57"/>
        <v>0</v>
      </c>
      <c r="W223" s="113">
        <f t="shared" si="54"/>
        <v>36.913096727263202</v>
      </c>
      <c r="X223" s="69">
        <f t="shared" si="58"/>
        <v>0</v>
      </c>
      <c r="Y223" s="70">
        <f t="shared" si="59"/>
        <v>0</v>
      </c>
      <c r="Z223" s="70">
        <f t="shared" si="60"/>
        <v>0</v>
      </c>
      <c r="AA223" s="70">
        <f t="shared" si="61"/>
        <v>0</v>
      </c>
      <c r="AB223" s="70">
        <f t="shared" si="62"/>
        <v>0</v>
      </c>
      <c r="AC223" s="70">
        <f t="shared" si="63"/>
        <v>0</v>
      </c>
      <c r="AD223" s="71">
        <f t="shared" si="64"/>
        <v>0</v>
      </c>
      <c r="AE223" s="49"/>
      <c r="AF223" s="21"/>
      <c r="AG223" s="69"/>
      <c r="AH223" s="70"/>
      <c r="AI223" s="70"/>
      <c r="AJ223" s="70"/>
      <c r="AK223" s="70"/>
      <c r="AL223" s="70"/>
      <c r="AM223" s="70"/>
      <c r="AN223" s="70" t="str">
        <f t="shared" si="65"/>
        <v>---</v>
      </c>
      <c r="AO223" s="70" t="str">
        <f t="shared" si="66"/>
        <v>---</v>
      </c>
      <c r="AP223" s="70" t="str">
        <f t="shared" si="67"/>
        <v>---</v>
      </c>
      <c r="AQ223" s="70" t="str">
        <f t="shared" si="68"/>
        <v>---</v>
      </c>
      <c r="AR223" s="70" t="str">
        <f t="shared" si="69"/>
        <v>---</v>
      </c>
      <c r="AS223" s="70" t="str">
        <f t="shared" si="70"/>
        <v>---</v>
      </c>
      <c r="AT223" s="71" t="str">
        <f t="shared" si="71"/>
        <v>---</v>
      </c>
    </row>
    <row r="224" spans="1:46" ht="30" customHeight="1" x14ac:dyDescent="0.3">
      <c r="A224" s="123">
        <f t="shared" si="55"/>
        <v>220</v>
      </c>
      <c r="B224" s="140">
        <f>INDEX('PEER GROUP'!B:B,MATCH($A224,'PEER GROUP'!$A:$A,0))</f>
        <v>0</v>
      </c>
      <c r="C224" s="83">
        <f>INDEX('PEER GROUP'!C:C,MATCH($A224,'PEER GROUP'!$A:$A,0))</f>
        <v>0</v>
      </c>
      <c r="D224" s="83">
        <f>INDEX('PEER GROUP'!D:D,MATCH($A224,'PEER GROUP'!$A:$A,0))</f>
        <v>0</v>
      </c>
      <c r="E224" s="83">
        <f>INDEX('PEER GROUP'!E:E,MATCH(A224,'PEER GROUP'!$A:$A,0))</f>
        <v>0</v>
      </c>
      <c r="F224" s="84">
        <f>INDEX('PEER GROUP'!F:F,MATCH($A224,'PEER GROUP'!$A:$A,0))</f>
        <v>0</v>
      </c>
      <c r="G224" s="84">
        <f>INDEX('PEER GROUP'!G:G,MATCH($A224,'PEER GROUP'!$A:$A,0))</f>
        <v>0</v>
      </c>
      <c r="H224" s="85"/>
      <c r="I224" s="85"/>
      <c r="J224" s="70">
        <f>INDEX('PEER GROUP'!K:K,MATCH($A224,'PEER GROUP'!$A:$A,0))</f>
        <v>0</v>
      </c>
      <c r="K224" s="70">
        <f>INDEX('PEER GROUP'!L:L,MATCH($A224,'PEER GROUP'!$A:$A,0))</f>
        <v>0</v>
      </c>
      <c r="L224" s="70">
        <f>INDEX('PEER GROUP'!M:M,MATCH($A224,'PEER GROUP'!$A:$A,0))</f>
        <v>0</v>
      </c>
      <c r="M224" s="86">
        <f>INDEX('PEER GROUP'!N:N,MATCH($A224,'PEER GROUP'!$A:$A,0))</f>
        <v>0</v>
      </c>
      <c r="N224" s="118"/>
      <c r="O224" s="115"/>
      <c r="P224" s="117"/>
      <c r="Q224" s="87"/>
      <c r="R224" s="87">
        <f t="shared" si="56"/>
        <v>0</v>
      </c>
      <c r="S224" s="87"/>
      <c r="T224" s="87"/>
      <c r="U224" s="87"/>
      <c r="V224" s="87">
        <f t="shared" si="57"/>
        <v>0</v>
      </c>
      <c r="W224" s="113">
        <f t="shared" si="54"/>
        <v>36.913096727263202</v>
      </c>
      <c r="X224" s="69">
        <f t="shared" si="58"/>
        <v>0</v>
      </c>
      <c r="Y224" s="70">
        <f t="shared" si="59"/>
        <v>0</v>
      </c>
      <c r="Z224" s="70">
        <f t="shared" si="60"/>
        <v>0</v>
      </c>
      <c r="AA224" s="70">
        <f t="shared" si="61"/>
        <v>0</v>
      </c>
      <c r="AB224" s="70">
        <f t="shared" si="62"/>
        <v>0</v>
      </c>
      <c r="AC224" s="70">
        <f t="shared" si="63"/>
        <v>0</v>
      </c>
      <c r="AD224" s="71">
        <f t="shared" si="64"/>
        <v>0</v>
      </c>
      <c r="AE224" s="49"/>
      <c r="AF224" s="21"/>
      <c r="AG224" s="69"/>
      <c r="AH224" s="70"/>
      <c r="AI224" s="70"/>
      <c r="AJ224" s="70"/>
      <c r="AK224" s="70"/>
      <c r="AL224" s="70"/>
      <c r="AM224" s="70"/>
      <c r="AN224" s="70" t="str">
        <f t="shared" si="65"/>
        <v>---</v>
      </c>
      <c r="AO224" s="70" t="str">
        <f t="shared" si="66"/>
        <v>---</v>
      </c>
      <c r="AP224" s="70" t="str">
        <f t="shared" si="67"/>
        <v>---</v>
      </c>
      <c r="AQ224" s="70" t="str">
        <f t="shared" si="68"/>
        <v>---</v>
      </c>
      <c r="AR224" s="70" t="str">
        <f t="shared" si="69"/>
        <v>---</v>
      </c>
      <c r="AS224" s="70" t="str">
        <f t="shared" si="70"/>
        <v>---</v>
      </c>
      <c r="AT224" s="71" t="str">
        <f t="shared" si="71"/>
        <v>---</v>
      </c>
    </row>
    <row r="225" spans="1:46" ht="30" customHeight="1" x14ac:dyDescent="0.3">
      <c r="A225" s="123">
        <f t="shared" si="55"/>
        <v>221</v>
      </c>
      <c r="B225" s="140">
        <f>INDEX('PEER GROUP'!B:B,MATCH($A225,'PEER GROUP'!$A:$A,0))</f>
        <v>0</v>
      </c>
      <c r="C225" s="83">
        <f>INDEX('PEER GROUP'!C:C,MATCH($A225,'PEER GROUP'!$A:$A,0))</f>
        <v>0</v>
      </c>
      <c r="D225" s="83">
        <f>INDEX('PEER GROUP'!D:D,MATCH($A225,'PEER GROUP'!$A:$A,0))</f>
        <v>0</v>
      </c>
      <c r="E225" s="83">
        <f>INDEX('PEER GROUP'!E:E,MATCH(A225,'PEER GROUP'!$A:$A,0))</f>
        <v>0</v>
      </c>
      <c r="F225" s="84">
        <f>INDEX('PEER GROUP'!F:F,MATCH($A225,'PEER GROUP'!$A:$A,0))</f>
        <v>0</v>
      </c>
      <c r="G225" s="84">
        <f>INDEX('PEER GROUP'!G:G,MATCH($A225,'PEER GROUP'!$A:$A,0))</f>
        <v>0</v>
      </c>
      <c r="H225" s="85"/>
      <c r="I225" s="85"/>
      <c r="J225" s="70">
        <f>INDEX('PEER GROUP'!K:K,MATCH($A225,'PEER GROUP'!$A:$A,0))</f>
        <v>0</v>
      </c>
      <c r="K225" s="70">
        <f>INDEX('PEER GROUP'!L:L,MATCH($A225,'PEER GROUP'!$A:$A,0))</f>
        <v>0</v>
      </c>
      <c r="L225" s="70">
        <f>INDEX('PEER GROUP'!M:M,MATCH($A225,'PEER GROUP'!$A:$A,0))</f>
        <v>0</v>
      </c>
      <c r="M225" s="86">
        <f>INDEX('PEER GROUP'!N:N,MATCH($A225,'PEER GROUP'!$A:$A,0))</f>
        <v>0</v>
      </c>
      <c r="N225" s="118"/>
      <c r="O225" s="115"/>
      <c r="P225" s="117"/>
      <c r="Q225" s="87"/>
      <c r="R225" s="87">
        <f t="shared" si="56"/>
        <v>0</v>
      </c>
      <c r="S225" s="87"/>
      <c r="T225" s="87"/>
      <c r="U225" s="87"/>
      <c r="V225" s="87">
        <f t="shared" si="57"/>
        <v>0</v>
      </c>
      <c r="W225" s="113">
        <f t="shared" si="54"/>
        <v>36.913096727263202</v>
      </c>
      <c r="X225" s="69">
        <f t="shared" si="58"/>
        <v>0</v>
      </c>
      <c r="Y225" s="70">
        <f t="shared" si="59"/>
        <v>0</v>
      </c>
      <c r="Z225" s="70">
        <f t="shared" si="60"/>
        <v>0</v>
      </c>
      <c r="AA225" s="70">
        <f t="shared" si="61"/>
        <v>0</v>
      </c>
      <c r="AB225" s="70">
        <f t="shared" si="62"/>
        <v>0</v>
      </c>
      <c r="AC225" s="70">
        <f t="shared" si="63"/>
        <v>0</v>
      </c>
      <c r="AD225" s="71">
        <f t="shared" si="64"/>
        <v>0</v>
      </c>
      <c r="AE225" s="49"/>
      <c r="AF225" s="21"/>
      <c r="AG225" s="69"/>
      <c r="AH225" s="70"/>
      <c r="AI225" s="70"/>
      <c r="AJ225" s="70"/>
      <c r="AK225" s="70"/>
      <c r="AL225" s="70"/>
      <c r="AM225" s="70"/>
      <c r="AN225" s="70" t="str">
        <f t="shared" si="65"/>
        <v>---</v>
      </c>
      <c r="AO225" s="70" t="str">
        <f t="shared" si="66"/>
        <v>---</v>
      </c>
      <c r="AP225" s="70" t="str">
        <f t="shared" si="67"/>
        <v>---</v>
      </c>
      <c r="AQ225" s="70" t="str">
        <f t="shared" si="68"/>
        <v>---</v>
      </c>
      <c r="AR225" s="70" t="str">
        <f t="shared" si="69"/>
        <v>---</v>
      </c>
      <c r="AS225" s="70" t="str">
        <f t="shared" si="70"/>
        <v>---</v>
      </c>
      <c r="AT225" s="71" t="str">
        <f t="shared" si="71"/>
        <v>---</v>
      </c>
    </row>
    <row r="226" spans="1:46" ht="30" customHeight="1" x14ac:dyDescent="0.3">
      <c r="A226" s="123">
        <f t="shared" si="55"/>
        <v>222</v>
      </c>
      <c r="B226" s="140">
        <f>INDEX('PEER GROUP'!B:B,MATCH($A226,'PEER GROUP'!$A:$A,0))</f>
        <v>0</v>
      </c>
      <c r="C226" s="83">
        <f>INDEX('PEER GROUP'!C:C,MATCH($A226,'PEER GROUP'!$A:$A,0))</f>
        <v>0</v>
      </c>
      <c r="D226" s="83">
        <f>INDEX('PEER GROUP'!D:D,MATCH($A226,'PEER GROUP'!$A:$A,0))</f>
        <v>0</v>
      </c>
      <c r="E226" s="83">
        <f>INDEX('PEER GROUP'!E:E,MATCH(A226,'PEER GROUP'!$A:$A,0))</f>
        <v>0</v>
      </c>
      <c r="F226" s="84">
        <f>INDEX('PEER GROUP'!F:F,MATCH($A226,'PEER GROUP'!$A:$A,0))</f>
        <v>0</v>
      </c>
      <c r="G226" s="84">
        <f>INDEX('PEER GROUP'!G:G,MATCH($A226,'PEER GROUP'!$A:$A,0))</f>
        <v>0</v>
      </c>
      <c r="H226" s="85"/>
      <c r="I226" s="85"/>
      <c r="J226" s="70">
        <f>INDEX('PEER GROUP'!K:K,MATCH($A226,'PEER GROUP'!$A:$A,0))</f>
        <v>0</v>
      </c>
      <c r="K226" s="70">
        <f>INDEX('PEER GROUP'!L:L,MATCH($A226,'PEER GROUP'!$A:$A,0))</f>
        <v>0</v>
      </c>
      <c r="L226" s="70">
        <f>INDEX('PEER GROUP'!M:M,MATCH($A226,'PEER GROUP'!$A:$A,0))</f>
        <v>0</v>
      </c>
      <c r="M226" s="86">
        <f>INDEX('PEER GROUP'!N:N,MATCH($A226,'PEER GROUP'!$A:$A,0))</f>
        <v>0</v>
      </c>
      <c r="N226" s="118"/>
      <c r="O226" s="115"/>
      <c r="P226" s="117"/>
      <c r="Q226" s="87"/>
      <c r="R226" s="87">
        <f t="shared" si="56"/>
        <v>0</v>
      </c>
      <c r="S226" s="87"/>
      <c r="T226" s="87"/>
      <c r="U226" s="87"/>
      <c r="V226" s="87">
        <f t="shared" si="57"/>
        <v>0</v>
      </c>
      <c r="W226" s="113">
        <f t="shared" si="54"/>
        <v>36.913096727263202</v>
      </c>
      <c r="X226" s="69">
        <f t="shared" si="58"/>
        <v>0</v>
      </c>
      <c r="Y226" s="70">
        <f t="shared" si="59"/>
        <v>0</v>
      </c>
      <c r="Z226" s="70">
        <f t="shared" si="60"/>
        <v>0</v>
      </c>
      <c r="AA226" s="70">
        <f t="shared" si="61"/>
        <v>0</v>
      </c>
      <c r="AB226" s="70">
        <f t="shared" si="62"/>
        <v>0</v>
      </c>
      <c r="AC226" s="70">
        <f t="shared" si="63"/>
        <v>0</v>
      </c>
      <c r="AD226" s="71">
        <f t="shared" si="64"/>
        <v>0</v>
      </c>
      <c r="AE226" s="49"/>
      <c r="AF226" s="21"/>
      <c r="AG226" s="69"/>
      <c r="AH226" s="70"/>
      <c r="AI226" s="70"/>
      <c r="AJ226" s="70"/>
      <c r="AK226" s="70"/>
      <c r="AL226" s="70"/>
      <c r="AM226" s="70"/>
      <c r="AN226" s="70" t="str">
        <f t="shared" si="65"/>
        <v>---</v>
      </c>
      <c r="AO226" s="70" t="str">
        <f t="shared" si="66"/>
        <v>---</v>
      </c>
      <c r="AP226" s="70" t="str">
        <f t="shared" si="67"/>
        <v>---</v>
      </c>
      <c r="AQ226" s="70" t="str">
        <f t="shared" si="68"/>
        <v>---</v>
      </c>
      <c r="AR226" s="70" t="str">
        <f t="shared" si="69"/>
        <v>---</v>
      </c>
      <c r="AS226" s="70" t="str">
        <f t="shared" si="70"/>
        <v>---</v>
      </c>
      <c r="AT226" s="71" t="str">
        <f t="shared" si="71"/>
        <v>---</v>
      </c>
    </row>
    <row r="227" spans="1:46" ht="30" customHeight="1" x14ac:dyDescent="0.3">
      <c r="A227" s="123">
        <f t="shared" si="55"/>
        <v>223</v>
      </c>
      <c r="B227" s="140">
        <f>INDEX('PEER GROUP'!B:B,MATCH($A227,'PEER GROUP'!$A:$A,0))</f>
        <v>0</v>
      </c>
      <c r="C227" s="83">
        <f>INDEX('PEER GROUP'!C:C,MATCH($A227,'PEER GROUP'!$A:$A,0))</f>
        <v>0</v>
      </c>
      <c r="D227" s="83">
        <f>INDEX('PEER GROUP'!D:D,MATCH($A227,'PEER GROUP'!$A:$A,0))</f>
        <v>0</v>
      </c>
      <c r="E227" s="83">
        <f>INDEX('PEER GROUP'!E:E,MATCH(A227,'PEER GROUP'!$A:$A,0))</f>
        <v>0</v>
      </c>
      <c r="F227" s="84">
        <f>INDEX('PEER GROUP'!F:F,MATCH($A227,'PEER GROUP'!$A:$A,0))</f>
        <v>0</v>
      </c>
      <c r="G227" s="84">
        <f>INDEX('PEER GROUP'!G:G,MATCH($A227,'PEER GROUP'!$A:$A,0))</f>
        <v>0</v>
      </c>
      <c r="H227" s="85"/>
      <c r="I227" s="85"/>
      <c r="J227" s="70">
        <f>INDEX('PEER GROUP'!K:K,MATCH($A227,'PEER GROUP'!$A:$A,0))</f>
        <v>0</v>
      </c>
      <c r="K227" s="70">
        <f>INDEX('PEER GROUP'!L:L,MATCH($A227,'PEER GROUP'!$A:$A,0))</f>
        <v>0</v>
      </c>
      <c r="L227" s="70">
        <f>INDEX('PEER GROUP'!M:M,MATCH($A227,'PEER GROUP'!$A:$A,0))</f>
        <v>0</v>
      </c>
      <c r="M227" s="86">
        <f>INDEX('PEER GROUP'!N:N,MATCH($A227,'PEER GROUP'!$A:$A,0))</f>
        <v>0</v>
      </c>
      <c r="N227" s="118"/>
      <c r="O227" s="115"/>
      <c r="P227" s="117"/>
      <c r="Q227" s="87"/>
      <c r="R227" s="87">
        <f t="shared" si="56"/>
        <v>0</v>
      </c>
      <c r="S227" s="87"/>
      <c r="T227" s="87"/>
      <c r="U227" s="87"/>
      <c r="V227" s="87">
        <f t="shared" si="57"/>
        <v>0</v>
      </c>
      <c r="W227" s="113">
        <f t="shared" ref="W227:W290" si="72">IF(DataEffDate&gt;DATE(2022,1,1),
IF(E227&lt;DATE(2022,1,1),
(1+UpdateFactor)^(IF(E227&lt;DataEffDate,1,-1)*YEARFRAC(E227,DATE(2022,1,1),1))+(1+UpdateFactor_TEMP)^(IF(DATE(2022,1,1)&lt;DataEffDate,1,-1)*YEARFRAC(DATE(2022,1,1),DataEffDate,1))-1,
(1+UpdateFactor_TEMP)^(IF(E227&lt;DataEffDate,1,-1)*YEARFRAC(E227,DataEffDate,1))),
(1+UpdateFactor)^(IF(E227&lt;DataEffDate,1,-1)*YEARFRAC(E227,DataEffDate,1)))</f>
        <v>36.913096727263202</v>
      </c>
      <c r="X227" s="69">
        <f t="shared" si="58"/>
        <v>0</v>
      </c>
      <c r="Y227" s="70">
        <f t="shared" si="59"/>
        <v>0</v>
      </c>
      <c r="Z227" s="70">
        <f t="shared" si="60"/>
        <v>0</v>
      </c>
      <c r="AA227" s="70">
        <f t="shared" si="61"/>
        <v>0</v>
      </c>
      <c r="AB227" s="70">
        <f t="shared" si="62"/>
        <v>0</v>
      </c>
      <c r="AC227" s="70">
        <f t="shared" si="63"/>
        <v>0</v>
      </c>
      <c r="AD227" s="71">
        <f t="shared" si="64"/>
        <v>0</v>
      </c>
      <c r="AE227" s="49"/>
      <c r="AF227" s="21"/>
      <c r="AG227" s="69"/>
      <c r="AH227" s="70"/>
      <c r="AI227" s="70"/>
      <c r="AJ227" s="70"/>
      <c r="AK227" s="70"/>
      <c r="AL227" s="70"/>
      <c r="AM227" s="70"/>
      <c r="AN227" s="70" t="str">
        <f t="shared" si="65"/>
        <v>---</v>
      </c>
      <c r="AO227" s="70" t="str">
        <f t="shared" si="66"/>
        <v>---</v>
      </c>
      <c r="AP227" s="70" t="str">
        <f t="shared" si="67"/>
        <v>---</v>
      </c>
      <c r="AQ227" s="70" t="str">
        <f t="shared" si="68"/>
        <v>---</v>
      </c>
      <c r="AR227" s="70" t="str">
        <f t="shared" si="69"/>
        <v>---</v>
      </c>
      <c r="AS227" s="70" t="str">
        <f t="shared" si="70"/>
        <v>---</v>
      </c>
      <c r="AT227" s="71" t="str">
        <f t="shared" si="71"/>
        <v>---</v>
      </c>
    </row>
    <row r="228" spans="1:46" ht="30" customHeight="1" x14ac:dyDescent="0.3">
      <c r="A228" s="123">
        <f t="shared" ref="A228:A291" si="73">A227+1</f>
        <v>224</v>
      </c>
      <c r="B228" s="140">
        <f>INDEX('PEER GROUP'!B:B,MATCH($A228,'PEER GROUP'!$A:$A,0))</f>
        <v>0</v>
      </c>
      <c r="C228" s="83">
        <f>INDEX('PEER GROUP'!C:C,MATCH($A228,'PEER GROUP'!$A:$A,0))</f>
        <v>0</v>
      </c>
      <c r="D228" s="83">
        <f>INDEX('PEER GROUP'!D:D,MATCH($A228,'PEER GROUP'!$A:$A,0))</f>
        <v>0</v>
      </c>
      <c r="E228" s="83">
        <f>INDEX('PEER GROUP'!E:E,MATCH(A228,'PEER GROUP'!$A:$A,0))</f>
        <v>0</v>
      </c>
      <c r="F228" s="84">
        <f>INDEX('PEER GROUP'!F:F,MATCH($A228,'PEER GROUP'!$A:$A,0))</f>
        <v>0</v>
      </c>
      <c r="G228" s="84">
        <f>INDEX('PEER GROUP'!G:G,MATCH($A228,'PEER GROUP'!$A:$A,0))</f>
        <v>0</v>
      </c>
      <c r="H228" s="85"/>
      <c r="I228" s="85"/>
      <c r="J228" s="70">
        <f>INDEX('PEER GROUP'!K:K,MATCH($A228,'PEER GROUP'!$A:$A,0))</f>
        <v>0</v>
      </c>
      <c r="K228" s="70">
        <f>INDEX('PEER GROUP'!L:L,MATCH($A228,'PEER GROUP'!$A:$A,0))</f>
        <v>0</v>
      </c>
      <c r="L228" s="70">
        <f>INDEX('PEER GROUP'!M:M,MATCH($A228,'PEER GROUP'!$A:$A,0))</f>
        <v>0</v>
      </c>
      <c r="M228" s="86">
        <f>INDEX('PEER GROUP'!N:N,MATCH($A228,'PEER GROUP'!$A:$A,0))</f>
        <v>0</v>
      </c>
      <c r="N228" s="118"/>
      <c r="O228" s="115"/>
      <c r="P228" s="117"/>
      <c r="Q228" s="87"/>
      <c r="R228" s="87">
        <f t="shared" ref="R228:R291" si="74">SUM(P228:Q228)</f>
        <v>0</v>
      </c>
      <c r="S228" s="87"/>
      <c r="T228" s="87"/>
      <c r="U228" s="87"/>
      <c r="V228" s="87">
        <f t="shared" ref="V228:V291" si="75">SUM(R228:U228)</f>
        <v>0</v>
      </c>
      <c r="W228" s="113">
        <f t="shared" si="72"/>
        <v>36.913096727263202</v>
      </c>
      <c r="X228" s="69">
        <f t="shared" ref="X228:X291" si="76">P228*$W228</f>
        <v>0</v>
      </c>
      <c r="Y228" s="70">
        <f t="shared" ref="Y228:Y291" si="77">Q228*$W228</f>
        <v>0</v>
      </c>
      <c r="Z228" s="70">
        <f t="shared" ref="Z228:Z291" si="78">SUM(X228:Y228)</f>
        <v>0</v>
      </c>
      <c r="AA228" s="70">
        <f t="shared" ref="AA228:AA291" si="79">S228*$W228</f>
        <v>0</v>
      </c>
      <c r="AB228" s="70">
        <f t="shared" ref="AB228:AB291" si="80">T228*$W228</f>
        <v>0</v>
      </c>
      <c r="AC228" s="70">
        <f t="shared" ref="AC228:AC291" si="81">U228*$W228</f>
        <v>0</v>
      </c>
      <c r="AD228" s="71">
        <f t="shared" ref="AD228:AD291" si="82">SUM(Z228:AC228)</f>
        <v>0</v>
      </c>
      <c r="AE228" s="49"/>
      <c r="AF228" s="21"/>
      <c r="AG228" s="69"/>
      <c r="AH228" s="70"/>
      <c r="AI228" s="70"/>
      <c r="AJ228" s="70"/>
      <c r="AK228" s="70"/>
      <c r="AL228" s="70"/>
      <c r="AM228" s="70"/>
      <c r="AN228" s="70" t="str">
        <f t="shared" ref="AN228:AN291" si="83">IFERROR(P228/AG228-1,"---")</f>
        <v>---</v>
      </c>
      <c r="AO228" s="70" t="str">
        <f t="shared" ref="AO228:AO291" si="84">IFERROR(Q228/AH228-1,"---")</f>
        <v>---</v>
      </c>
      <c r="AP228" s="70" t="str">
        <f t="shared" ref="AP228:AP291" si="85">IFERROR(R228/AI228-1,"---")</f>
        <v>---</v>
      </c>
      <c r="AQ228" s="70" t="str">
        <f t="shared" ref="AQ228:AQ291" si="86">IFERROR(S228/AJ228-1,"---")</f>
        <v>---</v>
      </c>
      <c r="AR228" s="70" t="str">
        <f t="shared" ref="AR228:AR291" si="87">IFERROR(T228/AK228-1,"---")</f>
        <v>---</v>
      </c>
      <c r="AS228" s="70" t="str">
        <f t="shared" ref="AS228:AS291" si="88">IFERROR(U228/AL228-1,"---")</f>
        <v>---</v>
      </c>
      <c r="AT228" s="71" t="str">
        <f t="shared" ref="AT228:AT291" si="89">IFERROR(V228/AM228-1,"---")</f>
        <v>---</v>
      </c>
    </row>
    <row r="229" spans="1:46" ht="30" customHeight="1" x14ac:dyDescent="0.3">
      <c r="A229" s="123">
        <f t="shared" si="73"/>
        <v>225</v>
      </c>
      <c r="B229" s="140">
        <f>INDEX('PEER GROUP'!B:B,MATCH($A229,'PEER GROUP'!$A:$A,0))</f>
        <v>0</v>
      </c>
      <c r="C229" s="83">
        <f>INDEX('PEER GROUP'!C:C,MATCH($A229,'PEER GROUP'!$A:$A,0))</f>
        <v>0</v>
      </c>
      <c r="D229" s="83">
        <f>INDEX('PEER GROUP'!D:D,MATCH($A229,'PEER GROUP'!$A:$A,0))</f>
        <v>0</v>
      </c>
      <c r="E229" s="83">
        <f>INDEX('PEER GROUP'!E:E,MATCH(A229,'PEER GROUP'!$A:$A,0))</f>
        <v>0</v>
      </c>
      <c r="F229" s="84">
        <f>INDEX('PEER GROUP'!F:F,MATCH($A229,'PEER GROUP'!$A:$A,0))</f>
        <v>0</v>
      </c>
      <c r="G229" s="84">
        <f>INDEX('PEER GROUP'!G:G,MATCH($A229,'PEER GROUP'!$A:$A,0))</f>
        <v>0</v>
      </c>
      <c r="H229" s="85"/>
      <c r="I229" s="85"/>
      <c r="J229" s="70">
        <f>INDEX('PEER GROUP'!K:K,MATCH($A229,'PEER GROUP'!$A:$A,0))</f>
        <v>0</v>
      </c>
      <c r="K229" s="70">
        <f>INDEX('PEER GROUP'!L:L,MATCH($A229,'PEER GROUP'!$A:$A,0))</f>
        <v>0</v>
      </c>
      <c r="L229" s="70">
        <f>INDEX('PEER GROUP'!M:M,MATCH($A229,'PEER GROUP'!$A:$A,0))</f>
        <v>0</v>
      </c>
      <c r="M229" s="86">
        <f>INDEX('PEER GROUP'!N:N,MATCH($A229,'PEER GROUP'!$A:$A,0))</f>
        <v>0</v>
      </c>
      <c r="N229" s="118"/>
      <c r="O229" s="115"/>
      <c r="P229" s="117"/>
      <c r="Q229" s="87"/>
      <c r="R229" s="87">
        <f t="shared" si="74"/>
        <v>0</v>
      </c>
      <c r="S229" s="87"/>
      <c r="T229" s="87"/>
      <c r="U229" s="87"/>
      <c r="V229" s="87">
        <f t="shared" si="75"/>
        <v>0</v>
      </c>
      <c r="W229" s="113">
        <f t="shared" si="72"/>
        <v>36.913096727263202</v>
      </c>
      <c r="X229" s="69">
        <f t="shared" si="76"/>
        <v>0</v>
      </c>
      <c r="Y229" s="70">
        <f t="shared" si="77"/>
        <v>0</v>
      </c>
      <c r="Z229" s="70">
        <f t="shared" si="78"/>
        <v>0</v>
      </c>
      <c r="AA229" s="70">
        <f t="shared" si="79"/>
        <v>0</v>
      </c>
      <c r="AB229" s="70">
        <f t="shared" si="80"/>
        <v>0</v>
      </c>
      <c r="AC229" s="70">
        <f t="shared" si="81"/>
        <v>0</v>
      </c>
      <c r="AD229" s="71">
        <f t="shared" si="82"/>
        <v>0</v>
      </c>
      <c r="AE229" s="49"/>
      <c r="AF229" s="21"/>
      <c r="AG229" s="69"/>
      <c r="AH229" s="70"/>
      <c r="AI229" s="70"/>
      <c r="AJ229" s="70"/>
      <c r="AK229" s="70"/>
      <c r="AL229" s="70"/>
      <c r="AM229" s="70"/>
      <c r="AN229" s="70" t="str">
        <f t="shared" si="83"/>
        <v>---</v>
      </c>
      <c r="AO229" s="70" t="str">
        <f t="shared" si="84"/>
        <v>---</v>
      </c>
      <c r="AP229" s="70" t="str">
        <f t="shared" si="85"/>
        <v>---</v>
      </c>
      <c r="AQ229" s="70" t="str">
        <f t="shared" si="86"/>
        <v>---</v>
      </c>
      <c r="AR229" s="70" t="str">
        <f t="shared" si="87"/>
        <v>---</v>
      </c>
      <c r="AS229" s="70" t="str">
        <f t="shared" si="88"/>
        <v>---</v>
      </c>
      <c r="AT229" s="71" t="str">
        <f t="shared" si="89"/>
        <v>---</v>
      </c>
    </row>
    <row r="230" spans="1:46" ht="30" customHeight="1" x14ac:dyDescent="0.3">
      <c r="A230" s="123">
        <f t="shared" si="73"/>
        <v>226</v>
      </c>
      <c r="B230" s="140">
        <f>INDEX('PEER GROUP'!B:B,MATCH($A230,'PEER GROUP'!$A:$A,0))</f>
        <v>0</v>
      </c>
      <c r="C230" s="83">
        <f>INDEX('PEER GROUP'!C:C,MATCH($A230,'PEER GROUP'!$A:$A,0))</f>
        <v>0</v>
      </c>
      <c r="D230" s="83">
        <f>INDEX('PEER GROUP'!D:D,MATCH($A230,'PEER GROUP'!$A:$A,0))</f>
        <v>0</v>
      </c>
      <c r="E230" s="83">
        <f>INDEX('PEER GROUP'!E:E,MATCH(A230,'PEER GROUP'!$A:$A,0))</f>
        <v>0</v>
      </c>
      <c r="F230" s="84">
        <f>INDEX('PEER GROUP'!F:F,MATCH($A230,'PEER GROUP'!$A:$A,0))</f>
        <v>0</v>
      </c>
      <c r="G230" s="84">
        <f>INDEX('PEER GROUP'!G:G,MATCH($A230,'PEER GROUP'!$A:$A,0))</f>
        <v>0</v>
      </c>
      <c r="H230" s="85"/>
      <c r="I230" s="85"/>
      <c r="J230" s="70">
        <f>INDEX('PEER GROUP'!K:K,MATCH($A230,'PEER GROUP'!$A:$A,0))</f>
        <v>0</v>
      </c>
      <c r="K230" s="70">
        <f>INDEX('PEER GROUP'!L:L,MATCH($A230,'PEER GROUP'!$A:$A,0))</f>
        <v>0</v>
      </c>
      <c r="L230" s="70">
        <f>INDEX('PEER GROUP'!M:M,MATCH($A230,'PEER GROUP'!$A:$A,0))</f>
        <v>0</v>
      </c>
      <c r="M230" s="86">
        <f>INDEX('PEER GROUP'!N:N,MATCH($A230,'PEER GROUP'!$A:$A,0))</f>
        <v>0</v>
      </c>
      <c r="N230" s="118"/>
      <c r="O230" s="115"/>
      <c r="P230" s="117"/>
      <c r="Q230" s="87"/>
      <c r="R230" s="87">
        <f t="shared" si="74"/>
        <v>0</v>
      </c>
      <c r="S230" s="87"/>
      <c r="T230" s="87"/>
      <c r="U230" s="87"/>
      <c r="V230" s="87">
        <f t="shared" si="75"/>
        <v>0</v>
      </c>
      <c r="W230" s="113">
        <f t="shared" si="72"/>
        <v>36.913096727263202</v>
      </c>
      <c r="X230" s="69">
        <f t="shared" si="76"/>
        <v>0</v>
      </c>
      <c r="Y230" s="70">
        <f t="shared" si="77"/>
        <v>0</v>
      </c>
      <c r="Z230" s="70">
        <f t="shared" si="78"/>
        <v>0</v>
      </c>
      <c r="AA230" s="70">
        <f t="shared" si="79"/>
        <v>0</v>
      </c>
      <c r="AB230" s="70">
        <f t="shared" si="80"/>
        <v>0</v>
      </c>
      <c r="AC230" s="70">
        <f t="shared" si="81"/>
        <v>0</v>
      </c>
      <c r="AD230" s="71">
        <f t="shared" si="82"/>
        <v>0</v>
      </c>
      <c r="AE230" s="49"/>
      <c r="AF230" s="21"/>
      <c r="AG230" s="69"/>
      <c r="AH230" s="70"/>
      <c r="AI230" s="70"/>
      <c r="AJ230" s="70"/>
      <c r="AK230" s="70"/>
      <c r="AL230" s="70"/>
      <c r="AM230" s="70"/>
      <c r="AN230" s="70" t="str">
        <f t="shared" si="83"/>
        <v>---</v>
      </c>
      <c r="AO230" s="70" t="str">
        <f t="shared" si="84"/>
        <v>---</v>
      </c>
      <c r="AP230" s="70" t="str">
        <f t="shared" si="85"/>
        <v>---</v>
      </c>
      <c r="AQ230" s="70" t="str">
        <f t="shared" si="86"/>
        <v>---</v>
      </c>
      <c r="AR230" s="70" t="str">
        <f t="shared" si="87"/>
        <v>---</v>
      </c>
      <c r="AS230" s="70" t="str">
        <f t="shared" si="88"/>
        <v>---</v>
      </c>
      <c r="AT230" s="71" t="str">
        <f t="shared" si="89"/>
        <v>---</v>
      </c>
    </row>
    <row r="231" spans="1:46" ht="30" customHeight="1" x14ac:dyDescent="0.3">
      <c r="A231" s="123">
        <f t="shared" si="73"/>
        <v>227</v>
      </c>
      <c r="B231" s="140">
        <f>INDEX('PEER GROUP'!B:B,MATCH($A231,'PEER GROUP'!$A:$A,0))</f>
        <v>0</v>
      </c>
      <c r="C231" s="83">
        <f>INDEX('PEER GROUP'!C:C,MATCH($A231,'PEER GROUP'!$A:$A,0))</f>
        <v>0</v>
      </c>
      <c r="D231" s="83">
        <f>INDEX('PEER GROUP'!D:D,MATCH($A231,'PEER GROUP'!$A:$A,0))</f>
        <v>0</v>
      </c>
      <c r="E231" s="83">
        <f>INDEX('PEER GROUP'!E:E,MATCH(A231,'PEER GROUP'!$A:$A,0))</f>
        <v>0</v>
      </c>
      <c r="F231" s="84">
        <f>INDEX('PEER GROUP'!F:F,MATCH($A231,'PEER GROUP'!$A:$A,0))</f>
        <v>0</v>
      </c>
      <c r="G231" s="84">
        <f>INDEX('PEER GROUP'!G:G,MATCH($A231,'PEER GROUP'!$A:$A,0))</f>
        <v>0</v>
      </c>
      <c r="H231" s="85"/>
      <c r="I231" s="85"/>
      <c r="J231" s="70">
        <f>INDEX('PEER GROUP'!K:K,MATCH($A231,'PEER GROUP'!$A:$A,0))</f>
        <v>0</v>
      </c>
      <c r="K231" s="70">
        <f>INDEX('PEER GROUP'!L:L,MATCH($A231,'PEER GROUP'!$A:$A,0))</f>
        <v>0</v>
      </c>
      <c r="L231" s="70">
        <f>INDEX('PEER GROUP'!M:M,MATCH($A231,'PEER GROUP'!$A:$A,0))</f>
        <v>0</v>
      </c>
      <c r="M231" s="86">
        <f>INDEX('PEER GROUP'!N:N,MATCH($A231,'PEER GROUP'!$A:$A,0))</f>
        <v>0</v>
      </c>
      <c r="N231" s="118"/>
      <c r="O231" s="115"/>
      <c r="P231" s="117"/>
      <c r="Q231" s="87"/>
      <c r="R231" s="87">
        <f t="shared" si="74"/>
        <v>0</v>
      </c>
      <c r="S231" s="87"/>
      <c r="T231" s="87"/>
      <c r="U231" s="87"/>
      <c r="V231" s="87">
        <f t="shared" si="75"/>
        <v>0</v>
      </c>
      <c r="W231" s="113">
        <f t="shared" si="72"/>
        <v>36.913096727263202</v>
      </c>
      <c r="X231" s="69">
        <f t="shared" si="76"/>
        <v>0</v>
      </c>
      <c r="Y231" s="70">
        <f t="shared" si="77"/>
        <v>0</v>
      </c>
      <c r="Z231" s="70">
        <f t="shared" si="78"/>
        <v>0</v>
      </c>
      <c r="AA231" s="70">
        <f t="shared" si="79"/>
        <v>0</v>
      </c>
      <c r="AB231" s="70">
        <f t="shared" si="80"/>
        <v>0</v>
      </c>
      <c r="AC231" s="70">
        <f t="shared" si="81"/>
        <v>0</v>
      </c>
      <c r="AD231" s="71">
        <f t="shared" si="82"/>
        <v>0</v>
      </c>
      <c r="AE231" s="49"/>
      <c r="AF231" s="21"/>
      <c r="AG231" s="69"/>
      <c r="AH231" s="70"/>
      <c r="AI231" s="70"/>
      <c r="AJ231" s="70"/>
      <c r="AK231" s="70"/>
      <c r="AL231" s="70"/>
      <c r="AM231" s="70"/>
      <c r="AN231" s="70" t="str">
        <f t="shared" si="83"/>
        <v>---</v>
      </c>
      <c r="AO231" s="70" t="str">
        <f t="shared" si="84"/>
        <v>---</v>
      </c>
      <c r="AP231" s="70" t="str">
        <f t="shared" si="85"/>
        <v>---</v>
      </c>
      <c r="AQ231" s="70" t="str">
        <f t="shared" si="86"/>
        <v>---</v>
      </c>
      <c r="AR231" s="70" t="str">
        <f t="shared" si="87"/>
        <v>---</v>
      </c>
      <c r="AS231" s="70" t="str">
        <f t="shared" si="88"/>
        <v>---</v>
      </c>
      <c r="AT231" s="71" t="str">
        <f t="shared" si="89"/>
        <v>---</v>
      </c>
    </row>
    <row r="232" spans="1:46" ht="30" customHeight="1" x14ac:dyDescent="0.3">
      <c r="A232" s="123">
        <f t="shared" si="73"/>
        <v>228</v>
      </c>
      <c r="B232" s="140">
        <f>INDEX('PEER GROUP'!B:B,MATCH($A232,'PEER GROUP'!$A:$A,0))</f>
        <v>0</v>
      </c>
      <c r="C232" s="83">
        <f>INDEX('PEER GROUP'!C:C,MATCH($A232,'PEER GROUP'!$A:$A,0))</f>
        <v>0</v>
      </c>
      <c r="D232" s="83">
        <f>INDEX('PEER GROUP'!D:D,MATCH($A232,'PEER GROUP'!$A:$A,0))</f>
        <v>0</v>
      </c>
      <c r="E232" s="83">
        <f>INDEX('PEER GROUP'!E:E,MATCH(A232,'PEER GROUP'!$A:$A,0))</f>
        <v>0</v>
      </c>
      <c r="F232" s="84">
        <f>INDEX('PEER GROUP'!F:F,MATCH($A232,'PEER GROUP'!$A:$A,0))</f>
        <v>0</v>
      </c>
      <c r="G232" s="84">
        <f>INDEX('PEER GROUP'!G:G,MATCH($A232,'PEER GROUP'!$A:$A,0))</f>
        <v>0</v>
      </c>
      <c r="H232" s="85"/>
      <c r="I232" s="85"/>
      <c r="J232" s="70">
        <f>INDEX('PEER GROUP'!K:K,MATCH($A232,'PEER GROUP'!$A:$A,0))</f>
        <v>0</v>
      </c>
      <c r="K232" s="70">
        <f>INDEX('PEER GROUP'!L:L,MATCH($A232,'PEER GROUP'!$A:$A,0))</f>
        <v>0</v>
      </c>
      <c r="L232" s="70">
        <f>INDEX('PEER GROUP'!M:M,MATCH($A232,'PEER GROUP'!$A:$A,0))</f>
        <v>0</v>
      </c>
      <c r="M232" s="86">
        <f>INDEX('PEER GROUP'!N:N,MATCH($A232,'PEER GROUP'!$A:$A,0))</f>
        <v>0</v>
      </c>
      <c r="N232" s="118"/>
      <c r="O232" s="115"/>
      <c r="P232" s="117"/>
      <c r="Q232" s="87"/>
      <c r="R232" s="87">
        <f t="shared" si="74"/>
        <v>0</v>
      </c>
      <c r="S232" s="87"/>
      <c r="T232" s="87"/>
      <c r="U232" s="87"/>
      <c r="V232" s="87">
        <f t="shared" si="75"/>
        <v>0</v>
      </c>
      <c r="W232" s="113">
        <f t="shared" si="72"/>
        <v>36.913096727263202</v>
      </c>
      <c r="X232" s="69">
        <f t="shared" si="76"/>
        <v>0</v>
      </c>
      <c r="Y232" s="70">
        <f t="shared" si="77"/>
        <v>0</v>
      </c>
      <c r="Z232" s="70">
        <f t="shared" si="78"/>
        <v>0</v>
      </c>
      <c r="AA232" s="70">
        <f t="shared" si="79"/>
        <v>0</v>
      </c>
      <c r="AB232" s="70">
        <f t="shared" si="80"/>
        <v>0</v>
      </c>
      <c r="AC232" s="70">
        <f t="shared" si="81"/>
        <v>0</v>
      </c>
      <c r="AD232" s="71">
        <f t="shared" si="82"/>
        <v>0</v>
      </c>
      <c r="AE232" s="49"/>
      <c r="AF232" s="21"/>
      <c r="AG232" s="69"/>
      <c r="AH232" s="70"/>
      <c r="AI232" s="70"/>
      <c r="AJ232" s="70"/>
      <c r="AK232" s="70"/>
      <c r="AL232" s="70"/>
      <c r="AM232" s="70"/>
      <c r="AN232" s="70" t="str">
        <f t="shared" si="83"/>
        <v>---</v>
      </c>
      <c r="AO232" s="70" t="str">
        <f t="shared" si="84"/>
        <v>---</v>
      </c>
      <c r="AP232" s="70" t="str">
        <f t="shared" si="85"/>
        <v>---</v>
      </c>
      <c r="AQ232" s="70" t="str">
        <f t="shared" si="86"/>
        <v>---</v>
      </c>
      <c r="AR232" s="70" t="str">
        <f t="shared" si="87"/>
        <v>---</v>
      </c>
      <c r="AS232" s="70" t="str">
        <f t="shared" si="88"/>
        <v>---</v>
      </c>
      <c r="AT232" s="71" t="str">
        <f t="shared" si="89"/>
        <v>---</v>
      </c>
    </row>
    <row r="233" spans="1:46" ht="30" customHeight="1" x14ac:dyDescent="0.3">
      <c r="A233" s="123">
        <f t="shared" si="73"/>
        <v>229</v>
      </c>
      <c r="B233" s="140">
        <f>INDEX('PEER GROUP'!B:B,MATCH($A233,'PEER GROUP'!$A:$A,0))</f>
        <v>0</v>
      </c>
      <c r="C233" s="83">
        <f>INDEX('PEER GROUP'!C:C,MATCH($A233,'PEER GROUP'!$A:$A,0))</f>
        <v>0</v>
      </c>
      <c r="D233" s="83">
        <f>INDEX('PEER GROUP'!D:D,MATCH($A233,'PEER GROUP'!$A:$A,0))</f>
        <v>0</v>
      </c>
      <c r="E233" s="83">
        <f>INDEX('PEER GROUP'!E:E,MATCH(A233,'PEER GROUP'!$A:$A,0))</f>
        <v>0</v>
      </c>
      <c r="F233" s="84">
        <f>INDEX('PEER GROUP'!F:F,MATCH($A233,'PEER GROUP'!$A:$A,0))</f>
        <v>0</v>
      </c>
      <c r="G233" s="84">
        <f>INDEX('PEER GROUP'!G:G,MATCH($A233,'PEER GROUP'!$A:$A,0))</f>
        <v>0</v>
      </c>
      <c r="H233" s="85"/>
      <c r="I233" s="85"/>
      <c r="J233" s="70">
        <f>INDEX('PEER GROUP'!K:K,MATCH($A233,'PEER GROUP'!$A:$A,0))</f>
        <v>0</v>
      </c>
      <c r="K233" s="70">
        <f>INDEX('PEER GROUP'!L:L,MATCH($A233,'PEER GROUP'!$A:$A,0))</f>
        <v>0</v>
      </c>
      <c r="L233" s="70">
        <f>INDEX('PEER GROUP'!M:M,MATCH($A233,'PEER GROUP'!$A:$A,0))</f>
        <v>0</v>
      </c>
      <c r="M233" s="86">
        <f>INDEX('PEER GROUP'!N:N,MATCH($A233,'PEER GROUP'!$A:$A,0))</f>
        <v>0</v>
      </c>
      <c r="N233" s="118"/>
      <c r="O233" s="115"/>
      <c r="P233" s="117"/>
      <c r="Q233" s="87"/>
      <c r="R233" s="87">
        <f t="shared" si="74"/>
        <v>0</v>
      </c>
      <c r="S233" s="87"/>
      <c r="T233" s="87"/>
      <c r="U233" s="87"/>
      <c r="V233" s="87">
        <f t="shared" si="75"/>
        <v>0</v>
      </c>
      <c r="W233" s="113">
        <f t="shared" si="72"/>
        <v>36.913096727263202</v>
      </c>
      <c r="X233" s="69">
        <f t="shared" si="76"/>
        <v>0</v>
      </c>
      <c r="Y233" s="70">
        <f t="shared" si="77"/>
        <v>0</v>
      </c>
      <c r="Z233" s="70">
        <f t="shared" si="78"/>
        <v>0</v>
      </c>
      <c r="AA233" s="70">
        <f t="shared" si="79"/>
        <v>0</v>
      </c>
      <c r="AB233" s="70">
        <f t="shared" si="80"/>
        <v>0</v>
      </c>
      <c r="AC233" s="70">
        <f t="shared" si="81"/>
        <v>0</v>
      </c>
      <c r="AD233" s="71">
        <f t="shared" si="82"/>
        <v>0</v>
      </c>
      <c r="AE233" s="49"/>
      <c r="AF233" s="21"/>
      <c r="AG233" s="69"/>
      <c r="AH233" s="70"/>
      <c r="AI233" s="70"/>
      <c r="AJ233" s="70"/>
      <c r="AK233" s="70"/>
      <c r="AL233" s="70"/>
      <c r="AM233" s="70"/>
      <c r="AN233" s="70" t="str">
        <f t="shared" si="83"/>
        <v>---</v>
      </c>
      <c r="AO233" s="70" t="str">
        <f t="shared" si="84"/>
        <v>---</v>
      </c>
      <c r="AP233" s="70" t="str">
        <f t="shared" si="85"/>
        <v>---</v>
      </c>
      <c r="AQ233" s="70" t="str">
        <f t="shared" si="86"/>
        <v>---</v>
      </c>
      <c r="AR233" s="70" t="str">
        <f t="shared" si="87"/>
        <v>---</v>
      </c>
      <c r="AS233" s="70" t="str">
        <f t="shared" si="88"/>
        <v>---</v>
      </c>
      <c r="AT233" s="71" t="str">
        <f t="shared" si="89"/>
        <v>---</v>
      </c>
    </row>
    <row r="234" spans="1:46" ht="30" customHeight="1" x14ac:dyDescent="0.3">
      <c r="A234" s="123">
        <f t="shared" si="73"/>
        <v>230</v>
      </c>
      <c r="B234" s="140">
        <f>INDEX('PEER GROUP'!B:B,MATCH($A234,'PEER GROUP'!$A:$A,0))</f>
        <v>0</v>
      </c>
      <c r="C234" s="83">
        <f>INDEX('PEER GROUP'!C:C,MATCH($A234,'PEER GROUP'!$A:$A,0))</f>
        <v>0</v>
      </c>
      <c r="D234" s="83">
        <f>INDEX('PEER GROUP'!D:D,MATCH($A234,'PEER GROUP'!$A:$A,0))</f>
        <v>0</v>
      </c>
      <c r="E234" s="83">
        <f>INDEX('PEER GROUP'!E:E,MATCH(A234,'PEER GROUP'!$A:$A,0))</f>
        <v>0</v>
      </c>
      <c r="F234" s="84">
        <f>INDEX('PEER GROUP'!F:F,MATCH($A234,'PEER GROUP'!$A:$A,0))</f>
        <v>0</v>
      </c>
      <c r="G234" s="84">
        <f>INDEX('PEER GROUP'!G:G,MATCH($A234,'PEER GROUP'!$A:$A,0))</f>
        <v>0</v>
      </c>
      <c r="H234" s="85"/>
      <c r="I234" s="85"/>
      <c r="J234" s="70">
        <f>INDEX('PEER GROUP'!K:K,MATCH($A234,'PEER GROUP'!$A:$A,0))</f>
        <v>0</v>
      </c>
      <c r="K234" s="70">
        <f>INDEX('PEER GROUP'!L:L,MATCH($A234,'PEER GROUP'!$A:$A,0))</f>
        <v>0</v>
      </c>
      <c r="L234" s="70">
        <f>INDEX('PEER GROUP'!M:M,MATCH($A234,'PEER GROUP'!$A:$A,0))</f>
        <v>0</v>
      </c>
      <c r="M234" s="86">
        <f>INDEX('PEER GROUP'!N:N,MATCH($A234,'PEER GROUP'!$A:$A,0))</f>
        <v>0</v>
      </c>
      <c r="N234" s="118"/>
      <c r="O234" s="115"/>
      <c r="P234" s="117"/>
      <c r="Q234" s="87"/>
      <c r="R234" s="87">
        <f t="shared" si="74"/>
        <v>0</v>
      </c>
      <c r="S234" s="87"/>
      <c r="T234" s="87"/>
      <c r="U234" s="87"/>
      <c r="V234" s="87">
        <f t="shared" si="75"/>
        <v>0</v>
      </c>
      <c r="W234" s="113">
        <f t="shared" si="72"/>
        <v>36.913096727263202</v>
      </c>
      <c r="X234" s="69">
        <f t="shared" si="76"/>
        <v>0</v>
      </c>
      <c r="Y234" s="70">
        <f t="shared" si="77"/>
        <v>0</v>
      </c>
      <c r="Z234" s="70">
        <f t="shared" si="78"/>
        <v>0</v>
      </c>
      <c r="AA234" s="70">
        <f t="shared" si="79"/>
        <v>0</v>
      </c>
      <c r="AB234" s="70">
        <f t="shared" si="80"/>
        <v>0</v>
      </c>
      <c r="AC234" s="70">
        <f t="shared" si="81"/>
        <v>0</v>
      </c>
      <c r="AD234" s="71">
        <f t="shared" si="82"/>
        <v>0</v>
      </c>
      <c r="AE234" s="49"/>
      <c r="AF234" s="21"/>
      <c r="AG234" s="69"/>
      <c r="AH234" s="70"/>
      <c r="AI234" s="70"/>
      <c r="AJ234" s="70"/>
      <c r="AK234" s="70"/>
      <c r="AL234" s="70"/>
      <c r="AM234" s="70"/>
      <c r="AN234" s="70" t="str">
        <f t="shared" si="83"/>
        <v>---</v>
      </c>
      <c r="AO234" s="70" t="str">
        <f t="shared" si="84"/>
        <v>---</v>
      </c>
      <c r="AP234" s="70" t="str">
        <f t="shared" si="85"/>
        <v>---</v>
      </c>
      <c r="AQ234" s="70" t="str">
        <f t="shared" si="86"/>
        <v>---</v>
      </c>
      <c r="AR234" s="70" t="str">
        <f t="shared" si="87"/>
        <v>---</v>
      </c>
      <c r="AS234" s="70" t="str">
        <f t="shared" si="88"/>
        <v>---</v>
      </c>
      <c r="AT234" s="71" t="str">
        <f t="shared" si="89"/>
        <v>---</v>
      </c>
    </row>
    <row r="235" spans="1:46" ht="30" customHeight="1" x14ac:dyDescent="0.3">
      <c r="A235" s="123">
        <f t="shared" si="73"/>
        <v>231</v>
      </c>
      <c r="B235" s="140">
        <f>INDEX('PEER GROUP'!B:B,MATCH($A235,'PEER GROUP'!$A:$A,0))</f>
        <v>0</v>
      </c>
      <c r="C235" s="83">
        <f>INDEX('PEER GROUP'!C:C,MATCH($A235,'PEER GROUP'!$A:$A,0))</f>
        <v>0</v>
      </c>
      <c r="D235" s="83">
        <f>INDEX('PEER GROUP'!D:D,MATCH($A235,'PEER GROUP'!$A:$A,0))</f>
        <v>0</v>
      </c>
      <c r="E235" s="83">
        <f>INDEX('PEER GROUP'!E:E,MATCH(A235,'PEER GROUP'!$A:$A,0))</f>
        <v>0</v>
      </c>
      <c r="F235" s="84">
        <f>INDEX('PEER GROUP'!F:F,MATCH($A235,'PEER GROUP'!$A:$A,0))</f>
        <v>0</v>
      </c>
      <c r="G235" s="84">
        <f>INDEX('PEER GROUP'!G:G,MATCH($A235,'PEER GROUP'!$A:$A,0))</f>
        <v>0</v>
      </c>
      <c r="H235" s="85"/>
      <c r="I235" s="85"/>
      <c r="J235" s="70">
        <f>INDEX('PEER GROUP'!K:K,MATCH($A235,'PEER GROUP'!$A:$A,0))</f>
        <v>0</v>
      </c>
      <c r="K235" s="70">
        <f>INDEX('PEER GROUP'!L:L,MATCH($A235,'PEER GROUP'!$A:$A,0))</f>
        <v>0</v>
      </c>
      <c r="L235" s="70">
        <f>INDEX('PEER GROUP'!M:M,MATCH($A235,'PEER GROUP'!$A:$A,0))</f>
        <v>0</v>
      </c>
      <c r="M235" s="86">
        <f>INDEX('PEER GROUP'!N:N,MATCH($A235,'PEER GROUP'!$A:$A,0))</f>
        <v>0</v>
      </c>
      <c r="N235" s="118"/>
      <c r="O235" s="115"/>
      <c r="P235" s="117"/>
      <c r="Q235" s="87"/>
      <c r="R235" s="87">
        <f t="shared" si="74"/>
        <v>0</v>
      </c>
      <c r="S235" s="87"/>
      <c r="T235" s="87"/>
      <c r="U235" s="87"/>
      <c r="V235" s="87">
        <f t="shared" si="75"/>
        <v>0</v>
      </c>
      <c r="W235" s="113">
        <f t="shared" si="72"/>
        <v>36.913096727263202</v>
      </c>
      <c r="X235" s="69">
        <f t="shared" si="76"/>
        <v>0</v>
      </c>
      <c r="Y235" s="70">
        <f t="shared" si="77"/>
        <v>0</v>
      </c>
      <c r="Z235" s="70">
        <f t="shared" si="78"/>
        <v>0</v>
      </c>
      <c r="AA235" s="70">
        <f t="shared" si="79"/>
        <v>0</v>
      </c>
      <c r="AB235" s="70">
        <f t="shared" si="80"/>
        <v>0</v>
      </c>
      <c r="AC235" s="70">
        <f t="shared" si="81"/>
        <v>0</v>
      </c>
      <c r="AD235" s="71">
        <f t="shared" si="82"/>
        <v>0</v>
      </c>
      <c r="AE235" s="49"/>
      <c r="AF235" s="21"/>
      <c r="AG235" s="69"/>
      <c r="AH235" s="70"/>
      <c r="AI235" s="70"/>
      <c r="AJ235" s="70"/>
      <c r="AK235" s="70"/>
      <c r="AL235" s="70"/>
      <c r="AM235" s="70"/>
      <c r="AN235" s="70" t="str">
        <f t="shared" si="83"/>
        <v>---</v>
      </c>
      <c r="AO235" s="70" t="str">
        <f t="shared" si="84"/>
        <v>---</v>
      </c>
      <c r="AP235" s="70" t="str">
        <f t="shared" si="85"/>
        <v>---</v>
      </c>
      <c r="AQ235" s="70" t="str">
        <f t="shared" si="86"/>
        <v>---</v>
      </c>
      <c r="AR235" s="70" t="str">
        <f t="shared" si="87"/>
        <v>---</v>
      </c>
      <c r="AS235" s="70" t="str">
        <f t="shared" si="88"/>
        <v>---</v>
      </c>
      <c r="AT235" s="71" t="str">
        <f t="shared" si="89"/>
        <v>---</v>
      </c>
    </row>
    <row r="236" spans="1:46" ht="30" customHeight="1" x14ac:dyDescent="0.3">
      <c r="A236" s="123">
        <f t="shared" si="73"/>
        <v>232</v>
      </c>
      <c r="B236" s="140">
        <f>INDEX('PEER GROUP'!B:B,MATCH($A236,'PEER GROUP'!$A:$A,0))</f>
        <v>0</v>
      </c>
      <c r="C236" s="83">
        <f>INDEX('PEER GROUP'!C:C,MATCH($A236,'PEER GROUP'!$A:$A,0))</f>
        <v>0</v>
      </c>
      <c r="D236" s="83">
        <f>INDEX('PEER GROUP'!D:D,MATCH($A236,'PEER GROUP'!$A:$A,0))</f>
        <v>0</v>
      </c>
      <c r="E236" s="83">
        <f>INDEX('PEER GROUP'!E:E,MATCH(A236,'PEER GROUP'!$A:$A,0))</f>
        <v>0</v>
      </c>
      <c r="F236" s="84">
        <f>INDEX('PEER GROUP'!F:F,MATCH($A236,'PEER GROUP'!$A:$A,0))</f>
        <v>0</v>
      </c>
      <c r="G236" s="84">
        <f>INDEX('PEER GROUP'!G:G,MATCH($A236,'PEER GROUP'!$A:$A,0))</f>
        <v>0</v>
      </c>
      <c r="H236" s="85"/>
      <c r="I236" s="85"/>
      <c r="J236" s="70">
        <f>INDEX('PEER GROUP'!K:K,MATCH($A236,'PEER GROUP'!$A:$A,0))</f>
        <v>0</v>
      </c>
      <c r="K236" s="70">
        <f>INDEX('PEER GROUP'!L:L,MATCH($A236,'PEER GROUP'!$A:$A,0))</f>
        <v>0</v>
      </c>
      <c r="L236" s="70">
        <f>INDEX('PEER GROUP'!M:M,MATCH($A236,'PEER GROUP'!$A:$A,0))</f>
        <v>0</v>
      </c>
      <c r="M236" s="86">
        <f>INDEX('PEER GROUP'!N:N,MATCH($A236,'PEER GROUP'!$A:$A,0))</f>
        <v>0</v>
      </c>
      <c r="N236" s="118"/>
      <c r="O236" s="115"/>
      <c r="P236" s="117"/>
      <c r="Q236" s="87"/>
      <c r="R236" s="87">
        <f t="shared" si="74"/>
        <v>0</v>
      </c>
      <c r="S236" s="87"/>
      <c r="T236" s="87"/>
      <c r="U236" s="87"/>
      <c r="V236" s="87">
        <f t="shared" si="75"/>
        <v>0</v>
      </c>
      <c r="W236" s="113">
        <f t="shared" si="72"/>
        <v>36.913096727263202</v>
      </c>
      <c r="X236" s="69">
        <f t="shared" si="76"/>
        <v>0</v>
      </c>
      <c r="Y236" s="70">
        <f t="shared" si="77"/>
        <v>0</v>
      </c>
      <c r="Z236" s="70">
        <f t="shared" si="78"/>
        <v>0</v>
      </c>
      <c r="AA236" s="70">
        <f t="shared" si="79"/>
        <v>0</v>
      </c>
      <c r="AB236" s="70">
        <f t="shared" si="80"/>
        <v>0</v>
      </c>
      <c r="AC236" s="70">
        <f t="shared" si="81"/>
        <v>0</v>
      </c>
      <c r="AD236" s="71">
        <f t="shared" si="82"/>
        <v>0</v>
      </c>
      <c r="AE236" s="49"/>
      <c r="AF236" s="21"/>
      <c r="AG236" s="69"/>
      <c r="AH236" s="70"/>
      <c r="AI236" s="70"/>
      <c r="AJ236" s="70"/>
      <c r="AK236" s="70"/>
      <c r="AL236" s="70"/>
      <c r="AM236" s="70"/>
      <c r="AN236" s="70" t="str">
        <f t="shared" si="83"/>
        <v>---</v>
      </c>
      <c r="AO236" s="70" t="str">
        <f t="shared" si="84"/>
        <v>---</v>
      </c>
      <c r="AP236" s="70" t="str">
        <f t="shared" si="85"/>
        <v>---</v>
      </c>
      <c r="AQ236" s="70" t="str">
        <f t="shared" si="86"/>
        <v>---</v>
      </c>
      <c r="AR236" s="70" t="str">
        <f t="shared" si="87"/>
        <v>---</v>
      </c>
      <c r="AS236" s="70" t="str">
        <f t="shared" si="88"/>
        <v>---</v>
      </c>
      <c r="AT236" s="71" t="str">
        <f t="shared" si="89"/>
        <v>---</v>
      </c>
    </row>
    <row r="237" spans="1:46" ht="30" customHeight="1" x14ac:dyDescent="0.3">
      <c r="A237" s="123">
        <f t="shared" si="73"/>
        <v>233</v>
      </c>
      <c r="B237" s="140">
        <f>INDEX('PEER GROUP'!B:B,MATCH($A237,'PEER GROUP'!$A:$A,0))</f>
        <v>0</v>
      </c>
      <c r="C237" s="83">
        <f>INDEX('PEER GROUP'!C:C,MATCH($A237,'PEER GROUP'!$A:$A,0))</f>
        <v>0</v>
      </c>
      <c r="D237" s="83">
        <f>INDEX('PEER GROUP'!D:D,MATCH($A237,'PEER GROUP'!$A:$A,0))</f>
        <v>0</v>
      </c>
      <c r="E237" s="83">
        <f>INDEX('PEER GROUP'!E:E,MATCH(A237,'PEER GROUP'!$A:$A,0))</f>
        <v>0</v>
      </c>
      <c r="F237" s="84">
        <f>INDEX('PEER GROUP'!F:F,MATCH($A237,'PEER GROUP'!$A:$A,0))</f>
        <v>0</v>
      </c>
      <c r="G237" s="84">
        <f>INDEX('PEER GROUP'!G:G,MATCH($A237,'PEER GROUP'!$A:$A,0))</f>
        <v>0</v>
      </c>
      <c r="H237" s="85"/>
      <c r="I237" s="85"/>
      <c r="J237" s="70">
        <f>INDEX('PEER GROUP'!K:K,MATCH($A237,'PEER GROUP'!$A:$A,0))</f>
        <v>0</v>
      </c>
      <c r="K237" s="70">
        <f>INDEX('PEER GROUP'!L:L,MATCH($A237,'PEER GROUP'!$A:$A,0))</f>
        <v>0</v>
      </c>
      <c r="L237" s="70">
        <f>INDEX('PEER GROUP'!M:M,MATCH($A237,'PEER GROUP'!$A:$A,0))</f>
        <v>0</v>
      </c>
      <c r="M237" s="86">
        <f>INDEX('PEER GROUP'!N:N,MATCH($A237,'PEER GROUP'!$A:$A,0))</f>
        <v>0</v>
      </c>
      <c r="N237" s="118"/>
      <c r="O237" s="115"/>
      <c r="P237" s="117"/>
      <c r="Q237" s="87"/>
      <c r="R237" s="87">
        <f t="shared" si="74"/>
        <v>0</v>
      </c>
      <c r="S237" s="87"/>
      <c r="T237" s="87"/>
      <c r="U237" s="87"/>
      <c r="V237" s="87">
        <f t="shared" si="75"/>
        <v>0</v>
      </c>
      <c r="W237" s="113">
        <f t="shared" si="72"/>
        <v>36.913096727263202</v>
      </c>
      <c r="X237" s="69">
        <f t="shared" si="76"/>
        <v>0</v>
      </c>
      <c r="Y237" s="70">
        <f t="shared" si="77"/>
        <v>0</v>
      </c>
      <c r="Z237" s="70">
        <f t="shared" si="78"/>
        <v>0</v>
      </c>
      <c r="AA237" s="70">
        <f t="shared" si="79"/>
        <v>0</v>
      </c>
      <c r="AB237" s="70">
        <f t="shared" si="80"/>
        <v>0</v>
      </c>
      <c r="AC237" s="70">
        <f t="shared" si="81"/>
        <v>0</v>
      </c>
      <c r="AD237" s="71">
        <f t="shared" si="82"/>
        <v>0</v>
      </c>
      <c r="AE237" s="49"/>
      <c r="AF237" s="21"/>
      <c r="AG237" s="69"/>
      <c r="AH237" s="70"/>
      <c r="AI237" s="70"/>
      <c r="AJ237" s="70"/>
      <c r="AK237" s="70"/>
      <c r="AL237" s="70"/>
      <c r="AM237" s="70"/>
      <c r="AN237" s="70" t="str">
        <f t="shared" si="83"/>
        <v>---</v>
      </c>
      <c r="AO237" s="70" t="str">
        <f t="shared" si="84"/>
        <v>---</v>
      </c>
      <c r="AP237" s="70" t="str">
        <f t="shared" si="85"/>
        <v>---</v>
      </c>
      <c r="AQ237" s="70" t="str">
        <f t="shared" si="86"/>
        <v>---</v>
      </c>
      <c r="AR237" s="70" t="str">
        <f t="shared" si="87"/>
        <v>---</v>
      </c>
      <c r="AS237" s="70" t="str">
        <f t="shared" si="88"/>
        <v>---</v>
      </c>
      <c r="AT237" s="71" t="str">
        <f t="shared" si="89"/>
        <v>---</v>
      </c>
    </row>
    <row r="238" spans="1:46" ht="30" customHeight="1" x14ac:dyDescent="0.3">
      <c r="A238" s="123">
        <f t="shared" si="73"/>
        <v>234</v>
      </c>
      <c r="B238" s="140">
        <f>INDEX('PEER GROUP'!B:B,MATCH($A238,'PEER GROUP'!$A:$A,0))</f>
        <v>0</v>
      </c>
      <c r="C238" s="83">
        <f>INDEX('PEER GROUP'!C:C,MATCH($A238,'PEER GROUP'!$A:$A,0))</f>
        <v>0</v>
      </c>
      <c r="D238" s="83">
        <f>INDEX('PEER GROUP'!D:D,MATCH($A238,'PEER GROUP'!$A:$A,0))</f>
        <v>0</v>
      </c>
      <c r="E238" s="83">
        <f>INDEX('PEER GROUP'!E:E,MATCH(A238,'PEER GROUP'!$A:$A,0))</f>
        <v>0</v>
      </c>
      <c r="F238" s="84">
        <f>INDEX('PEER GROUP'!F:F,MATCH($A238,'PEER GROUP'!$A:$A,0))</f>
        <v>0</v>
      </c>
      <c r="G238" s="84">
        <f>INDEX('PEER GROUP'!G:G,MATCH($A238,'PEER GROUP'!$A:$A,0))</f>
        <v>0</v>
      </c>
      <c r="H238" s="85"/>
      <c r="I238" s="85"/>
      <c r="J238" s="70">
        <f>INDEX('PEER GROUP'!K:K,MATCH($A238,'PEER GROUP'!$A:$A,0))</f>
        <v>0</v>
      </c>
      <c r="K238" s="70">
        <f>INDEX('PEER GROUP'!L:L,MATCH($A238,'PEER GROUP'!$A:$A,0))</f>
        <v>0</v>
      </c>
      <c r="L238" s="70">
        <f>INDEX('PEER GROUP'!M:M,MATCH($A238,'PEER GROUP'!$A:$A,0))</f>
        <v>0</v>
      </c>
      <c r="M238" s="86">
        <f>INDEX('PEER GROUP'!N:N,MATCH($A238,'PEER GROUP'!$A:$A,0))</f>
        <v>0</v>
      </c>
      <c r="N238" s="118"/>
      <c r="O238" s="115"/>
      <c r="P238" s="117"/>
      <c r="Q238" s="87"/>
      <c r="R238" s="87">
        <f t="shared" si="74"/>
        <v>0</v>
      </c>
      <c r="S238" s="87"/>
      <c r="T238" s="87"/>
      <c r="U238" s="87"/>
      <c r="V238" s="87">
        <f t="shared" si="75"/>
        <v>0</v>
      </c>
      <c r="W238" s="113">
        <f t="shared" si="72"/>
        <v>36.913096727263202</v>
      </c>
      <c r="X238" s="69">
        <f t="shared" si="76"/>
        <v>0</v>
      </c>
      <c r="Y238" s="70">
        <f t="shared" si="77"/>
        <v>0</v>
      </c>
      <c r="Z238" s="70">
        <f t="shared" si="78"/>
        <v>0</v>
      </c>
      <c r="AA238" s="70">
        <f t="shared" si="79"/>
        <v>0</v>
      </c>
      <c r="AB238" s="70">
        <f t="shared" si="80"/>
        <v>0</v>
      </c>
      <c r="AC238" s="70">
        <f t="shared" si="81"/>
        <v>0</v>
      </c>
      <c r="AD238" s="71">
        <f t="shared" si="82"/>
        <v>0</v>
      </c>
      <c r="AE238" s="49"/>
      <c r="AF238" s="21"/>
      <c r="AG238" s="69"/>
      <c r="AH238" s="70"/>
      <c r="AI238" s="70"/>
      <c r="AJ238" s="70"/>
      <c r="AK238" s="70"/>
      <c r="AL238" s="70"/>
      <c r="AM238" s="70"/>
      <c r="AN238" s="70" t="str">
        <f t="shared" si="83"/>
        <v>---</v>
      </c>
      <c r="AO238" s="70" t="str">
        <f t="shared" si="84"/>
        <v>---</v>
      </c>
      <c r="AP238" s="70" t="str">
        <f t="shared" si="85"/>
        <v>---</v>
      </c>
      <c r="AQ238" s="70" t="str">
        <f t="shared" si="86"/>
        <v>---</v>
      </c>
      <c r="AR238" s="70" t="str">
        <f t="shared" si="87"/>
        <v>---</v>
      </c>
      <c r="AS238" s="70" t="str">
        <f t="shared" si="88"/>
        <v>---</v>
      </c>
      <c r="AT238" s="71" t="str">
        <f t="shared" si="89"/>
        <v>---</v>
      </c>
    </row>
    <row r="239" spans="1:46" ht="30" customHeight="1" x14ac:dyDescent="0.3">
      <c r="A239" s="123">
        <f t="shared" si="73"/>
        <v>235</v>
      </c>
      <c r="B239" s="140">
        <f>INDEX('PEER GROUP'!B:B,MATCH($A239,'PEER GROUP'!$A:$A,0))</f>
        <v>0</v>
      </c>
      <c r="C239" s="83">
        <f>INDEX('PEER GROUP'!C:C,MATCH($A239,'PEER GROUP'!$A:$A,0))</f>
        <v>0</v>
      </c>
      <c r="D239" s="83">
        <f>INDEX('PEER GROUP'!D:D,MATCH($A239,'PEER GROUP'!$A:$A,0))</f>
        <v>0</v>
      </c>
      <c r="E239" s="83">
        <f>INDEX('PEER GROUP'!E:E,MATCH(A239,'PEER GROUP'!$A:$A,0))</f>
        <v>0</v>
      </c>
      <c r="F239" s="84">
        <f>INDEX('PEER GROUP'!F:F,MATCH($A239,'PEER GROUP'!$A:$A,0))</f>
        <v>0</v>
      </c>
      <c r="G239" s="84">
        <f>INDEX('PEER GROUP'!G:G,MATCH($A239,'PEER GROUP'!$A:$A,0))</f>
        <v>0</v>
      </c>
      <c r="H239" s="85"/>
      <c r="I239" s="85"/>
      <c r="J239" s="70">
        <f>INDEX('PEER GROUP'!K:K,MATCH($A239,'PEER GROUP'!$A:$A,0))</f>
        <v>0</v>
      </c>
      <c r="K239" s="70">
        <f>INDEX('PEER GROUP'!L:L,MATCH($A239,'PEER GROUP'!$A:$A,0))</f>
        <v>0</v>
      </c>
      <c r="L239" s="70">
        <f>INDEX('PEER GROUP'!M:M,MATCH($A239,'PEER GROUP'!$A:$A,0))</f>
        <v>0</v>
      </c>
      <c r="M239" s="86">
        <f>INDEX('PEER GROUP'!N:N,MATCH($A239,'PEER GROUP'!$A:$A,0))</f>
        <v>0</v>
      </c>
      <c r="N239" s="118"/>
      <c r="O239" s="115"/>
      <c r="P239" s="117"/>
      <c r="Q239" s="87"/>
      <c r="R239" s="87">
        <f t="shared" si="74"/>
        <v>0</v>
      </c>
      <c r="S239" s="87"/>
      <c r="T239" s="87"/>
      <c r="U239" s="87"/>
      <c r="V239" s="87">
        <f t="shared" si="75"/>
        <v>0</v>
      </c>
      <c r="W239" s="113">
        <f t="shared" si="72"/>
        <v>36.913096727263202</v>
      </c>
      <c r="X239" s="69">
        <f t="shared" si="76"/>
        <v>0</v>
      </c>
      <c r="Y239" s="70">
        <f t="shared" si="77"/>
        <v>0</v>
      </c>
      <c r="Z239" s="70">
        <f t="shared" si="78"/>
        <v>0</v>
      </c>
      <c r="AA239" s="70">
        <f t="shared" si="79"/>
        <v>0</v>
      </c>
      <c r="AB239" s="70">
        <f t="shared" si="80"/>
        <v>0</v>
      </c>
      <c r="AC239" s="70">
        <f t="shared" si="81"/>
        <v>0</v>
      </c>
      <c r="AD239" s="71">
        <f t="shared" si="82"/>
        <v>0</v>
      </c>
      <c r="AE239" s="49"/>
      <c r="AF239" s="21"/>
      <c r="AG239" s="69"/>
      <c r="AH239" s="70"/>
      <c r="AI239" s="70"/>
      <c r="AJ239" s="70"/>
      <c r="AK239" s="70"/>
      <c r="AL239" s="70"/>
      <c r="AM239" s="70"/>
      <c r="AN239" s="70" t="str">
        <f t="shared" si="83"/>
        <v>---</v>
      </c>
      <c r="AO239" s="70" t="str">
        <f t="shared" si="84"/>
        <v>---</v>
      </c>
      <c r="AP239" s="70" t="str">
        <f t="shared" si="85"/>
        <v>---</v>
      </c>
      <c r="AQ239" s="70" t="str">
        <f t="shared" si="86"/>
        <v>---</v>
      </c>
      <c r="AR239" s="70" t="str">
        <f t="shared" si="87"/>
        <v>---</v>
      </c>
      <c r="AS239" s="70" t="str">
        <f t="shared" si="88"/>
        <v>---</v>
      </c>
      <c r="AT239" s="71" t="str">
        <f t="shared" si="89"/>
        <v>---</v>
      </c>
    </row>
    <row r="240" spans="1:46" ht="30" customHeight="1" x14ac:dyDescent="0.3">
      <c r="A240" s="123">
        <f t="shared" si="73"/>
        <v>236</v>
      </c>
      <c r="B240" s="140">
        <f>INDEX('PEER GROUP'!B:B,MATCH($A240,'PEER GROUP'!$A:$A,0))</f>
        <v>0</v>
      </c>
      <c r="C240" s="83">
        <f>INDEX('PEER GROUP'!C:C,MATCH($A240,'PEER GROUP'!$A:$A,0))</f>
        <v>0</v>
      </c>
      <c r="D240" s="83">
        <f>INDEX('PEER GROUP'!D:D,MATCH($A240,'PEER GROUP'!$A:$A,0))</f>
        <v>0</v>
      </c>
      <c r="E240" s="83">
        <f>INDEX('PEER GROUP'!E:E,MATCH(A240,'PEER GROUP'!$A:$A,0))</f>
        <v>0</v>
      </c>
      <c r="F240" s="84">
        <f>INDEX('PEER GROUP'!F:F,MATCH($A240,'PEER GROUP'!$A:$A,0))</f>
        <v>0</v>
      </c>
      <c r="G240" s="84">
        <f>INDEX('PEER GROUP'!G:G,MATCH($A240,'PEER GROUP'!$A:$A,0))</f>
        <v>0</v>
      </c>
      <c r="H240" s="85"/>
      <c r="I240" s="85"/>
      <c r="J240" s="70">
        <f>INDEX('PEER GROUP'!K:K,MATCH($A240,'PEER GROUP'!$A:$A,0))</f>
        <v>0</v>
      </c>
      <c r="K240" s="70">
        <f>INDEX('PEER GROUP'!L:L,MATCH($A240,'PEER GROUP'!$A:$A,0))</f>
        <v>0</v>
      </c>
      <c r="L240" s="70">
        <f>INDEX('PEER GROUP'!M:M,MATCH($A240,'PEER GROUP'!$A:$A,0))</f>
        <v>0</v>
      </c>
      <c r="M240" s="86">
        <f>INDEX('PEER GROUP'!N:N,MATCH($A240,'PEER GROUP'!$A:$A,0))</f>
        <v>0</v>
      </c>
      <c r="N240" s="118"/>
      <c r="O240" s="115"/>
      <c r="P240" s="117"/>
      <c r="Q240" s="87"/>
      <c r="R240" s="87">
        <f t="shared" si="74"/>
        <v>0</v>
      </c>
      <c r="S240" s="87"/>
      <c r="T240" s="87"/>
      <c r="U240" s="87"/>
      <c r="V240" s="87">
        <f t="shared" si="75"/>
        <v>0</v>
      </c>
      <c r="W240" s="113">
        <f t="shared" si="72"/>
        <v>36.913096727263202</v>
      </c>
      <c r="X240" s="69">
        <f t="shared" si="76"/>
        <v>0</v>
      </c>
      <c r="Y240" s="70">
        <f t="shared" si="77"/>
        <v>0</v>
      </c>
      <c r="Z240" s="70">
        <f t="shared" si="78"/>
        <v>0</v>
      </c>
      <c r="AA240" s="70">
        <f t="shared" si="79"/>
        <v>0</v>
      </c>
      <c r="AB240" s="70">
        <f t="shared" si="80"/>
        <v>0</v>
      </c>
      <c r="AC240" s="70">
        <f t="shared" si="81"/>
        <v>0</v>
      </c>
      <c r="AD240" s="71">
        <f t="shared" si="82"/>
        <v>0</v>
      </c>
      <c r="AE240" s="49"/>
      <c r="AF240" s="21"/>
      <c r="AG240" s="69"/>
      <c r="AH240" s="70"/>
      <c r="AI240" s="70"/>
      <c r="AJ240" s="70"/>
      <c r="AK240" s="70"/>
      <c r="AL240" s="70"/>
      <c r="AM240" s="70"/>
      <c r="AN240" s="70" t="str">
        <f t="shared" si="83"/>
        <v>---</v>
      </c>
      <c r="AO240" s="70" t="str">
        <f t="shared" si="84"/>
        <v>---</v>
      </c>
      <c r="AP240" s="70" t="str">
        <f t="shared" si="85"/>
        <v>---</v>
      </c>
      <c r="AQ240" s="70" t="str">
        <f t="shared" si="86"/>
        <v>---</v>
      </c>
      <c r="AR240" s="70" t="str">
        <f t="shared" si="87"/>
        <v>---</v>
      </c>
      <c r="AS240" s="70" t="str">
        <f t="shared" si="88"/>
        <v>---</v>
      </c>
      <c r="AT240" s="71" t="str">
        <f t="shared" si="89"/>
        <v>---</v>
      </c>
    </row>
    <row r="241" spans="1:46" ht="30" customHeight="1" x14ac:dyDescent="0.3">
      <c r="A241" s="123">
        <f t="shared" si="73"/>
        <v>237</v>
      </c>
      <c r="B241" s="140">
        <f>INDEX('PEER GROUP'!B:B,MATCH($A241,'PEER GROUP'!$A:$A,0))</f>
        <v>0</v>
      </c>
      <c r="C241" s="83">
        <f>INDEX('PEER GROUP'!C:C,MATCH($A241,'PEER GROUP'!$A:$A,0))</f>
        <v>0</v>
      </c>
      <c r="D241" s="83">
        <f>INDEX('PEER GROUP'!D:D,MATCH($A241,'PEER GROUP'!$A:$A,0))</f>
        <v>0</v>
      </c>
      <c r="E241" s="83">
        <f>INDEX('PEER GROUP'!E:E,MATCH(A241,'PEER GROUP'!$A:$A,0))</f>
        <v>0</v>
      </c>
      <c r="F241" s="84">
        <f>INDEX('PEER GROUP'!F:F,MATCH($A241,'PEER GROUP'!$A:$A,0))</f>
        <v>0</v>
      </c>
      <c r="G241" s="84">
        <f>INDEX('PEER GROUP'!G:G,MATCH($A241,'PEER GROUP'!$A:$A,0))</f>
        <v>0</v>
      </c>
      <c r="H241" s="85"/>
      <c r="I241" s="85"/>
      <c r="J241" s="70">
        <f>INDEX('PEER GROUP'!K:K,MATCH($A241,'PEER GROUP'!$A:$A,0))</f>
        <v>0</v>
      </c>
      <c r="K241" s="70">
        <f>INDEX('PEER GROUP'!L:L,MATCH($A241,'PEER GROUP'!$A:$A,0))</f>
        <v>0</v>
      </c>
      <c r="L241" s="70">
        <f>INDEX('PEER GROUP'!M:M,MATCH($A241,'PEER GROUP'!$A:$A,0))</f>
        <v>0</v>
      </c>
      <c r="M241" s="86">
        <f>INDEX('PEER GROUP'!N:N,MATCH($A241,'PEER GROUP'!$A:$A,0))</f>
        <v>0</v>
      </c>
      <c r="N241" s="118"/>
      <c r="O241" s="115"/>
      <c r="P241" s="117"/>
      <c r="Q241" s="87"/>
      <c r="R241" s="87">
        <f t="shared" si="74"/>
        <v>0</v>
      </c>
      <c r="S241" s="87"/>
      <c r="T241" s="87"/>
      <c r="U241" s="87"/>
      <c r="V241" s="87">
        <f t="shared" si="75"/>
        <v>0</v>
      </c>
      <c r="W241" s="113">
        <f t="shared" si="72"/>
        <v>36.913096727263202</v>
      </c>
      <c r="X241" s="69">
        <f t="shared" si="76"/>
        <v>0</v>
      </c>
      <c r="Y241" s="70">
        <f t="shared" si="77"/>
        <v>0</v>
      </c>
      <c r="Z241" s="70">
        <f t="shared" si="78"/>
        <v>0</v>
      </c>
      <c r="AA241" s="70">
        <f t="shared" si="79"/>
        <v>0</v>
      </c>
      <c r="AB241" s="70">
        <f t="shared" si="80"/>
        <v>0</v>
      </c>
      <c r="AC241" s="70">
        <f t="shared" si="81"/>
        <v>0</v>
      </c>
      <c r="AD241" s="71">
        <f t="shared" si="82"/>
        <v>0</v>
      </c>
      <c r="AE241" s="49"/>
      <c r="AF241" s="21"/>
      <c r="AG241" s="69"/>
      <c r="AH241" s="70"/>
      <c r="AI241" s="70"/>
      <c r="AJ241" s="70"/>
      <c r="AK241" s="70"/>
      <c r="AL241" s="70"/>
      <c r="AM241" s="70"/>
      <c r="AN241" s="70" t="str">
        <f t="shared" si="83"/>
        <v>---</v>
      </c>
      <c r="AO241" s="70" t="str">
        <f t="shared" si="84"/>
        <v>---</v>
      </c>
      <c r="AP241" s="70" t="str">
        <f t="shared" si="85"/>
        <v>---</v>
      </c>
      <c r="AQ241" s="70" t="str">
        <f t="shared" si="86"/>
        <v>---</v>
      </c>
      <c r="AR241" s="70" t="str">
        <f t="shared" si="87"/>
        <v>---</v>
      </c>
      <c r="AS241" s="70" t="str">
        <f t="shared" si="88"/>
        <v>---</v>
      </c>
      <c r="AT241" s="71" t="str">
        <f t="shared" si="89"/>
        <v>---</v>
      </c>
    </row>
    <row r="242" spans="1:46" ht="30" customHeight="1" x14ac:dyDescent="0.3">
      <c r="A242" s="123">
        <f t="shared" si="73"/>
        <v>238</v>
      </c>
      <c r="B242" s="140">
        <f>INDEX('PEER GROUP'!B:B,MATCH($A242,'PEER GROUP'!$A:$A,0))</f>
        <v>0</v>
      </c>
      <c r="C242" s="83">
        <f>INDEX('PEER GROUP'!C:C,MATCH($A242,'PEER GROUP'!$A:$A,0))</f>
        <v>0</v>
      </c>
      <c r="D242" s="83">
        <f>INDEX('PEER GROUP'!D:D,MATCH($A242,'PEER GROUP'!$A:$A,0))</f>
        <v>0</v>
      </c>
      <c r="E242" s="83">
        <f>INDEX('PEER GROUP'!E:E,MATCH(A242,'PEER GROUP'!$A:$A,0))</f>
        <v>0</v>
      </c>
      <c r="F242" s="84">
        <f>INDEX('PEER GROUP'!F:F,MATCH($A242,'PEER GROUP'!$A:$A,0))</f>
        <v>0</v>
      </c>
      <c r="G242" s="84">
        <f>INDEX('PEER GROUP'!G:G,MATCH($A242,'PEER GROUP'!$A:$A,0))</f>
        <v>0</v>
      </c>
      <c r="H242" s="85"/>
      <c r="I242" s="85"/>
      <c r="J242" s="70">
        <f>INDEX('PEER GROUP'!K:K,MATCH($A242,'PEER GROUP'!$A:$A,0))</f>
        <v>0</v>
      </c>
      <c r="K242" s="70">
        <f>INDEX('PEER GROUP'!L:L,MATCH($A242,'PEER GROUP'!$A:$A,0))</f>
        <v>0</v>
      </c>
      <c r="L242" s="70">
        <f>INDEX('PEER GROUP'!M:M,MATCH($A242,'PEER GROUP'!$A:$A,0))</f>
        <v>0</v>
      </c>
      <c r="M242" s="86">
        <f>INDEX('PEER GROUP'!N:N,MATCH($A242,'PEER GROUP'!$A:$A,0))</f>
        <v>0</v>
      </c>
      <c r="N242" s="118"/>
      <c r="O242" s="115"/>
      <c r="P242" s="117"/>
      <c r="Q242" s="87"/>
      <c r="R242" s="87">
        <f t="shared" si="74"/>
        <v>0</v>
      </c>
      <c r="S242" s="87"/>
      <c r="T242" s="87"/>
      <c r="U242" s="87"/>
      <c r="V242" s="87">
        <f t="shared" si="75"/>
        <v>0</v>
      </c>
      <c r="W242" s="113">
        <f t="shared" si="72"/>
        <v>36.913096727263202</v>
      </c>
      <c r="X242" s="69">
        <f t="shared" si="76"/>
        <v>0</v>
      </c>
      <c r="Y242" s="70">
        <f t="shared" si="77"/>
        <v>0</v>
      </c>
      <c r="Z242" s="70">
        <f t="shared" si="78"/>
        <v>0</v>
      </c>
      <c r="AA242" s="70">
        <f t="shared" si="79"/>
        <v>0</v>
      </c>
      <c r="AB242" s="70">
        <f t="shared" si="80"/>
        <v>0</v>
      </c>
      <c r="AC242" s="70">
        <f t="shared" si="81"/>
        <v>0</v>
      </c>
      <c r="AD242" s="71">
        <f t="shared" si="82"/>
        <v>0</v>
      </c>
      <c r="AE242" s="49"/>
      <c r="AF242" s="21"/>
      <c r="AG242" s="69"/>
      <c r="AH242" s="70"/>
      <c r="AI242" s="70"/>
      <c r="AJ242" s="70"/>
      <c r="AK242" s="70"/>
      <c r="AL242" s="70"/>
      <c r="AM242" s="70"/>
      <c r="AN242" s="70" t="str">
        <f t="shared" si="83"/>
        <v>---</v>
      </c>
      <c r="AO242" s="70" t="str">
        <f t="shared" si="84"/>
        <v>---</v>
      </c>
      <c r="AP242" s="70" t="str">
        <f t="shared" si="85"/>
        <v>---</v>
      </c>
      <c r="AQ242" s="70" t="str">
        <f t="shared" si="86"/>
        <v>---</v>
      </c>
      <c r="AR242" s="70" t="str">
        <f t="shared" si="87"/>
        <v>---</v>
      </c>
      <c r="AS242" s="70" t="str">
        <f t="shared" si="88"/>
        <v>---</v>
      </c>
      <c r="AT242" s="71" t="str">
        <f t="shared" si="89"/>
        <v>---</v>
      </c>
    </row>
    <row r="243" spans="1:46" ht="30" customHeight="1" x14ac:dyDescent="0.3">
      <c r="A243" s="123">
        <f t="shared" si="73"/>
        <v>239</v>
      </c>
      <c r="B243" s="140">
        <f>INDEX('PEER GROUP'!B:B,MATCH($A243,'PEER GROUP'!$A:$A,0))</f>
        <v>0</v>
      </c>
      <c r="C243" s="83">
        <f>INDEX('PEER GROUP'!C:C,MATCH($A243,'PEER GROUP'!$A:$A,0))</f>
        <v>0</v>
      </c>
      <c r="D243" s="83">
        <f>INDEX('PEER GROUP'!D:D,MATCH($A243,'PEER GROUP'!$A:$A,0))</f>
        <v>0</v>
      </c>
      <c r="E243" s="83">
        <f>INDEX('PEER GROUP'!E:E,MATCH(A243,'PEER GROUP'!$A:$A,0))</f>
        <v>0</v>
      </c>
      <c r="F243" s="84">
        <f>INDEX('PEER GROUP'!F:F,MATCH($A243,'PEER GROUP'!$A:$A,0))</f>
        <v>0</v>
      </c>
      <c r="G243" s="84">
        <f>INDEX('PEER GROUP'!G:G,MATCH($A243,'PEER GROUP'!$A:$A,0))</f>
        <v>0</v>
      </c>
      <c r="H243" s="85"/>
      <c r="I243" s="85"/>
      <c r="J243" s="70">
        <f>INDEX('PEER GROUP'!K:K,MATCH($A243,'PEER GROUP'!$A:$A,0))</f>
        <v>0</v>
      </c>
      <c r="K243" s="70">
        <f>INDEX('PEER GROUP'!L:L,MATCH($A243,'PEER GROUP'!$A:$A,0))</f>
        <v>0</v>
      </c>
      <c r="L243" s="70">
        <f>INDEX('PEER GROUP'!M:M,MATCH($A243,'PEER GROUP'!$A:$A,0))</f>
        <v>0</v>
      </c>
      <c r="M243" s="86">
        <f>INDEX('PEER GROUP'!N:N,MATCH($A243,'PEER GROUP'!$A:$A,0))</f>
        <v>0</v>
      </c>
      <c r="N243" s="118"/>
      <c r="O243" s="115"/>
      <c r="P243" s="117"/>
      <c r="Q243" s="87"/>
      <c r="R243" s="87">
        <f t="shared" si="74"/>
        <v>0</v>
      </c>
      <c r="S243" s="87"/>
      <c r="T243" s="87"/>
      <c r="U243" s="87"/>
      <c r="V243" s="87">
        <f t="shared" si="75"/>
        <v>0</v>
      </c>
      <c r="W243" s="113">
        <f t="shared" si="72"/>
        <v>36.913096727263202</v>
      </c>
      <c r="X243" s="69">
        <f t="shared" si="76"/>
        <v>0</v>
      </c>
      <c r="Y243" s="70">
        <f t="shared" si="77"/>
        <v>0</v>
      </c>
      <c r="Z243" s="70">
        <f t="shared" si="78"/>
        <v>0</v>
      </c>
      <c r="AA243" s="70">
        <f t="shared" si="79"/>
        <v>0</v>
      </c>
      <c r="AB243" s="70">
        <f t="shared" si="80"/>
        <v>0</v>
      </c>
      <c r="AC243" s="70">
        <f t="shared" si="81"/>
        <v>0</v>
      </c>
      <c r="AD243" s="71">
        <f t="shared" si="82"/>
        <v>0</v>
      </c>
      <c r="AE243" s="49"/>
      <c r="AF243" s="21"/>
      <c r="AG243" s="69"/>
      <c r="AH243" s="70"/>
      <c r="AI243" s="70"/>
      <c r="AJ243" s="70"/>
      <c r="AK243" s="70"/>
      <c r="AL243" s="70"/>
      <c r="AM243" s="70"/>
      <c r="AN243" s="70" t="str">
        <f t="shared" si="83"/>
        <v>---</v>
      </c>
      <c r="AO243" s="70" t="str">
        <f t="shared" si="84"/>
        <v>---</v>
      </c>
      <c r="AP243" s="70" t="str">
        <f t="shared" si="85"/>
        <v>---</v>
      </c>
      <c r="AQ243" s="70" t="str">
        <f t="shared" si="86"/>
        <v>---</v>
      </c>
      <c r="AR243" s="70" t="str">
        <f t="shared" si="87"/>
        <v>---</v>
      </c>
      <c r="AS243" s="70" t="str">
        <f t="shared" si="88"/>
        <v>---</v>
      </c>
      <c r="AT243" s="71" t="str">
        <f t="shared" si="89"/>
        <v>---</v>
      </c>
    </row>
    <row r="244" spans="1:46" ht="30" customHeight="1" x14ac:dyDescent="0.3">
      <c r="A244" s="123">
        <f t="shared" si="73"/>
        <v>240</v>
      </c>
      <c r="B244" s="140">
        <f>INDEX('PEER GROUP'!B:B,MATCH($A244,'PEER GROUP'!$A:$A,0))</f>
        <v>0</v>
      </c>
      <c r="C244" s="83">
        <f>INDEX('PEER GROUP'!C:C,MATCH($A244,'PEER GROUP'!$A:$A,0))</f>
        <v>0</v>
      </c>
      <c r="D244" s="83">
        <f>INDEX('PEER GROUP'!D:D,MATCH($A244,'PEER GROUP'!$A:$A,0))</f>
        <v>0</v>
      </c>
      <c r="E244" s="83">
        <f>INDEX('PEER GROUP'!E:E,MATCH(A244,'PEER GROUP'!$A:$A,0))</f>
        <v>0</v>
      </c>
      <c r="F244" s="84">
        <f>INDEX('PEER GROUP'!F:F,MATCH($A244,'PEER GROUP'!$A:$A,0))</f>
        <v>0</v>
      </c>
      <c r="G244" s="84">
        <f>INDEX('PEER GROUP'!G:G,MATCH($A244,'PEER GROUP'!$A:$A,0))</f>
        <v>0</v>
      </c>
      <c r="H244" s="85"/>
      <c r="I244" s="85"/>
      <c r="J244" s="70">
        <f>INDEX('PEER GROUP'!K:K,MATCH($A244,'PEER GROUP'!$A:$A,0))</f>
        <v>0</v>
      </c>
      <c r="K244" s="70">
        <f>INDEX('PEER GROUP'!L:L,MATCH($A244,'PEER GROUP'!$A:$A,0))</f>
        <v>0</v>
      </c>
      <c r="L244" s="70">
        <f>INDEX('PEER GROUP'!M:M,MATCH($A244,'PEER GROUP'!$A:$A,0))</f>
        <v>0</v>
      </c>
      <c r="M244" s="86">
        <f>INDEX('PEER GROUP'!N:N,MATCH($A244,'PEER GROUP'!$A:$A,0))</f>
        <v>0</v>
      </c>
      <c r="N244" s="118"/>
      <c r="O244" s="115"/>
      <c r="P244" s="117"/>
      <c r="Q244" s="87"/>
      <c r="R244" s="87">
        <f t="shared" si="74"/>
        <v>0</v>
      </c>
      <c r="S244" s="87"/>
      <c r="T244" s="87"/>
      <c r="U244" s="87"/>
      <c r="V244" s="87">
        <f t="shared" si="75"/>
        <v>0</v>
      </c>
      <c r="W244" s="113">
        <f t="shared" si="72"/>
        <v>36.913096727263202</v>
      </c>
      <c r="X244" s="69">
        <f t="shared" si="76"/>
        <v>0</v>
      </c>
      <c r="Y244" s="70">
        <f t="shared" si="77"/>
        <v>0</v>
      </c>
      <c r="Z244" s="70">
        <f t="shared" si="78"/>
        <v>0</v>
      </c>
      <c r="AA244" s="70">
        <f t="shared" si="79"/>
        <v>0</v>
      </c>
      <c r="AB244" s="70">
        <f t="shared" si="80"/>
        <v>0</v>
      </c>
      <c r="AC244" s="70">
        <f t="shared" si="81"/>
        <v>0</v>
      </c>
      <c r="AD244" s="71">
        <f t="shared" si="82"/>
        <v>0</v>
      </c>
      <c r="AE244" s="49"/>
      <c r="AF244" s="21"/>
      <c r="AG244" s="69"/>
      <c r="AH244" s="70"/>
      <c r="AI244" s="70"/>
      <c r="AJ244" s="70"/>
      <c r="AK244" s="70"/>
      <c r="AL244" s="70"/>
      <c r="AM244" s="70"/>
      <c r="AN244" s="70" t="str">
        <f t="shared" si="83"/>
        <v>---</v>
      </c>
      <c r="AO244" s="70" t="str">
        <f t="shared" si="84"/>
        <v>---</v>
      </c>
      <c r="AP244" s="70" t="str">
        <f t="shared" si="85"/>
        <v>---</v>
      </c>
      <c r="AQ244" s="70" t="str">
        <f t="shared" si="86"/>
        <v>---</v>
      </c>
      <c r="AR244" s="70" t="str">
        <f t="shared" si="87"/>
        <v>---</v>
      </c>
      <c r="AS244" s="70" t="str">
        <f t="shared" si="88"/>
        <v>---</v>
      </c>
      <c r="AT244" s="71" t="str">
        <f t="shared" si="89"/>
        <v>---</v>
      </c>
    </row>
    <row r="245" spans="1:46" ht="30" customHeight="1" x14ac:dyDescent="0.3">
      <c r="A245" s="123">
        <f t="shared" si="73"/>
        <v>241</v>
      </c>
      <c r="B245" s="140">
        <f>INDEX('PEER GROUP'!B:B,MATCH($A245,'PEER GROUP'!$A:$A,0))</f>
        <v>0</v>
      </c>
      <c r="C245" s="83">
        <f>INDEX('PEER GROUP'!C:C,MATCH($A245,'PEER GROUP'!$A:$A,0))</f>
        <v>0</v>
      </c>
      <c r="D245" s="83">
        <f>INDEX('PEER GROUP'!D:D,MATCH($A245,'PEER GROUP'!$A:$A,0))</f>
        <v>0</v>
      </c>
      <c r="E245" s="83">
        <f>INDEX('PEER GROUP'!E:E,MATCH(A245,'PEER GROUP'!$A:$A,0))</f>
        <v>0</v>
      </c>
      <c r="F245" s="84">
        <f>INDEX('PEER GROUP'!F:F,MATCH($A245,'PEER GROUP'!$A:$A,0))</f>
        <v>0</v>
      </c>
      <c r="G245" s="84">
        <f>INDEX('PEER GROUP'!G:G,MATCH($A245,'PEER GROUP'!$A:$A,0))</f>
        <v>0</v>
      </c>
      <c r="H245" s="85"/>
      <c r="I245" s="85"/>
      <c r="J245" s="70">
        <f>INDEX('PEER GROUP'!K:K,MATCH($A245,'PEER GROUP'!$A:$A,0))</f>
        <v>0</v>
      </c>
      <c r="K245" s="70">
        <f>INDEX('PEER GROUP'!L:L,MATCH($A245,'PEER GROUP'!$A:$A,0))</f>
        <v>0</v>
      </c>
      <c r="L245" s="70">
        <f>INDEX('PEER GROUP'!M:M,MATCH($A245,'PEER GROUP'!$A:$A,0))</f>
        <v>0</v>
      </c>
      <c r="M245" s="86">
        <f>INDEX('PEER GROUP'!N:N,MATCH($A245,'PEER GROUP'!$A:$A,0))</f>
        <v>0</v>
      </c>
      <c r="N245" s="118"/>
      <c r="O245" s="115"/>
      <c r="P245" s="117"/>
      <c r="Q245" s="87"/>
      <c r="R245" s="87">
        <f t="shared" si="74"/>
        <v>0</v>
      </c>
      <c r="S245" s="87"/>
      <c r="T245" s="87"/>
      <c r="U245" s="87"/>
      <c r="V245" s="87">
        <f t="shared" si="75"/>
        <v>0</v>
      </c>
      <c r="W245" s="113">
        <f t="shared" si="72"/>
        <v>36.913096727263202</v>
      </c>
      <c r="X245" s="69">
        <f t="shared" si="76"/>
        <v>0</v>
      </c>
      <c r="Y245" s="70">
        <f t="shared" si="77"/>
        <v>0</v>
      </c>
      <c r="Z245" s="70">
        <f t="shared" si="78"/>
        <v>0</v>
      </c>
      <c r="AA245" s="70">
        <f t="shared" si="79"/>
        <v>0</v>
      </c>
      <c r="AB245" s="70">
        <f t="shared" si="80"/>
        <v>0</v>
      </c>
      <c r="AC245" s="70">
        <f t="shared" si="81"/>
        <v>0</v>
      </c>
      <c r="AD245" s="71">
        <f t="shared" si="82"/>
        <v>0</v>
      </c>
      <c r="AE245" s="49"/>
      <c r="AF245" s="21"/>
      <c r="AG245" s="69"/>
      <c r="AH245" s="70"/>
      <c r="AI245" s="70"/>
      <c r="AJ245" s="70"/>
      <c r="AK245" s="70"/>
      <c r="AL245" s="70"/>
      <c r="AM245" s="70"/>
      <c r="AN245" s="70" t="str">
        <f t="shared" si="83"/>
        <v>---</v>
      </c>
      <c r="AO245" s="70" t="str">
        <f t="shared" si="84"/>
        <v>---</v>
      </c>
      <c r="AP245" s="70" t="str">
        <f t="shared" si="85"/>
        <v>---</v>
      </c>
      <c r="AQ245" s="70" t="str">
        <f t="shared" si="86"/>
        <v>---</v>
      </c>
      <c r="AR245" s="70" t="str">
        <f t="shared" si="87"/>
        <v>---</v>
      </c>
      <c r="AS245" s="70" t="str">
        <f t="shared" si="88"/>
        <v>---</v>
      </c>
      <c r="AT245" s="71" t="str">
        <f t="shared" si="89"/>
        <v>---</v>
      </c>
    </row>
    <row r="246" spans="1:46" ht="30" customHeight="1" x14ac:dyDescent="0.3">
      <c r="A246" s="123">
        <f t="shared" si="73"/>
        <v>242</v>
      </c>
      <c r="B246" s="140">
        <f>INDEX('PEER GROUP'!B:B,MATCH($A246,'PEER GROUP'!$A:$A,0))</f>
        <v>0</v>
      </c>
      <c r="C246" s="83">
        <f>INDEX('PEER GROUP'!C:C,MATCH($A246,'PEER GROUP'!$A:$A,0))</f>
        <v>0</v>
      </c>
      <c r="D246" s="83">
        <f>INDEX('PEER GROUP'!D:D,MATCH($A246,'PEER GROUP'!$A:$A,0))</f>
        <v>0</v>
      </c>
      <c r="E246" s="83">
        <f>INDEX('PEER GROUP'!E:E,MATCH(A246,'PEER GROUP'!$A:$A,0))</f>
        <v>0</v>
      </c>
      <c r="F246" s="84">
        <f>INDEX('PEER GROUP'!F:F,MATCH($A246,'PEER GROUP'!$A:$A,0))</f>
        <v>0</v>
      </c>
      <c r="G246" s="84">
        <f>INDEX('PEER GROUP'!G:G,MATCH($A246,'PEER GROUP'!$A:$A,0))</f>
        <v>0</v>
      </c>
      <c r="H246" s="85"/>
      <c r="I246" s="85"/>
      <c r="J246" s="70">
        <f>INDEX('PEER GROUP'!K:K,MATCH($A246,'PEER GROUP'!$A:$A,0))</f>
        <v>0</v>
      </c>
      <c r="K246" s="70">
        <f>INDEX('PEER GROUP'!L:L,MATCH($A246,'PEER GROUP'!$A:$A,0))</f>
        <v>0</v>
      </c>
      <c r="L246" s="70">
        <f>INDEX('PEER GROUP'!M:M,MATCH($A246,'PEER GROUP'!$A:$A,0))</f>
        <v>0</v>
      </c>
      <c r="M246" s="86">
        <f>INDEX('PEER GROUP'!N:N,MATCH($A246,'PEER GROUP'!$A:$A,0))</f>
        <v>0</v>
      </c>
      <c r="N246" s="118"/>
      <c r="O246" s="115"/>
      <c r="P246" s="117"/>
      <c r="Q246" s="87"/>
      <c r="R246" s="87">
        <f t="shared" si="74"/>
        <v>0</v>
      </c>
      <c r="S246" s="87"/>
      <c r="T246" s="87"/>
      <c r="U246" s="87"/>
      <c r="V246" s="87">
        <f t="shared" si="75"/>
        <v>0</v>
      </c>
      <c r="W246" s="113">
        <f t="shared" si="72"/>
        <v>36.913096727263202</v>
      </c>
      <c r="X246" s="69">
        <f t="shared" si="76"/>
        <v>0</v>
      </c>
      <c r="Y246" s="70">
        <f t="shared" si="77"/>
        <v>0</v>
      </c>
      <c r="Z246" s="70">
        <f t="shared" si="78"/>
        <v>0</v>
      </c>
      <c r="AA246" s="70">
        <f t="shared" si="79"/>
        <v>0</v>
      </c>
      <c r="AB246" s="70">
        <f t="shared" si="80"/>
        <v>0</v>
      </c>
      <c r="AC246" s="70">
        <f t="shared" si="81"/>
        <v>0</v>
      </c>
      <c r="AD246" s="71">
        <f t="shared" si="82"/>
        <v>0</v>
      </c>
      <c r="AE246" s="49"/>
      <c r="AF246" s="21"/>
      <c r="AG246" s="69"/>
      <c r="AH246" s="70"/>
      <c r="AI246" s="70"/>
      <c r="AJ246" s="70"/>
      <c r="AK246" s="70"/>
      <c r="AL246" s="70"/>
      <c r="AM246" s="70"/>
      <c r="AN246" s="70" t="str">
        <f t="shared" si="83"/>
        <v>---</v>
      </c>
      <c r="AO246" s="70" t="str">
        <f t="shared" si="84"/>
        <v>---</v>
      </c>
      <c r="AP246" s="70" t="str">
        <f t="shared" si="85"/>
        <v>---</v>
      </c>
      <c r="AQ246" s="70" t="str">
        <f t="shared" si="86"/>
        <v>---</v>
      </c>
      <c r="AR246" s="70" t="str">
        <f t="shared" si="87"/>
        <v>---</v>
      </c>
      <c r="AS246" s="70" t="str">
        <f t="shared" si="88"/>
        <v>---</v>
      </c>
      <c r="AT246" s="71" t="str">
        <f t="shared" si="89"/>
        <v>---</v>
      </c>
    </row>
    <row r="247" spans="1:46" ht="30" customHeight="1" x14ac:dyDescent="0.3">
      <c r="A247" s="123">
        <f t="shared" si="73"/>
        <v>243</v>
      </c>
      <c r="B247" s="140">
        <f>INDEX('PEER GROUP'!B:B,MATCH($A247,'PEER GROUP'!$A:$A,0))</f>
        <v>0</v>
      </c>
      <c r="C247" s="83">
        <f>INDEX('PEER GROUP'!C:C,MATCH($A247,'PEER GROUP'!$A:$A,0))</f>
        <v>0</v>
      </c>
      <c r="D247" s="83">
        <f>INDEX('PEER GROUP'!D:D,MATCH($A247,'PEER GROUP'!$A:$A,0))</f>
        <v>0</v>
      </c>
      <c r="E247" s="83">
        <f>INDEX('PEER GROUP'!E:E,MATCH(A247,'PEER GROUP'!$A:$A,0))</f>
        <v>0</v>
      </c>
      <c r="F247" s="84">
        <f>INDEX('PEER GROUP'!F:F,MATCH($A247,'PEER GROUP'!$A:$A,0))</f>
        <v>0</v>
      </c>
      <c r="G247" s="84">
        <f>INDEX('PEER GROUP'!G:G,MATCH($A247,'PEER GROUP'!$A:$A,0))</f>
        <v>0</v>
      </c>
      <c r="H247" s="85"/>
      <c r="I247" s="85"/>
      <c r="J247" s="70">
        <f>INDEX('PEER GROUP'!K:K,MATCH($A247,'PEER GROUP'!$A:$A,0))</f>
        <v>0</v>
      </c>
      <c r="K247" s="70">
        <f>INDEX('PEER GROUP'!L:L,MATCH($A247,'PEER GROUP'!$A:$A,0))</f>
        <v>0</v>
      </c>
      <c r="L247" s="70">
        <f>INDEX('PEER GROUP'!M:M,MATCH($A247,'PEER GROUP'!$A:$A,0))</f>
        <v>0</v>
      </c>
      <c r="M247" s="86">
        <f>INDEX('PEER GROUP'!N:N,MATCH($A247,'PEER GROUP'!$A:$A,0))</f>
        <v>0</v>
      </c>
      <c r="N247" s="118"/>
      <c r="O247" s="115"/>
      <c r="P247" s="117"/>
      <c r="Q247" s="87"/>
      <c r="R247" s="87">
        <f t="shared" si="74"/>
        <v>0</v>
      </c>
      <c r="S247" s="87"/>
      <c r="T247" s="87"/>
      <c r="U247" s="87"/>
      <c r="V247" s="87">
        <f t="shared" si="75"/>
        <v>0</v>
      </c>
      <c r="W247" s="113">
        <f t="shared" si="72"/>
        <v>36.913096727263202</v>
      </c>
      <c r="X247" s="69">
        <f t="shared" si="76"/>
        <v>0</v>
      </c>
      <c r="Y247" s="70">
        <f t="shared" si="77"/>
        <v>0</v>
      </c>
      <c r="Z247" s="70">
        <f t="shared" si="78"/>
        <v>0</v>
      </c>
      <c r="AA247" s="70">
        <f t="shared" si="79"/>
        <v>0</v>
      </c>
      <c r="AB247" s="70">
        <f t="shared" si="80"/>
        <v>0</v>
      </c>
      <c r="AC247" s="70">
        <f t="shared" si="81"/>
        <v>0</v>
      </c>
      <c r="AD247" s="71">
        <f t="shared" si="82"/>
        <v>0</v>
      </c>
      <c r="AE247" s="49"/>
      <c r="AF247" s="21"/>
      <c r="AG247" s="69"/>
      <c r="AH247" s="70"/>
      <c r="AI247" s="70"/>
      <c r="AJ247" s="70"/>
      <c r="AK247" s="70"/>
      <c r="AL247" s="70"/>
      <c r="AM247" s="70"/>
      <c r="AN247" s="70" t="str">
        <f t="shared" si="83"/>
        <v>---</v>
      </c>
      <c r="AO247" s="70" t="str">
        <f t="shared" si="84"/>
        <v>---</v>
      </c>
      <c r="AP247" s="70" t="str">
        <f t="shared" si="85"/>
        <v>---</v>
      </c>
      <c r="AQ247" s="70" t="str">
        <f t="shared" si="86"/>
        <v>---</v>
      </c>
      <c r="AR247" s="70" t="str">
        <f t="shared" si="87"/>
        <v>---</v>
      </c>
      <c r="AS247" s="70" t="str">
        <f t="shared" si="88"/>
        <v>---</v>
      </c>
      <c r="AT247" s="71" t="str">
        <f t="shared" si="89"/>
        <v>---</v>
      </c>
    </row>
    <row r="248" spans="1:46" ht="30" customHeight="1" x14ac:dyDescent="0.3">
      <c r="A248" s="123">
        <f t="shared" si="73"/>
        <v>244</v>
      </c>
      <c r="B248" s="140">
        <f>INDEX('PEER GROUP'!B:B,MATCH($A248,'PEER GROUP'!$A:$A,0))</f>
        <v>0</v>
      </c>
      <c r="C248" s="83">
        <f>INDEX('PEER GROUP'!C:C,MATCH($A248,'PEER GROUP'!$A:$A,0))</f>
        <v>0</v>
      </c>
      <c r="D248" s="83">
        <f>INDEX('PEER GROUP'!D:D,MATCH($A248,'PEER GROUP'!$A:$A,0))</f>
        <v>0</v>
      </c>
      <c r="E248" s="83">
        <f>INDEX('PEER GROUP'!E:E,MATCH(A248,'PEER GROUP'!$A:$A,0))</f>
        <v>0</v>
      </c>
      <c r="F248" s="84">
        <f>INDEX('PEER GROUP'!F:F,MATCH($A248,'PEER GROUP'!$A:$A,0))</f>
        <v>0</v>
      </c>
      <c r="G248" s="84">
        <f>INDEX('PEER GROUP'!G:G,MATCH($A248,'PEER GROUP'!$A:$A,0))</f>
        <v>0</v>
      </c>
      <c r="H248" s="85"/>
      <c r="I248" s="85"/>
      <c r="J248" s="70">
        <f>INDEX('PEER GROUP'!K:K,MATCH($A248,'PEER GROUP'!$A:$A,0))</f>
        <v>0</v>
      </c>
      <c r="K248" s="70">
        <f>INDEX('PEER GROUP'!L:L,MATCH($A248,'PEER GROUP'!$A:$A,0))</f>
        <v>0</v>
      </c>
      <c r="L248" s="70">
        <f>INDEX('PEER GROUP'!M:M,MATCH($A248,'PEER GROUP'!$A:$A,0))</f>
        <v>0</v>
      </c>
      <c r="M248" s="86">
        <f>INDEX('PEER GROUP'!N:N,MATCH($A248,'PEER GROUP'!$A:$A,0))</f>
        <v>0</v>
      </c>
      <c r="N248" s="118"/>
      <c r="O248" s="115"/>
      <c r="P248" s="117"/>
      <c r="Q248" s="87"/>
      <c r="R248" s="87">
        <f t="shared" si="74"/>
        <v>0</v>
      </c>
      <c r="S248" s="87"/>
      <c r="T248" s="87"/>
      <c r="U248" s="87"/>
      <c r="V248" s="87">
        <f t="shared" si="75"/>
        <v>0</v>
      </c>
      <c r="W248" s="113">
        <f t="shared" si="72"/>
        <v>36.913096727263202</v>
      </c>
      <c r="X248" s="69">
        <f t="shared" si="76"/>
        <v>0</v>
      </c>
      <c r="Y248" s="70">
        <f t="shared" si="77"/>
        <v>0</v>
      </c>
      <c r="Z248" s="70">
        <f t="shared" si="78"/>
        <v>0</v>
      </c>
      <c r="AA248" s="70">
        <f t="shared" si="79"/>
        <v>0</v>
      </c>
      <c r="AB248" s="70">
        <f t="shared" si="80"/>
        <v>0</v>
      </c>
      <c r="AC248" s="70">
        <f t="shared" si="81"/>
        <v>0</v>
      </c>
      <c r="AD248" s="71">
        <f t="shared" si="82"/>
        <v>0</v>
      </c>
      <c r="AE248" s="49"/>
      <c r="AF248" s="21"/>
      <c r="AG248" s="69"/>
      <c r="AH248" s="70"/>
      <c r="AI248" s="70"/>
      <c r="AJ248" s="70"/>
      <c r="AK248" s="70"/>
      <c r="AL248" s="70"/>
      <c r="AM248" s="70"/>
      <c r="AN248" s="70" t="str">
        <f t="shared" si="83"/>
        <v>---</v>
      </c>
      <c r="AO248" s="70" t="str">
        <f t="shared" si="84"/>
        <v>---</v>
      </c>
      <c r="AP248" s="70" t="str">
        <f t="shared" si="85"/>
        <v>---</v>
      </c>
      <c r="AQ248" s="70" t="str">
        <f t="shared" si="86"/>
        <v>---</v>
      </c>
      <c r="AR248" s="70" t="str">
        <f t="shared" si="87"/>
        <v>---</v>
      </c>
      <c r="AS248" s="70" t="str">
        <f t="shared" si="88"/>
        <v>---</v>
      </c>
      <c r="AT248" s="71" t="str">
        <f t="shared" si="89"/>
        <v>---</v>
      </c>
    </row>
    <row r="249" spans="1:46" ht="30" customHeight="1" x14ac:dyDescent="0.3">
      <c r="A249" s="123">
        <f t="shared" si="73"/>
        <v>245</v>
      </c>
      <c r="B249" s="140">
        <f>INDEX('PEER GROUP'!B:B,MATCH($A249,'PEER GROUP'!$A:$A,0))</f>
        <v>0</v>
      </c>
      <c r="C249" s="83">
        <f>INDEX('PEER GROUP'!C:C,MATCH($A249,'PEER GROUP'!$A:$A,0))</f>
        <v>0</v>
      </c>
      <c r="D249" s="83">
        <f>INDEX('PEER GROUP'!D:D,MATCH($A249,'PEER GROUP'!$A:$A,0))</f>
        <v>0</v>
      </c>
      <c r="E249" s="83">
        <f>INDEX('PEER GROUP'!E:E,MATCH(A249,'PEER GROUP'!$A:$A,0))</f>
        <v>0</v>
      </c>
      <c r="F249" s="84">
        <f>INDEX('PEER GROUP'!F:F,MATCH($A249,'PEER GROUP'!$A:$A,0))</f>
        <v>0</v>
      </c>
      <c r="G249" s="84">
        <f>INDEX('PEER GROUP'!G:G,MATCH($A249,'PEER GROUP'!$A:$A,0))</f>
        <v>0</v>
      </c>
      <c r="H249" s="85"/>
      <c r="I249" s="85"/>
      <c r="J249" s="70">
        <f>INDEX('PEER GROUP'!K:K,MATCH($A249,'PEER GROUP'!$A:$A,0))</f>
        <v>0</v>
      </c>
      <c r="K249" s="70">
        <f>INDEX('PEER GROUP'!L:L,MATCH($A249,'PEER GROUP'!$A:$A,0))</f>
        <v>0</v>
      </c>
      <c r="L249" s="70">
        <f>INDEX('PEER GROUP'!M:M,MATCH($A249,'PEER GROUP'!$A:$A,0))</f>
        <v>0</v>
      </c>
      <c r="M249" s="86">
        <f>INDEX('PEER GROUP'!N:N,MATCH($A249,'PEER GROUP'!$A:$A,0))</f>
        <v>0</v>
      </c>
      <c r="N249" s="118"/>
      <c r="O249" s="115"/>
      <c r="P249" s="117"/>
      <c r="Q249" s="87"/>
      <c r="R249" s="87">
        <f t="shared" si="74"/>
        <v>0</v>
      </c>
      <c r="S249" s="87"/>
      <c r="T249" s="87"/>
      <c r="U249" s="87"/>
      <c r="V249" s="87">
        <f t="shared" si="75"/>
        <v>0</v>
      </c>
      <c r="W249" s="113">
        <f t="shared" si="72"/>
        <v>36.913096727263202</v>
      </c>
      <c r="X249" s="69">
        <f t="shared" si="76"/>
        <v>0</v>
      </c>
      <c r="Y249" s="70">
        <f t="shared" si="77"/>
        <v>0</v>
      </c>
      <c r="Z249" s="70">
        <f t="shared" si="78"/>
        <v>0</v>
      </c>
      <c r="AA249" s="70">
        <f t="shared" si="79"/>
        <v>0</v>
      </c>
      <c r="AB249" s="70">
        <f t="shared" si="80"/>
        <v>0</v>
      </c>
      <c r="AC249" s="70">
        <f t="shared" si="81"/>
        <v>0</v>
      </c>
      <c r="AD249" s="71">
        <f t="shared" si="82"/>
        <v>0</v>
      </c>
      <c r="AE249" s="49"/>
      <c r="AF249" s="21"/>
      <c r="AG249" s="69"/>
      <c r="AH249" s="70"/>
      <c r="AI249" s="70"/>
      <c r="AJ249" s="70"/>
      <c r="AK249" s="70"/>
      <c r="AL249" s="70"/>
      <c r="AM249" s="70"/>
      <c r="AN249" s="70" t="str">
        <f t="shared" si="83"/>
        <v>---</v>
      </c>
      <c r="AO249" s="70" t="str">
        <f t="shared" si="84"/>
        <v>---</v>
      </c>
      <c r="AP249" s="70" t="str">
        <f t="shared" si="85"/>
        <v>---</v>
      </c>
      <c r="AQ249" s="70" t="str">
        <f t="shared" si="86"/>
        <v>---</v>
      </c>
      <c r="AR249" s="70" t="str">
        <f t="shared" si="87"/>
        <v>---</v>
      </c>
      <c r="AS249" s="70" t="str">
        <f t="shared" si="88"/>
        <v>---</v>
      </c>
      <c r="AT249" s="71" t="str">
        <f t="shared" si="89"/>
        <v>---</v>
      </c>
    </row>
    <row r="250" spans="1:46" ht="30" customHeight="1" x14ac:dyDescent="0.3">
      <c r="A250" s="123">
        <f t="shared" si="73"/>
        <v>246</v>
      </c>
      <c r="B250" s="140">
        <f>INDEX('PEER GROUP'!B:B,MATCH($A250,'PEER GROUP'!$A:$A,0))</f>
        <v>0</v>
      </c>
      <c r="C250" s="83">
        <f>INDEX('PEER GROUP'!C:C,MATCH($A250,'PEER GROUP'!$A:$A,0))</f>
        <v>0</v>
      </c>
      <c r="D250" s="83">
        <f>INDEX('PEER GROUP'!D:D,MATCH($A250,'PEER GROUP'!$A:$A,0))</f>
        <v>0</v>
      </c>
      <c r="E250" s="83">
        <f>INDEX('PEER GROUP'!E:E,MATCH(A250,'PEER GROUP'!$A:$A,0))</f>
        <v>0</v>
      </c>
      <c r="F250" s="84">
        <f>INDEX('PEER GROUP'!F:F,MATCH($A250,'PEER GROUP'!$A:$A,0))</f>
        <v>0</v>
      </c>
      <c r="G250" s="84">
        <f>INDEX('PEER GROUP'!G:G,MATCH($A250,'PEER GROUP'!$A:$A,0))</f>
        <v>0</v>
      </c>
      <c r="H250" s="85"/>
      <c r="I250" s="85"/>
      <c r="J250" s="70">
        <f>INDEX('PEER GROUP'!K:K,MATCH($A250,'PEER GROUP'!$A:$A,0))</f>
        <v>0</v>
      </c>
      <c r="K250" s="70">
        <f>INDEX('PEER GROUP'!L:L,MATCH($A250,'PEER GROUP'!$A:$A,0))</f>
        <v>0</v>
      </c>
      <c r="L250" s="70">
        <f>INDEX('PEER GROUP'!M:M,MATCH($A250,'PEER GROUP'!$A:$A,0))</f>
        <v>0</v>
      </c>
      <c r="M250" s="86">
        <f>INDEX('PEER GROUP'!N:N,MATCH($A250,'PEER GROUP'!$A:$A,0))</f>
        <v>0</v>
      </c>
      <c r="N250" s="118"/>
      <c r="O250" s="115"/>
      <c r="P250" s="117"/>
      <c r="Q250" s="87"/>
      <c r="R250" s="87">
        <f t="shared" si="74"/>
        <v>0</v>
      </c>
      <c r="S250" s="87"/>
      <c r="T250" s="87"/>
      <c r="U250" s="87"/>
      <c r="V250" s="87">
        <f t="shared" si="75"/>
        <v>0</v>
      </c>
      <c r="W250" s="113">
        <f t="shared" si="72"/>
        <v>36.913096727263202</v>
      </c>
      <c r="X250" s="69">
        <f t="shared" si="76"/>
        <v>0</v>
      </c>
      <c r="Y250" s="70">
        <f t="shared" si="77"/>
        <v>0</v>
      </c>
      <c r="Z250" s="70">
        <f t="shared" si="78"/>
        <v>0</v>
      </c>
      <c r="AA250" s="70">
        <f t="shared" si="79"/>
        <v>0</v>
      </c>
      <c r="AB250" s="70">
        <f t="shared" si="80"/>
        <v>0</v>
      </c>
      <c r="AC250" s="70">
        <f t="shared" si="81"/>
        <v>0</v>
      </c>
      <c r="AD250" s="71">
        <f t="shared" si="82"/>
        <v>0</v>
      </c>
      <c r="AE250" s="49"/>
      <c r="AF250" s="21"/>
      <c r="AG250" s="69"/>
      <c r="AH250" s="70"/>
      <c r="AI250" s="70"/>
      <c r="AJ250" s="70"/>
      <c r="AK250" s="70"/>
      <c r="AL250" s="70"/>
      <c r="AM250" s="70"/>
      <c r="AN250" s="70" t="str">
        <f t="shared" si="83"/>
        <v>---</v>
      </c>
      <c r="AO250" s="70" t="str">
        <f t="shared" si="84"/>
        <v>---</v>
      </c>
      <c r="AP250" s="70" t="str">
        <f t="shared" si="85"/>
        <v>---</v>
      </c>
      <c r="AQ250" s="70" t="str">
        <f t="shared" si="86"/>
        <v>---</v>
      </c>
      <c r="AR250" s="70" t="str">
        <f t="shared" si="87"/>
        <v>---</v>
      </c>
      <c r="AS250" s="70" t="str">
        <f t="shared" si="88"/>
        <v>---</v>
      </c>
      <c r="AT250" s="71" t="str">
        <f t="shared" si="89"/>
        <v>---</v>
      </c>
    </row>
    <row r="251" spans="1:46" ht="30" customHeight="1" x14ac:dyDescent="0.3">
      <c r="A251" s="123">
        <f t="shared" si="73"/>
        <v>247</v>
      </c>
      <c r="B251" s="140">
        <f>INDEX('PEER GROUP'!B:B,MATCH($A251,'PEER GROUP'!$A:$A,0))</f>
        <v>0</v>
      </c>
      <c r="C251" s="83">
        <f>INDEX('PEER GROUP'!C:C,MATCH($A251,'PEER GROUP'!$A:$A,0))</f>
        <v>0</v>
      </c>
      <c r="D251" s="83">
        <f>INDEX('PEER GROUP'!D:D,MATCH($A251,'PEER GROUP'!$A:$A,0))</f>
        <v>0</v>
      </c>
      <c r="E251" s="83">
        <f>INDEX('PEER GROUP'!E:E,MATCH(A251,'PEER GROUP'!$A:$A,0))</f>
        <v>0</v>
      </c>
      <c r="F251" s="84">
        <f>INDEX('PEER GROUP'!F:F,MATCH($A251,'PEER GROUP'!$A:$A,0))</f>
        <v>0</v>
      </c>
      <c r="G251" s="84">
        <f>INDEX('PEER GROUP'!G:G,MATCH($A251,'PEER GROUP'!$A:$A,0))</f>
        <v>0</v>
      </c>
      <c r="H251" s="85"/>
      <c r="I251" s="85"/>
      <c r="J251" s="70">
        <f>INDEX('PEER GROUP'!K:K,MATCH($A251,'PEER GROUP'!$A:$A,0))</f>
        <v>0</v>
      </c>
      <c r="K251" s="70">
        <f>INDEX('PEER GROUP'!L:L,MATCH($A251,'PEER GROUP'!$A:$A,0))</f>
        <v>0</v>
      </c>
      <c r="L251" s="70">
        <f>INDEX('PEER GROUP'!M:M,MATCH($A251,'PEER GROUP'!$A:$A,0))</f>
        <v>0</v>
      </c>
      <c r="M251" s="86">
        <f>INDEX('PEER GROUP'!N:N,MATCH($A251,'PEER GROUP'!$A:$A,0))</f>
        <v>0</v>
      </c>
      <c r="N251" s="118"/>
      <c r="O251" s="115"/>
      <c r="P251" s="117"/>
      <c r="Q251" s="87"/>
      <c r="R251" s="87">
        <f t="shared" si="74"/>
        <v>0</v>
      </c>
      <c r="S251" s="87"/>
      <c r="T251" s="87"/>
      <c r="U251" s="87"/>
      <c r="V251" s="87">
        <f t="shared" si="75"/>
        <v>0</v>
      </c>
      <c r="W251" s="113">
        <f t="shared" si="72"/>
        <v>36.913096727263202</v>
      </c>
      <c r="X251" s="69">
        <f t="shared" si="76"/>
        <v>0</v>
      </c>
      <c r="Y251" s="70">
        <f t="shared" si="77"/>
        <v>0</v>
      </c>
      <c r="Z251" s="70">
        <f t="shared" si="78"/>
        <v>0</v>
      </c>
      <c r="AA251" s="70">
        <f t="shared" si="79"/>
        <v>0</v>
      </c>
      <c r="AB251" s="70">
        <f t="shared" si="80"/>
        <v>0</v>
      </c>
      <c r="AC251" s="70">
        <f t="shared" si="81"/>
        <v>0</v>
      </c>
      <c r="AD251" s="71">
        <f t="shared" si="82"/>
        <v>0</v>
      </c>
      <c r="AE251" s="49"/>
      <c r="AF251" s="21"/>
      <c r="AG251" s="69"/>
      <c r="AH251" s="70"/>
      <c r="AI251" s="70"/>
      <c r="AJ251" s="70"/>
      <c r="AK251" s="70"/>
      <c r="AL251" s="70"/>
      <c r="AM251" s="70"/>
      <c r="AN251" s="70" t="str">
        <f t="shared" si="83"/>
        <v>---</v>
      </c>
      <c r="AO251" s="70" t="str">
        <f t="shared" si="84"/>
        <v>---</v>
      </c>
      <c r="AP251" s="70" t="str">
        <f t="shared" si="85"/>
        <v>---</v>
      </c>
      <c r="AQ251" s="70" t="str">
        <f t="shared" si="86"/>
        <v>---</v>
      </c>
      <c r="AR251" s="70" t="str">
        <f t="shared" si="87"/>
        <v>---</v>
      </c>
      <c r="AS251" s="70" t="str">
        <f t="shared" si="88"/>
        <v>---</v>
      </c>
      <c r="AT251" s="71" t="str">
        <f t="shared" si="89"/>
        <v>---</v>
      </c>
    </row>
    <row r="252" spans="1:46" ht="30" customHeight="1" x14ac:dyDescent="0.3">
      <c r="A252" s="123">
        <f t="shared" si="73"/>
        <v>248</v>
      </c>
      <c r="B252" s="140">
        <f>INDEX('PEER GROUP'!B:B,MATCH($A252,'PEER GROUP'!$A:$A,0))</f>
        <v>0</v>
      </c>
      <c r="C252" s="83">
        <f>INDEX('PEER GROUP'!C:C,MATCH($A252,'PEER GROUP'!$A:$A,0))</f>
        <v>0</v>
      </c>
      <c r="D252" s="83">
        <f>INDEX('PEER GROUP'!D:D,MATCH($A252,'PEER GROUP'!$A:$A,0))</f>
        <v>0</v>
      </c>
      <c r="E252" s="83">
        <f>INDEX('PEER GROUP'!E:E,MATCH(A252,'PEER GROUP'!$A:$A,0))</f>
        <v>0</v>
      </c>
      <c r="F252" s="84">
        <f>INDEX('PEER GROUP'!F:F,MATCH($A252,'PEER GROUP'!$A:$A,0))</f>
        <v>0</v>
      </c>
      <c r="G252" s="84">
        <f>INDEX('PEER GROUP'!G:G,MATCH($A252,'PEER GROUP'!$A:$A,0))</f>
        <v>0</v>
      </c>
      <c r="H252" s="85"/>
      <c r="I252" s="85"/>
      <c r="J252" s="70">
        <f>INDEX('PEER GROUP'!K:K,MATCH($A252,'PEER GROUP'!$A:$A,0))</f>
        <v>0</v>
      </c>
      <c r="K252" s="70">
        <f>INDEX('PEER GROUP'!L:L,MATCH($A252,'PEER GROUP'!$A:$A,0))</f>
        <v>0</v>
      </c>
      <c r="L252" s="70">
        <f>INDEX('PEER GROUP'!M:M,MATCH($A252,'PEER GROUP'!$A:$A,0))</f>
        <v>0</v>
      </c>
      <c r="M252" s="86">
        <f>INDEX('PEER GROUP'!N:N,MATCH($A252,'PEER GROUP'!$A:$A,0))</f>
        <v>0</v>
      </c>
      <c r="N252" s="118"/>
      <c r="O252" s="115"/>
      <c r="P252" s="117"/>
      <c r="Q252" s="87"/>
      <c r="R252" s="87">
        <f t="shared" si="74"/>
        <v>0</v>
      </c>
      <c r="S252" s="87"/>
      <c r="T252" s="87"/>
      <c r="U252" s="87"/>
      <c r="V252" s="87">
        <f t="shared" si="75"/>
        <v>0</v>
      </c>
      <c r="W252" s="113">
        <f t="shared" si="72"/>
        <v>36.913096727263202</v>
      </c>
      <c r="X252" s="69">
        <f t="shared" si="76"/>
        <v>0</v>
      </c>
      <c r="Y252" s="70">
        <f t="shared" si="77"/>
        <v>0</v>
      </c>
      <c r="Z252" s="70">
        <f t="shared" si="78"/>
        <v>0</v>
      </c>
      <c r="AA252" s="70">
        <f t="shared" si="79"/>
        <v>0</v>
      </c>
      <c r="AB252" s="70">
        <f t="shared" si="80"/>
        <v>0</v>
      </c>
      <c r="AC252" s="70">
        <f t="shared" si="81"/>
        <v>0</v>
      </c>
      <c r="AD252" s="71">
        <f t="shared" si="82"/>
        <v>0</v>
      </c>
      <c r="AE252" s="49"/>
      <c r="AF252" s="21"/>
      <c r="AG252" s="69"/>
      <c r="AH252" s="70"/>
      <c r="AI252" s="70"/>
      <c r="AJ252" s="70"/>
      <c r="AK252" s="70"/>
      <c r="AL252" s="70"/>
      <c r="AM252" s="70"/>
      <c r="AN252" s="70" t="str">
        <f t="shared" si="83"/>
        <v>---</v>
      </c>
      <c r="AO252" s="70" t="str">
        <f t="shared" si="84"/>
        <v>---</v>
      </c>
      <c r="AP252" s="70" t="str">
        <f t="shared" si="85"/>
        <v>---</v>
      </c>
      <c r="AQ252" s="70" t="str">
        <f t="shared" si="86"/>
        <v>---</v>
      </c>
      <c r="AR252" s="70" t="str">
        <f t="shared" si="87"/>
        <v>---</v>
      </c>
      <c r="AS252" s="70" t="str">
        <f t="shared" si="88"/>
        <v>---</v>
      </c>
      <c r="AT252" s="71" t="str">
        <f t="shared" si="89"/>
        <v>---</v>
      </c>
    </row>
    <row r="253" spans="1:46" ht="30" customHeight="1" x14ac:dyDescent="0.3">
      <c r="A253" s="123">
        <f t="shared" si="73"/>
        <v>249</v>
      </c>
      <c r="B253" s="140">
        <f>INDEX('PEER GROUP'!B:B,MATCH($A253,'PEER GROUP'!$A:$A,0))</f>
        <v>0</v>
      </c>
      <c r="C253" s="83">
        <f>INDEX('PEER GROUP'!C:C,MATCH($A253,'PEER GROUP'!$A:$A,0))</f>
        <v>0</v>
      </c>
      <c r="D253" s="83">
        <f>INDEX('PEER GROUP'!D:D,MATCH($A253,'PEER GROUP'!$A:$A,0))</f>
        <v>0</v>
      </c>
      <c r="E253" s="83">
        <f>INDEX('PEER GROUP'!E:E,MATCH(A253,'PEER GROUP'!$A:$A,0))</f>
        <v>0</v>
      </c>
      <c r="F253" s="84">
        <f>INDEX('PEER GROUP'!F:F,MATCH($A253,'PEER GROUP'!$A:$A,0))</f>
        <v>0</v>
      </c>
      <c r="G253" s="84">
        <f>INDEX('PEER GROUP'!G:G,MATCH($A253,'PEER GROUP'!$A:$A,0))</f>
        <v>0</v>
      </c>
      <c r="H253" s="85"/>
      <c r="I253" s="85"/>
      <c r="J253" s="70">
        <f>INDEX('PEER GROUP'!K:K,MATCH($A253,'PEER GROUP'!$A:$A,0))</f>
        <v>0</v>
      </c>
      <c r="K253" s="70">
        <f>INDEX('PEER GROUP'!L:L,MATCH($A253,'PEER GROUP'!$A:$A,0))</f>
        <v>0</v>
      </c>
      <c r="L253" s="70">
        <f>INDEX('PEER GROUP'!M:M,MATCH($A253,'PEER GROUP'!$A:$A,0))</f>
        <v>0</v>
      </c>
      <c r="M253" s="86">
        <f>INDEX('PEER GROUP'!N:N,MATCH($A253,'PEER GROUP'!$A:$A,0))</f>
        <v>0</v>
      </c>
      <c r="N253" s="118"/>
      <c r="O253" s="115"/>
      <c r="P253" s="117"/>
      <c r="Q253" s="87"/>
      <c r="R253" s="87">
        <f t="shared" si="74"/>
        <v>0</v>
      </c>
      <c r="S253" s="87"/>
      <c r="T253" s="87"/>
      <c r="U253" s="87"/>
      <c r="V253" s="87">
        <f t="shared" si="75"/>
        <v>0</v>
      </c>
      <c r="W253" s="113">
        <f t="shared" si="72"/>
        <v>36.913096727263202</v>
      </c>
      <c r="X253" s="69">
        <f t="shared" si="76"/>
        <v>0</v>
      </c>
      <c r="Y253" s="70">
        <f t="shared" si="77"/>
        <v>0</v>
      </c>
      <c r="Z253" s="70">
        <f t="shared" si="78"/>
        <v>0</v>
      </c>
      <c r="AA253" s="70">
        <f t="shared" si="79"/>
        <v>0</v>
      </c>
      <c r="AB253" s="70">
        <f t="shared" si="80"/>
        <v>0</v>
      </c>
      <c r="AC253" s="70">
        <f t="shared" si="81"/>
        <v>0</v>
      </c>
      <c r="AD253" s="71">
        <f t="shared" si="82"/>
        <v>0</v>
      </c>
      <c r="AE253" s="49"/>
      <c r="AF253" s="21"/>
      <c r="AG253" s="69"/>
      <c r="AH253" s="70"/>
      <c r="AI253" s="70"/>
      <c r="AJ253" s="70"/>
      <c r="AK253" s="70"/>
      <c r="AL253" s="70"/>
      <c r="AM253" s="70"/>
      <c r="AN253" s="70" t="str">
        <f t="shared" si="83"/>
        <v>---</v>
      </c>
      <c r="AO253" s="70" t="str">
        <f t="shared" si="84"/>
        <v>---</v>
      </c>
      <c r="AP253" s="70" t="str">
        <f t="shared" si="85"/>
        <v>---</v>
      </c>
      <c r="AQ253" s="70" t="str">
        <f t="shared" si="86"/>
        <v>---</v>
      </c>
      <c r="AR253" s="70" t="str">
        <f t="shared" si="87"/>
        <v>---</v>
      </c>
      <c r="AS253" s="70" t="str">
        <f t="shared" si="88"/>
        <v>---</v>
      </c>
      <c r="AT253" s="71" t="str">
        <f t="shared" si="89"/>
        <v>---</v>
      </c>
    </row>
    <row r="254" spans="1:46" ht="30" customHeight="1" x14ac:dyDescent="0.3">
      <c r="A254" s="123">
        <f t="shared" si="73"/>
        <v>250</v>
      </c>
      <c r="B254" s="140">
        <f>INDEX('PEER GROUP'!B:B,MATCH($A254,'PEER GROUP'!$A:$A,0))</f>
        <v>0</v>
      </c>
      <c r="C254" s="83">
        <f>INDEX('PEER GROUP'!C:C,MATCH($A254,'PEER GROUP'!$A:$A,0))</f>
        <v>0</v>
      </c>
      <c r="D254" s="83">
        <f>INDEX('PEER GROUP'!D:D,MATCH($A254,'PEER GROUP'!$A:$A,0))</f>
        <v>0</v>
      </c>
      <c r="E254" s="83">
        <f>INDEX('PEER GROUP'!E:E,MATCH(A254,'PEER GROUP'!$A:$A,0))</f>
        <v>0</v>
      </c>
      <c r="F254" s="84">
        <f>INDEX('PEER GROUP'!F:F,MATCH($A254,'PEER GROUP'!$A:$A,0))</f>
        <v>0</v>
      </c>
      <c r="G254" s="84">
        <f>INDEX('PEER GROUP'!G:G,MATCH($A254,'PEER GROUP'!$A:$A,0))</f>
        <v>0</v>
      </c>
      <c r="H254" s="85"/>
      <c r="I254" s="85"/>
      <c r="J254" s="70">
        <f>INDEX('PEER GROUP'!K:K,MATCH($A254,'PEER GROUP'!$A:$A,0))</f>
        <v>0</v>
      </c>
      <c r="K254" s="70">
        <f>INDEX('PEER GROUP'!L:L,MATCH($A254,'PEER GROUP'!$A:$A,0))</f>
        <v>0</v>
      </c>
      <c r="L254" s="70">
        <f>INDEX('PEER GROUP'!M:M,MATCH($A254,'PEER GROUP'!$A:$A,0))</f>
        <v>0</v>
      </c>
      <c r="M254" s="86">
        <f>INDEX('PEER GROUP'!N:N,MATCH($A254,'PEER GROUP'!$A:$A,0))</f>
        <v>0</v>
      </c>
      <c r="N254" s="118"/>
      <c r="O254" s="115"/>
      <c r="P254" s="117"/>
      <c r="Q254" s="87"/>
      <c r="R254" s="87">
        <f t="shared" si="74"/>
        <v>0</v>
      </c>
      <c r="S254" s="87"/>
      <c r="T254" s="87"/>
      <c r="U254" s="87"/>
      <c r="V254" s="87">
        <f t="shared" si="75"/>
        <v>0</v>
      </c>
      <c r="W254" s="113">
        <f t="shared" si="72"/>
        <v>36.913096727263202</v>
      </c>
      <c r="X254" s="69">
        <f t="shared" si="76"/>
        <v>0</v>
      </c>
      <c r="Y254" s="70">
        <f t="shared" si="77"/>
        <v>0</v>
      </c>
      <c r="Z254" s="70">
        <f t="shared" si="78"/>
        <v>0</v>
      </c>
      <c r="AA254" s="70">
        <f t="shared" si="79"/>
        <v>0</v>
      </c>
      <c r="AB254" s="70">
        <f t="shared" si="80"/>
        <v>0</v>
      </c>
      <c r="AC254" s="70">
        <f t="shared" si="81"/>
        <v>0</v>
      </c>
      <c r="AD254" s="71">
        <f t="shared" si="82"/>
        <v>0</v>
      </c>
      <c r="AE254" s="49"/>
      <c r="AF254" s="21"/>
      <c r="AG254" s="69"/>
      <c r="AH254" s="70"/>
      <c r="AI254" s="70"/>
      <c r="AJ254" s="70"/>
      <c r="AK254" s="70"/>
      <c r="AL254" s="70"/>
      <c r="AM254" s="70"/>
      <c r="AN254" s="70" t="str">
        <f t="shared" si="83"/>
        <v>---</v>
      </c>
      <c r="AO254" s="70" t="str">
        <f t="shared" si="84"/>
        <v>---</v>
      </c>
      <c r="AP254" s="70" t="str">
        <f t="shared" si="85"/>
        <v>---</v>
      </c>
      <c r="AQ254" s="70" t="str">
        <f t="shared" si="86"/>
        <v>---</v>
      </c>
      <c r="AR254" s="70" t="str">
        <f t="shared" si="87"/>
        <v>---</v>
      </c>
      <c r="AS254" s="70" t="str">
        <f t="shared" si="88"/>
        <v>---</v>
      </c>
      <c r="AT254" s="71" t="str">
        <f t="shared" si="89"/>
        <v>---</v>
      </c>
    </row>
    <row r="255" spans="1:46" ht="30" customHeight="1" x14ac:dyDescent="0.3">
      <c r="A255" s="123">
        <f t="shared" si="73"/>
        <v>251</v>
      </c>
      <c r="B255" s="140">
        <f>INDEX('PEER GROUP'!B:B,MATCH($A255,'PEER GROUP'!$A:$A,0))</f>
        <v>0</v>
      </c>
      <c r="C255" s="83">
        <f>INDEX('PEER GROUP'!C:C,MATCH($A255,'PEER GROUP'!$A:$A,0))</f>
        <v>0</v>
      </c>
      <c r="D255" s="83">
        <f>INDEX('PEER GROUP'!D:D,MATCH($A255,'PEER GROUP'!$A:$A,0))</f>
        <v>0</v>
      </c>
      <c r="E255" s="83">
        <f>INDEX('PEER GROUP'!E:E,MATCH(A255,'PEER GROUP'!$A:$A,0))</f>
        <v>0</v>
      </c>
      <c r="F255" s="84">
        <f>INDEX('PEER GROUP'!F:F,MATCH($A255,'PEER GROUP'!$A:$A,0))</f>
        <v>0</v>
      </c>
      <c r="G255" s="84">
        <f>INDEX('PEER GROUP'!G:G,MATCH($A255,'PEER GROUP'!$A:$A,0))</f>
        <v>0</v>
      </c>
      <c r="H255" s="85"/>
      <c r="I255" s="85"/>
      <c r="J255" s="70">
        <f>INDEX('PEER GROUP'!K:K,MATCH($A255,'PEER GROUP'!$A:$A,0))</f>
        <v>0</v>
      </c>
      <c r="K255" s="70">
        <f>INDEX('PEER GROUP'!L:L,MATCH($A255,'PEER GROUP'!$A:$A,0))</f>
        <v>0</v>
      </c>
      <c r="L255" s="70">
        <f>INDEX('PEER GROUP'!M:M,MATCH($A255,'PEER GROUP'!$A:$A,0))</f>
        <v>0</v>
      </c>
      <c r="M255" s="86">
        <f>INDEX('PEER GROUP'!N:N,MATCH($A255,'PEER GROUP'!$A:$A,0))</f>
        <v>0</v>
      </c>
      <c r="N255" s="118"/>
      <c r="O255" s="115"/>
      <c r="P255" s="117"/>
      <c r="Q255" s="87"/>
      <c r="R255" s="87">
        <f t="shared" si="74"/>
        <v>0</v>
      </c>
      <c r="S255" s="87"/>
      <c r="T255" s="87"/>
      <c r="U255" s="87"/>
      <c r="V255" s="87">
        <f t="shared" si="75"/>
        <v>0</v>
      </c>
      <c r="W255" s="113">
        <f t="shared" si="72"/>
        <v>36.913096727263202</v>
      </c>
      <c r="X255" s="69">
        <f t="shared" si="76"/>
        <v>0</v>
      </c>
      <c r="Y255" s="70">
        <f t="shared" si="77"/>
        <v>0</v>
      </c>
      <c r="Z255" s="70">
        <f t="shared" si="78"/>
        <v>0</v>
      </c>
      <c r="AA255" s="70">
        <f t="shared" si="79"/>
        <v>0</v>
      </c>
      <c r="AB255" s="70">
        <f t="shared" si="80"/>
        <v>0</v>
      </c>
      <c r="AC255" s="70">
        <f t="shared" si="81"/>
        <v>0</v>
      </c>
      <c r="AD255" s="71">
        <f t="shared" si="82"/>
        <v>0</v>
      </c>
      <c r="AE255" s="49"/>
      <c r="AF255" s="21"/>
      <c r="AG255" s="69"/>
      <c r="AH255" s="70"/>
      <c r="AI255" s="70"/>
      <c r="AJ255" s="70"/>
      <c r="AK255" s="70"/>
      <c r="AL255" s="70"/>
      <c r="AM255" s="70"/>
      <c r="AN255" s="70" t="str">
        <f t="shared" si="83"/>
        <v>---</v>
      </c>
      <c r="AO255" s="70" t="str">
        <f t="shared" si="84"/>
        <v>---</v>
      </c>
      <c r="AP255" s="70" t="str">
        <f t="shared" si="85"/>
        <v>---</v>
      </c>
      <c r="AQ255" s="70" t="str">
        <f t="shared" si="86"/>
        <v>---</v>
      </c>
      <c r="AR255" s="70" t="str">
        <f t="shared" si="87"/>
        <v>---</v>
      </c>
      <c r="AS255" s="70" t="str">
        <f t="shared" si="88"/>
        <v>---</v>
      </c>
      <c r="AT255" s="71" t="str">
        <f t="shared" si="89"/>
        <v>---</v>
      </c>
    </row>
    <row r="256" spans="1:46" ht="30" customHeight="1" x14ac:dyDescent="0.3">
      <c r="A256" s="123">
        <f t="shared" si="73"/>
        <v>252</v>
      </c>
      <c r="B256" s="140">
        <f>INDEX('PEER GROUP'!B:B,MATCH($A256,'PEER GROUP'!$A:$A,0))</f>
        <v>0</v>
      </c>
      <c r="C256" s="83">
        <f>INDEX('PEER GROUP'!C:C,MATCH($A256,'PEER GROUP'!$A:$A,0))</f>
        <v>0</v>
      </c>
      <c r="D256" s="83">
        <f>INDEX('PEER GROUP'!D:D,MATCH($A256,'PEER GROUP'!$A:$A,0))</f>
        <v>0</v>
      </c>
      <c r="E256" s="83">
        <f>INDEX('PEER GROUP'!E:E,MATCH(A256,'PEER GROUP'!$A:$A,0))</f>
        <v>0</v>
      </c>
      <c r="F256" s="84">
        <f>INDEX('PEER GROUP'!F:F,MATCH($A256,'PEER GROUP'!$A:$A,0))</f>
        <v>0</v>
      </c>
      <c r="G256" s="84">
        <f>INDEX('PEER GROUP'!G:G,MATCH($A256,'PEER GROUP'!$A:$A,0))</f>
        <v>0</v>
      </c>
      <c r="H256" s="85"/>
      <c r="I256" s="85"/>
      <c r="J256" s="70">
        <f>INDEX('PEER GROUP'!K:K,MATCH($A256,'PEER GROUP'!$A:$A,0))</f>
        <v>0</v>
      </c>
      <c r="K256" s="70">
        <f>INDEX('PEER GROUP'!L:L,MATCH($A256,'PEER GROUP'!$A:$A,0))</f>
        <v>0</v>
      </c>
      <c r="L256" s="70">
        <f>INDEX('PEER GROUP'!M:M,MATCH($A256,'PEER GROUP'!$A:$A,0))</f>
        <v>0</v>
      </c>
      <c r="M256" s="86">
        <f>INDEX('PEER GROUP'!N:N,MATCH($A256,'PEER GROUP'!$A:$A,0))</f>
        <v>0</v>
      </c>
      <c r="N256" s="118"/>
      <c r="O256" s="115"/>
      <c r="P256" s="117"/>
      <c r="Q256" s="87"/>
      <c r="R256" s="87">
        <f t="shared" si="74"/>
        <v>0</v>
      </c>
      <c r="S256" s="87"/>
      <c r="T256" s="87"/>
      <c r="U256" s="87"/>
      <c r="V256" s="87">
        <f t="shared" si="75"/>
        <v>0</v>
      </c>
      <c r="W256" s="113">
        <f t="shared" si="72"/>
        <v>36.913096727263202</v>
      </c>
      <c r="X256" s="69">
        <f t="shared" si="76"/>
        <v>0</v>
      </c>
      <c r="Y256" s="70">
        <f t="shared" si="77"/>
        <v>0</v>
      </c>
      <c r="Z256" s="70">
        <f t="shared" si="78"/>
        <v>0</v>
      </c>
      <c r="AA256" s="70">
        <f t="shared" si="79"/>
        <v>0</v>
      </c>
      <c r="AB256" s="70">
        <f t="shared" si="80"/>
        <v>0</v>
      </c>
      <c r="AC256" s="70">
        <f t="shared" si="81"/>
        <v>0</v>
      </c>
      <c r="AD256" s="71">
        <f t="shared" si="82"/>
        <v>0</v>
      </c>
      <c r="AE256" s="49"/>
      <c r="AF256" s="21"/>
      <c r="AG256" s="69"/>
      <c r="AH256" s="70"/>
      <c r="AI256" s="70"/>
      <c r="AJ256" s="70"/>
      <c r="AK256" s="70"/>
      <c r="AL256" s="70"/>
      <c r="AM256" s="70"/>
      <c r="AN256" s="70" t="str">
        <f t="shared" si="83"/>
        <v>---</v>
      </c>
      <c r="AO256" s="70" t="str">
        <f t="shared" si="84"/>
        <v>---</v>
      </c>
      <c r="AP256" s="70" t="str">
        <f t="shared" si="85"/>
        <v>---</v>
      </c>
      <c r="AQ256" s="70" t="str">
        <f t="shared" si="86"/>
        <v>---</v>
      </c>
      <c r="AR256" s="70" t="str">
        <f t="shared" si="87"/>
        <v>---</v>
      </c>
      <c r="AS256" s="70" t="str">
        <f t="shared" si="88"/>
        <v>---</v>
      </c>
      <c r="AT256" s="71" t="str">
        <f t="shared" si="89"/>
        <v>---</v>
      </c>
    </row>
    <row r="257" spans="1:46" ht="30" customHeight="1" x14ac:dyDescent="0.3">
      <c r="A257" s="123">
        <f t="shared" si="73"/>
        <v>253</v>
      </c>
      <c r="B257" s="140">
        <f>INDEX('PEER GROUP'!B:B,MATCH($A257,'PEER GROUP'!$A:$A,0))</f>
        <v>0</v>
      </c>
      <c r="C257" s="83">
        <f>INDEX('PEER GROUP'!C:C,MATCH($A257,'PEER GROUP'!$A:$A,0))</f>
        <v>0</v>
      </c>
      <c r="D257" s="83">
        <f>INDEX('PEER GROUP'!D:D,MATCH($A257,'PEER GROUP'!$A:$A,0))</f>
        <v>0</v>
      </c>
      <c r="E257" s="83">
        <f>INDEX('PEER GROUP'!E:E,MATCH(A257,'PEER GROUP'!$A:$A,0))</f>
        <v>0</v>
      </c>
      <c r="F257" s="84">
        <f>INDEX('PEER GROUP'!F:F,MATCH($A257,'PEER GROUP'!$A:$A,0))</f>
        <v>0</v>
      </c>
      <c r="G257" s="84">
        <f>INDEX('PEER GROUP'!G:G,MATCH($A257,'PEER GROUP'!$A:$A,0))</f>
        <v>0</v>
      </c>
      <c r="H257" s="85"/>
      <c r="I257" s="85"/>
      <c r="J257" s="70">
        <f>INDEX('PEER GROUP'!K:K,MATCH($A257,'PEER GROUP'!$A:$A,0))</f>
        <v>0</v>
      </c>
      <c r="K257" s="70">
        <f>INDEX('PEER GROUP'!L:L,MATCH($A257,'PEER GROUP'!$A:$A,0))</f>
        <v>0</v>
      </c>
      <c r="L257" s="70">
        <f>INDEX('PEER GROUP'!M:M,MATCH($A257,'PEER GROUP'!$A:$A,0))</f>
        <v>0</v>
      </c>
      <c r="M257" s="86">
        <f>INDEX('PEER GROUP'!N:N,MATCH($A257,'PEER GROUP'!$A:$A,0))</f>
        <v>0</v>
      </c>
      <c r="N257" s="118"/>
      <c r="O257" s="115"/>
      <c r="P257" s="117"/>
      <c r="Q257" s="87"/>
      <c r="R257" s="87">
        <f t="shared" si="74"/>
        <v>0</v>
      </c>
      <c r="S257" s="87"/>
      <c r="T257" s="87"/>
      <c r="U257" s="87"/>
      <c r="V257" s="87">
        <f t="shared" si="75"/>
        <v>0</v>
      </c>
      <c r="W257" s="113">
        <f t="shared" si="72"/>
        <v>36.913096727263202</v>
      </c>
      <c r="X257" s="69">
        <f t="shared" si="76"/>
        <v>0</v>
      </c>
      <c r="Y257" s="70">
        <f t="shared" si="77"/>
        <v>0</v>
      </c>
      <c r="Z257" s="70">
        <f t="shared" si="78"/>
        <v>0</v>
      </c>
      <c r="AA257" s="70">
        <f t="shared" si="79"/>
        <v>0</v>
      </c>
      <c r="AB257" s="70">
        <f t="shared" si="80"/>
        <v>0</v>
      </c>
      <c r="AC257" s="70">
        <f t="shared" si="81"/>
        <v>0</v>
      </c>
      <c r="AD257" s="71">
        <f t="shared" si="82"/>
        <v>0</v>
      </c>
      <c r="AE257" s="49"/>
      <c r="AF257" s="21"/>
      <c r="AG257" s="69"/>
      <c r="AH257" s="70"/>
      <c r="AI257" s="70"/>
      <c r="AJ257" s="70"/>
      <c r="AK257" s="70"/>
      <c r="AL257" s="70"/>
      <c r="AM257" s="70"/>
      <c r="AN257" s="70" t="str">
        <f t="shared" si="83"/>
        <v>---</v>
      </c>
      <c r="AO257" s="70" t="str">
        <f t="shared" si="84"/>
        <v>---</v>
      </c>
      <c r="AP257" s="70" t="str">
        <f t="shared" si="85"/>
        <v>---</v>
      </c>
      <c r="AQ257" s="70" t="str">
        <f t="shared" si="86"/>
        <v>---</v>
      </c>
      <c r="AR257" s="70" t="str">
        <f t="shared" si="87"/>
        <v>---</v>
      </c>
      <c r="AS257" s="70" t="str">
        <f t="shared" si="88"/>
        <v>---</v>
      </c>
      <c r="AT257" s="71" t="str">
        <f t="shared" si="89"/>
        <v>---</v>
      </c>
    </row>
    <row r="258" spans="1:46" ht="30" customHeight="1" x14ac:dyDescent="0.3">
      <c r="A258" s="123">
        <f t="shared" si="73"/>
        <v>254</v>
      </c>
      <c r="B258" s="140">
        <f>INDEX('PEER GROUP'!B:B,MATCH($A258,'PEER GROUP'!$A:$A,0))</f>
        <v>0</v>
      </c>
      <c r="C258" s="83">
        <f>INDEX('PEER GROUP'!C:C,MATCH($A258,'PEER GROUP'!$A:$A,0))</f>
        <v>0</v>
      </c>
      <c r="D258" s="83">
        <f>INDEX('PEER GROUP'!D:D,MATCH($A258,'PEER GROUP'!$A:$A,0))</f>
        <v>0</v>
      </c>
      <c r="E258" s="83">
        <f>INDEX('PEER GROUP'!E:E,MATCH(A258,'PEER GROUP'!$A:$A,0))</f>
        <v>0</v>
      </c>
      <c r="F258" s="84">
        <f>INDEX('PEER GROUP'!F:F,MATCH($A258,'PEER GROUP'!$A:$A,0))</f>
        <v>0</v>
      </c>
      <c r="G258" s="84">
        <f>INDEX('PEER GROUP'!G:G,MATCH($A258,'PEER GROUP'!$A:$A,0))</f>
        <v>0</v>
      </c>
      <c r="H258" s="85"/>
      <c r="I258" s="85"/>
      <c r="J258" s="70">
        <f>INDEX('PEER GROUP'!K:K,MATCH($A258,'PEER GROUP'!$A:$A,0))</f>
        <v>0</v>
      </c>
      <c r="K258" s="70">
        <f>INDEX('PEER GROUP'!L:L,MATCH($A258,'PEER GROUP'!$A:$A,0))</f>
        <v>0</v>
      </c>
      <c r="L258" s="70">
        <f>INDEX('PEER GROUP'!M:M,MATCH($A258,'PEER GROUP'!$A:$A,0))</f>
        <v>0</v>
      </c>
      <c r="M258" s="86">
        <f>INDEX('PEER GROUP'!N:N,MATCH($A258,'PEER GROUP'!$A:$A,0))</f>
        <v>0</v>
      </c>
      <c r="N258" s="118"/>
      <c r="O258" s="115"/>
      <c r="P258" s="117"/>
      <c r="Q258" s="87"/>
      <c r="R258" s="87">
        <f t="shared" si="74"/>
        <v>0</v>
      </c>
      <c r="S258" s="87"/>
      <c r="T258" s="87"/>
      <c r="U258" s="87"/>
      <c r="V258" s="87">
        <f t="shared" si="75"/>
        <v>0</v>
      </c>
      <c r="W258" s="113">
        <f t="shared" si="72"/>
        <v>36.913096727263202</v>
      </c>
      <c r="X258" s="69">
        <f t="shared" si="76"/>
        <v>0</v>
      </c>
      <c r="Y258" s="70">
        <f t="shared" si="77"/>
        <v>0</v>
      </c>
      <c r="Z258" s="70">
        <f t="shared" si="78"/>
        <v>0</v>
      </c>
      <c r="AA258" s="70">
        <f t="shared" si="79"/>
        <v>0</v>
      </c>
      <c r="AB258" s="70">
        <f t="shared" si="80"/>
        <v>0</v>
      </c>
      <c r="AC258" s="70">
        <f t="shared" si="81"/>
        <v>0</v>
      </c>
      <c r="AD258" s="71">
        <f t="shared" si="82"/>
        <v>0</v>
      </c>
      <c r="AE258" s="49"/>
      <c r="AF258" s="21"/>
      <c r="AG258" s="69"/>
      <c r="AH258" s="70"/>
      <c r="AI258" s="70"/>
      <c r="AJ258" s="70"/>
      <c r="AK258" s="70"/>
      <c r="AL258" s="70"/>
      <c r="AM258" s="70"/>
      <c r="AN258" s="70" t="str">
        <f t="shared" si="83"/>
        <v>---</v>
      </c>
      <c r="AO258" s="70" t="str">
        <f t="shared" si="84"/>
        <v>---</v>
      </c>
      <c r="AP258" s="70" t="str">
        <f t="shared" si="85"/>
        <v>---</v>
      </c>
      <c r="AQ258" s="70" t="str">
        <f t="shared" si="86"/>
        <v>---</v>
      </c>
      <c r="AR258" s="70" t="str">
        <f t="shared" si="87"/>
        <v>---</v>
      </c>
      <c r="AS258" s="70" t="str">
        <f t="shared" si="88"/>
        <v>---</v>
      </c>
      <c r="AT258" s="71" t="str">
        <f t="shared" si="89"/>
        <v>---</v>
      </c>
    </row>
    <row r="259" spans="1:46" ht="30" customHeight="1" x14ac:dyDescent="0.3">
      <c r="A259" s="123">
        <f t="shared" si="73"/>
        <v>255</v>
      </c>
      <c r="B259" s="140">
        <f>INDEX('PEER GROUP'!B:B,MATCH($A259,'PEER GROUP'!$A:$A,0))</f>
        <v>0</v>
      </c>
      <c r="C259" s="83">
        <f>INDEX('PEER GROUP'!C:C,MATCH($A259,'PEER GROUP'!$A:$A,0))</f>
        <v>0</v>
      </c>
      <c r="D259" s="83">
        <f>INDEX('PEER GROUP'!D:D,MATCH($A259,'PEER GROUP'!$A:$A,0))</f>
        <v>0</v>
      </c>
      <c r="E259" s="83">
        <f>INDEX('PEER GROUP'!E:E,MATCH(A259,'PEER GROUP'!$A:$A,0))</f>
        <v>0</v>
      </c>
      <c r="F259" s="84">
        <f>INDEX('PEER GROUP'!F:F,MATCH($A259,'PEER GROUP'!$A:$A,0))</f>
        <v>0</v>
      </c>
      <c r="G259" s="84">
        <f>INDEX('PEER GROUP'!G:G,MATCH($A259,'PEER GROUP'!$A:$A,0))</f>
        <v>0</v>
      </c>
      <c r="H259" s="85"/>
      <c r="I259" s="85"/>
      <c r="J259" s="70">
        <f>INDEX('PEER GROUP'!K:K,MATCH($A259,'PEER GROUP'!$A:$A,0))</f>
        <v>0</v>
      </c>
      <c r="K259" s="70">
        <f>INDEX('PEER GROUP'!L:L,MATCH($A259,'PEER GROUP'!$A:$A,0))</f>
        <v>0</v>
      </c>
      <c r="L259" s="70">
        <f>INDEX('PEER GROUP'!M:M,MATCH($A259,'PEER GROUP'!$A:$A,0))</f>
        <v>0</v>
      </c>
      <c r="M259" s="86">
        <f>INDEX('PEER GROUP'!N:N,MATCH($A259,'PEER GROUP'!$A:$A,0))</f>
        <v>0</v>
      </c>
      <c r="N259" s="118"/>
      <c r="O259" s="115"/>
      <c r="P259" s="117"/>
      <c r="Q259" s="87"/>
      <c r="R259" s="87">
        <f t="shared" si="74"/>
        <v>0</v>
      </c>
      <c r="S259" s="87"/>
      <c r="T259" s="87"/>
      <c r="U259" s="87"/>
      <c r="V259" s="87">
        <f t="shared" si="75"/>
        <v>0</v>
      </c>
      <c r="W259" s="113">
        <f t="shared" si="72"/>
        <v>36.913096727263202</v>
      </c>
      <c r="X259" s="69">
        <f t="shared" si="76"/>
        <v>0</v>
      </c>
      <c r="Y259" s="70">
        <f t="shared" si="77"/>
        <v>0</v>
      </c>
      <c r="Z259" s="70">
        <f t="shared" si="78"/>
        <v>0</v>
      </c>
      <c r="AA259" s="70">
        <f t="shared" si="79"/>
        <v>0</v>
      </c>
      <c r="AB259" s="70">
        <f t="shared" si="80"/>
        <v>0</v>
      </c>
      <c r="AC259" s="70">
        <f t="shared" si="81"/>
        <v>0</v>
      </c>
      <c r="AD259" s="71">
        <f t="shared" si="82"/>
        <v>0</v>
      </c>
      <c r="AE259" s="49"/>
      <c r="AF259" s="21"/>
      <c r="AG259" s="69"/>
      <c r="AH259" s="70"/>
      <c r="AI259" s="70"/>
      <c r="AJ259" s="70"/>
      <c r="AK259" s="70"/>
      <c r="AL259" s="70"/>
      <c r="AM259" s="70"/>
      <c r="AN259" s="70" t="str">
        <f t="shared" si="83"/>
        <v>---</v>
      </c>
      <c r="AO259" s="70" t="str">
        <f t="shared" si="84"/>
        <v>---</v>
      </c>
      <c r="AP259" s="70" t="str">
        <f t="shared" si="85"/>
        <v>---</v>
      </c>
      <c r="AQ259" s="70" t="str">
        <f t="shared" si="86"/>
        <v>---</v>
      </c>
      <c r="AR259" s="70" t="str">
        <f t="shared" si="87"/>
        <v>---</v>
      </c>
      <c r="AS259" s="70" t="str">
        <f t="shared" si="88"/>
        <v>---</v>
      </c>
      <c r="AT259" s="71" t="str">
        <f t="shared" si="89"/>
        <v>---</v>
      </c>
    </row>
    <row r="260" spans="1:46" ht="30" customHeight="1" x14ac:dyDescent="0.3">
      <c r="A260" s="123">
        <f t="shared" si="73"/>
        <v>256</v>
      </c>
      <c r="B260" s="140">
        <f>INDEX('PEER GROUP'!B:B,MATCH($A260,'PEER GROUP'!$A:$A,0))</f>
        <v>0</v>
      </c>
      <c r="C260" s="83">
        <f>INDEX('PEER GROUP'!C:C,MATCH($A260,'PEER GROUP'!$A:$A,0))</f>
        <v>0</v>
      </c>
      <c r="D260" s="83">
        <f>INDEX('PEER GROUP'!D:D,MATCH($A260,'PEER GROUP'!$A:$A,0))</f>
        <v>0</v>
      </c>
      <c r="E260" s="83">
        <f>INDEX('PEER GROUP'!E:E,MATCH(A260,'PEER GROUP'!$A:$A,0))</f>
        <v>0</v>
      </c>
      <c r="F260" s="84">
        <f>INDEX('PEER GROUP'!F:F,MATCH($A260,'PEER GROUP'!$A:$A,0))</f>
        <v>0</v>
      </c>
      <c r="G260" s="84">
        <f>INDEX('PEER GROUP'!G:G,MATCH($A260,'PEER GROUP'!$A:$A,0))</f>
        <v>0</v>
      </c>
      <c r="H260" s="85"/>
      <c r="I260" s="85"/>
      <c r="J260" s="70">
        <f>INDEX('PEER GROUP'!K:K,MATCH($A260,'PEER GROUP'!$A:$A,0))</f>
        <v>0</v>
      </c>
      <c r="K260" s="70">
        <f>INDEX('PEER GROUP'!L:L,MATCH($A260,'PEER GROUP'!$A:$A,0))</f>
        <v>0</v>
      </c>
      <c r="L260" s="70">
        <f>INDEX('PEER GROUP'!M:M,MATCH($A260,'PEER GROUP'!$A:$A,0))</f>
        <v>0</v>
      </c>
      <c r="M260" s="86">
        <f>INDEX('PEER GROUP'!N:N,MATCH($A260,'PEER GROUP'!$A:$A,0))</f>
        <v>0</v>
      </c>
      <c r="N260" s="118"/>
      <c r="O260" s="115"/>
      <c r="P260" s="117"/>
      <c r="Q260" s="87"/>
      <c r="R260" s="87">
        <f t="shared" si="74"/>
        <v>0</v>
      </c>
      <c r="S260" s="87"/>
      <c r="T260" s="87"/>
      <c r="U260" s="87"/>
      <c r="V260" s="87">
        <f t="shared" si="75"/>
        <v>0</v>
      </c>
      <c r="W260" s="113">
        <f t="shared" si="72"/>
        <v>36.913096727263202</v>
      </c>
      <c r="X260" s="69">
        <f t="shared" si="76"/>
        <v>0</v>
      </c>
      <c r="Y260" s="70">
        <f t="shared" si="77"/>
        <v>0</v>
      </c>
      <c r="Z260" s="70">
        <f t="shared" si="78"/>
        <v>0</v>
      </c>
      <c r="AA260" s="70">
        <f t="shared" si="79"/>
        <v>0</v>
      </c>
      <c r="AB260" s="70">
        <f t="shared" si="80"/>
        <v>0</v>
      </c>
      <c r="AC260" s="70">
        <f t="shared" si="81"/>
        <v>0</v>
      </c>
      <c r="AD260" s="71">
        <f t="shared" si="82"/>
        <v>0</v>
      </c>
      <c r="AE260" s="49"/>
      <c r="AF260" s="21"/>
      <c r="AG260" s="69"/>
      <c r="AH260" s="70"/>
      <c r="AI260" s="70"/>
      <c r="AJ260" s="70"/>
      <c r="AK260" s="70"/>
      <c r="AL260" s="70"/>
      <c r="AM260" s="70"/>
      <c r="AN260" s="70" t="str">
        <f t="shared" si="83"/>
        <v>---</v>
      </c>
      <c r="AO260" s="70" t="str">
        <f t="shared" si="84"/>
        <v>---</v>
      </c>
      <c r="AP260" s="70" t="str">
        <f t="shared" si="85"/>
        <v>---</v>
      </c>
      <c r="AQ260" s="70" t="str">
        <f t="shared" si="86"/>
        <v>---</v>
      </c>
      <c r="AR260" s="70" t="str">
        <f t="shared" si="87"/>
        <v>---</v>
      </c>
      <c r="AS260" s="70" t="str">
        <f t="shared" si="88"/>
        <v>---</v>
      </c>
      <c r="AT260" s="71" t="str">
        <f t="shared" si="89"/>
        <v>---</v>
      </c>
    </row>
    <row r="261" spans="1:46" ht="30" customHeight="1" x14ac:dyDescent="0.3">
      <c r="A261" s="123">
        <f t="shared" si="73"/>
        <v>257</v>
      </c>
      <c r="B261" s="140">
        <f>INDEX('PEER GROUP'!B:B,MATCH($A261,'PEER GROUP'!$A:$A,0))</f>
        <v>0</v>
      </c>
      <c r="C261" s="83">
        <f>INDEX('PEER GROUP'!C:C,MATCH($A261,'PEER GROUP'!$A:$A,0))</f>
        <v>0</v>
      </c>
      <c r="D261" s="83">
        <f>INDEX('PEER GROUP'!D:D,MATCH($A261,'PEER GROUP'!$A:$A,0))</f>
        <v>0</v>
      </c>
      <c r="E261" s="83">
        <f>INDEX('PEER GROUP'!E:E,MATCH(A261,'PEER GROUP'!$A:$A,0))</f>
        <v>0</v>
      </c>
      <c r="F261" s="84">
        <f>INDEX('PEER GROUP'!F:F,MATCH($A261,'PEER GROUP'!$A:$A,0))</f>
        <v>0</v>
      </c>
      <c r="G261" s="84">
        <f>INDEX('PEER GROUP'!G:G,MATCH($A261,'PEER GROUP'!$A:$A,0))</f>
        <v>0</v>
      </c>
      <c r="H261" s="85"/>
      <c r="I261" s="85"/>
      <c r="J261" s="70">
        <f>INDEX('PEER GROUP'!K:K,MATCH($A261,'PEER GROUP'!$A:$A,0))</f>
        <v>0</v>
      </c>
      <c r="K261" s="70">
        <f>INDEX('PEER GROUP'!L:L,MATCH($A261,'PEER GROUP'!$A:$A,0))</f>
        <v>0</v>
      </c>
      <c r="L261" s="70">
        <f>INDEX('PEER GROUP'!M:M,MATCH($A261,'PEER GROUP'!$A:$A,0))</f>
        <v>0</v>
      </c>
      <c r="M261" s="86">
        <f>INDEX('PEER GROUP'!N:N,MATCH($A261,'PEER GROUP'!$A:$A,0))</f>
        <v>0</v>
      </c>
      <c r="N261" s="118"/>
      <c r="O261" s="115"/>
      <c r="P261" s="117"/>
      <c r="Q261" s="87"/>
      <c r="R261" s="87">
        <f t="shared" si="74"/>
        <v>0</v>
      </c>
      <c r="S261" s="87"/>
      <c r="T261" s="87"/>
      <c r="U261" s="87"/>
      <c r="V261" s="87">
        <f t="shared" si="75"/>
        <v>0</v>
      </c>
      <c r="W261" s="113">
        <f t="shared" si="72"/>
        <v>36.913096727263202</v>
      </c>
      <c r="X261" s="69">
        <f t="shared" si="76"/>
        <v>0</v>
      </c>
      <c r="Y261" s="70">
        <f t="shared" si="77"/>
        <v>0</v>
      </c>
      <c r="Z261" s="70">
        <f t="shared" si="78"/>
        <v>0</v>
      </c>
      <c r="AA261" s="70">
        <f t="shared" si="79"/>
        <v>0</v>
      </c>
      <c r="AB261" s="70">
        <f t="shared" si="80"/>
        <v>0</v>
      </c>
      <c r="AC261" s="70">
        <f t="shared" si="81"/>
        <v>0</v>
      </c>
      <c r="AD261" s="71">
        <f t="shared" si="82"/>
        <v>0</v>
      </c>
      <c r="AE261" s="49"/>
      <c r="AF261" s="21"/>
      <c r="AG261" s="69"/>
      <c r="AH261" s="70"/>
      <c r="AI261" s="70"/>
      <c r="AJ261" s="70"/>
      <c r="AK261" s="70"/>
      <c r="AL261" s="70"/>
      <c r="AM261" s="70"/>
      <c r="AN261" s="70" t="str">
        <f t="shared" si="83"/>
        <v>---</v>
      </c>
      <c r="AO261" s="70" t="str">
        <f t="shared" si="84"/>
        <v>---</v>
      </c>
      <c r="AP261" s="70" t="str">
        <f t="shared" si="85"/>
        <v>---</v>
      </c>
      <c r="AQ261" s="70" t="str">
        <f t="shared" si="86"/>
        <v>---</v>
      </c>
      <c r="AR261" s="70" t="str">
        <f t="shared" si="87"/>
        <v>---</v>
      </c>
      <c r="AS261" s="70" t="str">
        <f t="shared" si="88"/>
        <v>---</v>
      </c>
      <c r="AT261" s="71" t="str">
        <f t="shared" si="89"/>
        <v>---</v>
      </c>
    </row>
    <row r="262" spans="1:46" ht="30" customHeight="1" x14ac:dyDescent="0.3">
      <c r="A262" s="123">
        <f t="shared" si="73"/>
        <v>258</v>
      </c>
      <c r="B262" s="140">
        <f>INDEX('PEER GROUP'!B:B,MATCH($A262,'PEER GROUP'!$A:$A,0))</f>
        <v>0</v>
      </c>
      <c r="C262" s="83">
        <f>INDEX('PEER GROUP'!C:C,MATCH($A262,'PEER GROUP'!$A:$A,0))</f>
        <v>0</v>
      </c>
      <c r="D262" s="83">
        <f>INDEX('PEER GROUP'!D:D,MATCH($A262,'PEER GROUP'!$A:$A,0))</f>
        <v>0</v>
      </c>
      <c r="E262" s="83">
        <f>INDEX('PEER GROUP'!E:E,MATCH(A262,'PEER GROUP'!$A:$A,0))</f>
        <v>0</v>
      </c>
      <c r="F262" s="84">
        <f>INDEX('PEER GROUP'!F:F,MATCH($A262,'PEER GROUP'!$A:$A,0))</f>
        <v>0</v>
      </c>
      <c r="G262" s="84">
        <f>INDEX('PEER GROUP'!G:G,MATCH($A262,'PEER GROUP'!$A:$A,0))</f>
        <v>0</v>
      </c>
      <c r="H262" s="85"/>
      <c r="I262" s="85"/>
      <c r="J262" s="70">
        <f>INDEX('PEER GROUP'!K:K,MATCH($A262,'PEER GROUP'!$A:$A,0))</f>
        <v>0</v>
      </c>
      <c r="K262" s="70">
        <f>INDEX('PEER GROUP'!L:L,MATCH($A262,'PEER GROUP'!$A:$A,0))</f>
        <v>0</v>
      </c>
      <c r="L262" s="70">
        <f>INDEX('PEER GROUP'!M:M,MATCH($A262,'PEER GROUP'!$A:$A,0))</f>
        <v>0</v>
      </c>
      <c r="M262" s="86">
        <f>INDEX('PEER GROUP'!N:N,MATCH($A262,'PEER GROUP'!$A:$A,0))</f>
        <v>0</v>
      </c>
      <c r="N262" s="118"/>
      <c r="O262" s="115"/>
      <c r="P262" s="117"/>
      <c r="Q262" s="87"/>
      <c r="R262" s="87">
        <f t="shared" si="74"/>
        <v>0</v>
      </c>
      <c r="S262" s="87"/>
      <c r="T262" s="87"/>
      <c r="U262" s="87"/>
      <c r="V262" s="87">
        <f t="shared" si="75"/>
        <v>0</v>
      </c>
      <c r="W262" s="113">
        <f t="shared" si="72"/>
        <v>36.913096727263202</v>
      </c>
      <c r="X262" s="69">
        <f t="shared" si="76"/>
        <v>0</v>
      </c>
      <c r="Y262" s="70">
        <f t="shared" si="77"/>
        <v>0</v>
      </c>
      <c r="Z262" s="70">
        <f t="shared" si="78"/>
        <v>0</v>
      </c>
      <c r="AA262" s="70">
        <f t="shared" si="79"/>
        <v>0</v>
      </c>
      <c r="AB262" s="70">
        <f t="shared" si="80"/>
        <v>0</v>
      </c>
      <c r="AC262" s="70">
        <f t="shared" si="81"/>
        <v>0</v>
      </c>
      <c r="AD262" s="71">
        <f t="shared" si="82"/>
        <v>0</v>
      </c>
      <c r="AE262" s="49"/>
      <c r="AF262" s="21"/>
      <c r="AG262" s="69"/>
      <c r="AH262" s="70"/>
      <c r="AI262" s="70"/>
      <c r="AJ262" s="70"/>
      <c r="AK262" s="70"/>
      <c r="AL262" s="70"/>
      <c r="AM262" s="70"/>
      <c r="AN262" s="70" t="str">
        <f t="shared" si="83"/>
        <v>---</v>
      </c>
      <c r="AO262" s="70" t="str">
        <f t="shared" si="84"/>
        <v>---</v>
      </c>
      <c r="AP262" s="70" t="str">
        <f t="shared" si="85"/>
        <v>---</v>
      </c>
      <c r="AQ262" s="70" t="str">
        <f t="shared" si="86"/>
        <v>---</v>
      </c>
      <c r="AR262" s="70" t="str">
        <f t="shared" si="87"/>
        <v>---</v>
      </c>
      <c r="AS262" s="70" t="str">
        <f t="shared" si="88"/>
        <v>---</v>
      </c>
      <c r="AT262" s="71" t="str">
        <f t="shared" si="89"/>
        <v>---</v>
      </c>
    </row>
    <row r="263" spans="1:46" ht="30" customHeight="1" x14ac:dyDescent="0.3">
      <c r="A263" s="123">
        <f t="shared" si="73"/>
        <v>259</v>
      </c>
      <c r="B263" s="140">
        <f>INDEX('PEER GROUP'!B:B,MATCH($A263,'PEER GROUP'!$A:$A,0))</f>
        <v>0</v>
      </c>
      <c r="C263" s="83">
        <f>INDEX('PEER GROUP'!C:C,MATCH($A263,'PEER GROUP'!$A:$A,0))</f>
        <v>0</v>
      </c>
      <c r="D263" s="83">
        <f>INDEX('PEER GROUP'!D:D,MATCH($A263,'PEER GROUP'!$A:$A,0))</f>
        <v>0</v>
      </c>
      <c r="E263" s="83">
        <f>INDEX('PEER GROUP'!E:E,MATCH(A263,'PEER GROUP'!$A:$A,0))</f>
        <v>0</v>
      </c>
      <c r="F263" s="84">
        <f>INDEX('PEER GROUP'!F:F,MATCH($A263,'PEER GROUP'!$A:$A,0))</f>
        <v>0</v>
      </c>
      <c r="G263" s="84">
        <f>INDEX('PEER GROUP'!G:G,MATCH($A263,'PEER GROUP'!$A:$A,0))</f>
        <v>0</v>
      </c>
      <c r="H263" s="85"/>
      <c r="I263" s="85"/>
      <c r="J263" s="70">
        <f>INDEX('PEER GROUP'!K:K,MATCH($A263,'PEER GROUP'!$A:$A,0))</f>
        <v>0</v>
      </c>
      <c r="K263" s="70">
        <f>INDEX('PEER GROUP'!L:L,MATCH($A263,'PEER GROUP'!$A:$A,0))</f>
        <v>0</v>
      </c>
      <c r="L263" s="70">
        <f>INDEX('PEER GROUP'!M:M,MATCH($A263,'PEER GROUP'!$A:$A,0))</f>
        <v>0</v>
      </c>
      <c r="M263" s="86">
        <f>INDEX('PEER GROUP'!N:N,MATCH($A263,'PEER GROUP'!$A:$A,0))</f>
        <v>0</v>
      </c>
      <c r="N263" s="118"/>
      <c r="O263" s="115"/>
      <c r="P263" s="117"/>
      <c r="Q263" s="87"/>
      <c r="R263" s="87">
        <f t="shared" si="74"/>
        <v>0</v>
      </c>
      <c r="S263" s="87"/>
      <c r="T263" s="87"/>
      <c r="U263" s="87"/>
      <c r="V263" s="87">
        <f t="shared" si="75"/>
        <v>0</v>
      </c>
      <c r="W263" s="113">
        <f t="shared" si="72"/>
        <v>36.913096727263202</v>
      </c>
      <c r="X263" s="69">
        <f t="shared" si="76"/>
        <v>0</v>
      </c>
      <c r="Y263" s="70">
        <f t="shared" si="77"/>
        <v>0</v>
      </c>
      <c r="Z263" s="70">
        <f t="shared" si="78"/>
        <v>0</v>
      </c>
      <c r="AA263" s="70">
        <f t="shared" si="79"/>
        <v>0</v>
      </c>
      <c r="AB263" s="70">
        <f t="shared" si="80"/>
        <v>0</v>
      </c>
      <c r="AC263" s="70">
        <f t="shared" si="81"/>
        <v>0</v>
      </c>
      <c r="AD263" s="71">
        <f t="shared" si="82"/>
        <v>0</v>
      </c>
      <c r="AE263" s="49"/>
      <c r="AF263" s="21"/>
      <c r="AG263" s="69"/>
      <c r="AH263" s="70"/>
      <c r="AI263" s="70"/>
      <c r="AJ263" s="70"/>
      <c r="AK263" s="70"/>
      <c r="AL263" s="70"/>
      <c r="AM263" s="70"/>
      <c r="AN263" s="70" t="str">
        <f t="shared" si="83"/>
        <v>---</v>
      </c>
      <c r="AO263" s="70" t="str">
        <f t="shared" si="84"/>
        <v>---</v>
      </c>
      <c r="AP263" s="70" t="str">
        <f t="shared" si="85"/>
        <v>---</v>
      </c>
      <c r="AQ263" s="70" t="str">
        <f t="shared" si="86"/>
        <v>---</v>
      </c>
      <c r="AR263" s="70" t="str">
        <f t="shared" si="87"/>
        <v>---</v>
      </c>
      <c r="AS263" s="70" t="str">
        <f t="shared" si="88"/>
        <v>---</v>
      </c>
      <c r="AT263" s="71" t="str">
        <f t="shared" si="89"/>
        <v>---</v>
      </c>
    </row>
    <row r="264" spans="1:46" ht="30" customHeight="1" x14ac:dyDescent="0.3">
      <c r="A264" s="123">
        <f t="shared" si="73"/>
        <v>260</v>
      </c>
      <c r="B264" s="140">
        <f>INDEX('PEER GROUP'!B:B,MATCH($A264,'PEER GROUP'!$A:$A,0))</f>
        <v>0</v>
      </c>
      <c r="C264" s="83">
        <f>INDEX('PEER GROUP'!C:C,MATCH($A264,'PEER GROUP'!$A:$A,0))</f>
        <v>0</v>
      </c>
      <c r="D264" s="83">
        <f>INDEX('PEER GROUP'!D:D,MATCH($A264,'PEER GROUP'!$A:$A,0))</f>
        <v>0</v>
      </c>
      <c r="E264" s="83">
        <f>INDEX('PEER GROUP'!E:E,MATCH(A264,'PEER GROUP'!$A:$A,0))</f>
        <v>0</v>
      </c>
      <c r="F264" s="84">
        <f>INDEX('PEER GROUP'!F:F,MATCH($A264,'PEER GROUP'!$A:$A,0))</f>
        <v>0</v>
      </c>
      <c r="G264" s="84">
        <f>INDEX('PEER GROUP'!G:G,MATCH($A264,'PEER GROUP'!$A:$A,0))</f>
        <v>0</v>
      </c>
      <c r="H264" s="85"/>
      <c r="I264" s="85"/>
      <c r="J264" s="70">
        <f>INDEX('PEER GROUP'!K:K,MATCH($A264,'PEER GROUP'!$A:$A,0))</f>
        <v>0</v>
      </c>
      <c r="K264" s="70">
        <f>INDEX('PEER GROUP'!L:L,MATCH($A264,'PEER GROUP'!$A:$A,0))</f>
        <v>0</v>
      </c>
      <c r="L264" s="70">
        <f>INDEX('PEER GROUP'!M:M,MATCH($A264,'PEER GROUP'!$A:$A,0))</f>
        <v>0</v>
      </c>
      <c r="M264" s="86">
        <f>INDEX('PEER GROUP'!N:N,MATCH($A264,'PEER GROUP'!$A:$A,0))</f>
        <v>0</v>
      </c>
      <c r="N264" s="118"/>
      <c r="O264" s="115"/>
      <c r="P264" s="117"/>
      <c r="Q264" s="87"/>
      <c r="R264" s="87">
        <f t="shared" si="74"/>
        <v>0</v>
      </c>
      <c r="S264" s="87"/>
      <c r="T264" s="87"/>
      <c r="U264" s="87"/>
      <c r="V264" s="87">
        <f t="shared" si="75"/>
        <v>0</v>
      </c>
      <c r="W264" s="113">
        <f t="shared" si="72"/>
        <v>36.913096727263202</v>
      </c>
      <c r="X264" s="69">
        <f t="shared" si="76"/>
        <v>0</v>
      </c>
      <c r="Y264" s="70">
        <f t="shared" si="77"/>
        <v>0</v>
      </c>
      <c r="Z264" s="70">
        <f t="shared" si="78"/>
        <v>0</v>
      </c>
      <c r="AA264" s="70">
        <f t="shared" si="79"/>
        <v>0</v>
      </c>
      <c r="AB264" s="70">
        <f t="shared" si="80"/>
        <v>0</v>
      </c>
      <c r="AC264" s="70">
        <f t="shared" si="81"/>
        <v>0</v>
      </c>
      <c r="AD264" s="71">
        <f t="shared" si="82"/>
        <v>0</v>
      </c>
      <c r="AE264" s="49"/>
      <c r="AF264" s="21"/>
      <c r="AG264" s="69"/>
      <c r="AH264" s="70"/>
      <c r="AI264" s="70"/>
      <c r="AJ264" s="70"/>
      <c r="AK264" s="70"/>
      <c r="AL264" s="70"/>
      <c r="AM264" s="70"/>
      <c r="AN264" s="70" t="str">
        <f t="shared" si="83"/>
        <v>---</v>
      </c>
      <c r="AO264" s="70" t="str">
        <f t="shared" si="84"/>
        <v>---</v>
      </c>
      <c r="AP264" s="70" t="str">
        <f t="shared" si="85"/>
        <v>---</v>
      </c>
      <c r="AQ264" s="70" t="str">
        <f t="shared" si="86"/>
        <v>---</v>
      </c>
      <c r="AR264" s="70" t="str">
        <f t="shared" si="87"/>
        <v>---</v>
      </c>
      <c r="AS264" s="70" t="str">
        <f t="shared" si="88"/>
        <v>---</v>
      </c>
      <c r="AT264" s="71" t="str">
        <f t="shared" si="89"/>
        <v>---</v>
      </c>
    </row>
    <row r="265" spans="1:46" ht="30" customHeight="1" x14ac:dyDescent="0.3">
      <c r="A265" s="123">
        <f t="shared" si="73"/>
        <v>261</v>
      </c>
      <c r="B265" s="140">
        <f>INDEX('PEER GROUP'!B:B,MATCH($A265,'PEER GROUP'!$A:$A,0))</f>
        <v>0</v>
      </c>
      <c r="C265" s="83">
        <f>INDEX('PEER GROUP'!C:C,MATCH($A265,'PEER GROUP'!$A:$A,0))</f>
        <v>0</v>
      </c>
      <c r="D265" s="83">
        <f>INDEX('PEER GROUP'!D:D,MATCH($A265,'PEER GROUP'!$A:$A,0))</f>
        <v>0</v>
      </c>
      <c r="E265" s="83">
        <f>INDEX('PEER GROUP'!E:E,MATCH(A265,'PEER GROUP'!$A:$A,0))</f>
        <v>0</v>
      </c>
      <c r="F265" s="84">
        <f>INDEX('PEER GROUP'!F:F,MATCH($A265,'PEER GROUP'!$A:$A,0))</f>
        <v>0</v>
      </c>
      <c r="G265" s="84">
        <f>INDEX('PEER GROUP'!G:G,MATCH($A265,'PEER GROUP'!$A:$A,0))</f>
        <v>0</v>
      </c>
      <c r="H265" s="85"/>
      <c r="I265" s="85"/>
      <c r="J265" s="70">
        <f>INDEX('PEER GROUP'!K:K,MATCH($A265,'PEER GROUP'!$A:$A,0))</f>
        <v>0</v>
      </c>
      <c r="K265" s="70">
        <f>INDEX('PEER GROUP'!L:L,MATCH($A265,'PEER GROUP'!$A:$A,0))</f>
        <v>0</v>
      </c>
      <c r="L265" s="70">
        <f>INDEX('PEER GROUP'!M:M,MATCH($A265,'PEER GROUP'!$A:$A,0))</f>
        <v>0</v>
      </c>
      <c r="M265" s="86">
        <f>INDEX('PEER GROUP'!N:N,MATCH($A265,'PEER GROUP'!$A:$A,0))</f>
        <v>0</v>
      </c>
      <c r="N265" s="118"/>
      <c r="O265" s="115"/>
      <c r="P265" s="117"/>
      <c r="Q265" s="87"/>
      <c r="R265" s="87">
        <f t="shared" si="74"/>
        <v>0</v>
      </c>
      <c r="S265" s="87"/>
      <c r="T265" s="87"/>
      <c r="U265" s="87"/>
      <c r="V265" s="87">
        <f t="shared" si="75"/>
        <v>0</v>
      </c>
      <c r="W265" s="113">
        <f t="shared" si="72"/>
        <v>36.913096727263202</v>
      </c>
      <c r="X265" s="69">
        <f t="shared" si="76"/>
        <v>0</v>
      </c>
      <c r="Y265" s="70">
        <f t="shared" si="77"/>
        <v>0</v>
      </c>
      <c r="Z265" s="70">
        <f t="shared" si="78"/>
        <v>0</v>
      </c>
      <c r="AA265" s="70">
        <f t="shared" si="79"/>
        <v>0</v>
      </c>
      <c r="AB265" s="70">
        <f t="shared" si="80"/>
        <v>0</v>
      </c>
      <c r="AC265" s="70">
        <f t="shared" si="81"/>
        <v>0</v>
      </c>
      <c r="AD265" s="71">
        <f t="shared" si="82"/>
        <v>0</v>
      </c>
      <c r="AE265" s="49"/>
      <c r="AF265" s="21"/>
      <c r="AG265" s="69"/>
      <c r="AH265" s="70"/>
      <c r="AI265" s="70"/>
      <c r="AJ265" s="70"/>
      <c r="AK265" s="70"/>
      <c r="AL265" s="70"/>
      <c r="AM265" s="70"/>
      <c r="AN265" s="70" t="str">
        <f t="shared" si="83"/>
        <v>---</v>
      </c>
      <c r="AO265" s="70" t="str">
        <f t="shared" si="84"/>
        <v>---</v>
      </c>
      <c r="AP265" s="70" t="str">
        <f t="shared" si="85"/>
        <v>---</v>
      </c>
      <c r="AQ265" s="70" t="str">
        <f t="shared" si="86"/>
        <v>---</v>
      </c>
      <c r="AR265" s="70" t="str">
        <f t="shared" si="87"/>
        <v>---</v>
      </c>
      <c r="AS265" s="70" t="str">
        <f t="shared" si="88"/>
        <v>---</v>
      </c>
      <c r="AT265" s="71" t="str">
        <f t="shared" si="89"/>
        <v>---</v>
      </c>
    </row>
    <row r="266" spans="1:46" ht="30" customHeight="1" x14ac:dyDescent="0.3">
      <c r="A266" s="123">
        <f t="shared" si="73"/>
        <v>262</v>
      </c>
      <c r="B266" s="140">
        <f>INDEX('PEER GROUP'!B:B,MATCH($A266,'PEER GROUP'!$A:$A,0))</f>
        <v>0</v>
      </c>
      <c r="C266" s="83">
        <f>INDEX('PEER GROUP'!C:C,MATCH($A266,'PEER GROUP'!$A:$A,0))</f>
        <v>0</v>
      </c>
      <c r="D266" s="83">
        <f>INDEX('PEER GROUP'!D:D,MATCH($A266,'PEER GROUP'!$A:$A,0))</f>
        <v>0</v>
      </c>
      <c r="E266" s="83">
        <f>INDEX('PEER GROUP'!E:E,MATCH(A266,'PEER GROUP'!$A:$A,0))</f>
        <v>0</v>
      </c>
      <c r="F266" s="84">
        <f>INDEX('PEER GROUP'!F:F,MATCH($A266,'PEER GROUP'!$A:$A,0))</f>
        <v>0</v>
      </c>
      <c r="G266" s="84">
        <f>INDEX('PEER GROUP'!G:G,MATCH($A266,'PEER GROUP'!$A:$A,0))</f>
        <v>0</v>
      </c>
      <c r="H266" s="85"/>
      <c r="I266" s="85"/>
      <c r="J266" s="70">
        <f>INDEX('PEER GROUP'!K:K,MATCH($A266,'PEER GROUP'!$A:$A,0))</f>
        <v>0</v>
      </c>
      <c r="K266" s="70">
        <f>INDEX('PEER GROUP'!L:L,MATCH($A266,'PEER GROUP'!$A:$A,0))</f>
        <v>0</v>
      </c>
      <c r="L266" s="70">
        <f>INDEX('PEER GROUP'!M:M,MATCH($A266,'PEER GROUP'!$A:$A,0))</f>
        <v>0</v>
      </c>
      <c r="M266" s="86">
        <f>INDEX('PEER GROUP'!N:N,MATCH($A266,'PEER GROUP'!$A:$A,0))</f>
        <v>0</v>
      </c>
      <c r="N266" s="118"/>
      <c r="O266" s="115"/>
      <c r="P266" s="117"/>
      <c r="Q266" s="87"/>
      <c r="R266" s="87">
        <f t="shared" si="74"/>
        <v>0</v>
      </c>
      <c r="S266" s="87"/>
      <c r="T266" s="87"/>
      <c r="U266" s="87"/>
      <c r="V266" s="87">
        <f t="shared" si="75"/>
        <v>0</v>
      </c>
      <c r="W266" s="113">
        <f t="shared" si="72"/>
        <v>36.913096727263202</v>
      </c>
      <c r="X266" s="69">
        <f t="shared" si="76"/>
        <v>0</v>
      </c>
      <c r="Y266" s="70">
        <f t="shared" si="77"/>
        <v>0</v>
      </c>
      <c r="Z266" s="70">
        <f t="shared" si="78"/>
        <v>0</v>
      </c>
      <c r="AA266" s="70">
        <f t="shared" si="79"/>
        <v>0</v>
      </c>
      <c r="AB266" s="70">
        <f t="shared" si="80"/>
        <v>0</v>
      </c>
      <c r="AC266" s="70">
        <f t="shared" si="81"/>
        <v>0</v>
      </c>
      <c r="AD266" s="71">
        <f t="shared" si="82"/>
        <v>0</v>
      </c>
      <c r="AE266" s="49"/>
      <c r="AF266" s="21"/>
      <c r="AG266" s="69"/>
      <c r="AH266" s="70"/>
      <c r="AI266" s="70"/>
      <c r="AJ266" s="70"/>
      <c r="AK266" s="70"/>
      <c r="AL266" s="70"/>
      <c r="AM266" s="70"/>
      <c r="AN266" s="70" t="str">
        <f t="shared" si="83"/>
        <v>---</v>
      </c>
      <c r="AO266" s="70" t="str">
        <f t="shared" si="84"/>
        <v>---</v>
      </c>
      <c r="AP266" s="70" t="str">
        <f t="shared" si="85"/>
        <v>---</v>
      </c>
      <c r="AQ266" s="70" t="str">
        <f t="shared" si="86"/>
        <v>---</v>
      </c>
      <c r="AR266" s="70" t="str">
        <f t="shared" si="87"/>
        <v>---</v>
      </c>
      <c r="AS266" s="70" t="str">
        <f t="shared" si="88"/>
        <v>---</v>
      </c>
      <c r="AT266" s="71" t="str">
        <f t="shared" si="89"/>
        <v>---</v>
      </c>
    </row>
    <row r="267" spans="1:46" ht="30" customHeight="1" x14ac:dyDescent="0.3">
      <c r="A267" s="123">
        <f t="shared" si="73"/>
        <v>263</v>
      </c>
      <c r="B267" s="140">
        <f>INDEX('PEER GROUP'!B:B,MATCH($A267,'PEER GROUP'!$A:$A,0))</f>
        <v>0</v>
      </c>
      <c r="C267" s="83">
        <f>INDEX('PEER GROUP'!C:C,MATCH($A267,'PEER GROUP'!$A:$A,0))</f>
        <v>0</v>
      </c>
      <c r="D267" s="83">
        <f>INDEX('PEER GROUP'!D:D,MATCH($A267,'PEER GROUP'!$A:$A,0))</f>
        <v>0</v>
      </c>
      <c r="E267" s="83">
        <f>INDEX('PEER GROUP'!E:E,MATCH(A267,'PEER GROUP'!$A:$A,0))</f>
        <v>0</v>
      </c>
      <c r="F267" s="84">
        <f>INDEX('PEER GROUP'!F:F,MATCH($A267,'PEER GROUP'!$A:$A,0))</f>
        <v>0</v>
      </c>
      <c r="G267" s="84">
        <f>INDEX('PEER GROUP'!G:G,MATCH($A267,'PEER GROUP'!$A:$A,0))</f>
        <v>0</v>
      </c>
      <c r="H267" s="85"/>
      <c r="I267" s="85"/>
      <c r="J267" s="70">
        <f>INDEX('PEER GROUP'!K:K,MATCH($A267,'PEER GROUP'!$A:$A,0))</f>
        <v>0</v>
      </c>
      <c r="K267" s="70">
        <f>INDEX('PEER GROUP'!L:L,MATCH($A267,'PEER GROUP'!$A:$A,0))</f>
        <v>0</v>
      </c>
      <c r="L267" s="70">
        <f>INDEX('PEER GROUP'!M:M,MATCH($A267,'PEER GROUP'!$A:$A,0))</f>
        <v>0</v>
      </c>
      <c r="M267" s="86">
        <f>INDEX('PEER GROUP'!N:N,MATCH($A267,'PEER GROUP'!$A:$A,0))</f>
        <v>0</v>
      </c>
      <c r="N267" s="118"/>
      <c r="O267" s="115"/>
      <c r="P267" s="117"/>
      <c r="Q267" s="87"/>
      <c r="R267" s="87">
        <f t="shared" si="74"/>
        <v>0</v>
      </c>
      <c r="S267" s="87"/>
      <c r="T267" s="87"/>
      <c r="U267" s="87"/>
      <c r="V267" s="87">
        <f t="shared" si="75"/>
        <v>0</v>
      </c>
      <c r="W267" s="113">
        <f t="shared" si="72"/>
        <v>36.913096727263202</v>
      </c>
      <c r="X267" s="69">
        <f t="shared" si="76"/>
        <v>0</v>
      </c>
      <c r="Y267" s="70">
        <f t="shared" si="77"/>
        <v>0</v>
      </c>
      <c r="Z267" s="70">
        <f t="shared" si="78"/>
        <v>0</v>
      </c>
      <c r="AA267" s="70">
        <f t="shared" si="79"/>
        <v>0</v>
      </c>
      <c r="AB267" s="70">
        <f t="shared" si="80"/>
        <v>0</v>
      </c>
      <c r="AC267" s="70">
        <f t="shared" si="81"/>
        <v>0</v>
      </c>
      <c r="AD267" s="71">
        <f t="shared" si="82"/>
        <v>0</v>
      </c>
      <c r="AE267" s="49"/>
      <c r="AF267" s="21"/>
      <c r="AG267" s="69"/>
      <c r="AH267" s="70"/>
      <c r="AI267" s="70"/>
      <c r="AJ267" s="70"/>
      <c r="AK267" s="70"/>
      <c r="AL267" s="70"/>
      <c r="AM267" s="70"/>
      <c r="AN267" s="70" t="str">
        <f t="shared" si="83"/>
        <v>---</v>
      </c>
      <c r="AO267" s="70" t="str">
        <f t="shared" si="84"/>
        <v>---</v>
      </c>
      <c r="AP267" s="70" t="str">
        <f t="shared" si="85"/>
        <v>---</v>
      </c>
      <c r="AQ267" s="70" t="str">
        <f t="shared" si="86"/>
        <v>---</v>
      </c>
      <c r="AR267" s="70" t="str">
        <f t="shared" si="87"/>
        <v>---</v>
      </c>
      <c r="AS267" s="70" t="str">
        <f t="shared" si="88"/>
        <v>---</v>
      </c>
      <c r="AT267" s="71" t="str">
        <f t="shared" si="89"/>
        <v>---</v>
      </c>
    </row>
    <row r="268" spans="1:46" ht="30" customHeight="1" x14ac:dyDescent="0.3">
      <c r="A268" s="123">
        <f t="shared" si="73"/>
        <v>264</v>
      </c>
      <c r="B268" s="140">
        <f>INDEX('PEER GROUP'!B:B,MATCH($A268,'PEER GROUP'!$A:$A,0))</f>
        <v>0</v>
      </c>
      <c r="C268" s="83">
        <f>INDEX('PEER GROUP'!C:C,MATCH($A268,'PEER GROUP'!$A:$A,0))</f>
        <v>0</v>
      </c>
      <c r="D268" s="83">
        <f>INDEX('PEER GROUP'!D:D,MATCH($A268,'PEER GROUP'!$A:$A,0))</f>
        <v>0</v>
      </c>
      <c r="E268" s="83">
        <f>INDEX('PEER GROUP'!E:E,MATCH(A268,'PEER GROUP'!$A:$A,0))</f>
        <v>0</v>
      </c>
      <c r="F268" s="84">
        <f>INDEX('PEER GROUP'!F:F,MATCH($A268,'PEER GROUP'!$A:$A,0))</f>
        <v>0</v>
      </c>
      <c r="G268" s="84">
        <f>INDEX('PEER GROUP'!G:G,MATCH($A268,'PEER GROUP'!$A:$A,0))</f>
        <v>0</v>
      </c>
      <c r="H268" s="85"/>
      <c r="I268" s="85"/>
      <c r="J268" s="70">
        <f>INDEX('PEER GROUP'!K:K,MATCH($A268,'PEER GROUP'!$A:$A,0))</f>
        <v>0</v>
      </c>
      <c r="K268" s="70">
        <f>INDEX('PEER GROUP'!L:L,MATCH($A268,'PEER GROUP'!$A:$A,0))</f>
        <v>0</v>
      </c>
      <c r="L268" s="70">
        <f>INDEX('PEER GROUP'!M:M,MATCH($A268,'PEER GROUP'!$A:$A,0))</f>
        <v>0</v>
      </c>
      <c r="M268" s="86">
        <f>INDEX('PEER GROUP'!N:N,MATCH($A268,'PEER GROUP'!$A:$A,0))</f>
        <v>0</v>
      </c>
      <c r="N268" s="118"/>
      <c r="O268" s="115"/>
      <c r="P268" s="117"/>
      <c r="Q268" s="87"/>
      <c r="R268" s="87">
        <f t="shared" si="74"/>
        <v>0</v>
      </c>
      <c r="S268" s="87"/>
      <c r="T268" s="87"/>
      <c r="U268" s="87"/>
      <c r="V268" s="87">
        <f t="shared" si="75"/>
        <v>0</v>
      </c>
      <c r="W268" s="113">
        <f t="shared" si="72"/>
        <v>36.913096727263202</v>
      </c>
      <c r="X268" s="69">
        <f t="shared" si="76"/>
        <v>0</v>
      </c>
      <c r="Y268" s="70">
        <f t="shared" si="77"/>
        <v>0</v>
      </c>
      <c r="Z268" s="70">
        <f t="shared" si="78"/>
        <v>0</v>
      </c>
      <c r="AA268" s="70">
        <f t="shared" si="79"/>
        <v>0</v>
      </c>
      <c r="AB268" s="70">
        <f t="shared" si="80"/>
        <v>0</v>
      </c>
      <c r="AC268" s="70">
        <f t="shared" si="81"/>
        <v>0</v>
      </c>
      <c r="AD268" s="71">
        <f t="shared" si="82"/>
        <v>0</v>
      </c>
      <c r="AE268" s="49"/>
      <c r="AF268" s="21"/>
      <c r="AG268" s="69"/>
      <c r="AH268" s="70"/>
      <c r="AI268" s="70"/>
      <c r="AJ268" s="70"/>
      <c r="AK268" s="70"/>
      <c r="AL268" s="70"/>
      <c r="AM268" s="70"/>
      <c r="AN268" s="70" t="str">
        <f t="shared" si="83"/>
        <v>---</v>
      </c>
      <c r="AO268" s="70" t="str">
        <f t="shared" si="84"/>
        <v>---</v>
      </c>
      <c r="AP268" s="70" t="str">
        <f t="shared" si="85"/>
        <v>---</v>
      </c>
      <c r="AQ268" s="70" t="str">
        <f t="shared" si="86"/>
        <v>---</v>
      </c>
      <c r="AR268" s="70" t="str">
        <f t="shared" si="87"/>
        <v>---</v>
      </c>
      <c r="AS268" s="70" t="str">
        <f t="shared" si="88"/>
        <v>---</v>
      </c>
      <c r="AT268" s="71" t="str">
        <f t="shared" si="89"/>
        <v>---</v>
      </c>
    </row>
    <row r="269" spans="1:46" ht="30" customHeight="1" x14ac:dyDescent="0.3">
      <c r="A269" s="123">
        <f t="shared" si="73"/>
        <v>265</v>
      </c>
      <c r="B269" s="140">
        <f>INDEX('PEER GROUP'!B:B,MATCH($A269,'PEER GROUP'!$A:$A,0))</f>
        <v>0</v>
      </c>
      <c r="C269" s="83">
        <f>INDEX('PEER GROUP'!C:C,MATCH($A269,'PEER GROUP'!$A:$A,0))</f>
        <v>0</v>
      </c>
      <c r="D269" s="83">
        <f>INDEX('PEER GROUP'!D:D,MATCH($A269,'PEER GROUP'!$A:$A,0))</f>
        <v>0</v>
      </c>
      <c r="E269" s="83">
        <f>INDEX('PEER GROUP'!E:E,MATCH(A269,'PEER GROUP'!$A:$A,0))</f>
        <v>0</v>
      </c>
      <c r="F269" s="84">
        <f>INDEX('PEER GROUP'!F:F,MATCH($A269,'PEER GROUP'!$A:$A,0))</f>
        <v>0</v>
      </c>
      <c r="G269" s="84">
        <f>INDEX('PEER GROUP'!G:G,MATCH($A269,'PEER GROUP'!$A:$A,0))</f>
        <v>0</v>
      </c>
      <c r="H269" s="85"/>
      <c r="I269" s="85"/>
      <c r="J269" s="70">
        <f>INDEX('PEER GROUP'!K:K,MATCH($A269,'PEER GROUP'!$A:$A,0))</f>
        <v>0</v>
      </c>
      <c r="K269" s="70">
        <f>INDEX('PEER GROUP'!L:L,MATCH($A269,'PEER GROUP'!$A:$A,0))</f>
        <v>0</v>
      </c>
      <c r="L269" s="70">
        <f>INDEX('PEER GROUP'!M:M,MATCH($A269,'PEER GROUP'!$A:$A,0))</f>
        <v>0</v>
      </c>
      <c r="M269" s="86">
        <f>INDEX('PEER GROUP'!N:N,MATCH($A269,'PEER GROUP'!$A:$A,0))</f>
        <v>0</v>
      </c>
      <c r="N269" s="118"/>
      <c r="O269" s="115"/>
      <c r="P269" s="117"/>
      <c r="Q269" s="87"/>
      <c r="R269" s="87">
        <f t="shared" si="74"/>
        <v>0</v>
      </c>
      <c r="S269" s="87"/>
      <c r="T269" s="87"/>
      <c r="U269" s="87"/>
      <c r="V269" s="87">
        <f t="shared" si="75"/>
        <v>0</v>
      </c>
      <c r="W269" s="113">
        <f t="shared" si="72"/>
        <v>36.913096727263202</v>
      </c>
      <c r="X269" s="69">
        <f t="shared" si="76"/>
        <v>0</v>
      </c>
      <c r="Y269" s="70">
        <f t="shared" si="77"/>
        <v>0</v>
      </c>
      <c r="Z269" s="70">
        <f t="shared" si="78"/>
        <v>0</v>
      </c>
      <c r="AA269" s="70">
        <f t="shared" si="79"/>
        <v>0</v>
      </c>
      <c r="AB269" s="70">
        <f t="shared" si="80"/>
        <v>0</v>
      </c>
      <c r="AC269" s="70">
        <f t="shared" si="81"/>
        <v>0</v>
      </c>
      <c r="AD269" s="71">
        <f t="shared" si="82"/>
        <v>0</v>
      </c>
      <c r="AE269" s="49"/>
      <c r="AF269" s="21"/>
      <c r="AG269" s="69"/>
      <c r="AH269" s="70"/>
      <c r="AI269" s="70"/>
      <c r="AJ269" s="70"/>
      <c r="AK269" s="70"/>
      <c r="AL269" s="70"/>
      <c r="AM269" s="70"/>
      <c r="AN269" s="70" t="str">
        <f t="shared" si="83"/>
        <v>---</v>
      </c>
      <c r="AO269" s="70" t="str">
        <f t="shared" si="84"/>
        <v>---</v>
      </c>
      <c r="AP269" s="70" t="str">
        <f t="shared" si="85"/>
        <v>---</v>
      </c>
      <c r="AQ269" s="70" t="str">
        <f t="shared" si="86"/>
        <v>---</v>
      </c>
      <c r="AR269" s="70" t="str">
        <f t="shared" si="87"/>
        <v>---</v>
      </c>
      <c r="AS269" s="70" t="str">
        <f t="shared" si="88"/>
        <v>---</v>
      </c>
      <c r="AT269" s="71" t="str">
        <f t="shared" si="89"/>
        <v>---</v>
      </c>
    </row>
    <row r="270" spans="1:46" ht="30" customHeight="1" x14ac:dyDescent="0.3">
      <c r="A270" s="123">
        <f t="shared" si="73"/>
        <v>266</v>
      </c>
      <c r="B270" s="140">
        <f>INDEX('PEER GROUP'!B:B,MATCH($A270,'PEER GROUP'!$A:$A,0))</f>
        <v>0</v>
      </c>
      <c r="C270" s="83">
        <f>INDEX('PEER GROUP'!C:C,MATCH($A270,'PEER GROUP'!$A:$A,0))</f>
        <v>0</v>
      </c>
      <c r="D270" s="83">
        <f>INDEX('PEER GROUP'!D:D,MATCH($A270,'PEER GROUP'!$A:$A,0))</f>
        <v>0</v>
      </c>
      <c r="E270" s="83">
        <f>INDEX('PEER GROUP'!E:E,MATCH(A270,'PEER GROUP'!$A:$A,0))</f>
        <v>0</v>
      </c>
      <c r="F270" s="84">
        <f>INDEX('PEER GROUP'!F:F,MATCH($A270,'PEER GROUP'!$A:$A,0))</f>
        <v>0</v>
      </c>
      <c r="G270" s="84">
        <f>INDEX('PEER GROUP'!G:G,MATCH($A270,'PEER GROUP'!$A:$A,0))</f>
        <v>0</v>
      </c>
      <c r="H270" s="85"/>
      <c r="I270" s="85"/>
      <c r="J270" s="70">
        <f>INDEX('PEER GROUP'!K:K,MATCH($A270,'PEER GROUP'!$A:$A,0))</f>
        <v>0</v>
      </c>
      <c r="K270" s="70">
        <f>INDEX('PEER GROUP'!L:L,MATCH($A270,'PEER GROUP'!$A:$A,0))</f>
        <v>0</v>
      </c>
      <c r="L270" s="70">
        <f>INDEX('PEER GROUP'!M:M,MATCH($A270,'PEER GROUP'!$A:$A,0))</f>
        <v>0</v>
      </c>
      <c r="M270" s="86">
        <f>INDEX('PEER GROUP'!N:N,MATCH($A270,'PEER GROUP'!$A:$A,0))</f>
        <v>0</v>
      </c>
      <c r="N270" s="118"/>
      <c r="O270" s="115"/>
      <c r="P270" s="117"/>
      <c r="Q270" s="87"/>
      <c r="R270" s="87">
        <f t="shared" si="74"/>
        <v>0</v>
      </c>
      <c r="S270" s="87"/>
      <c r="T270" s="87"/>
      <c r="U270" s="87"/>
      <c r="V270" s="87">
        <f t="shared" si="75"/>
        <v>0</v>
      </c>
      <c r="W270" s="113">
        <f t="shared" si="72"/>
        <v>36.913096727263202</v>
      </c>
      <c r="X270" s="69">
        <f t="shared" si="76"/>
        <v>0</v>
      </c>
      <c r="Y270" s="70">
        <f t="shared" si="77"/>
        <v>0</v>
      </c>
      <c r="Z270" s="70">
        <f t="shared" si="78"/>
        <v>0</v>
      </c>
      <c r="AA270" s="70">
        <f t="shared" si="79"/>
        <v>0</v>
      </c>
      <c r="AB270" s="70">
        <f t="shared" si="80"/>
        <v>0</v>
      </c>
      <c r="AC270" s="70">
        <f t="shared" si="81"/>
        <v>0</v>
      </c>
      <c r="AD270" s="71">
        <f t="shared" si="82"/>
        <v>0</v>
      </c>
      <c r="AE270" s="49"/>
      <c r="AF270" s="21"/>
      <c r="AG270" s="69"/>
      <c r="AH270" s="70"/>
      <c r="AI270" s="70"/>
      <c r="AJ270" s="70"/>
      <c r="AK270" s="70"/>
      <c r="AL270" s="70"/>
      <c r="AM270" s="70"/>
      <c r="AN270" s="70" t="str">
        <f t="shared" si="83"/>
        <v>---</v>
      </c>
      <c r="AO270" s="70" t="str">
        <f t="shared" si="84"/>
        <v>---</v>
      </c>
      <c r="AP270" s="70" t="str">
        <f t="shared" si="85"/>
        <v>---</v>
      </c>
      <c r="AQ270" s="70" t="str">
        <f t="shared" si="86"/>
        <v>---</v>
      </c>
      <c r="AR270" s="70" t="str">
        <f t="shared" si="87"/>
        <v>---</v>
      </c>
      <c r="AS270" s="70" t="str">
        <f t="shared" si="88"/>
        <v>---</v>
      </c>
      <c r="AT270" s="71" t="str">
        <f t="shared" si="89"/>
        <v>---</v>
      </c>
    </row>
    <row r="271" spans="1:46" ht="30" customHeight="1" x14ac:dyDescent="0.3">
      <c r="A271" s="123">
        <f t="shared" si="73"/>
        <v>267</v>
      </c>
      <c r="B271" s="140">
        <f>INDEX('PEER GROUP'!B:B,MATCH($A271,'PEER GROUP'!$A:$A,0))</f>
        <v>0</v>
      </c>
      <c r="C271" s="83">
        <f>INDEX('PEER GROUP'!C:C,MATCH($A271,'PEER GROUP'!$A:$A,0))</f>
        <v>0</v>
      </c>
      <c r="D271" s="83">
        <f>INDEX('PEER GROUP'!D:D,MATCH($A271,'PEER GROUP'!$A:$A,0))</f>
        <v>0</v>
      </c>
      <c r="E271" s="83">
        <f>INDEX('PEER GROUP'!E:E,MATCH(A271,'PEER GROUP'!$A:$A,0))</f>
        <v>0</v>
      </c>
      <c r="F271" s="84">
        <f>INDEX('PEER GROUP'!F:F,MATCH($A271,'PEER GROUP'!$A:$A,0))</f>
        <v>0</v>
      </c>
      <c r="G271" s="84">
        <f>INDEX('PEER GROUP'!G:G,MATCH($A271,'PEER GROUP'!$A:$A,0))</f>
        <v>0</v>
      </c>
      <c r="H271" s="85"/>
      <c r="I271" s="85"/>
      <c r="J271" s="70">
        <f>INDEX('PEER GROUP'!K:K,MATCH($A271,'PEER GROUP'!$A:$A,0))</f>
        <v>0</v>
      </c>
      <c r="K271" s="70">
        <f>INDEX('PEER GROUP'!L:L,MATCH($A271,'PEER GROUP'!$A:$A,0))</f>
        <v>0</v>
      </c>
      <c r="L271" s="70">
        <f>INDEX('PEER GROUP'!M:M,MATCH($A271,'PEER GROUP'!$A:$A,0))</f>
        <v>0</v>
      </c>
      <c r="M271" s="86">
        <f>INDEX('PEER GROUP'!N:N,MATCH($A271,'PEER GROUP'!$A:$A,0))</f>
        <v>0</v>
      </c>
      <c r="N271" s="118"/>
      <c r="O271" s="115"/>
      <c r="P271" s="117"/>
      <c r="Q271" s="87"/>
      <c r="R271" s="87">
        <f t="shared" si="74"/>
        <v>0</v>
      </c>
      <c r="S271" s="87"/>
      <c r="T271" s="87"/>
      <c r="U271" s="87"/>
      <c r="V271" s="87">
        <f t="shared" si="75"/>
        <v>0</v>
      </c>
      <c r="W271" s="113">
        <f t="shared" si="72"/>
        <v>36.913096727263202</v>
      </c>
      <c r="X271" s="69">
        <f t="shared" si="76"/>
        <v>0</v>
      </c>
      <c r="Y271" s="70">
        <f t="shared" si="77"/>
        <v>0</v>
      </c>
      <c r="Z271" s="70">
        <f t="shared" si="78"/>
        <v>0</v>
      </c>
      <c r="AA271" s="70">
        <f t="shared" si="79"/>
        <v>0</v>
      </c>
      <c r="AB271" s="70">
        <f t="shared" si="80"/>
        <v>0</v>
      </c>
      <c r="AC271" s="70">
        <f t="shared" si="81"/>
        <v>0</v>
      </c>
      <c r="AD271" s="71">
        <f t="shared" si="82"/>
        <v>0</v>
      </c>
      <c r="AE271" s="49"/>
      <c r="AF271" s="21"/>
      <c r="AG271" s="69"/>
      <c r="AH271" s="70"/>
      <c r="AI271" s="70"/>
      <c r="AJ271" s="70"/>
      <c r="AK271" s="70"/>
      <c r="AL271" s="70"/>
      <c r="AM271" s="70"/>
      <c r="AN271" s="70" t="str">
        <f t="shared" si="83"/>
        <v>---</v>
      </c>
      <c r="AO271" s="70" t="str">
        <f t="shared" si="84"/>
        <v>---</v>
      </c>
      <c r="AP271" s="70" t="str">
        <f t="shared" si="85"/>
        <v>---</v>
      </c>
      <c r="AQ271" s="70" t="str">
        <f t="shared" si="86"/>
        <v>---</v>
      </c>
      <c r="AR271" s="70" t="str">
        <f t="shared" si="87"/>
        <v>---</v>
      </c>
      <c r="AS271" s="70" t="str">
        <f t="shared" si="88"/>
        <v>---</v>
      </c>
      <c r="AT271" s="71" t="str">
        <f t="shared" si="89"/>
        <v>---</v>
      </c>
    </row>
    <row r="272" spans="1:46" ht="30" customHeight="1" x14ac:dyDescent="0.3">
      <c r="A272" s="123">
        <f t="shared" si="73"/>
        <v>268</v>
      </c>
      <c r="B272" s="140">
        <f>INDEX('PEER GROUP'!B:B,MATCH($A272,'PEER GROUP'!$A:$A,0))</f>
        <v>0</v>
      </c>
      <c r="C272" s="83">
        <f>INDEX('PEER GROUP'!C:C,MATCH($A272,'PEER GROUP'!$A:$A,0))</f>
        <v>0</v>
      </c>
      <c r="D272" s="83">
        <f>INDEX('PEER GROUP'!D:D,MATCH($A272,'PEER GROUP'!$A:$A,0))</f>
        <v>0</v>
      </c>
      <c r="E272" s="83">
        <f>INDEX('PEER GROUP'!E:E,MATCH(A272,'PEER GROUP'!$A:$A,0))</f>
        <v>0</v>
      </c>
      <c r="F272" s="84">
        <f>INDEX('PEER GROUP'!F:F,MATCH($A272,'PEER GROUP'!$A:$A,0))</f>
        <v>0</v>
      </c>
      <c r="G272" s="84">
        <f>INDEX('PEER GROUP'!G:G,MATCH($A272,'PEER GROUP'!$A:$A,0))</f>
        <v>0</v>
      </c>
      <c r="H272" s="85"/>
      <c r="I272" s="85"/>
      <c r="J272" s="70">
        <f>INDEX('PEER GROUP'!K:K,MATCH($A272,'PEER GROUP'!$A:$A,0))</f>
        <v>0</v>
      </c>
      <c r="K272" s="70">
        <f>INDEX('PEER GROUP'!L:L,MATCH($A272,'PEER GROUP'!$A:$A,0))</f>
        <v>0</v>
      </c>
      <c r="L272" s="70">
        <f>INDEX('PEER GROUP'!M:M,MATCH($A272,'PEER GROUP'!$A:$A,0))</f>
        <v>0</v>
      </c>
      <c r="M272" s="86">
        <f>INDEX('PEER GROUP'!N:N,MATCH($A272,'PEER GROUP'!$A:$A,0))</f>
        <v>0</v>
      </c>
      <c r="N272" s="118"/>
      <c r="O272" s="115"/>
      <c r="P272" s="117"/>
      <c r="Q272" s="87"/>
      <c r="R272" s="87">
        <f t="shared" si="74"/>
        <v>0</v>
      </c>
      <c r="S272" s="87"/>
      <c r="T272" s="87"/>
      <c r="U272" s="87"/>
      <c r="V272" s="87">
        <f t="shared" si="75"/>
        <v>0</v>
      </c>
      <c r="W272" s="113">
        <f t="shared" si="72"/>
        <v>36.913096727263202</v>
      </c>
      <c r="X272" s="69">
        <f t="shared" si="76"/>
        <v>0</v>
      </c>
      <c r="Y272" s="70">
        <f t="shared" si="77"/>
        <v>0</v>
      </c>
      <c r="Z272" s="70">
        <f t="shared" si="78"/>
        <v>0</v>
      </c>
      <c r="AA272" s="70">
        <f t="shared" si="79"/>
        <v>0</v>
      </c>
      <c r="AB272" s="70">
        <f t="shared" si="80"/>
        <v>0</v>
      </c>
      <c r="AC272" s="70">
        <f t="shared" si="81"/>
        <v>0</v>
      </c>
      <c r="AD272" s="71">
        <f t="shared" si="82"/>
        <v>0</v>
      </c>
      <c r="AE272" s="49"/>
      <c r="AF272" s="21"/>
      <c r="AG272" s="69"/>
      <c r="AH272" s="70"/>
      <c r="AI272" s="70"/>
      <c r="AJ272" s="70"/>
      <c r="AK272" s="70"/>
      <c r="AL272" s="70"/>
      <c r="AM272" s="70"/>
      <c r="AN272" s="70" t="str">
        <f t="shared" si="83"/>
        <v>---</v>
      </c>
      <c r="AO272" s="70" t="str">
        <f t="shared" si="84"/>
        <v>---</v>
      </c>
      <c r="AP272" s="70" t="str">
        <f t="shared" si="85"/>
        <v>---</v>
      </c>
      <c r="AQ272" s="70" t="str">
        <f t="shared" si="86"/>
        <v>---</v>
      </c>
      <c r="AR272" s="70" t="str">
        <f t="shared" si="87"/>
        <v>---</v>
      </c>
      <c r="AS272" s="70" t="str">
        <f t="shared" si="88"/>
        <v>---</v>
      </c>
      <c r="AT272" s="71" t="str">
        <f t="shared" si="89"/>
        <v>---</v>
      </c>
    </row>
    <row r="273" spans="1:46" ht="30" customHeight="1" x14ac:dyDescent="0.3">
      <c r="A273" s="123">
        <f t="shared" si="73"/>
        <v>269</v>
      </c>
      <c r="B273" s="140">
        <f>INDEX('PEER GROUP'!B:B,MATCH($A273,'PEER GROUP'!$A:$A,0))</f>
        <v>0</v>
      </c>
      <c r="C273" s="83">
        <f>INDEX('PEER GROUP'!C:C,MATCH($A273,'PEER GROUP'!$A:$A,0))</f>
        <v>0</v>
      </c>
      <c r="D273" s="83">
        <f>INDEX('PEER GROUP'!D:D,MATCH($A273,'PEER GROUP'!$A:$A,0))</f>
        <v>0</v>
      </c>
      <c r="E273" s="83">
        <f>INDEX('PEER GROUP'!E:E,MATCH(A273,'PEER GROUP'!$A:$A,0))</f>
        <v>0</v>
      </c>
      <c r="F273" s="84">
        <f>INDEX('PEER GROUP'!F:F,MATCH($A273,'PEER GROUP'!$A:$A,0))</f>
        <v>0</v>
      </c>
      <c r="G273" s="84">
        <f>INDEX('PEER GROUP'!G:G,MATCH($A273,'PEER GROUP'!$A:$A,0))</f>
        <v>0</v>
      </c>
      <c r="H273" s="85"/>
      <c r="I273" s="85"/>
      <c r="J273" s="70">
        <f>INDEX('PEER GROUP'!K:K,MATCH($A273,'PEER GROUP'!$A:$A,0))</f>
        <v>0</v>
      </c>
      <c r="K273" s="70">
        <f>INDEX('PEER GROUP'!L:L,MATCH($A273,'PEER GROUP'!$A:$A,0))</f>
        <v>0</v>
      </c>
      <c r="L273" s="70">
        <f>INDEX('PEER GROUP'!M:M,MATCH($A273,'PEER GROUP'!$A:$A,0))</f>
        <v>0</v>
      </c>
      <c r="M273" s="86">
        <f>INDEX('PEER GROUP'!N:N,MATCH($A273,'PEER GROUP'!$A:$A,0))</f>
        <v>0</v>
      </c>
      <c r="N273" s="118"/>
      <c r="O273" s="115"/>
      <c r="P273" s="117"/>
      <c r="Q273" s="87"/>
      <c r="R273" s="87">
        <f t="shared" si="74"/>
        <v>0</v>
      </c>
      <c r="S273" s="87"/>
      <c r="T273" s="87"/>
      <c r="U273" s="87"/>
      <c r="V273" s="87">
        <f t="shared" si="75"/>
        <v>0</v>
      </c>
      <c r="W273" s="113">
        <f t="shared" si="72"/>
        <v>36.913096727263202</v>
      </c>
      <c r="X273" s="69">
        <f t="shared" si="76"/>
        <v>0</v>
      </c>
      <c r="Y273" s="70">
        <f t="shared" si="77"/>
        <v>0</v>
      </c>
      <c r="Z273" s="70">
        <f t="shared" si="78"/>
        <v>0</v>
      </c>
      <c r="AA273" s="70">
        <f t="shared" si="79"/>
        <v>0</v>
      </c>
      <c r="AB273" s="70">
        <f t="shared" si="80"/>
        <v>0</v>
      </c>
      <c r="AC273" s="70">
        <f t="shared" si="81"/>
        <v>0</v>
      </c>
      <c r="AD273" s="71">
        <f t="shared" si="82"/>
        <v>0</v>
      </c>
      <c r="AE273" s="49"/>
      <c r="AF273" s="21"/>
      <c r="AG273" s="69"/>
      <c r="AH273" s="70"/>
      <c r="AI273" s="70"/>
      <c r="AJ273" s="70"/>
      <c r="AK273" s="70"/>
      <c r="AL273" s="70"/>
      <c r="AM273" s="70"/>
      <c r="AN273" s="70" t="str">
        <f t="shared" si="83"/>
        <v>---</v>
      </c>
      <c r="AO273" s="70" t="str">
        <f t="shared" si="84"/>
        <v>---</v>
      </c>
      <c r="AP273" s="70" t="str">
        <f t="shared" si="85"/>
        <v>---</v>
      </c>
      <c r="AQ273" s="70" t="str">
        <f t="shared" si="86"/>
        <v>---</v>
      </c>
      <c r="AR273" s="70" t="str">
        <f t="shared" si="87"/>
        <v>---</v>
      </c>
      <c r="AS273" s="70" t="str">
        <f t="shared" si="88"/>
        <v>---</v>
      </c>
      <c r="AT273" s="71" t="str">
        <f t="shared" si="89"/>
        <v>---</v>
      </c>
    </row>
    <row r="274" spans="1:46" ht="30" customHeight="1" x14ac:dyDescent="0.3">
      <c r="A274" s="123">
        <f t="shared" si="73"/>
        <v>270</v>
      </c>
      <c r="B274" s="140">
        <f>INDEX('PEER GROUP'!B:B,MATCH($A274,'PEER GROUP'!$A:$A,0))</f>
        <v>0</v>
      </c>
      <c r="C274" s="83">
        <f>INDEX('PEER GROUP'!C:C,MATCH($A274,'PEER GROUP'!$A:$A,0))</f>
        <v>0</v>
      </c>
      <c r="D274" s="83">
        <f>INDEX('PEER GROUP'!D:D,MATCH($A274,'PEER GROUP'!$A:$A,0))</f>
        <v>0</v>
      </c>
      <c r="E274" s="83">
        <f>INDEX('PEER GROUP'!E:E,MATCH(A274,'PEER GROUP'!$A:$A,0))</f>
        <v>0</v>
      </c>
      <c r="F274" s="84">
        <f>INDEX('PEER GROUP'!F:F,MATCH($A274,'PEER GROUP'!$A:$A,0))</f>
        <v>0</v>
      </c>
      <c r="G274" s="84">
        <f>INDEX('PEER GROUP'!G:G,MATCH($A274,'PEER GROUP'!$A:$A,0))</f>
        <v>0</v>
      </c>
      <c r="H274" s="85"/>
      <c r="I274" s="85"/>
      <c r="J274" s="70">
        <f>INDEX('PEER GROUP'!K:K,MATCH($A274,'PEER GROUP'!$A:$A,0))</f>
        <v>0</v>
      </c>
      <c r="K274" s="70">
        <f>INDEX('PEER GROUP'!L:L,MATCH($A274,'PEER GROUP'!$A:$A,0))</f>
        <v>0</v>
      </c>
      <c r="L274" s="70">
        <f>INDEX('PEER GROUP'!M:M,MATCH($A274,'PEER GROUP'!$A:$A,0))</f>
        <v>0</v>
      </c>
      <c r="M274" s="86">
        <f>INDEX('PEER GROUP'!N:N,MATCH($A274,'PEER GROUP'!$A:$A,0))</f>
        <v>0</v>
      </c>
      <c r="N274" s="118"/>
      <c r="O274" s="115"/>
      <c r="P274" s="117"/>
      <c r="Q274" s="87"/>
      <c r="R274" s="87">
        <f t="shared" si="74"/>
        <v>0</v>
      </c>
      <c r="S274" s="87"/>
      <c r="T274" s="87"/>
      <c r="U274" s="87"/>
      <c r="V274" s="87">
        <f t="shared" si="75"/>
        <v>0</v>
      </c>
      <c r="W274" s="113">
        <f t="shared" si="72"/>
        <v>36.913096727263202</v>
      </c>
      <c r="X274" s="69">
        <f t="shared" si="76"/>
        <v>0</v>
      </c>
      <c r="Y274" s="70">
        <f t="shared" si="77"/>
        <v>0</v>
      </c>
      <c r="Z274" s="70">
        <f t="shared" si="78"/>
        <v>0</v>
      </c>
      <c r="AA274" s="70">
        <f t="shared" si="79"/>
        <v>0</v>
      </c>
      <c r="AB274" s="70">
        <f t="shared" si="80"/>
        <v>0</v>
      </c>
      <c r="AC274" s="70">
        <f t="shared" si="81"/>
        <v>0</v>
      </c>
      <c r="AD274" s="71">
        <f t="shared" si="82"/>
        <v>0</v>
      </c>
      <c r="AE274" s="49"/>
      <c r="AF274" s="21"/>
      <c r="AG274" s="69"/>
      <c r="AH274" s="70"/>
      <c r="AI274" s="70"/>
      <c r="AJ274" s="70"/>
      <c r="AK274" s="70"/>
      <c r="AL274" s="70"/>
      <c r="AM274" s="70"/>
      <c r="AN274" s="70" t="str">
        <f t="shared" si="83"/>
        <v>---</v>
      </c>
      <c r="AO274" s="70" t="str">
        <f t="shared" si="84"/>
        <v>---</v>
      </c>
      <c r="AP274" s="70" t="str">
        <f t="shared" si="85"/>
        <v>---</v>
      </c>
      <c r="AQ274" s="70" t="str">
        <f t="shared" si="86"/>
        <v>---</v>
      </c>
      <c r="AR274" s="70" t="str">
        <f t="shared" si="87"/>
        <v>---</v>
      </c>
      <c r="AS274" s="70" t="str">
        <f t="shared" si="88"/>
        <v>---</v>
      </c>
      <c r="AT274" s="71" t="str">
        <f t="shared" si="89"/>
        <v>---</v>
      </c>
    </row>
    <row r="275" spans="1:46" ht="30" customHeight="1" x14ac:dyDescent="0.3">
      <c r="A275" s="123">
        <f t="shared" si="73"/>
        <v>271</v>
      </c>
      <c r="B275" s="140">
        <f>INDEX('PEER GROUP'!B:B,MATCH($A275,'PEER GROUP'!$A:$A,0))</f>
        <v>0</v>
      </c>
      <c r="C275" s="83">
        <f>INDEX('PEER GROUP'!C:C,MATCH($A275,'PEER GROUP'!$A:$A,0))</f>
        <v>0</v>
      </c>
      <c r="D275" s="83">
        <f>INDEX('PEER GROUP'!D:D,MATCH($A275,'PEER GROUP'!$A:$A,0))</f>
        <v>0</v>
      </c>
      <c r="E275" s="83">
        <f>INDEX('PEER GROUP'!E:E,MATCH(A275,'PEER GROUP'!$A:$A,0))</f>
        <v>0</v>
      </c>
      <c r="F275" s="84">
        <f>INDEX('PEER GROUP'!F:F,MATCH($A275,'PEER GROUP'!$A:$A,0))</f>
        <v>0</v>
      </c>
      <c r="G275" s="84">
        <f>INDEX('PEER GROUP'!G:G,MATCH($A275,'PEER GROUP'!$A:$A,0))</f>
        <v>0</v>
      </c>
      <c r="H275" s="85"/>
      <c r="I275" s="85"/>
      <c r="J275" s="70">
        <f>INDEX('PEER GROUP'!K:K,MATCH($A275,'PEER GROUP'!$A:$A,0))</f>
        <v>0</v>
      </c>
      <c r="K275" s="70">
        <f>INDEX('PEER GROUP'!L:L,MATCH($A275,'PEER GROUP'!$A:$A,0))</f>
        <v>0</v>
      </c>
      <c r="L275" s="70">
        <f>INDEX('PEER GROUP'!M:M,MATCH($A275,'PEER GROUP'!$A:$A,0))</f>
        <v>0</v>
      </c>
      <c r="M275" s="86">
        <f>INDEX('PEER GROUP'!N:N,MATCH($A275,'PEER GROUP'!$A:$A,0))</f>
        <v>0</v>
      </c>
      <c r="N275" s="118"/>
      <c r="O275" s="115"/>
      <c r="P275" s="117"/>
      <c r="Q275" s="87"/>
      <c r="R275" s="87">
        <f t="shared" si="74"/>
        <v>0</v>
      </c>
      <c r="S275" s="87"/>
      <c r="T275" s="87"/>
      <c r="U275" s="87"/>
      <c r="V275" s="87">
        <f t="shared" si="75"/>
        <v>0</v>
      </c>
      <c r="W275" s="113">
        <f t="shared" si="72"/>
        <v>36.913096727263202</v>
      </c>
      <c r="X275" s="69">
        <f t="shared" si="76"/>
        <v>0</v>
      </c>
      <c r="Y275" s="70">
        <f t="shared" si="77"/>
        <v>0</v>
      </c>
      <c r="Z275" s="70">
        <f t="shared" si="78"/>
        <v>0</v>
      </c>
      <c r="AA275" s="70">
        <f t="shared" si="79"/>
        <v>0</v>
      </c>
      <c r="AB275" s="70">
        <f t="shared" si="80"/>
        <v>0</v>
      </c>
      <c r="AC275" s="70">
        <f t="shared" si="81"/>
        <v>0</v>
      </c>
      <c r="AD275" s="71">
        <f t="shared" si="82"/>
        <v>0</v>
      </c>
      <c r="AE275" s="49"/>
      <c r="AF275" s="21"/>
      <c r="AG275" s="69"/>
      <c r="AH275" s="70"/>
      <c r="AI275" s="70"/>
      <c r="AJ275" s="70"/>
      <c r="AK275" s="70"/>
      <c r="AL275" s="70"/>
      <c r="AM275" s="70"/>
      <c r="AN275" s="70" t="str">
        <f t="shared" si="83"/>
        <v>---</v>
      </c>
      <c r="AO275" s="70" t="str">
        <f t="shared" si="84"/>
        <v>---</v>
      </c>
      <c r="AP275" s="70" t="str">
        <f t="shared" si="85"/>
        <v>---</v>
      </c>
      <c r="AQ275" s="70" t="str">
        <f t="shared" si="86"/>
        <v>---</v>
      </c>
      <c r="AR275" s="70" t="str">
        <f t="shared" si="87"/>
        <v>---</v>
      </c>
      <c r="AS275" s="70" t="str">
        <f t="shared" si="88"/>
        <v>---</v>
      </c>
      <c r="AT275" s="71" t="str">
        <f t="shared" si="89"/>
        <v>---</v>
      </c>
    </row>
    <row r="276" spans="1:46" ht="30" customHeight="1" x14ac:dyDescent="0.3">
      <c r="A276" s="123">
        <f t="shared" si="73"/>
        <v>272</v>
      </c>
      <c r="B276" s="140">
        <f>INDEX('PEER GROUP'!B:B,MATCH($A276,'PEER GROUP'!$A:$A,0))</f>
        <v>0</v>
      </c>
      <c r="C276" s="83">
        <f>INDEX('PEER GROUP'!C:C,MATCH($A276,'PEER GROUP'!$A:$A,0))</f>
        <v>0</v>
      </c>
      <c r="D276" s="83">
        <f>INDEX('PEER GROUP'!D:D,MATCH($A276,'PEER GROUP'!$A:$A,0))</f>
        <v>0</v>
      </c>
      <c r="E276" s="83">
        <f>INDEX('PEER GROUP'!E:E,MATCH(A276,'PEER GROUP'!$A:$A,0))</f>
        <v>0</v>
      </c>
      <c r="F276" s="84">
        <f>INDEX('PEER GROUP'!F:F,MATCH($A276,'PEER GROUP'!$A:$A,0))</f>
        <v>0</v>
      </c>
      <c r="G276" s="84">
        <f>INDEX('PEER GROUP'!G:G,MATCH($A276,'PEER GROUP'!$A:$A,0))</f>
        <v>0</v>
      </c>
      <c r="H276" s="85"/>
      <c r="I276" s="85"/>
      <c r="J276" s="70">
        <f>INDEX('PEER GROUP'!K:K,MATCH($A276,'PEER GROUP'!$A:$A,0))</f>
        <v>0</v>
      </c>
      <c r="K276" s="70">
        <f>INDEX('PEER GROUP'!L:L,MATCH($A276,'PEER GROUP'!$A:$A,0))</f>
        <v>0</v>
      </c>
      <c r="L276" s="70">
        <f>INDEX('PEER GROUP'!M:M,MATCH($A276,'PEER GROUP'!$A:$A,0))</f>
        <v>0</v>
      </c>
      <c r="M276" s="86">
        <f>INDEX('PEER GROUP'!N:N,MATCH($A276,'PEER GROUP'!$A:$A,0))</f>
        <v>0</v>
      </c>
      <c r="N276" s="118"/>
      <c r="O276" s="115"/>
      <c r="P276" s="117"/>
      <c r="Q276" s="87"/>
      <c r="R276" s="87">
        <f t="shared" si="74"/>
        <v>0</v>
      </c>
      <c r="S276" s="87"/>
      <c r="T276" s="87"/>
      <c r="U276" s="87"/>
      <c r="V276" s="87">
        <f t="shared" si="75"/>
        <v>0</v>
      </c>
      <c r="W276" s="113">
        <f t="shared" si="72"/>
        <v>36.913096727263202</v>
      </c>
      <c r="X276" s="69">
        <f t="shared" si="76"/>
        <v>0</v>
      </c>
      <c r="Y276" s="70">
        <f t="shared" si="77"/>
        <v>0</v>
      </c>
      <c r="Z276" s="70">
        <f t="shared" si="78"/>
        <v>0</v>
      </c>
      <c r="AA276" s="70">
        <f t="shared" si="79"/>
        <v>0</v>
      </c>
      <c r="AB276" s="70">
        <f t="shared" si="80"/>
        <v>0</v>
      </c>
      <c r="AC276" s="70">
        <f t="shared" si="81"/>
        <v>0</v>
      </c>
      <c r="AD276" s="71">
        <f t="shared" si="82"/>
        <v>0</v>
      </c>
      <c r="AE276" s="49"/>
      <c r="AF276" s="21"/>
      <c r="AG276" s="69"/>
      <c r="AH276" s="70"/>
      <c r="AI276" s="70"/>
      <c r="AJ276" s="70"/>
      <c r="AK276" s="70"/>
      <c r="AL276" s="70"/>
      <c r="AM276" s="70"/>
      <c r="AN276" s="70" t="str">
        <f t="shared" si="83"/>
        <v>---</v>
      </c>
      <c r="AO276" s="70" t="str">
        <f t="shared" si="84"/>
        <v>---</v>
      </c>
      <c r="AP276" s="70" t="str">
        <f t="shared" si="85"/>
        <v>---</v>
      </c>
      <c r="AQ276" s="70" t="str">
        <f t="shared" si="86"/>
        <v>---</v>
      </c>
      <c r="AR276" s="70" t="str">
        <f t="shared" si="87"/>
        <v>---</v>
      </c>
      <c r="AS276" s="70" t="str">
        <f t="shared" si="88"/>
        <v>---</v>
      </c>
      <c r="AT276" s="71" t="str">
        <f t="shared" si="89"/>
        <v>---</v>
      </c>
    </row>
    <row r="277" spans="1:46" ht="30" customHeight="1" x14ac:dyDescent="0.3">
      <c r="A277" s="123">
        <f t="shared" si="73"/>
        <v>273</v>
      </c>
      <c r="B277" s="140">
        <f>INDEX('PEER GROUP'!B:B,MATCH($A277,'PEER GROUP'!$A:$A,0))</f>
        <v>0</v>
      </c>
      <c r="C277" s="83">
        <f>INDEX('PEER GROUP'!C:C,MATCH($A277,'PEER GROUP'!$A:$A,0))</f>
        <v>0</v>
      </c>
      <c r="D277" s="83">
        <f>INDEX('PEER GROUP'!D:D,MATCH($A277,'PEER GROUP'!$A:$A,0))</f>
        <v>0</v>
      </c>
      <c r="E277" s="83">
        <f>INDEX('PEER GROUP'!E:E,MATCH(A277,'PEER GROUP'!$A:$A,0))</f>
        <v>0</v>
      </c>
      <c r="F277" s="84">
        <f>INDEX('PEER GROUP'!F:F,MATCH($A277,'PEER GROUP'!$A:$A,0))</f>
        <v>0</v>
      </c>
      <c r="G277" s="84">
        <f>INDEX('PEER GROUP'!G:G,MATCH($A277,'PEER GROUP'!$A:$A,0))</f>
        <v>0</v>
      </c>
      <c r="H277" s="85"/>
      <c r="I277" s="85"/>
      <c r="J277" s="70">
        <f>INDEX('PEER GROUP'!K:K,MATCH($A277,'PEER GROUP'!$A:$A,0))</f>
        <v>0</v>
      </c>
      <c r="K277" s="70">
        <f>INDEX('PEER GROUP'!L:L,MATCH($A277,'PEER GROUP'!$A:$A,0))</f>
        <v>0</v>
      </c>
      <c r="L277" s="70">
        <f>INDEX('PEER GROUP'!M:M,MATCH($A277,'PEER GROUP'!$A:$A,0))</f>
        <v>0</v>
      </c>
      <c r="M277" s="86">
        <f>INDEX('PEER GROUP'!N:N,MATCH($A277,'PEER GROUP'!$A:$A,0))</f>
        <v>0</v>
      </c>
      <c r="N277" s="118"/>
      <c r="O277" s="115"/>
      <c r="P277" s="117"/>
      <c r="Q277" s="87"/>
      <c r="R277" s="87">
        <f t="shared" si="74"/>
        <v>0</v>
      </c>
      <c r="S277" s="87"/>
      <c r="T277" s="87"/>
      <c r="U277" s="87"/>
      <c r="V277" s="87">
        <f t="shared" si="75"/>
        <v>0</v>
      </c>
      <c r="W277" s="113">
        <f t="shared" si="72"/>
        <v>36.913096727263202</v>
      </c>
      <c r="X277" s="69">
        <f t="shared" si="76"/>
        <v>0</v>
      </c>
      <c r="Y277" s="70">
        <f t="shared" si="77"/>
        <v>0</v>
      </c>
      <c r="Z277" s="70">
        <f t="shared" si="78"/>
        <v>0</v>
      </c>
      <c r="AA277" s="70">
        <f t="shared" si="79"/>
        <v>0</v>
      </c>
      <c r="AB277" s="70">
        <f t="shared" si="80"/>
        <v>0</v>
      </c>
      <c r="AC277" s="70">
        <f t="shared" si="81"/>
        <v>0</v>
      </c>
      <c r="AD277" s="71">
        <f t="shared" si="82"/>
        <v>0</v>
      </c>
      <c r="AE277" s="49"/>
      <c r="AF277" s="21"/>
      <c r="AG277" s="69"/>
      <c r="AH277" s="70"/>
      <c r="AI277" s="70"/>
      <c r="AJ277" s="70"/>
      <c r="AK277" s="70"/>
      <c r="AL277" s="70"/>
      <c r="AM277" s="70"/>
      <c r="AN277" s="70" t="str">
        <f t="shared" si="83"/>
        <v>---</v>
      </c>
      <c r="AO277" s="70" t="str">
        <f t="shared" si="84"/>
        <v>---</v>
      </c>
      <c r="AP277" s="70" t="str">
        <f t="shared" si="85"/>
        <v>---</v>
      </c>
      <c r="AQ277" s="70" t="str">
        <f t="shared" si="86"/>
        <v>---</v>
      </c>
      <c r="AR277" s="70" t="str">
        <f t="shared" si="87"/>
        <v>---</v>
      </c>
      <c r="AS277" s="70" t="str">
        <f t="shared" si="88"/>
        <v>---</v>
      </c>
      <c r="AT277" s="71" t="str">
        <f t="shared" si="89"/>
        <v>---</v>
      </c>
    </row>
    <row r="278" spans="1:46" ht="30" customHeight="1" x14ac:dyDescent="0.3">
      <c r="A278" s="123">
        <f t="shared" si="73"/>
        <v>274</v>
      </c>
      <c r="B278" s="140">
        <f>INDEX('PEER GROUP'!B:B,MATCH($A278,'PEER GROUP'!$A:$A,0))</f>
        <v>0</v>
      </c>
      <c r="C278" s="83">
        <f>INDEX('PEER GROUP'!C:C,MATCH($A278,'PEER GROUP'!$A:$A,0))</f>
        <v>0</v>
      </c>
      <c r="D278" s="83">
        <f>INDEX('PEER GROUP'!D:D,MATCH($A278,'PEER GROUP'!$A:$A,0))</f>
        <v>0</v>
      </c>
      <c r="E278" s="83">
        <f>INDEX('PEER GROUP'!E:E,MATCH(A278,'PEER GROUP'!$A:$A,0))</f>
        <v>0</v>
      </c>
      <c r="F278" s="84">
        <f>INDEX('PEER GROUP'!F:F,MATCH($A278,'PEER GROUP'!$A:$A,0))</f>
        <v>0</v>
      </c>
      <c r="G278" s="84">
        <f>INDEX('PEER GROUP'!G:G,MATCH($A278,'PEER GROUP'!$A:$A,0))</f>
        <v>0</v>
      </c>
      <c r="H278" s="85"/>
      <c r="I278" s="85"/>
      <c r="J278" s="70">
        <f>INDEX('PEER GROUP'!K:K,MATCH($A278,'PEER GROUP'!$A:$A,0))</f>
        <v>0</v>
      </c>
      <c r="K278" s="70">
        <f>INDEX('PEER GROUP'!L:L,MATCH($A278,'PEER GROUP'!$A:$A,0))</f>
        <v>0</v>
      </c>
      <c r="L278" s="70">
        <f>INDEX('PEER GROUP'!M:M,MATCH($A278,'PEER GROUP'!$A:$A,0))</f>
        <v>0</v>
      </c>
      <c r="M278" s="86">
        <f>INDEX('PEER GROUP'!N:N,MATCH($A278,'PEER GROUP'!$A:$A,0))</f>
        <v>0</v>
      </c>
      <c r="N278" s="118"/>
      <c r="O278" s="115"/>
      <c r="P278" s="117"/>
      <c r="Q278" s="87"/>
      <c r="R278" s="87">
        <f t="shared" si="74"/>
        <v>0</v>
      </c>
      <c r="S278" s="87"/>
      <c r="T278" s="87"/>
      <c r="U278" s="87"/>
      <c r="V278" s="87">
        <f t="shared" si="75"/>
        <v>0</v>
      </c>
      <c r="W278" s="113">
        <f t="shared" si="72"/>
        <v>36.913096727263202</v>
      </c>
      <c r="X278" s="69">
        <f t="shared" si="76"/>
        <v>0</v>
      </c>
      <c r="Y278" s="70">
        <f t="shared" si="77"/>
        <v>0</v>
      </c>
      <c r="Z278" s="70">
        <f t="shared" si="78"/>
        <v>0</v>
      </c>
      <c r="AA278" s="70">
        <f t="shared" si="79"/>
        <v>0</v>
      </c>
      <c r="AB278" s="70">
        <f t="shared" si="80"/>
        <v>0</v>
      </c>
      <c r="AC278" s="70">
        <f t="shared" si="81"/>
        <v>0</v>
      </c>
      <c r="AD278" s="71">
        <f t="shared" si="82"/>
        <v>0</v>
      </c>
      <c r="AE278" s="49"/>
      <c r="AF278" s="21"/>
      <c r="AG278" s="69"/>
      <c r="AH278" s="70"/>
      <c r="AI278" s="70"/>
      <c r="AJ278" s="70"/>
      <c r="AK278" s="70"/>
      <c r="AL278" s="70"/>
      <c r="AM278" s="70"/>
      <c r="AN278" s="70" t="str">
        <f t="shared" si="83"/>
        <v>---</v>
      </c>
      <c r="AO278" s="70" t="str">
        <f t="shared" si="84"/>
        <v>---</v>
      </c>
      <c r="AP278" s="70" t="str">
        <f t="shared" si="85"/>
        <v>---</v>
      </c>
      <c r="AQ278" s="70" t="str">
        <f t="shared" si="86"/>
        <v>---</v>
      </c>
      <c r="AR278" s="70" t="str">
        <f t="shared" si="87"/>
        <v>---</v>
      </c>
      <c r="AS278" s="70" t="str">
        <f t="shared" si="88"/>
        <v>---</v>
      </c>
      <c r="AT278" s="71" t="str">
        <f t="shared" si="89"/>
        <v>---</v>
      </c>
    </row>
    <row r="279" spans="1:46" ht="30" customHeight="1" x14ac:dyDescent="0.3">
      <c r="A279" s="123">
        <f t="shared" si="73"/>
        <v>275</v>
      </c>
      <c r="B279" s="140">
        <f>INDEX('PEER GROUP'!B:B,MATCH($A279,'PEER GROUP'!$A:$A,0))</f>
        <v>0</v>
      </c>
      <c r="C279" s="83">
        <f>INDEX('PEER GROUP'!C:C,MATCH($A279,'PEER GROUP'!$A:$A,0))</f>
        <v>0</v>
      </c>
      <c r="D279" s="83">
        <f>INDEX('PEER GROUP'!D:D,MATCH($A279,'PEER GROUP'!$A:$A,0))</f>
        <v>0</v>
      </c>
      <c r="E279" s="83">
        <f>INDEX('PEER GROUP'!E:E,MATCH(A279,'PEER GROUP'!$A:$A,0))</f>
        <v>0</v>
      </c>
      <c r="F279" s="84">
        <f>INDEX('PEER GROUP'!F:F,MATCH($A279,'PEER GROUP'!$A:$A,0))</f>
        <v>0</v>
      </c>
      <c r="G279" s="84">
        <f>INDEX('PEER GROUP'!G:G,MATCH($A279,'PEER GROUP'!$A:$A,0))</f>
        <v>0</v>
      </c>
      <c r="H279" s="85"/>
      <c r="I279" s="85"/>
      <c r="J279" s="70">
        <f>INDEX('PEER GROUP'!K:K,MATCH($A279,'PEER GROUP'!$A:$A,0))</f>
        <v>0</v>
      </c>
      <c r="K279" s="70">
        <f>INDEX('PEER GROUP'!L:L,MATCH($A279,'PEER GROUP'!$A:$A,0))</f>
        <v>0</v>
      </c>
      <c r="L279" s="70">
        <f>INDEX('PEER GROUP'!M:M,MATCH($A279,'PEER GROUP'!$A:$A,0))</f>
        <v>0</v>
      </c>
      <c r="M279" s="86">
        <f>INDEX('PEER GROUP'!N:N,MATCH($A279,'PEER GROUP'!$A:$A,0))</f>
        <v>0</v>
      </c>
      <c r="N279" s="118"/>
      <c r="O279" s="115"/>
      <c r="P279" s="117"/>
      <c r="Q279" s="87"/>
      <c r="R279" s="87">
        <f t="shared" si="74"/>
        <v>0</v>
      </c>
      <c r="S279" s="87"/>
      <c r="T279" s="87"/>
      <c r="U279" s="87"/>
      <c r="V279" s="87">
        <f t="shared" si="75"/>
        <v>0</v>
      </c>
      <c r="W279" s="113">
        <f t="shared" si="72"/>
        <v>36.913096727263202</v>
      </c>
      <c r="X279" s="69">
        <f t="shared" si="76"/>
        <v>0</v>
      </c>
      <c r="Y279" s="70">
        <f t="shared" si="77"/>
        <v>0</v>
      </c>
      <c r="Z279" s="70">
        <f t="shared" si="78"/>
        <v>0</v>
      </c>
      <c r="AA279" s="70">
        <f t="shared" si="79"/>
        <v>0</v>
      </c>
      <c r="AB279" s="70">
        <f t="shared" si="80"/>
        <v>0</v>
      </c>
      <c r="AC279" s="70">
        <f t="shared" si="81"/>
        <v>0</v>
      </c>
      <c r="AD279" s="71">
        <f t="shared" si="82"/>
        <v>0</v>
      </c>
      <c r="AE279" s="49"/>
      <c r="AF279" s="21"/>
      <c r="AG279" s="69"/>
      <c r="AH279" s="70"/>
      <c r="AI279" s="70"/>
      <c r="AJ279" s="70"/>
      <c r="AK279" s="70"/>
      <c r="AL279" s="70"/>
      <c r="AM279" s="70"/>
      <c r="AN279" s="70" t="str">
        <f t="shared" si="83"/>
        <v>---</v>
      </c>
      <c r="AO279" s="70" t="str">
        <f t="shared" si="84"/>
        <v>---</v>
      </c>
      <c r="AP279" s="70" t="str">
        <f t="shared" si="85"/>
        <v>---</v>
      </c>
      <c r="AQ279" s="70" t="str">
        <f t="shared" si="86"/>
        <v>---</v>
      </c>
      <c r="AR279" s="70" t="str">
        <f t="shared" si="87"/>
        <v>---</v>
      </c>
      <c r="AS279" s="70" t="str">
        <f t="shared" si="88"/>
        <v>---</v>
      </c>
      <c r="AT279" s="71" t="str">
        <f t="shared" si="89"/>
        <v>---</v>
      </c>
    </row>
    <row r="280" spans="1:46" ht="30" customHeight="1" x14ac:dyDescent="0.3">
      <c r="A280" s="123">
        <f t="shared" si="73"/>
        <v>276</v>
      </c>
      <c r="B280" s="140">
        <f>INDEX('PEER GROUP'!B:B,MATCH($A280,'PEER GROUP'!$A:$A,0))</f>
        <v>0</v>
      </c>
      <c r="C280" s="83">
        <f>INDEX('PEER GROUP'!C:C,MATCH($A280,'PEER GROUP'!$A:$A,0))</f>
        <v>0</v>
      </c>
      <c r="D280" s="83">
        <f>INDEX('PEER GROUP'!D:D,MATCH($A280,'PEER GROUP'!$A:$A,0))</f>
        <v>0</v>
      </c>
      <c r="E280" s="83">
        <f>INDEX('PEER GROUP'!E:E,MATCH(A280,'PEER GROUP'!$A:$A,0))</f>
        <v>0</v>
      </c>
      <c r="F280" s="84">
        <f>INDEX('PEER GROUP'!F:F,MATCH($A280,'PEER GROUP'!$A:$A,0))</f>
        <v>0</v>
      </c>
      <c r="G280" s="84">
        <f>INDEX('PEER GROUP'!G:G,MATCH($A280,'PEER GROUP'!$A:$A,0))</f>
        <v>0</v>
      </c>
      <c r="H280" s="85"/>
      <c r="I280" s="85"/>
      <c r="J280" s="70">
        <f>INDEX('PEER GROUP'!K:K,MATCH($A280,'PEER GROUP'!$A:$A,0))</f>
        <v>0</v>
      </c>
      <c r="K280" s="70">
        <f>INDEX('PEER GROUP'!L:L,MATCH($A280,'PEER GROUP'!$A:$A,0))</f>
        <v>0</v>
      </c>
      <c r="L280" s="70">
        <f>INDEX('PEER GROUP'!M:M,MATCH($A280,'PEER GROUP'!$A:$A,0))</f>
        <v>0</v>
      </c>
      <c r="M280" s="86">
        <f>INDEX('PEER GROUP'!N:N,MATCH($A280,'PEER GROUP'!$A:$A,0))</f>
        <v>0</v>
      </c>
      <c r="N280" s="118"/>
      <c r="O280" s="115"/>
      <c r="P280" s="117"/>
      <c r="Q280" s="87"/>
      <c r="R280" s="87">
        <f t="shared" si="74"/>
        <v>0</v>
      </c>
      <c r="S280" s="87"/>
      <c r="T280" s="87"/>
      <c r="U280" s="87"/>
      <c r="V280" s="87">
        <f t="shared" si="75"/>
        <v>0</v>
      </c>
      <c r="W280" s="113">
        <f t="shared" si="72"/>
        <v>36.913096727263202</v>
      </c>
      <c r="X280" s="69">
        <f t="shared" si="76"/>
        <v>0</v>
      </c>
      <c r="Y280" s="70">
        <f t="shared" si="77"/>
        <v>0</v>
      </c>
      <c r="Z280" s="70">
        <f t="shared" si="78"/>
        <v>0</v>
      </c>
      <c r="AA280" s="70">
        <f t="shared" si="79"/>
        <v>0</v>
      </c>
      <c r="AB280" s="70">
        <f t="shared" si="80"/>
        <v>0</v>
      </c>
      <c r="AC280" s="70">
        <f t="shared" si="81"/>
        <v>0</v>
      </c>
      <c r="AD280" s="71">
        <f t="shared" si="82"/>
        <v>0</v>
      </c>
      <c r="AE280" s="49"/>
      <c r="AF280" s="21"/>
      <c r="AG280" s="69"/>
      <c r="AH280" s="70"/>
      <c r="AI280" s="70"/>
      <c r="AJ280" s="70"/>
      <c r="AK280" s="70"/>
      <c r="AL280" s="70"/>
      <c r="AM280" s="70"/>
      <c r="AN280" s="70" t="str">
        <f t="shared" si="83"/>
        <v>---</v>
      </c>
      <c r="AO280" s="70" t="str">
        <f t="shared" si="84"/>
        <v>---</v>
      </c>
      <c r="AP280" s="70" t="str">
        <f t="shared" si="85"/>
        <v>---</v>
      </c>
      <c r="AQ280" s="70" t="str">
        <f t="shared" si="86"/>
        <v>---</v>
      </c>
      <c r="AR280" s="70" t="str">
        <f t="shared" si="87"/>
        <v>---</v>
      </c>
      <c r="AS280" s="70" t="str">
        <f t="shared" si="88"/>
        <v>---</v>
      </c>
      <c r="AT280" s="71" t="str">
        <f t="shared" si="89"/>
        <v>---</v>
      </c>
    </row>
    <row r="281" spans="1:46" ht="30" customHeight="1" x14ac:dyDescent="0.3">
      <c r="A281" s="123">
        <f t="shared" si="73"/>
        <v>277</v>
      </c>
      <c r="B281" s="140">
        <f>INDEX('PEER GROUP'!B:B,MATCH($A281,'PEER GROUP'!$A:$A,0))</f>
        <v>0</v>
      </c>
      <c r="C281" s="83">
        <f>INDEX('PEER GROUP'!C:C,MATCH($A281,'PEER GROUP'!$A:$A,0))</f>
        <v>0</v>
      </c>
      <c r="D281" s="83">
        <f>INDEX('PEER GROUP'!D:D,MATCH($A281,'PEER GROUP'!$A:$A,0))</f>
        <v>0</v>
      </c>
      <c r="E281" s="83">
        <f>INDEX('PEER GROUP'!E:E,MATCH(A281,'PEER GROUP'!$A:$A,0))</f>
        <v>0</v>
      </c>
      <c r="F281" s="84">
        <f>INDEX('PEER GROUP'!F:F,MATCH($A281,'PEER GROUP'!$A:$A,0))</f>
        <v>0</v>
      </c>
      <c r="G281" s="84">
        <f>INDEX('PEER GROUP'!G:G,MATCH($A281,'PEER GROUP'!$A:$A,0))</f>
        <v>0</v>
      </c>
      <c r="H281" s="85"/>
      <c r="I281" s="85"/>
      <c r="J281" s="70">
        <f>INDEX('PEER GROUP'!K:K,MATCH($A281,'PEER GROUP'!$A:$A,0))</f>
        <v>0</v>
      </c>
      <c r="K281" s="70">
        <f>INDEX('PEER GROUP'!L:L,MATCH($A281,'PEER GROUP'!$A:$A,0))</f>
        <v>0</v>
      </c>
      <c r="L281" s="70">
        <f>INDEX('PEER GROUP'!M:M,MATCH($A281,'PEER GROUP'!$A:$A,0))</f>
        <v>0</v>
      </c>
      <c r="M281" s="86">
        <f>INDEX('PEER GROUP'!N:N,MATCH($A281,'PEER GROUP'!$A:$A,0))</f>
        <v>0</v>
      </c>
      <c r="N281" s="118"/>
      <c r="O281" s="115"/>
      <c r="P281" s="117"/>
      <c r="Q281" s="87"/>
      <c r="R281" s="87">
        <f t="shared" si="74"/>
        <v>0</v>
      </c>
      <c r="S281" s="87"/>
      <c r="T281" s="87"/>
      <c r="U281" s="87"/>
      <c r="V281" s="87">
        <f t="shared" si="75"/>
        <v>0</v>
      </c>
      <c r="W281" s="113">
        <f t="shared" si="72"/>
        <v>36.913096727263202</v>
      </c>
      <c r="X281" s="69">
        <f t="shared" si="76"/>
        <v>0</v>
      </c>
      <c r="Y281" s="70">
        <f t="shared" si="77"/>
        <v>0</v>
      </c>
      <c r="Z281" s="70">
        <f t="shared" si="78"/>
        <v>0</v>
      </c>
      <c r="AA281" s="70">
        <f t="shared" si="79"/>
        <v>0</v>
      </c>
      <c r="AB281" s="70">
        <f t="shared" si="80"/>
        <v>0</v>
      </c>
      <c r="AC281" s="70">
        <f t="shared" si="81"/>
        <v>0</v>
      </c>
      <c r="AD281" s="71">
        <f t="shared" si="82"/>
        <v>0</v>
      </c>
      <c r="AE281" s="49"/>
      <c r="AF281" s="21"/>
      <c r="AG281" s="69"/>
      <c r="AH281" s="70"/>
      <c r="AI281" s="70"/>
      <c r="AJ281" s="70"/>
      <c r="AK281" s="70"/>
      <c r="AL281" s="70"/>
      <c r="AM281" s="70"/>
      <c r="AN281" s="70" t="str">
        <f t="shared" si="83"/>
        <v>---</v>
      </c>
      <c r="AO281" s="70" t="str">
        <f t="shared" si="84"/>
        <v>---</v>
      </c>
      <c r="AP281" s="70" t="str">
        <f t="shared" si="85"/>
        <v>---</v>
      </c>
      <c r="AQ281" s="70" t="str">
        <f t="shared" si="86"/>
        <v>---</v>
      </c>
      <c r="AR281" s="70" t="str">
        <f t="shared" si="87"/>
        <v>---</v>
      </c>
      <c r="AS281" s="70" t="str">
        <f t="shared" si="88"/>
        <v>---</v>
      </c>
      <c r="AT281" s="71" t="str">
        <f t="shared" si="89"/>
        <v>---</v>
      </c>
    </row>
    <row r="282" spans="1:46" ht="30" customHeight="1" x14ac:dyDescent="0.3">
      <c r="A282" s="123">
        <f t="shared" si="73"/>
        <v>278</v>
      </c>
      <c r="B282" s="140">
        <f>INDEX('PEER GROUP'!B:B,MATCH($A282,'PEER GROUP'!$A:$A,0))</f>
        <v>0</v>
      </c>
      <c r="C282" s="83">
        <f>INDEX('PEER GROUP'!C:C,MATCH($A282,'PEER GROUP'!$A:$A,0))</f>
        <v>0</v>
      </c>
      <c r="D282" s="83">
        <f>INDEX('PEER GROUP'!D:D,MATCH($A282,'PEER GROUP'!$A:$A,0))</f>
        <v>0</v>
      </c>
      <c r="E282" s="83">
        <f>INDEX('PEER GROUP'!E:E,MATCH(A282,'PEER GROUP'!$A:$A,0))</f>
        <v>0</v>
      </c>
      <c r="F282" s="84">
        <f>INDEX('PEER GROUP'!F:F,MATCH($A282,'PEER GROUP'!$A:$A,0))</f>
        <v>0</v>
      </c>
      <c r="G282" s="84">
        <f>INDEX('PEER GROUP'!G:G,MATCH($A282,'PEER GROUP'!$A:$A,0))</f>
        <v>0</v>
      </c>
      <c r="H282" s="85"/>
      <c r="I282" s="85"/>
      <c r="J282" s="70">
        <f>INDEX('PEER GROUP'!K:K,MATCH($A282,'PEER GROUP'!$A:$A,0))</f>
        <v>0</v>
      </c>
      <c r="K282" s="70">
        <f>INDEX('PEER GROUP'!L:L,MATCH($A282,'PEER GROUP'!$A:$A,0))</f>
        <v>0</v>
      </c>
      <c r="L282" s="70">
        <f>INDEX('PEER GROUP'!M:M,MATCH($A282,'PEER GROUP'!$A:$A,0))</f>
        <v>0</v>
      </c>
      <c r="M282" s="86">
        <f>INDEX('PEER GROUP'!N:N,MATCH($A282,'PEER GROUP'!$A:$A,0))</f>
        <v>0</v>
      </c>
      <c r="N282" s="118"/>
      <c r="O282" s="115"/>
      <c r="P282" s="117"/>
      <c r="Q282" s="87"/>
      <c r="R282" s="87">
        <f t="shared" si="74"/>
        <v>0</v>
      </c>
      <c r="S282" s="87"/>
      <c r="T282" s="87"/>
      <c r="U282" s="87"/>
      <c r="V282" s="87">
        <f t="shared" si="75"/>
        <v>0</v>
      </c>
      <c r="W282" s="113">
        <f t="shared" si="72"/>
        <v>36.913096727263202</v>
      </c>
      <c r="X282" s="69">
        <f t="shared" si="76"/>
        <v>0</v>
      </c>
      <c r="Y282" s="70">
        <f t="shared" si="77"/>
        <v>0</v>
      </c>
      <c r="Z282" s="70">
        <f t="shared" si="78"/>
        <v>0</v>
      </c>
      <c r="AA282" s="70">
        <f t="shared" si="79"/>
        <v>0</v>
      </c>
      <c r="AB282" s="70">
        <f t="shared" si="80"/>
        <v>0</v>
      </c>
      <c r="AC282" s="70">
        <f t="shared" si="81"/>
        <v>0</v>
      </c>
      <c r="AD282" s="71">
        <f t="shared" si="82"/>
        <v>0</v>
      </c>
      <c r="AE282" s="49"/>
      <c r="AF282" s="21"/>
      <c r="AG282" s="69"/>
      <c r="AH282" s="70"/>
      <c r="AI282" s="70"/>
      <c r="AJ282" s="70"/>
      <c r="AK282" s="70"/>
      <c r="AL282" s="70"/>
      <c r="AM282" s="70"/>
      <c r="AN282" s="70" t="str">
        <f t="shared" si="83"/>
        <v>---</v>
      </c>
      <c r="AO282" s="70" t="str">
        <f t="shared" si="84"/>
        <v>---</v>
      </c>
      <c r="AP282" s="70" t="str">
        <f t="shared" si="85"/>
        <v>---</v>
      </c>
      <c r="AQ282" s="70" t="str">
        <f t="shared" si="86"/>
        <v>---</v>
      </c>
      <c r="AR282" s="70" t="str">
        <f t="shared" si="87"/>
        <v>---</v>
      </c>
      <c r="AS282" s="70" t="str">
        <f t="shared" si="88"/>
        <v>---</v>
      </c>
      <c r="AT282" s="71" t="str">
        <f t="shared" si="89"/>
        <v>---</v>
      </c>
    </row>
    <row r="283" spans="1:46" ht="30" customHeight="1" x14ac:dyDescent="0.3">
      <c r="A283" s="123">
        <f t="shared" si="73"/>
        <v>279</v>
      </c>
      <c r="B283" s="140">
        <f>INDEX('PEER GROUP'!B:B,MATCH($A283,'PEER GROUP'!$A:$A,0))</f>
        <v>0</v>
      </c>
      <c r="C283" s="83">
        <f>INDEX('PEER GROUP'!C:C,MATCH($A283,'PEER GROUP'!$A:$A,0))</f>
        <v>0</v>
      </c>
      <c r="D283" s="83">
        <f>INDEX('PEER GROUP'!D:D,MATCH($A283,'PEER GROUP'!$A:$A,0))</f>
        <v>0</v>
      </c>
      <c r="E283" s="83">
        <f>INDEX('PEER GROUP'!E:E,MATCH(A283,'PEER GROUP'!$A:$A,0))</f>
        <v>0</v>
      </c>
      <c r="F283" s="84">
        <f>INDEX('PEER GROUP'!F:F,MATCH($A283,'PEER GROUP'!$A:$A,0))</f>
        <v>0</v>
      </c>
      <c r="G283" s="84">
        <f>INDEX('PEER GROUP'!G:G,MATCH($A283,'PEER GROUP'!$A:$A,0))</f>
        <v>0</v>
      </c>
      <c r="H283" s="85"/>
      <c r="I283" s="85"/>
      <c r="J283" s="70">
        <f>INDEX('PEER GROUP'!K:K,MATCH($A283,'PEER GROUP'!$A:$A,0))</f>
        <v>0</v>
      </c>
      <c r="K283" s="70">
        <f>INDEX('PEER GROUP'!L:L,MATCH($A283,'PEER GROUP'!$A:$A,0))</f>
        <v>0</v>
      </c>
      <c r="L283" s="70">
        <f>INDEX('PEER GROUP'!M:M,MATCH($A283,'PEER GROUP'!$A:$A,0))</f>
        <v>0</v>
      </c>
      <c r="M283" s="86">
        <f>INDEX('PEER GROUP'!N:N,MATCH($A283,'PEER GROUP'!$A:$A,0))</f>
        <v>0</v>
      </c>
      <c r="N283" s="118"/>
      <c r="O283" s="115"/>
      <c r="P283" s="117"/>
      <c r="Q283" s="87"/>
      <c r="R283" s="87">
        <f t="shared" si="74"/>
        <v>0</v>
      </c>
      <c r="S283" s="87"/>
      <c r="T283" s="87"/>
      <c r="U283" s="87"/>
      <c r="V283" s="87">
        <f t="shared" si="75"/>
        <v>0</v>
      </c>
      <c r="W283" s="113">
        <f t="shared" si="72"/>
        <v>36.913096727263202</v>
      </c>
      <c r="X283" s="69">
        <f t="shared" si="76"/>
        <v>0</v>
      </c>
      <c r="Y283" s="70">
        <f t="shared" si="77"/>
        <v>0</v>
      </c>
      <c r="Z283" s="70">
        <f t="shared" si="78"/>
        <v>0</v>
      </c>
      <c r="AA283" s="70">
        <f t="shared" si="79"/>
        <v>0</v>
      </c>
      <c r="AB283" s="70">
        <f t="shared" si="80"/>
        <v>0</v>
      </c>
      <c r="AC283" s="70">
        <f t="shared" si="81"/>
        <v>0</v>
      </c>
      <c r="AD283" s="71">
        <f t="shared" si="82"/>
        <v>0</v>
      </c>
      <c r="AE283" s="49"/>
      <c r="AF283" s="21"/>
      <c r="AG283" s="69"/>
      <c r="AH283" s="70"/>
      <c r="AI283" s="70"/>
      <c r="AJ283" s="70"/>
      <c r="AK283" s="70"/>
      <c r="AL283" s="70"/>
      <c r="AM283" s="70"/>
      <c r="AN283" s="70" t="str">
        <f t="shared" si="83"/>
        <v>---</v>
      </c>
      <c r="AO283" s="70" t="str">
        <f t="shared" si="84"/>
        <v>---</v>
      </c>
      <c r="AP283" s="70" t="str">
        <f t="shared" si="85"/>
        <v>---</v>
      </c>
      <c r="AQ283" s="70" t="str">
        <f t="shared" si="86"/>
        <v>---</v>
      </c>
      <c r="AR283" s="70" t="str">
        <f t="shared" si="87"/>
        <v>---</v>
      </c>
      <c r="AS283" s="70" t="str">
        <f t="shared" si="88"/>
        <v>---</v>
      </c>
      <c r="AT283" s="71" t="str">
        <f t="shared" si="89"/>
        <v>---</v>
      </c>
    </row>
    <row r="284" spans="1:46" ht="30" customHeight="1" x14ac:dyDescent="0.3">
      <c r="A284" s="123">
        <f t="shared" si="73"/>
        <v>280</v>
      </c>
      <c r="B284" s="140">
        <f>INDEX('PEER GROUP'!B:B,MATCH($A284,'PEER GROUP'!$A:$A,0))</f>
        <v>0</v>
      </c>
      <c r="C284" s="83">
        <f>INDEX('PEER GROUP'!C:C,MATCH($A284,'PEER GROUP'!$A:$A,0))</f>
        <v>0</v>
      </c>
      <c r="D284" s="83">
        <f>INDEX('PEER GROUP'!D:D,MATCH($A284,'PEER GROUP'!$A:$A,0))</f>
        <v>0</v>
      </c>
      <c r="E284" s="83">
        <f>INDEX('PEER GROUP'!E:E,MATCH(A284,'PEER GROUP'!$A:$A,0))</f>
        <v>0</v>
      </c>
      <c r="F284" s="84">
        <f>INDEX('PEER GROUP'!F:F,MATCH($A284,'PEER GROUP'!$A:$A,0))</f>
        <v>0</v>
      </c>
      <c r="G284" s="84">
        <f>INDEX('PEER GROUP'!G:G,MATCH($A284,'PEER GROUP'!$A:$A,0))</f>
        <v>0</v>
      </c>
      <c r="H284" s="85"/>
      <c r="I284" s="85"/>
      <c r="J284" s="70">
        <f>INDEX('PEER GROUP'!K:K,MATCH($A284,'PEER GROUP'!$A:$A,0))</f>
        <v>0</v>
      </c>
      <c r="K284" s="70">
        <f>INDEX('PEER GROUP'!L:L,MATCH($A284,'PEER GROUP'!$A:$A,0))</f>
        <v>0</v>
      </c>
      <c r="L284" s="70">
        <f>INDEX('PEER GROUP'!M:M,MATCH($A284,'PEER GROUP'!$A:$A,0))</f>
        <v>0</v>
      </c>
      <c r="M284" s="86">
        <f>INDEX('PEER GROUP'!N:N,MATCH($A284,'PEER GROUP'!$A:$A,0))</f>
        <v>0</v>
      </c>
      <c r="N284" s="118"/>
      <c r="O284" s="115"/>
      <c r="P284" s="117"/>
      <c r="Q284" s="87"/>
      <c r="R284" s="87">
        <f t="shared" si="74"/>
        <v>0</v>
      </c>
      <c r="S284" s="87"/>
      <c r="T284" s="87"/>
      <c r="U284" s="87"/>
      <c r="V284" s="87">
        <f t="shared" si="75"/>
        <v>0</v>
      </c>
      <c r="W284" s="113">
        <f t="shared" si="72"/>
        <v>36.913096727263202</v>
      </c>
      <c r="X284" s="69">
        <f t="shared" si="76"/>
        <v>0</v>
      </c>
      <c r="Y284" s="70">
        <f t="shared" si="77"/>
        <v>0</v>
      </c>
      <c r="Z284" s="70">
        <f t="shared" si="78"/>
        <v>0</v>
      </c>
      <c r="AA284" s="70">
        <f t="shared" si="79"/>
        <v>0</v>
      </c>
      <c r="AB284" s="70">
        <f t="shared" si="80"/>
        <v>0</v>
      </c>
      <c r="AC284" s="70">
        <f t="shared" si="81"/>
        <v>0</v>
      </c>
      <c r="AD284" s="71">
        <f t="shared" si="82"/>
        <v>0</v>
      </c>
      <c r="AE284" s="49"/>
      <c r="AF284" s="21"/>
      <c r="AG284" s="69"/>
      <c r="AH284" s="70"/>
      <c r="AI284" s="70"/>
      <c r="AJ284" s="70"/>
      <c r="AK284" s="70"/>
      <c r="AL284" s="70"/>
      <c r="AM284" s="70"/>
      <c r="AN284" s="70" t="str">
        <f t="shared" si="83"/>
        <v>---</v>
      </c>
      <c r="AO284" s="70" t="str">
        <f t="shared" si="84"/>
        <v>---</v>
      </c>
      <c r="AP284" s="70" t="str">
        <f t="shared" si="85"/>
        <v>---</v>
      </c>
      <c r="AQ284" s="70" t="str">
        <f t="shared" si="86"/>
        <v>---</v>
      </c>
      <c r="AR284" s="70" t="str">
        <f t="shared" si="87"/>
        <v>---</v>
      </c>
      <c r="AS284" s="70" t="str">
        <f t="shared" si="88"/>
        <v>---</v>
      </c>
      <c r="AT284" s="71" t="str">
        <f t="shared" si="89"/>
        <v>---</v>
      </c>
    </row>
    <row r="285" spans="1:46" ht="30" customHeight="1" x14ac:dyDescent="0.3">
      <c r="A285" s="123">
        <f t="shared" si="73"/>
        <v>281</v>
      </c>
      <c r="B285" s="140">
        <f>INDEX('PEER GROUP'!B:B,MATCH($A285,'PEER GROUP'!$A:$A,0))</f>
        <v>0</v>
      </c>
      <c r="C285" s="83">
        <f>INDEX('PEER GROUP'!C:C,MATCH($A285,'PEER GROUP'!$A:$A,0))</f>
        <v>0</v>
      </c>
      <c r="D285" s="83">
        <f>INDEX('PEER GROUP'!D:D,MATCH($A285,'PEER GROUP'!$A:$A,0))</f>
        <v>0</v>
      </c>
      <c r="E285" s="83">
        <f>INDEX('PEER GROUP'!E:E,MATCH(A285,'PEER GROUP'!$A:$A,0))</f>
        <v>0</v>
      </c>
      <c r="F285" s="84">
        <f>INDEX('PEER GROUP'!F:F,MATCH($A285,'PEER GROUP'!$A:$A,0))</f>
        <v>0</v>
      </c>
      <c r="G285" s="84">
        <f>INDEX('PEER GROUP'!G:G,MATCH($A285,'PEER GROUP'!$A:$A,0))</f>
        <v>0</v>
      </c>
      <c r="H285" s="85"/>
      <c r="I285" s="85"/>
      <c r="J285" s="70">
        <f>INDEX('PEER GROUP'!K:K,MATCH($A285,'PEER GROUP'!$A:$A,0))</f>
        <v>0</v>
      </c>
      <c r="K285" s="70">
        <f>INDEX('PEER GROUP'!L:L,MATCH($A285,'PEER GROUP'!$A:$A,0))</f>
        <v>0</v>
      </c>
      <c r="L285" s="70">
        <f>INDEX('PEER GROUP'!M:M,MATCH($A285,'PEER GROUP'!$A:$A,0))</f>
        <v>0</v>
      </c>
      <c r="M285" s="86">
        <f>INDEX('PEER GROUP'!N:N,MATCH($A285,'PEER GROUP'!$A:$A,0))</f>
        <v>0</v>
      </c>
      <c r="N285" s="118"/>
      <c r="O285" s="115"/>
      <c r="P285" s="117"/>
      <c r="Q285" s="87"/>
      <c r="R285" s="87">
        <f t="shared" si="74"/>
        <v>0</v>
      </c>
      <c r="S285" s="87"/>
      <c r="T285" s="87"/>
      <c r="U285" s="87"/>
      <c r="V285" s="87">
        <f t="shared" si="75"/>
        <v>0</v>
      </c>
      <c r="W285" s="113">
        <f t="shared" si="72"/>
        <v>36.913096727263202</v>
      </c>
      <c r="X285" s="69">
        <f t="shared" si="76"/>
        <v>0</v>
      </c>
      <c r="Y285" s="70">
        <f t="shared" si="77"/>
        <v>0</v>
      </c>
      <c r="Z285" s="70">
        <f t="shared" si="78"/>
        <v>0</v>
      </c>
      <c r="AA285" s="70">
        <f t="shared" si="79"/>
        <v>0</v>
      </c>
      <c r="AB285" s="70">
        <f t="shared" si="80"/>
        <v>0</v>
      </c>
      <c r="AC285" s="70">
        <f t="shared" si="81"/>
        <v>0</v>
      </c>
      <c r="AD285" s="71">
        <f t="shared" si="82"/>
        <v>0</v>
      </c>
      <c r="AE285" s="49"/>
      <c r="AF285" s="21"/>
      <c r="AG285" s="69"/>
      <c r="AH285" s="70"/>
      <c r="AI285" s="70"/>
      <c r="AJ285" s="70"/>
      <c r="AK285" s="70"/>
      <c r="AL285" s="70"/>
      <c r="AM285" s="70"/>
      <c r="AN285" s="70" t="str">
        <f t="shared" si="83"/>
        <v>---</v>
      </c>
      <c r="AO285" s="70" t="str">
        <f t="shared" si="84"/>
        <v>---</v>
      </c>
      <c r="AP285" s="70" t="str">
        <f t="shared" si="85"/>
        <v>---</v>
      </c>
      <c r="AQ285" s="70" t="str">
        <f t="shared" si="86"/>
        <v>---</v>
      </c>
      <c r="AR285" s="70" t="str">
        <f t="shared" si="87"/>
        <v>---</v>
      </c>
      <c r="AS285" s="70" t="str">
        <f t="shared" si="88"/>
        <v>---</v>
      </c>
      <c r="AT285" s="71" t="str">
        <f t="shared" si="89"/>
        <v>---</v>
      </c>
    </row>
    <row r="286" spans="1:46" ht="30" customHeight="1" x14ac:dyDescent="0.3">
      <c r="A286" s="123">
        <f t="shared" si="73"/>
        <v>282</v>
      </c>
      <c r="B286" s="140">
        <f>INDEX('PEER GROUP'!B:B,MATCH($A286,'PEER GROUP'!$A:$A,0))</f>
        <v>0</v>
      </c>
      <c r="C286" s="83">
        <f>INDEX('PEER GROUP'!C:C,MATCH($A286,'PEER GROUP'!$A:$A,0))</f>
        <v>0</v>
      </c>
      <c r="D286" s="83">
        <f>INDEX('PEER GROUP'!D:D,MATCH($A286,'PEER GROUP'!$A:$A,0))</f>
        <v>0</v>
      </c>
      <c r="E286" s="83">
        <f>INDEX('PEER GROUP'!E:E,MATCH(A286,'PEER GROUP'!$A:$A,0))</f>
        <v>0</v>
      </c>
      <c r="F286" s="84">
        <f>INDEX('PEER GROUP'!F:F,MATCH($A286,'PEER GROUP'!$A:$A,0))</f>
        <v>0</v>
      </c>
      <c r="G286" s="84">
        <f>INDEX('PEER GROUP'!G:G,MATCH($A286,'PEER GROUP'!$A:$A,0))</f>
        <v>0</v>
      </c>
      <c r="H286" s="85"/>
      <c r="I286" s="85"/>
      <c r="J286" s="70">
        <f>INDEX('PEER GROUP'!K:K,MATCH($A286,'PEER GROUP'!$A:$A,0))</f>
        <v>0</v>
      </c>
      <c r="K286" s="70">
        <f>INDEX('PEER GROUP'!L:L,MATCH($A286,'PEER GROUP'!$A:$A,0))</f>
        <v>0</v>
      </c>
      <c r="L286" s="70">
        <f>INDEX('PEER GROUP'!M:M,MATCH($A286,'PEER GROUP'!$A:$A,0))</f>
        <v>0</v>
      </c>
      <c r="M286" s="86">
        <f>INDEX('PEER GROUP'!N:N,MATCH($A286,'PEER GROUP'!$A:$A,0))</f>
        <v>0</v>
      </c>
      <c r="N286" s="118"/>
      <c r="O286" s="115"/>
      <c r="P286" s="117"/>
      <c r="Q286" s="87"/>
      <c r="R286" s="87">
        <f t="shared" si="74"/>
        <v>0</v>
      </c>
      <c r="S286" s="87"/>
      <c r="T286" s="87"/>
      <c r="U286" s="87"/>
      <c r="V286" s="87">
        <f t="shared" si="75"/>
        <v>0</v>
      </c>
      <c r="W286" s="113">
        <f t="shared" si="72"/>
        <v>36.913096727263202</v>
      </c>
      <c r="X286" s="69">
        <f t="shared" si="76"/>
        <v>0</v>
      </c>
      <c r="Y286" s="70">
        <f t="shared" si="77"/>
        <v>0</v>
      </c>
      <c r="Z286" s="70">
        <f t="shared" si="78"/>
        <v>0</v>
      </c>
      <c r="AA286" s="70">
        <f t="shared" si="79"/>
        <v>0</v>
      </c>
      <c r="AB286" s="70">
        <f t="shared" si="80"/>
        <v>0</v>
      </c>
      <c r="AC286" s="70">
        <f t="shared" si="81"/>
        <v>0</v>
      </c>
      <c r="AD286" s="71">
        <f t="shared" si="82"/>
        <v>0</v>
      </c>
      <c r="AE286" s="49"/>
      <c r="AF286" s="21"/>
      <c r="AG286" s="69"/>
      <c r="AH286" s="70"/>
      <c r="AI286" s="70"/>
      <c r="AJ286" s="70"/>
      <c r="AK286" s="70"/>
      <c r="AL286" s="70"/>
      <c r="AM286" s="70"/>
      <c r="AN286" s="70" t="str">
        <f t="shared" si="83"/>
        <v>---</v>
      </c>
      <c r="AO286" s="70" t="str">
        <f t="shared" si="84"/>
        <v>---</v>
      </c>
      <c r="AP286" s="70" t="str">
        <f t="shared" si="85"/>
        <v>---</v>
      </c>
      <c r="AQ286" s="70" t="str">
        <f t="shared" si="86"/>
        <v>---</v>
      </c>
      <c r="AR286" s="70" t="str">
        <f t="shared" si="87"/>
        <v>---</v>
      </c>
      <c r="AS286" s="70" t="str">
        <f t="shared" si="88"/>
        <v>---</v>
      </c>
      <c r="AT286" s="71" t="str">
        <f t="shared" si="89"/>
        <v>---</v>
      </c>
    </row>
    <row r="287" spans="1:46" ht="30" customHeight="1" x14ac:dyDescent="0.3">
      <c r="A287" s="123">
        <f t="shared" si="73"/>
        <v>283</v>
      </c>
      <c r="B287" s="140">
        <f>INDEX('PEER GROUP'!B:B,MATCH($A287,'PEER GROUP'!$A:$A,0))</f>
        <v>0</v>
      </c>
      <c r="C287" s="83">
        <f>INDEX('PEER GROUP'!C:C,MATCH($A287,'PEER GROUP'!$A:$A,0))</f>
        <v>0</v>
      </c>
      <c r="D287" s="83">
        <f>INDEX('PEER GROUP'!D:D,MATCH($A287,'PEER GROUP'!$A:$A,0))</f>
        <v>0</v>
      </c>
      <c r="E287" s="83">
        <f>INDEX('PEER GROUP'!E:E,MATCH(A287,'PEER GROUP'!$A:$A,0))</f>
        <v>0</v>
      </c>
      <c r="F287" s="84">
        <f>INDEX('PEER GROUP'!F:F,MATCH($A287,'PEER GROUP'!$A:$A,0))</f>
        <v>0</v>
      </c>
      <c r="G287" s="84">
        <f>INDEX('PEER GROUP'!G:G,MATCH($A287,'PEER GROUP'!$A:$A,0))</f>
        <v>0</v>
      </c>
      <c r="H287" s="85"/>
      <c r="I287" s="85"/>
      <c r="J287" s="70">
        <f>INDEX('PEER GROUP'!K:K,MATCH($A287,'PEER GROUP'!$A:$A,0))</f>
        <v>0</v>
      </c>
      <c r="K287" s="70">
        <f>INDEX('PEER GROUP'!L:L,MATCH($A287,'PEER GROUP'!$A:$A,0))</f>
        <v>0</v>
      </c>
      <c r="L287" s="70">
        <f>INDEX('PEER GROUP'!M:M,MATCH($A287,'PEER GROUP'!$A:$A,0))</f>
        <v>0</v>
      </c>
      <c r="M287" s="86">
        <f>INDEX('PEER GROUP'!N:N,MATCH($A287,'PEER GROUP'!$A:$A,0))</f>
        <v>0</v>
      </c>
      <c r="N287" s="118"/>
      <c r="O287" s="115"/>
      <c r="P287" s="117"/>
      <c r="Q287" s="87"/>
      <c r="R287" s="87">
        <f t="shared" si="74"/>
        <v>0</v>
      </c>
      <c r="S287" s="87"/>
      <c r="T287" s="87"/>
      <c r="U287" s="87"/>
      <c r="V287" s="87">
        <f t="shared" si="75"/>
        <v>0</v>
      </c>
      <c r="W287" s="113">
        <f t="shared" si="72"/>
        <v>36.913096727263202</v>
      </c>
      <c r="X287" s="69">
        <f t="shared" si="76"/>
        <v>0</v>
      </c>
      <c r="Y287" s="70">
        <f t="shared" si="77"/>
        <v>0</v>
      </c>
      <c r="Z287" s="70">
        <f t="shared" si="78"/>
        <v>0</v>
      </c>
      <c r="AA287" s="70">
        <f t="shared" si="79"/>
        <v>0</v>
      </c>
      <c r="AB287" s="70">
        <f t="shared" si="80"/>
        <v>0</v>
      </c>
      <c r="AC287" s="70">
        <f t="shared" si="81"/>
        <v>0</v>
      </c>
      <c r="AD287" s="71">
        <f t="shared" si="82"/>
        <v>0</v>
      </c>
      <c r="AE287" s="49"/>
      <c r="AF287" s="21"/>
      <c r="AG287" s="69"/>
      <c r="AH287" s="70"/>
      <c r="AI287" s="70"/>
      <c r="AJ287" s="70"/>
      <c r="AK287" s="70"/>
      <c r="AL287" s="70"/>
      <c r="AM287" s="70"/>
      <c r="AN287" s="70" t="str">
        <f t="shared" si="83"/>
        <v>---</v>
      </c>
      <c r="AO287" s="70" t="str">
        <f t="shared" si="84"/>
        <v>---</v>
      </c>
      <c r="AP287" s="70" t="str">
        <f t="shared" si="85"/>
        <v>---</v>
      </c>
      <c r="AQ287" s="70" t="str">
        <f t="shared" si="86"/>
        <v>---</v>
      </c>
      <c r="AR287" s="70" t="str">
        <f t="shared" si="87"/>
        <v>---</v>
      </c>
      <c r="AS287" s="70" t="str">
        <f t="shared" si="88"/>
        <v>---</v>
      </c>
      <c r="AT287" s="71" t="str">
        <f t="shared" si="89"/>
        <v>---</v>
      </c>
    </row>
    <row r="288" spans="1:46" ht="30" customHeight="1" x14ac:dyDescent="0.3">
      <c r="A288" s="123">
        <f t="shared" si="73"/>
        <v>284</v>
      </c>
      <c r="B288" s="140">
        <f>INDEX('PEER GROUP'!B:B,MATCH($A288,'PEER GROUP'!$A:$A,0))</f>
        <v>0</v>
      </c>
      <c r="C288" s="83">
        <f>INDEX('PEER GROUP'!C:C,MATCH($A288,'PEER GROUP'!$A:$A,0))</f>
        <v>0</v>
      </c>
      <c r="D288" s="83">
        <f>INDEX('PEER GROUP'!D:D,MATCH($A288,'PEER GROUP'!$A:$A,0))</f>
        <v>0</v>
      </c>
      <c r="E288" s="83">
        <f>INDEX('PEER GROUP'!E:E,MATCH(A288,'PEER GROUP'!$A:$A,0))</f>
        <v>0</v>
      </c>
      <c r="F288" s="84">
        <f>INDEX('PEER GROUP'!F:F,MATCH($A288,'PEER GROUP'!$A:$A,0))</f>
        <v>0</v>
      </c>
      <c r="G288" s="84">
        <f>INDEX('PEER GROUP'!G:G,MATCH($A288,'PEER GROUP'!$A:$A,0))</f>
        <v>0</v>
      </c>
      <c r="H288" s="85"/>
      <c r="I288" s="85"/>
      <c r="J288" s="70">
        <f>INDEX('PEER GROUP'!K:K,MATCH($A288,'PEER GROUP'!$A:$A,0))</f>
        <v>0</v>
      </c>
      <c r="K288" s="70">
        <f>INDEX('PEER GROUP'!L:L,MATCH($A288,'PEER GROUP'!$A:$A,0))</f>
        <v>0</v>
      </c>
      <c r="L288" s="70">
        <f>INDEX('PEER GROUP'!M:M,MATCH($A288,'PEER GROUP'!$A:$A,0))</f>
        <v>0</v>
      </c>
      <c r="M288" s="86">
        <f>INDEX('PEER GROUP'!N:N,MATCH($A288,'PEER GROUP'!$A:$A,0))</f>
        <v>0</v>
      </c>
      <c r="N288" s="118"/>
      <c r="O288" s="115"/>
      <c r="P288" s="117"/>
      <c r="Q288" s="87"/>
      <c r="R288" s="87">
        <f t="shared" si="74"/>
        <v>0</v>
      </c>
      <c r="S288" s="87"/>
      <c r="T288" s="87"/>
      <c r="U288" s="87"/>
      <c r="V288" s="87">
        <f t="shared" si="75"/>
        <v>0</v>
      </c>
      <c r="W288" s="113">
        <f t="shared" si="72"/>
        <v>36.913096727263202</v>
      </c>
      <c r="X288" s="69">
        <f t="shared" si="76"/>
        <v>0</v>
      </c>
      <c r="Y288" s="70">
        <f t="shared" si="77"/>
        <v>0</v>
      </c>
      <c r="Z288" s="70">
        <f t="shared" si="78"/>
        <v>0</v>
      </c>
      <c r="AA288" s="70">
        <f t="shared" si="79"/>
        <v>0</v>
      </c>
      <c r="AB288" s="70">
        <f t="shared" si="80"/>
        <v>0</v>
      </c>
      <c r="AC288" s="70">
        <f t="shared" si="81"/>
        <v>0</v>
      </c>
      <c r="AD288" s="71">
        <f t="shared" si="82"/>
        <v>0</v>
      </c>
      <c r="AE288" s="49"/>
      <c r="AF288" s="21"/>
      <c r="AG288" s="69"/>
      <c r="AH288" s="70"/>
      <c r="AI288" s="70"/>
      <c r="AJ288" s="70"/>
      <c r="AK288" s="70"/>
      <c r="AL288" s="70"/>
      <c r="AM288" s="70"/>
      <c r="AN288" s="70" t="str">
        <f t="shared" si="83"/>
        <v>---</v>
      </c>
      <c r="AO288" s="70" t="str">
        <f t="shared" si="84"/>
        <v>---</v>
      </c>
      <c r="AP288" s="70" t="str">
        <f t="shared" si="85"/>
        <v>---</v>
      </c>
      <c r="AQ288" s="70" t="str">
        <f t="shared" si="86"/>
        <v>---</v>
      </c>
      <c r="AR288" s="70" t="str">
        <f t="shared" si="87"/>
        <v>---</v>
      </c>
      <c r="AS288" s="70" t="str">
        <f t="shared" si="88"/>
        <v>---</v>
      </c>
      <c r="AT288" s="71" t="str">
        <f t="shared" si="89"/>
        <v>---</v>
      </c>
    </row>
    <row r="289" spans="1:46" ht="30" customHeight="1" x14ac:dyDescent="0.3">
      <c r="A289" s="123">
        <f t="shared" si="73"/>
        <v>285</v>
      </c>
      <c r="B289" s="140">
        <f>INDEX('PEER GROUP'!B:B,MATCH($A289,'PEER GROUP'!$A:$A,0))</f>
        <v>0</v>
      </c>
      <c r="C289" s="83">
        <f>INDEX('PEER GROUP'!C:C,MATCH($A289,'PEER GROUP'!$A:$A,0))</f>
        <v>0</v>
      </c>
      <c r="D289" s="83">
        <f>INDEX('PEER GROUP'!D:D,MATCH($A289,'PEER GROUP'!$A:$A,0))</f>
        <v>0</v>
      </c>
      <c r="E289" s="83">
        <f>INDEX('PEER GROUP'!E:E,MATCH(A289,'PEER GROUP'!$A:$A,0))</f>
        <v>0</v>
      </c>
      <c r="F289" s="84">
        <f>INDEX('PEER GROUP'!F:F,MATCH($A289,'PEER GROUP'!$A:$A,0))</f>
        <v>0</v>
      </c>
      <c r="G289" s="84">
        <f>INDEX('PEER GROUP'!G:G,MATCH($A289,'PEER GROUP'!$A:$A,0))</f>
        <v>0</v>
      </c>
      <c r="H289" s="85"/>
      <c r="I289" s="85"/>
      <c r="J289" s="70">
        <f>INDEX('PEER GROUP'!K:K,MATCH($A289,'PEER GROUP'!$A:$A,0))</f>
        <v>0</v>
      </c>
      <c r="K289" s="70">
        <f>INDEX('PEER GROUP'!L:L,MATCH($A289,'PEER GROUP'!$A:$A,0))</f>
        <v>0</v>
      </c>
      <c r="L289" s="70">
        <f>INDEX('PEER GROUP'!M:M,MATCH($A289,'PEER GROUP'!$A:$A,0))</f>
        <v>0</v>
      </c>
      <c r="M289" s="86">
        <f>INDEX('PEER GROUP'!N:N,MATCH($A289,'PEER GROUP'!$A:$A,0))</f>
        <v>0</v>
      </c>
      <c r="N289" s="118"/>
      <c r="O289" s="115"/>
      <c r="P289" s="117"/>
      <c r="Q289" s="87"/>
      <c r="R289" s="87">
        <f t="shared" si="74"/>
        <v>0</v>
      </c>
      <c r="S289" s="87"/>
      <c r="T289" s="87"/>
      <c r="U289" s="87"/>
      <c r="V289" s="87">
        <f t="shared" si="75"/>
        <v>0</v>
      </c>
      <c r="W289" s="113">
        <f t="shared" si="72"/>
        <v>36.913096727263202</v>
      </c>
      <c r="X289" s="69">
        <f t="shared" si="76"/>
        <v>0</v>
      </c>
      <c r="Y289" s="70">
        <f t="shared" si="77"/>
        <v>0</v>
      </c>
      <c r="Z289" s="70">
        <f t="shared" si="78"/>
        <v>0</v>
      </c>
      <c r="AA289" s="70">
        <f t="shared" si="79"/>
        <v>0</v>
      </c>
      <c r="AB289" s="70">
        <f t="shared" si="80"/>
        <v>0</v>
      </c>
      <c r="AC289" s="70">
        <f t="shared" si="81"/>
        <v>0</v>
      </c>
      <c r="AD289" s="71">
        <f t="shared" si="82"/>
        <v>0</v>
      </c>
      <c r="AE289" s="49"/>
      <c r="AF289" s="21"/>
      <c r="AG289" s="69"/>
      <c r="AH289" s="70"/>
      <c r="AI289" s="70"/>
      <c r="AJ289" s="70"/>
      <c r="AK289" s="70"/>
      <c r="AL289" s="70"/>
      <c r="AM289" s="70"/>
      <c r="AN289" s="70" t="str">
        <f t="shared" si="83"/>
        <v>---</v>
      </c>
      <c r="AO289" s="70" t="str">
        <f t="shared" si="84"/>
        <v>---</v>
      </c>
      <c r="AP289" s="70" t="str">
        <f t="shared" si="85"/>
        <v>---</v>
      </c>
      <c r="AQ289" s="70" t="str">
        <f t="shared" si="86"/>
        <v>---</v>
      </c>
      <c r="AR289" s="70" t="str">
        <f t="shared" si="87"/>
        <v>---</v>
      </c>
      <c r="AS289" s="70" t="str">
        <f t="shared" si="88"/>
        <v>---</v>
      </c>
      <c r="AT289" s="71" t="str">
        <f t="shared" si="89"/>
        <v>---</v>
      </c>
    </row>
    <row r="290" spans="1:46" ht="30" customHeight="1" x14ac:dyDescent="0.3">
      <c r="A290" s="123">
        <f t="shared" si="73"/>
        <v>286</v>
      </c>
      <c r="B290" s="140">
        <f>INDEX('PEER GROUP'!B:B,MATCH($A290,'PEER GROUP'!$A:$A,0))</f>
        <v>0</v>
      </c>
      <c r="C290" s="83">
        <f>INDEX('PEER GROUP'!C:C,MATCH($A290,'PEER GROUP'!$A:$A,0))</f>
        <v>0</v>
      </c>
      <c r="D290" s="83">
        <f>INDEX('PEER GROUP'!D:D,MATCH($A290,'PEER GROUP'!$A:$A,0))</f>
        <v>0</v>
      </c>
      <c r="E290" s="83">
        <f>INDEX('PEER GROUP'!E:E,MATCH(A290,'PEER GROUP'!$A:$A,0))</f>
        <v>0</v>
      </c>
      <c r="F290" s="84">
        <f>INDEX('PEER GROUP'!F:F,MATCH($A290,'PEER GROUP'!$A:$A,0))</f>
        <v>0</v>
      </c>
      <c r="G290" s="84">
        <f>INDEX('PEER GROUP'!G:G,MATCH($A290,'PEER GROUP'!$A:$A,0))</f>
        <v>0</v>
      </c>
      <c r="H290" s="85"/>
      <c r="I290" s="85"/>
      <c r="J290" s="70">
        <f>INDEX('PEER GROUP'!K:K,MATCH($A290,'PEER GROUP'!$A:$A,0))</f>
        <v>0</v>
      </c>
      <c r="K290" s="70">
        <f>INDEX('PEER GROUP'!L:L,MATCH($A290,'PEER GROUP'!$A:$A,0))</f>
        <v>0</v>
      </c>
      <c r="L290" s="70">
        <f>INDEX('PEER GROUP'!M:M,MATCH($A290,'PEER GROUP'!$A:$A,0))</f>
        <v>0</v>
      </c>
      <c r="M290" s="86">
        <f>INDEX('PEER GROUP'!N:N,MATCH($A290,'PEER GROUP'!$A:$A,0))</f>
        <v>0</v>
      </c>
      <c r="N290" s="118"/>
      <c r="O290" s="115"/>
      <c r="P290" s="117"/>
      <c r="Q290" s="87"/>
      <c r="R290" s="87">
        <f t="shared" si="74"/>
        <v>0</v>
      </c>
      <c r="S290" s="87"/>
      <c r="T290" s="87"/>
      <c r="U290" s="87"/>
      <c r="V290" s="87">
        <f t="shared" si="75"/>
        <v>0</v>
      </c>
      <c r="W290" s="113">
        <f t="shared" si="72"/>
        <v>36.913096727263202</v>
      </c>
      <c r="X290" s="69">
        <f t="shared" si="76"/>
        <v>0</v>
      </c>
      <c r="Y290" s="70">
        <f t="shared" si="77"/>
        <v>0</v>
      </c>
      <c r="Z290" s="70">
        <f t="shared" si="78"/>
        <v>0</v>
      </c>
      <c r="AA290" s="70">
        <f t="shared" si="79"/>
        <v>0</v>
      </c>
      <c r="AB290" s="70">
        <f t="shared" si="80"/>
        <v>0</v>
      </c>
      <c r="AC290" s="70">
        <f t="shared" si="81"/>
        <v>0</v>
      </c>
      <c r="AD290" s="71">
        <f t="shared" si="82"/>
        <v>0</v>
      </c>
      <c r="AE290" s="49"/>
      <c r="AF290" s="21"/>
      <c r="AG290" s="69"/>
      <c r="AH290" s="70"/>
      <c r="AI290" s="70"/>
      <c r="AJ290" s="70"/>
      <c r="AK290" s="70"/>
      <c r="AL290" s="70"/>
      <c r="AM290" s="70"/>
      <c r="AN290" s="70" t="str">
        <f t="shared" si="83"/>
        <v>---</v>
      </c>
      <c r="AO290" s="70" t="str">
        <f t="shared" si="84"/>
        <v>---</v>
      </c>
      <c r="AP290" s="70" t="str">
        <f t="shared" si="85"/>
        <v>---</v>
      </c>
      <c r="AQ290" s="70" t="str">
        <f t="shared" si="86"/>
        <v>---</v>
      </c>
      <c r="AR290" s="70" t="str">
        <f t="shared" si="87"/>
        <v>---</v>
      </c>
      <c r="AS290" s="70" t="str">
        <f t="shared" si="88"/>
        <v>---</v>
      </c>
      <c r="AT290" s="71" t="str">
        <f t="shared" si="89"/>
        <v>---</v>
      </c>
    </row>
    <row r="291" spans="1:46" ht="30" customHeight="1" x14ac:dyDescent="0.3">
      <c r="A291" s="123">
        <f t="shared" si="73"/>
        <v>287</v>
      </c>
      <c r="B291" s="140">
        <f>INDEX('PEER GROUP'!B:B,MATCH($A291,'PEER GROUP'!$A:$A,0))</f>
        <v>0</v>
      </c>
      <c r="C291" s="83">
        <f>INDEX('PEER GROUP'!C:C,MATCH($A291,'PEER GROUP'!$A:$A,0))</f>
        <v>0</v>
      </c>
      <c r="D291" s="83">
        <f>INDEX('PEER GROUP'!D:D,MATCH($A291,'PEER GROUP'!$A:$A,0))</f>
        <v>0</v>
      </c>
      <c r="E291" s="83">
        <f>INDEX('PEER GROUP'!E:E,MATCH(A291,'PEER GROUP'!$A:$A,0))</f>
        <v>0</v>
      </c>
      <c r="F291" s="84">
        <f>INDEX('PEER GROUP'!F:F,MATCH($A291,'PEER GROUP'!$A:$A,0))</f>
        <v>0</v>
      </c>
      <c r="G291" s="84">
        <f>INDEX('PEER GROUP'!G:G,MATCH($A291,'PEER GROUP'!$A:$A,0))</f>
        <v>0</v>
      </c>
      <c r="H291" s="85"/>
      <c r="I291" s="85"/>
      <c r="J291" s="70">
        <f>INDEX('PEER GROUP'!K:K,MATCH($A291,'PEER GROUP'!$A:$A,0))</f>
        <v>0</v>
      </c>
      <c r="K291" s="70">
        <f>INDEX('PEER GROUP'!L:L,MATCH($A291,'PEER GROUP'!$A:$A,0))</f>
        <v>0</v>
      </c>
      <c r="L291" s="70">
        <f>INDEX('PEER GROUP'!M:M,MATCH($A291,'PEER GROUP'!$A:$A,0))</f>
        <v>0</v>
      </c>
      <c r="M291" s="86">
        <f>INDEX('PEER GROUP'!N:N,MATCH($A291,'PEER GROUP'!$A:$A,0))</f>
        <v>0</v>
      </c>
      <c r="N291" s="118"/>
      <c r="O291" s="115"/>
      <c r="P291" s="117"/>
      <c r="Q291" s="87"/>
      <c r="R291" s="87">
        <f t="shared" si="74"/>
        <v>0</v>
      </c>
      <c r="S291" s="87"/>
      <c r="T291" s="87"/>
      <c r="U291" s="87"/>
      <c r="V291" s="87">
        <f t="shared" si="75"/>
        <v>0</v>
      </c>
      <c r="W291" s="113">
        <f t="shared" ref="W291:W354" si="90">IF(DataEffDate&gt;DATE(2022,1,1),
IF(E291&lt;DATE(2022,1,1),
(1+UpdateFactor)^(IF(E291&lt;DataEffDate,1,-1)*YEARFRAC(E291,DATE(2022,1,1),1))+(1+UpdateFactor_TEMP)^(IF(DATE(2022,1,1)&lt;DataEffDate,1,-1)*YEARFRAC(DATE(2022,1,1),DataEffDate,1))-1,
(1+UpdateFactor_TEMP)^(IF(E291&lt;DataEffDate,1,-1)*YEARFRAC(E291,DataEffDate,1))),
(1+UpdateFactor)^(IF(E291&lt;DataEffDate,1,-1)*YEARFRAC(E291,DataEffDate,1)))</f>
        <v>36.913096727263202</v>
      </c>
      <c r="X291" s="69">
        <f t="shared" si="76"/>
        <v>0</v>
      </c>
      <c r="Y291" s="70">
        <f t="shared" si="77"/>
        <v>0</v>
      </c>
      <c r="Z291" s="70">
        <f t="shared" si="78"/>
        <v>0</v>
      </c>
      <c r="AA291" s="70">
        <f t="shared" si="79"/>
        <v>0</v>
      </c>
      <c r="AB291" s="70">
        <f t="shared" si="80"/>
        <v>0</v>
      </c>
      <c r="AC291" s="70">
        <f t="shared" si="81"/>
        <v>0</v>
      </c>
      <c r="AD291" s="71">
        <f t="shared" si="82"/>
        <v>0</v>
      </c>
      <c r="AE291" s="49"/>
      <c r="AF291" s="21"/>
      <c r="AG291" s="69"/>
      <c r="AH291" s="70"/>
      <c r="AI291" s="70"/>
      <c r="AJ291" s="70"/>
      <c r="AK291" s="70"/>
      <c r="AL291" s="70"/>
      <c r="AM291" s="70"/>
      <c r="AN291" s="70" t="str">
        <f t="shared" si="83"/>
        <v>---</v>
      </c>
      <c r="AO291" s="70" t="str">
        <f t="shared" si="84"/>
        <v>---</v>
      </c>
      <c r="AP291" s="70" t="str">
        <f t="shared" si="85"/>
        <v>---</v>
      </c>
      <c r="AQ291" s="70" t="str">
        <f t="shared" si="86"/>
        <v>---</v>
      </c>
      <c r="AR291" s="70" t="str">
        <f t="shared" si="87"/>
        <v>---</v>
      </c>
      <c r="AS291" s="70" t="str">
        <f t="shared" si="88"/>
        <v>---</v>
      </c>
      <c r="AT291" s="71" t="str">
        <f t="shared" si="89"/>
        <v>---</v>
      </c>
    </row>
    <row r="292" spans="1:46" ht="30" customHeight="1" x14ac:dyDescent="0.3">
      <c r="A292" s="123">
        <f t="shared" ref="A292:A355" si="91">A291+1</f>
        <v>288</v>
      </c>
      <c r="B292" s="140">
        <f>INDEX('PEER GROUP'!B:B,MATCH($A292,'PEER GROUP'!$A:$A,0))</f>
        <v>0</v>
      </c>
      <c r="C292" s="83">
        <f>INDEX('PEER GROUP'!C:C,MATCH($A292,'PEER GROUP'!$A:$A,0))</f>
        <v>0</v>
      </c>
      <c r="D292" s="83">
        <f>INDEX('PEER GROUP'!D:D,MATCH($A292,'PEER GROUP'!$A:$A,0))</f>
        <v>0</v>
      </c>
      <c r="E292" s="83">
        <f>INDEX('PEER GROUP'!E:E,MATCH(A292,'PEER GROUP'!$A:$A,0))</f>
        <v>0</v>
      </c>
      <c r="F292" s="84">
        <f>INDEX('PEER GROUP'!F:F,MATCH($A292,'PEER GROUP'!$A:$A,0))</f>
        <v>0</v>
      </c>
      <c r="G292" s="84">
        <f>INDEX('PEER GROUP'!G:G,MATCH($A292,'PEER GROUP'!$A:$A,0))</f>
        <v>0</v>
      </c>
      <c r="H292" s="85"/>
      <c r="I292" s="85"/>
      <c r="J292" s="70">
        <f>INDEX('PEER GROUP'!K:K,MATCH($A292,'PEER GROUP'!$A:$A,0))</f>
        <v>0</v>
      </c>
      <c r="K292" s="70">
        <f>INDEX('PEER GROUP'!L:L,MATCH($A292,'PEER GROUP'!$A:$A,0))</f>
        <v>0</v>
      </c>
      <c r="L292" s="70">
        <f>INDEX('PEER GROUP'!M:M,MATCH($A292,'PEER GROUP'!$A:$A,0))</f>
        <v>0</v>
      </c>
      <c r="M292" s="86">
        <f>INDEX('PEER GROUP'!N:N,MATCH($A292,'PEER GROUP'!$A:$A,0))</f>
        <v>0</v>
      </c>
      <c r="N292" s="118"/>
      <c r="O292" s="115"/>
      <c r="P292" s="117"/>
      <c r="Q292" s="87"/>
      <c r="R292" s="87">
        <f t="shared" ref="R292:R355" si="92">SUM(P292:Q292)</f>
        <v>0</v>
      </c>
      <c r="S292" s="87"/>
      <c r="T292" s="87"/>
      <c r="U292" s="87"/>
      <c r="V292" s="87">
        <f t="shared" ref="V292:V355" si="93">SUM(R292:U292)</f>
        <v>0</v>
      </c>
      <c r="W292" s="113">
        <f t="shared" si="90"/>
        <v>36.913096727263202</v>
      </c>
      <c r="X292" s="69">
        <f t="shared" ref="X292:X355" si="94">P292*$W292</f>
        <v>0</v>
      </c>
      <c r="Y292" s="70">
        <f t="shared" ref="Y292:Y355" si="95">Q292*$W292</f>
        <v>0</v>
      </c>
      <c r="Z292" s="70">
        <f t="shared" ref="Z292:Z355" si="96">SUM(X292:Y292)</f>
        <v>0</v>
      </c>
      <c r="AA292" s="70">
        <f t="shared" ref="AA292:AA355" si="97">S292*$W292</f>
        <v>0</v>
      </c>
      <c r="AB292" s="70">
        <f t="shared" ref="AB292:AB355" si="98">T292*$W292</f>
        <v>0</v>
      </c>
      <c r="AC292" s="70">
        <f t="shared" ref="AC292:AC355" si="99">U292*$W292</f>
        <v>0</v>
      </c>
      <c r="AD292" s="71">
        <f t="shared" ref="AD292:AD355" si="100">SUM(Z292:AC292)</f>
        <v>0</v>
      </c>
      <c r="AE292" s="49"/>
      <c r="AF292" s="21"/>
      <c r="AG292" s="69"/>
      <c r="AH292" s="70"/>
      <c r="AI292" s="70"/>
      <c r="AJ292" s="70"/>
      <c r="AK292" s="70"/>
      <c r="AL292" s="70"/>
      <c r="AM292" s="70"/>
      <c r="AN292" s="70" t="str">
        <f t="shared" ref="AN292:AN355" si="101">IFERROR(P292/AG292-1,"---")</f>
        <v>---</v>
      </c>
      <c r="AO292" s="70" t="str">
        <f t="shared" ref="AO292:AO355" si="102">IFERROR(Q292/AH292-1,"---")</f>
        <v>---</v>
      </c>
      <c r="AP292" s="70" t="str">
        <f t="shared" ref="AP292:AP355" si="103">IFERROR(R292/AI292-1,"---")</f>
        <v>---</v>
      </c>
      <c r="AQ292" s="70" t="str">
        <f t="shared" ref="AQ292:AQ355" si="104">IFERROR(S292/AJ292-1,"---")</f>
        <v>---</v>
      </c>
      <c r="AR292" s="70" t="str">
        <f t="shared" ref="AR292:AR355" si="105">IFERROR(T292/AK292-1,"---")</f>
        <v>---</v>
      </c>
      <c r="AS292" s="70" t="str">
        <f t="shared" ref="AS292:AS355" si="106">IFERROR(U292/AL292-1,"---")</f>
        <v>---</v>
      </c>
      <c r="AT292" s="71" t="str">
        <f t="shared" ref="AT292:AT355" si="107">IFERROR(V292/AM292-1,"---")</f>
        <v>---</v>
      </c>
    </row>
    <row r="293" spans="1:46" ht="30" customHeight="1" x14ac:dyDescent="0.3">
      <c r="A293" s="123">
        <f t="shared" si="91"/>
        <v>289</v>
      </c>
      <c r="B293" s="140">
        <f>INDEX('PEER GROUP'!B:B,MATCH($A293,'PEER GROUP'!$A:$A,0))</f>
        <v>0</v>
      </c>
      <c r="C293" s="83">
        <f>INDEX('PEER GROUP'!C:C,MATCH($A293,'PEER GROUP'!$A:$A,0))</f>
        <v>0</v>
      </c>
      <c r="D293" s="83">
        <f>INDEX('PEER GROUP'!D:D,MATCH($A293,'PEER GROUP'!$A:$A,0))</f>
        <v>0</v>
      </c>
      <c r="E293" s="83">
        <f>INDEX('PEER GROUP'!E:E,MATCH(A293,'PEER GROUP'!$A:$A,0))</f>
        <v>0</v>
      </c>
      <c r="F293" s="84">
        <f>INDEX('PEER GROUP'!F:F,MATCH($A293,'PEER GROUP'!$A:$A,0))</f>
        <v>0</v>
      </c>
      <c r="G293" s="84">
        <f>INDEX('PEER GROUP'!G:G,MATCH($A293,'PEER GROUP'!$A:$A,0))</f>
        <v>0</v>
      </c>
      <c r="H293" s="85"/>
      <c r="I293" s="85"/>
      <c r="J293" s="70">
        <f>INDEX('PEER GROUP'!K:K,MATCH($A293,'PEER GROUP'!$A:$A,0))</f>
        <v>0</v>
      </c>
      <c r="K293" s="70">
        <f>INDEX('PEER GROUP'!L:L,MATCH($A293,'PEER GROUP'!$A:$A,0))</f>
        <v>0</v>
      </c>
      <c r="L293" s="70">
        <f>INDEX('PEER GROUP'!M:M,MATCH($A293,'PEER GROUP'!$A:$A,0))</f>
        <v>0</v>
      </c>
      <c r="M293" s="86">
        <f>INDEX('PEER GROUP'!N:N,MATCH($A293,'PEER GROUP'!$A:$A,0))</f>
        <v>0</v>
      </c>
      <c r="N293" s="118"/>
      <c r="O293" s="115"/>
      <c r="P293" s="117"/>
      <c r="Q293" s="87"/>
      <c r="R293" s="87">
        <f t="shared" si="92"/>
        <v>0</v>
      </c>
      <c r="S293" s="87"/>
      <c r="T293" s="87"/>
      <c r="U293" s="87"/>
      <c r="V293" s="87">
        <f t="shared" si="93"/>
        <v>0</v>
      </c>
      <c r="W293" s="113">
        <f t="shared" si="90"/>
        <v>36.913096727263202</v>
      </c>
      <c r="X293" s="69">
        <f t="shared" si="94"/>
        <v>0</v>
      </c>
      <c r="Y293" s="70">
        <f t="shared" si="95"/>
        <v>0</v>
      </c>
      <c r="Z293" s="70">
        <f t="shared" si="96"/>
        <v>0</v>
      </c>
      <c r="AA293" s="70">
        <f t="shared" si="97"/>
        <v>0</v>
      </c>
      <c r="AB293" s="70">
        <f t="shared" si="98"/>
        <v>0</v>
      </c>
      <c r="AC293" s="70">
        <f t="shared" si="99"/>
        <v>0</v>
      </c>
      <c r="AD293" s="71">
        <f t="shared" si="100"/>
        <v>0</v>
      </c>
      <c r="AE293" s="49"/>
      <c r="AF293" s="21"/>
      <c r="AG293" s="69"/>
      <c r="AH293" s="70"/>
      <c r="AI293" s="70"/>
      <c r="AJ293" s="70"/>
      <c r="AK293" s="70"/>
      <c r="AL293" s="70"/>
      <c r="AM293" s="70"/>
      <c r="AN293" s="70" t="str">
        <f t="shared" si="101"/>
        <v>---</v>
      </c>
      <c r="AO293" s="70" t="str">
        <f t="shared" si="102"/>
        <v>---</v>
      </c>
      <c r="AP293" s="70" t="str">
        <f t="shared" si="103"/>
        <v>---</v>
      </c>
      <c r="AQ293" s="70" t="str">
        <f t="shared" si="104"/>
        <v>---</v>
      </c>
      <c r="AR293" s="70" t="str">
        <f t="shared" si="105"/>
        <v>---</v>
      </c>
      <c r="AS293" s="70" t="str">
        <f t="shared" si="106"/>
        <v>---</v>
      </c>
      <c r="AT293" s="71" t="str">
        <f t="shared" si="107"/>
        <v>---</v>
      </c>
    </row>
    <row r="294" spans="1:46" ht="30" customHeight="1" x14ac:dyDescent="0.3">
      <c r="A294" s="123">
        <f t="shared" si="91"/>
        <v>290</v>
      </c>
      <c r="B294" s="140">
        <f>INDEX('PEER GROUP'!B:B,MATCH($A294,'PEER GROUP'!$A:$A,0))</f>
        <v>0</v>
      </c>
      <c r="C294" s="83">
        <f>INDEX('PEER GROUP'!C:C,MATCH($A294,'PEER GROUP'!$A:$A,0))</f>
        <v>0</v>
      </c>
      <c r="D294" s="83">
        <f>INDEX('PEER GROUP'!D:D,MATCH($A294,'PEER GROUP'!$A:$A,0))</f>
        <v>0</v>
      </c>
      <c r="E294" s="83">
        <f>INDEX('PEER GROUP'!E:E,MATCH(A294,'PEER GROUP'!$A:$A,0))</f>
        <v>0</v>
      </c>
      <c r="F294" s="84">
        <f>INDEX('PEER GROUP'!F:F,MATCH($A294,'PEER GROUP'!$A:$A,0))</f>
        <v>0</v>
      </c>
      <c r="G294" s="84">
        <f>INDEX('PEER GROUP'!G:G,MATCH($A294,'PEER GROUP'!$A:$A,0))</f>
        <v>0</v>
      </c>
      <c r="H294" s="85"/>
      <c r="I294" s="85"/>
      <c r="J294" s="70">
        <f>INDEX('PEER GROUP'!K:K,MATCH($A294,'PEER GROUP'!$A:$A,0))</f>
        <v>0</v>
      </c>
      <c r="K294" s="70">
        <f>INDEX('PEER GROUP'!L:L,MATCH($A294,'PEER GROUP'!$A:$A,0))</f>
        <v>0</v>
      </c>
      <c r="L294" s="70">
        <f>INDEX('PEER GROUP'!M:M,MATCH($A294,'PEER GROUP'!$A:$A,0))</f>
        <v>0</v>
      </c>
      <c r="M294" s="86">
        <f>INDEX('PEER GROUP'!N:N,MATCH($A294,'PEER GROUP'!$A:$A,0))</f>
        <v>0</v>
      </c>
      <c r="N294" s="118"/>
      <c r="O294" s="115"/>
      <c r="P294" s="117"/>
      <c r="Q294" s="87"/>
      <c r="R294" s="87">
        <f t="shared" si="92"/>
        <v>0</v>
      </c>
      <c r="S294" s="87"/>
      <c r="T294" s="87"/>
      <c r="U294" s="87"/>
      <c r="V294" s="87">
        <f t="shared" si="93"/>
        <v>0</v>
      </c>
      <c r="W294" s="113">
        <f t="shared" si="90"/>
        <v>36.913096727263202</v>
      </c>
      <c r="X294" s="69">
        <f t="shared" si="94"/>
        <v>0</v>
      </c>
      <c r="Y294" s="70">
        <f t="shared" si="95"/>
        <v>0</v>
      </c>
      <c r="Z294" s="70">
        <f t="shared" si="96"/>
        <v>0</v>
      </c>
      <c r="AA294" s="70">
        <f t="shared" si="97"/>
        <v>0</v>
      </c>
      <c r="AB294" s="70">
        <f t="shared" si="98"/>
        <v>0</v>
      </c>
      <c r="AC294" s="70">
        <f t="shared" si="99"/>
        <v>0</v>
      </c>
      <c r="AD294" s="71">
        <f t="shared" si="100"/>
        <v>0</v>
      </c>
      <c r="AE294" s="49"/>
      <c r="AF294" s="21"/>
      <c r="AG294" s="69"/>
      <c r="AH294" s="70"/>
      <c r="AI294" s="70"/>
      <c r="AJ294" s="70"/>
      <c r="AK294" s="70"/>
      <c r="AL294" s="70"/>
      <c r="AM294" s="70"/>
      <c r="AN294" s="70" t="str">
        <f t="shared" si="101"/>
        <v>---</v>
      </c>
      <c r="AO294" s="70" t="str">
        <f t="shared" si="102"/>
        <v>---</v>
      </c>
      <c r="AP294" s="70" t="str">
        <f t="shared" si="103"/>
        <v>---</v>
      </c>
      <c r="AQ294" s="70" t="str">
        <f t="shared" si="104"/>
        <v>---</v>
      </c>
      <c r="AR294" s="70" t="str">
        <f t="shared" si="105"/>
        <v>---</v>
      </c>
      <c r="AS294" s="70" t="str">
        <f t="shared" si="106"/>
        <v>---</v>
      </c>
      <c r="AT294" s="71" t="str">
        <f t="shared" si="107"/>
        <v>---</v>
      </c>
    </row>
    <row r="295" spans="1:46" ht="30" customHeight="1" x14ac:dyDescent="0.3">
      <c r="A295" s="123">
        <f t="shared" si="91"/>
        <v>291</v>
      </c>
      <c r="B295" s="140">
        <f>INDEX('PEER GROUP'!B:B,MATCH($A295,'PEER GROUP'!$A:$A,0))</f>
        <v>0</v>
      </c>
      <c r="C295" s="83">
        <f>INDEX('PEER GROUP'!C:C,MATCH($A295,'PEER GROUP'!$A:$A,0))</f>
        <v>0</v>
      </c>
      <c r="D295" s="83">
        <f>INDEX('PEER GROUP'!D:D,MATCH($A295,'PEER GROUP'!$A:$A,0))</f>
        <v>0</v>
      </c>
      <c r="E295" s="83">
        <f>INDEX('PEER GROUP'!E:E,MATCH(A295,'PEER GROUP'!$A:$A,0))</f>
        <v>0</v>
      </c>
      <c r="F295" s="84">
        <f>INDEX('PEER GROUP'!F:F,MATCH($A295,'PEER GROUP'!$A:$A,0))</f>
        <v>0</v>
      </c>
      <c r="G295" s="84">
        <f>INDEX('PEER GROUP'!G:G,MATCH($A295,'PEER GROUP'!$A:$A,0))</f>
        <v>0</v>
      </c>
      <c r="H295" s="85"/>
      <c r="I295" s="85"/>
      <c r="J295" s="70">
        <f>INDEX('PEER GROUP'!K:K,MATCH($A295,'PEER GROUP'!$A:$A,0))</f>
        <v>0</v>
      </c>
      <c r="K295" s="70">
        <f>INDEX('PEER GROUP'!L:L,MATCH($A295,'PEER GROUP'!$A:$A,0))</f>
        <v>0</v>
      </c>
      <c r="L295" s="70">
        <f>INDEX('PEER GROUP'!M:M,MATCH($A295,'PEER GROUP'!$A:$A,0))</f>
        <v>0</v>
      </c>
      <c r="M295" s="86">
        <f>INDEX('PEER GROUP'!N:N,MATCH($A295,'PEER GROUP'!$A:$A,0))</f>
        <v>0</v>
      </c>
      <c r="N295" s="118"/>
      <c r="O295" s="115"/>
      <c r="P295" s="117"/>
      <c r="Q295" s="87"/>
      <c r="R295" s="87">
        <f t="shared" si="92"/>
        <v>0</v>
      </c>
      <c r="S295" s="87"/>
      <c r="T295" s="87"/>
      <c r="U295" s="87"/>
      <c r="V295" s="87">
        <f t="shared" si="93"/>
        <v>0</v>
      </c>
      <c r="W295" s="113">
        <f t="shared" si="90"/>
        <v>36.913096727263202</v>
      </c>
      <c r="X295" s="69">
        <f t="shared" si="94"/>
        <v>0</v>
      </c>
      <c r="Y295" s="70">
        <f t="shared" si="95"/>
        <v>0</v>
      </c>
      <c r="Z295" s="70">
        <f t="shared" si="96"/>
        <v>0</v>
      </c>
      <c r="AA295" s="70">
        <f t="shared" si="97"/>
        <v>0</v>
      </c>
      <c r="AB295" s="70">
        <f t="shared" si="98"/>
        <v>0</v>
      </c>
      <c r="AC295" s="70">
        <f t="shared" si="99"/>
        <v>0</v>
      </c>
      <c r="AD295" s="71">
        <f t="shared" si="100"/>
        <v>0</v>
      </c>
      <c r="AE295" s="49"/>
      <c r="AF295" s="21"/>
      <c r="AG295" s="69"/>
      <c r="AH295" s="70"/>
      <c r="AI295" s="70"/>
      <c r="AJ295" s="70"/>
      <c r="AK295" s="70"/>
      <c r="AL295" s="70"/>
      <c r="AM295" s="70"/>
      <c r="AN295" s="70" t="str">
        <f t="shared" si="101"/>
        <v>---</v>
      </c>
      <c r="AO295" s="70" t="str">
        <f t="shared" si="102"/>
        <v>---</v>
      </c>
      <c r="AP295" s="70" t="str">
        <f t="shared" si="103"/>
        <v>---</v>
      </c>
      <c r="AQ295" s="70" t="str">
        <f t="shared" si="104"/>
        <v>---</v>
      </c>
      <c r="AR295" s="70" t="str">
        <f t="shared" si="105"/>
        <v>---</v>
      </c>
      <c r="AS295" s="70" t="str">
        <f t="shared" si="106"/>
        <v>---</v>
      </c>
      <c r="AT295" s="71" t="str">
        <f t="shared" si="107"/>
        <v>---</v>
      </c>
    </row>
    <row r="296" spans="1:46" ht="30" customHeight="1" x14ac:dyDescent="0.3">
      <c r="A296" s="123">
        <f t="shared" si="91"/>
        <v>292</v>
      </c>
      <c r="B296" s="140">
        <f>INDEX('PEER GROUP'!B:B,MATCH($A296,'PEER GROUP'!$A:$A,0))</f>
        <v>0</v>
      </c>
      <c r="C296" s="83">
        <f>INDEX('PEER GROUP'!C:C,MATCH($A296,'PEER GROUP'!$A:$A,0))</f>
        <v>0</v>
      </c>
      <c r="D296" s="83">
        <f>INDEX('PEER GROUP'!D:D,MATCH($A296,'PEER GROUP'!$A:$A,0))</f>
        <v>0</v>
      </c>
      <c r="E296" s="83">
        <f>INDEX('PEER GROUP'!E:E,MATCH(A296,'PEER GROUP'!$A:$A,0))</f>
        <v>0</v>
      </c>
      <c r="F296" s="84">
        <f>INDEX('PEER GROUP'!F:F,MATCH($A296,'PEER GROUP'!$A:$A,0))</f>
        <v>0</v>
      </c>
      <c r="G296" s="84">
        <f>INDEX('PEER GROUP'!G:G,MATCH($A296,'PEER GROUP'!$A:$A,0))</f>
        <v>0</v>
      </c>
      <c r="H296" s="85"/>
      <c r="I296" s="85"/>
      <c r="J296" s="70">
        <f>INDEX('PEER GROUP'!K:K,MATCH($A296,'PEER GROUP'!$A:$A,0))</f>
        <v>0</v>
      </c>
      <c r="K296" s="70">
        <f>INDEX('PEER GROUP'!L:L,MATCH($A296,'PEER GROUP'!$A:$A,0))</f>
        <v>0</v>
      </c>
      <c r="L296" s="70">
        <f>INDEX('PEER GROUP'!M:M,MATCH($A296,'PEER GROUP'!$A:$A,0))</f>
        <v>0</v>
      </c>
      <c r="M296" s="86">
        <f>INDEX('PEER GROUP'!N:N,MATCH($A296,'PEER GROUP'!$A:$A,0))</f>
        <v>0</v>
      </c>
      <c r="N296" s="118"/>
      <c r="O296" s="115"/>
      <c r="P296" s="117"/>
      <c r="Q296" s="87"/>
      <c r="R296" s="87">
        <f t="shared" si="92"/>
        <v>0</v>
      </c>
      <c r="S296" s="87"/>
      <c r="T296" s="87"/>
      <c r="U296" s="87"/>
      <c r="V296" s="87">
        <f t="shared" si="93"/>
        <v>0</v>
      </c>
      <c r="W296" s="113">
        <f t="shared" si="90"/>
        <v>36.913096727263202</v>
      </c>
      <c r="X296" s="69">
        <f t="shared" si="94"/>
        <v>0</v>
      </c>
      <c r="Y296" s="70">
        <f t="shared" si="95"/>
        <v>0</v>
      </c>
      <c r="Z296" s="70">
        <f t="shared" si="96"/>
        <v>0</v>
      </c>
      <c r="AA296" s="70">
        <f t="shared" si="97"/>
        <v>0</v>
      </c>
      <c r="AB296" s="70">
        <f t="shared" si="98"/>
        <v>0</v>
      </c>
      <c r="AC296" s="70">
        <f t="shared" si="99"/>
        <v>0</v>
      </c>
      <c r="AD296" s="71">
        <f t="shared" si="100"/>
        <v>0</v>
      </c>
      <c r="AE296" s="49"/>
      <c r="AF296" s="21"/>
      <c r="AG296" s="69"/>
      <c r="AH296" s="70"/>
      <c r="AI296" s="70"/>
      <c r="AJ296" s="70"/>
      <c r="AK296" s="70"/>
      <c r="AL296" s="70"/>
      <c r="AM296" s="70"/>
      <c r="AN296" s="70" t="str">
        <f t="shared" si="101"/>
        <v>---</v>
      </c>
      <c r="AO296" s="70" t="str">
        <f t="shared" si="102"/>
        <v>---</v>
      </c>
      <c r="AP296" s="70" t="str">
        <f t="shared" si="103"/>
        <v>---</v>
      </c>
      <c r="AQ296" s="70" t="str">
        <f t="shared" si="104"/>
        <v>---</v>
      </c>
      <c r="AR296" s="70" t="str">
        <f t="shared" si="105"/>
        <v>---</v>
      </c>
      <c r="AS296" s="70" t="str">
        <f t="shared" si="106"/>
        <v>---</v>
      </c>
      <c r="AT296" s="71" t="str">
        <f t="shared" si="107"/>
        <v>---</v>
      </c>
    </row>
    <row r="297" spans="1:46" ht="30" customHeight="1" x14ac:dyDescent="0.3">
      <c r="A297" s="123">
        <f t="shared" si="91"/>
        <v>293</v>
      </c>
      <c r="B297" s="140">
        <f>INDEX('PEER GROUP'!B:B,MATCH($A297,'PEER GROUP'!$A:$A,0))</f>
        <v>0</v>
      </c>
      <c r="C297" s="83">
        <f>INDEX('PEER GROUP'!C:C,MATCH($A297,'PEER GROUP'!$A:$A,0))</f>
        <v>0</v>
      </c>
      <c r="D297" s="83">
        <f>INDEX('PEER GROUP'!D:D,MATCH($A297,'PEER GROUP'!$A:$A,0))</f>
        <v>0</v>
      </c>
      <c r="E297" s="83">
        <f>INDEX('PEER GROUP'!E:E,MATCH(A297,'PEER GROUP'!$A:$A,0))</f>
        <v>0</v>
      </c>
      <c r="F297" s="84">
        <f>INDEX('PEER GROUP'!F:F,MATCH($A297,'PEER GROUP'!$A:$A,0))</f>
        <v>0</v>
      </c>
      <c r="G297" s="84">
        <f>INDEX('PEER GROUP'!G:G,MATCH($A297,'PEER GROUP'!$A:$A,0))</f>
        <v>0</v>
      </c>
      <c r="H297" s="85"/>
      <c r="I297" s="85"/>
      <c r="J297" s="70">
        <f>INDEX('PEER GROUP'!K:K,MATCH($A297,'PEER GROUP'!$A:$A,0))</f>
        <v>0</v>
      </c>
      <c r="K297" s="70">
        <f>INDEX('PEER GROUP'!L:L,MATCH($A297,'PEER GROUP'!$A:$A,0))</f>
        <v>0</v>
      </c>
      <c r="L297" s="70">
        <f>INDEX('PEER GROUP'!M:M,MATCH($A297,'PEER GROUP'!$A:$A,0))</f>
        <v>0</v>
      </c>
      <c r="M297" s="86">
        <f>INDEX('PEER GROUP'!N:N,MATCH($A297,'PEER GROUP'!$A:$A,0))</f>
        <v>0</v>
      </c>
      <c r="N297" s="118"/>
      <c r="O297" s="115"/>
      <c r="P297" s="117"/>
      <c r="Q297" s="87"/>
      <c r="R297" s="87">
        <f t="shared" si="92"/>
        <v>0</v>
      </c>
      <c r="S297" s="87"/>
      <c r="T297" s="87"/>
      <c r="U297" s="87"/>
      <c r="V297" s="87">
        <f t="shared" si="93"/>
        <v>0</v>
      </c>
      <c r="W297" s="113">
        <f t="shared" si="90"/>
        <v>36.913096727263202</v>
      </c>
      <c r="X297" s="69">
        <f t="shared" si="94"/>
        <v>0</v>
      </c>
      <c r="Y297" s="70">
        <f t="shared" si="95"/>
        <v>0</v>
      </c>
      <c r="Z297" s="70">
        <f t="shared" si="96"/>
        <v>0</v>
      </c>
      <c r="AA297" s="70">
        <f t="shared" si="97"/>
        <v>0</v>
      </c>
      <c r="AB297" s="70">
        <f t="shared" si="98"/>
        <v>0</v>
      </c>
      <c r="AC297" s="70">
        <f t="shared" si="99"/>
        <v>0</v>
      </c>
      <c r="AD297" s="71">
        <f t="shared" si="100"/>
        <v>0</v>
      </c>
      <c r="AE297" s="49"/>
      <c r="AF297" s="21"/>
      <c r="AG297" s="69"/>
      <c r="AH297" s="70"/>
      <c r="AI297" s="70"/>
      <c r="AJ297" s="70"/>
      <c r="AK297" s="70"/>
      <c r="AL297" s="70"/>
      <c r="AM297" s="70"/>
      <c r="AN297" s="70" t="str">
        <f t="shared" si="101"/>
        <v>---</v>
      </c>
      <c r="AO297" s="70" t="str">
        <f t="shared" si="102"/>
        <v>---</v>
      </c>
      <c r="AP297" s="70" t="str">
        <f t="shared" si="103"/>
        <v>---</v>
      </c>
      <c r="AQ297" s="70" t="str">
        <f t="shared" si="104"/>
        <v>---</v>
      </c>
      <c r="AR297" s="70" t="str">
        <f t="shared" si="105"/>
        <v>---</v>
      </c>
      <c r="AS297" s="70" t="str">
        <f t="shared" si="106"/>
        <v>---</v>
      </c>
      <c r="AT297" s="71" t="str">
        <f t="shared" si="107"/>
        <v>---</v>
      </c>
    </row>
    <row r="298" spans="1:46" ht="30" customHeight="1" x14ac:dyDescent="0.3">
      <c r="A298" s="123">
        <f t="shared" si="91"/>
        <v>294</v>
      </c>
      <c r="B298" s="140">
        <f>INDEX('PEER GROUP'!B:B,MATCH($A298,'PEER GROUP'!$A:$A,0))</f>
        <v>0</v>
      </c>
      <c r="C298" s="83">
        <f>INDEX('PEER GROUP'!C:C,MATCH($A298,'PEER GROUP'!$A:$A,0))</f>
        <v>0</v>
      </c>
      <c r="D298" s="83">
        <f>INDEX('PEER GROUP'!D:D,MATCH($A298,'PEER GROUP'!$A:$A,0))</f>
        <v>0</v>
      </c>
      <c r="E298" s="83">
        <f>INDEX('PEER GROUP'!E:E,MATCH(A298,'PEER GROUP'!$A:$A,0))</f>
        <v>0</v>
      </c>
      <c r="F298" s="84">
        <f>INDEX('PEER GROUP'!F:F,MATCH($A298,'PEER GROUP'!$A:$A,0))</f>
        <v>0</v>
      </c>
      <c r="G298" s="84">
        <f>INDEX('PEER GROUP'!G:G,MATCH($A298,'PEER GROUP'!$A:$A,0))</f>
        <v>0</v>
      </c>
      <c r="H298" s="85"/>
      <c r="I298" s="85"/>
      <c r="J298" s="70">
        <f>INDEX('PEER GROUP'!K:K,MATCH($A298,'PEER GROUP'!$A:$A,0))</f>
        <v>0</v>
      </c>
      <c r="K298" s="70">
        <f>INDEX('PEER GROUP'!L:L,MATCH($A298,'PEER GROUP'!$A:$A,0))</f>
        <v>0</v>
      </c>
      <c r="L298" s="70">
        <f>INDEX('PEER GROUP'!M:M,MATCH($A298,'PEER GROUP'!$A:$A,0))</f>
        <v>0</v>
      </c>
      <c r="M298" s="86">
        <f>INDEX('PEER GROUP'!N:N,MATCH($A298,'PEER GROUP'!$A:$A,0))</f>
        <v>0</v>
      </c>
      <c r="N298" s="118"/>
      <c r="O298" s="115"/>
      <c r="P298" s="117"/>
      <c r="Q298" s="87"/>
      <c r="R298" s="87">
        <f t="shared" si="92"/>
        <v>0</v>
      </c>
      <c r="S298" s="87"/>
      <c r="T298" s="87"/>
      <c r="U298" s="87"/>
      <c r="V298" s="87">
        <f t="shared" si="93"/>
        <v>0</v>
      </c>
      <c r="W298" s="113">
        <f t="shared" si="90"/>
        <v>36.913096727263202</v>
      </c>
      <c r="X298" s="69">
        <f t="shared" si="94"/>
        <v>0</v>
      </c>
      <c r="Y298" s="70">
        <f t="shared" si="95"/>
        <v>0</v>
      </c>
      <c r="Z298" s="70">
        <f t="shared" si="96"/>
        <v>0</v>
      </c>
      <c r="AA298" s="70">
        <f t="shared" si="97"/>
        <v>0</v>
      </c>
      <c r="AB298" s="70">
        <f t="shared" si="98"/>
        <v>0</v>
      </c>
      <c r="AC298" s="70">
        <f t="shared" si="99"/>
        <v>0</v>
      </c>
      <c r="AD298" s="71">
        <f t="shared" si="100"/>
        <v>0</v>
      </c>
      <c r="AE298" s="49"/>
      <c r="AF298" s="21"/>
      <c r="AG298" s="69"/>
      <c r="AH298" s="70"/>
      <c r="AI298" s="70"/>
      <c r="AJ298" s="70"/>
      <c r="AK298" s="70"/>
      <c r="AL298" s="70"/>
      <c r="AM298" s="70"/>
      <c r="AN298" s="70" t="str">
        <f t="shared" si="101"/>
        <v>---</v>
      </c>
      <c r="AO298" s="70" t="str">
        <f t="shared" si="102"/>
        <v>---</v>
      </c>
      <c r="AP298" s="70" t="str">
        <f t="shared" si="103"/>
        <v>---</v>
      </c>
      <c r="AQ298" s="70" t="str">
        <f t="shared" si="104"/>
        <v>---</v>
      </c>
      <c r="AR298" s="70" t="str">
        <f t="shared" si="105"/>
        <v>---</v>
      </c>
      <c r="AS298" s="70" t="str">
        <f t="shared" si="106"/>
        <v>---</v>
      </c>
      <c r="AT298" s="71" t="str">
        <f t="shared" si="107"/>
        <v>---</v>
      </c>
    </row>
    <row r="299" spans="1:46" ht="30" customHeight="1" x14ac:dyDescent="0.3">
      <c r="A299" s="123">
        <f t="shared" si="91"/>
        <v>295</v>
      </c>
      <c r="B299" s="140">
        <f>INDEX('PEER GROUP'!B:B,MATCH($A299,'PEER GROUP'!$A:$A,0))</f>
        <v>0</v>
      </c>
      <c r="C299" s="83">
        <f>INDEX('PEER GROUP'!C:C,MATCH($A299,'PEER GROUP'!$A:$A,0))</f>
        <v>0</v>
      </c>
      <c r="D299" s="83">
        <f>INDEX('PEER GROUP'!D:D,MATCH($A299,'PEER GROUP'!$A:$A,0))</f>
        <v>0</v>
      </c>
      <c r="E299" s="83">
        <f>INDEX('PEER GROUP'!E:E,MATCH(A299,'PEER GROUP'!$A:$A,0))</f>
        <v>0</v>
      </c>
      <c r="F299" s="84">
        <f>INDEX('PEER GROUP'!F:F,MATCH($A299,'PEER GROUP'!$A:$A,0))</f>
        <v>0</v>
      </c>
      <c r="G299" s="84">
        <f>INDEX('PEER GROUP'!G:G,MATCH($A299,'PEER GROUP'!$A:$A,0))</f>
        <v>0</v>
      </c>
      <c r="H299" s="85"/>
      <c r="I299" s="85"/>
      <c r="J299" s="70">
        <f>INDEX('PEER GROUP'!K:K,MATCH($A299,'PEER GROUP'!$A:$A,0))</f>
        <v>0</v>
      </c>
      <c r="K299" s="70">
        <f>INDEX('PEER GROUP'!L:L,MATCH($A299,'PEER GROUP'!$A:$A,0))</f>
        <v>0</v>
      </c>
      <c r="L299" s="70">
        <f>INDEX('PEER GROUP'!M:M,MATCH($A299,'PEER GROUP'!$A:$A,0))</f>
        <v>0</v>
      </c>
      <c r="M299" s="86">
        <f>INDEX('PEER GROUP'!N:N,MATCH($A299,'PEER GROUP'!$A:$A,0))</f>
        <v>0</v>
      </c>
      <c r="N299" s="118"/>
      <c r="O299" s="115"/>
      <c r="P299" s="117"/>
      <c r="Q299" s="87"/>
      <c r="R299" s="87">
        <f t="shared" si="92"/>
        <v>0</v>
      </c>
      <c r="S299" s="87"/>
      <c r="T299" s="87"/>
      <c r="U299" s="87"/>
      <c r="V299" s="87">
        <f t="shared" si="93"/>
        <v>0</v>
      </c>
      <c r="W299" s="113">
        <f t="shared" si="90"/>
        <v>36.913096727263202</v>
      </c>
      <c r="X299" s="69">
        <f t="shared" si="94"/>
        <v>0</v>
      </c>
      <c r="Y299" s="70">
        <f t="shared" si="95"/>
        <v>0</v>
      </c>
      <c r="Z299" s="70">
        <f t="shared" si="96"/>
        <v>0</v>
      </c>
      <c r="AA299" s="70">
        <f t="shared" si="97"/>
        <v>0</v>
      </c>
      <c r="AB299" s="70">
        <f t="shared" si="98"/>
        <v>0</v>
      </c>
      <c r="AC299" s="70">
        <f t="shared" si="99"/>
        <v>0</v>
      </c>
      <c r="AD299" s="71">
        <f t="shared" si="100"/>
        <v>0</v>
      </c>
      <c r="AE299" s="49"/>
      <c r="AF299" s="21"/>
      <c r="AG299" s="69"/>
      <c r="AH299" s="70"/>
      <c r="AI299" s="70"/>
      <c r="AJ299" s="70"/>
      <c r="AK299" s="70"/>
      <c r="AL299" s="70"/>
      <c r="AM299" s="70"/>
      <c r="AN299" s="70" t="str">
        <f t="shared" si="101"/>
        <v>---</v>
      </c>
      <c r="AO299" s="70" t="str">
        <f t="shared" si="102"/>
        <v>---</v>
      </c>
      <c r="AP299" s="70" t="str">
        <f t="shared" si="103"/>
        <v>---</v>
      </c>
      <c r="AQ299" s="70" t="str">
        <f t="shared" si="104"/>
        <v>---</v>
      </c>
      <c r="AR299" s="70" t="str">
        <f t="shared" si="105"/>
        <v>---</v>
      </c>
      <c r="AS299" s="70" t="str">
        <f t="shared" si="106"/>
        <v>---</v>
      </c>
      <c r="AT299" s="71" t="str">
        <f t="shared" si="107"/>
        <v>---</v>
      </c>
    </row>
    <row r="300" spans="1:46" ht="30" customHeight="1" x14ac:dyDescent="0.3">
      <c r="A300" s="123">
        <f t="shared" si="91"/>
        <v>296</v>
      </c>
      <c r="B300" s="140">
        <f>INDEX('PEER GROUP'!B:B,MATCH($A300,'PEER GROUP'!$A:$A,0))</f>
        <v>0</v>
      </c>
      <c r="C300" s="83">
        <f>INDEX('PEER GROUP'!C:C,MATCH($A300,'PEER GROUP'!$A:$A,0))</f>
        <v>0</v>
      </c>
      <c r="D300" s="83">
        <f>INDEX('PEER GROUP'!D:D,MATCH($A300,'PEER GROUP'!$A:$A,0))</f>
        <v>0</v>
      </c>
      <c r="E300" s="83">
        <f>INDEX('PEER GROUP'!E:E,MATCH(A300,'PEER GROUP'!$A:$A,0))</f>
        <v>0</v>
      </c>
      <c r="F300" s="84">
        <f>INDEX('PEER GROUP'!F:F,MATCH($A300,'PEER GROUP'!$A:$A,0))</f>
        <v>0</v>
      </c>
      <c r="G300" s="84">
        <f>INDEX('PEER GROUP'!G:G,MATCH($A300,'PEER GROUP'!$A:$A,0))</f>
        <v>0</v>
      </c>
      <c r="H300" s="85"/>
      <c r="I300" s="85"/>
      <c r="J300" s="70">
        <f>INDEX('PEER GROUP'!K:K,MATCH($A300,'PEER GROUP'!$A:$A,0))</f>
        <v>0</v>
      </c>
      <c r="K300" s="70">
        <f>INDEX('PEER GROUP'!L:L,MATCH($A300,'PEER GROUP'!$A:$A,0))</f>
        <v>0</v>
      </c>
      <c r="L300" s="70">
        <f>INDEX('PEER GROUP'!M:M,MATCH($A300,'PEER GROUP'!$A:$A,0))</f>
        <v>0</v>
      </c>
      <c r="M300" s="86">
        <f>INDEX('PEER GROUP'!N:N,MATCH($A300,'PEER GROUP'!$A:$A,0))</f>
        <v>0</v>
      </c>
      <c r="N300" s="118"/>
      <c r="O300" s="115"/>
      <c r="P300" s="117"/>
      <c r="Q300" s="87"/>
      <c r="R300" s="87">
        <f t="shared" si="92"/>
        <v>0</v>
      </c>
      <c r="S300" s="87"/>
      <c r="T300" s="87"/>
      <c r="U300" s="87"/>
      <c r="V300" s="87">
        <f t="shared" si="93"/>
        <v>0</v>
      </c>
      <c r="W300" s="113">
        <f t="shared" si="90"/>
        <v>36.913096727263202</v>
      </c>
      <c r="X300" s="69">
        <f t="shared" si="94"/>
        <v>0</v>
      </c>
      <c r="Y300" s="70">
        <f t="shared" si="95"/>
        <v>0</v>
      </c>
      <c r="Z300" s="70">
        <f t="shared" si="96"/>
        <v>0</v>
      </c>
      <c r="AA300" s="70">
        <f t="shared" si="97"/>
        <v>0</v>
      </c>
      <c r="AB300" s="70">
        <f t="shared" si="98"/>
        <v>0</v>
      </c>
      <c r="AC300" s="70">
        <f t="shared" si="99"/>
        <v>0</v>
      </c>
      <c r="AD300" s="71">
        <f t="shared" si="100"/>
        <v>0</v>
      </c>
      <c r="AE300" s="49"/>
      <c r="AF300" s="21"/>
      <c r="AG300" s="69"/>
      <c r="AH300" s="70"/>
      <c r="AI300" s="70"/>
      <c r="AJ300" s="70"/>
      <c r="AK300" s="70"/>
      <c r="AL300" s="70"/>
      <c r="AM300" s="70"/>
      <c r="AN300" s="70" t="str">
        <f t="shared" si="101"/>
        <v>---</v>
      </c>
      <c r="AO300" s="70" t="str">
        <f t="shared" si="102"/>
        <v>---</v>
      </c>
      <c r="AP300" s="70" t="str">
        <f t="shared" si="103"/>
        <v>---</v>
      </c>
      <c r="AQ300" s="70" t="str">
        <f t="shared" si="104"/>
        <v>---</v>
      </c>
      <c r="AR300" s="70" t="str">
        <f t="shared" si="105"/>
        <v>---</v>
      </c>
      <c r="AS300" s="70" t="str">
        <f t="shared" si="106"/>
        <v>---</v>
      </c>
      <c r="AT300" s="71" t="str">
        <f t="shared" si="107"/>
        <v>---</v>
      </c>
    </row>
    <row r="301" spans="1:46" ht="30" customHeight="1" x14ac:dyDescent="0.3">
      <c r="A301" s="123">
        <f t="shared" si="91"/>
        <v>297</v>
      </c>
      <c r="B301" s="140">
        <f>INDEX('PEER GROUP'!B:B,MATCH($A301,'PEER GROUP'!$A:$A,0))</f>
        <v>0</v>
      </c>
      <c r="C301" s="83">
        <f>INDEX('PEER GROUP'!C:C,MATCH($A301,'PEER GROUP'!$A:$A,0))</f>
        <v>0</v>
      </c>
      <c r="D301" s="83">
        <f>INDEX('PEER GROUP'!D:D,MATCH($A301,'PEER GROUP'!$A:$A,0))</f>
        <v>0</v>
      </c>
      <c r="E301" s="83">
        <f>INDEX('PEER GROUP'!E:E,MATCH(A301,'PEER GROUP'!$A:$A,0))</f>
        <v>0</v>
      </c>
      <c r="F301" s="84">
        <f>INDEX('PEER GROUP'!F:F,MATCH($A301,'PEER GROUP'!$A:$A,0))</f>
        <v>0</v>
      </c>
      <c r="G301" s="84">
        <f>INDEX('PEER GROUP'!G:G,MATCH($A301,'PEER GROUP'!$A:$A,0))</f>
        <v>0</v>
      </c>
      <c r="H301" s="85"/>
      <c r="I301" s="85"/>
      <c r="J301" s="70">
        <f>INDEX('PEER GROUP'!K:K,MATCH($A301,'PEER GROUP'!$A:$A,0))</f>
        <v>0</v>
      </c>
      <c r="K301" s="70">
        <f>INDEX('PEER GROUP'!L:L,MATCH($A301,'PEER GROUP'!$A:$A,0))</f>
        <v>0</v>
      </c>
      <c r="L301" s="70">
        <f>INDEX('PEER GROUP'!M:M,MATCH($A301,'PEER GROUP'!$A:$A,0))</f>
        <v>0</v>
      </c>
      <c r="M301" s="86">
        <f>INDEX('PEER GROUP'!N:N,MATCH($A301,'PEER GROUP'!$A:$A,0))</f>
        <v>0</v>
      </c>
      <c r="N301" s="118"/>
      <c r="O301" s="115"/>
      <c r="P301" s="117"/>
      <c r="Q301" s="87"/>
      <c r="R301" s="87">
        <f t="shared" si="92"/>
        <v>0</v>
      </c>
      <c r="S301" s="87"/>
      <c r="T301" s="87"/>
      <c r="U301" s="87"/>
      <c r="V301" s="87">
        <f t="shared" si="93"/>
        <v>0</v>
      </c>
      <c r="W301" s="113">
        <f t="shared" si="90"/>
        <v>36.913096727263202</v>
      </c>
      <c r="X301" s="69">
        <f t="shared" si="94"/>
        <v>0</v>
      </c>
      <c r="Y301" s="70">
        <f t="shared" si="95"/>
        <v>0</v>
      </c>
      <c r="Z301" s="70">
        <f t="shared" si="96"/>
        <v>0</v>
      </c>
      <c r="AA301" s="70">
        <f t="shared" si="97"/>
        <v>0</v>
      </c>
      <c r="AB301" s="70">
        <f t="shared" si="98"/>
        <v>0</v>
      </c>
      <c r="AC301" s="70">
        <f t="shared" si="99"/>
        <v>0</v>
      </c>
      <c r="AD301" s="71">
        <f t="shared" si="100"/>
        <v>0</v>
      </c>
      <c r="AE301" s="49"/>
      <c r="AF301" s="21"/>
      <c r="AG301" s="69"/>
      <c r="AH301" s="70"/>
      <c r="AI301" s="70"/>
      <c r="AJ301" s="70"/>
      <c r="AK301" s="70"/>
      <c r="AL301" s="70"/>
      <c r="AM301" s="70"/>
      <c r="AN301" s="70" t="str">
        <f t="shared" si="101"/>
        <v>---</v>
      </c>
      <c r="AO301" s="70" t="str">
        <f t="shared" si="102"/>
        <v>---</v>
      </c>
      <c r="AP301" s="70" t="str">
        <f t="shared" si="103"/>
        <v>---</v>
      </c>
      <c r="AQ301" s="70" t="str">
        <f t="shared" si="104"/>
        <v>---</v>
      </c>
      <c r="AR301" s="70" t="str">
        <f t="shared" si="105"/>
        <v>---</v>
      </c>
      <c r="AS301" s="70" t="str">
        <f t="shared" si="106"/>
        <v>---</v>
      </c>
      <c r="AT301" s="71" t="str">
        <f t="shared" si="107"/>
        <v>---</v>
      </c>
    </row>
    <row r="302" spans="1:46" ht="30" customHeight="1" x14ac:dyDescent="0.3">
      <c r="A302" s="123">
        <f t="shared" si="91"/>
        <v>298</v>
      </c>
      <c r="B302" s="140">
        <f>INDEX('PEER GROUP'!B:B,MATCH($A302,'PEER GROUP'!$A:$A,0))</f>
        <v>0</v>
      </c>
      <c r="C302" s="83">
        <f>INDEX('PEER GROUP'!C:C,MATCH($A302,'PEER GROUP'!$A:$A,0))</f>
        <v>0</v>
      </c>
      <c r="D302" s="83">
        <f>INDEX('PEER GROUP'!D:D,MATCH($A302,'PEER GROUP'!$A:$A,0))</f>
        <v>0</v>
      </c>
      <c r="E302" s="83">
        <f>INDEX('PEER GROUP'!E:E,MATCH(A302,'PEER GROUP'!$A:$A,0))</f>
        <v>0</v>
      </c>
      <c r="F302" s="84">
        <f>INDEX('PEER GROUP'!F:F,MATCH($A302,'PEER GROUP'!$A:$A,0))</f>
        <v>0</v>
      </c>
      <c r="G302" s="84">
        <f>INDEX('PEER GROUP'!G:G,MATCH($A302,'PEER GROUP'!$A:$A,0))</f>
        <v>0</v>
      </c>
      <c r="H302" s="85"/>
      <c r="I302" s="85"/>
      <c r="J302" s="70">
        <f>INDEX('PEER GROUP'!K:K,MATCH($A302,'PEER GROUP'!$A:$A,0))</f>
        <v>0</v>
      </c>
      <c r="K302" s="70">
        <f>INDEX('PEER GROUP'!L:L,MATCH($A302,'PEER GROUP'!$A:$A,0))</f>
        <v>0</v>
      </c>
      <c r="L302" s="70">
        <f>INDEX('PEER GROUP'!M:M,MATCH($A302,'PEER GROUP'!$A:$A,0))</f>
        <v>0</v>
      </c>
      <c r="M302" s="86">
        <f>INDEX('PEER GROUP'!N:N,MATCH($A302,'PEER GROUP'!$A:$A,0))</f>
        <v>0</v>
      </c>
      <c r="N302" s="118"/>
      <c r="O302" s="115"/>
      <c r="P302" s="117"/>
      <c r="Q302" s="87"/>
      <c r="R302" s="87">
        <f t="shared" si="92"/>
        <v>0</v>
      </c>
      <c r="S302" s="87"/>
      <c r="T302" s="87"/>
      <c r="U302" s="87"/>
      <c r="V302" s="87">
        <f t="shared" si="93"/>
        <v>0</v>
      </c>
      <c r="W302" s="113">
        <f t="shared" si="90"/>
        <v>36.913096727263202</v>
      </c>
      <c r="X302" s="69">
        <f t="shared" si="94"/>
        <v>0</v>
      </c>
      <c r="Y302" s="70">
        <f t="shared" si="95"/>
        <v>0</v>
      </c>
      <c r="Z302" s="70">
        <f t="shared" si="96"/>
        <v>0</v>
      </c>
      <c r="AA302" s="70">
        <f t="shared" si="97"/>
        <v>0</v>
      </c>
      <c r="AB302" s="70">
        <f t="shared" si="98"/>
        <v>0</v>
      </c>
      <c r="AC302" s="70">
        <f t="shared" si="99"/>
        <v>0</v>
      </c>
      <c r="AD302" s="71">
        <f t="shared" si="100"/>
        <v>0</v>
      </c>
      <c r="AE302" s="49"/>
      <c r="AF302" s="21"/>
      <c r="AG302" s="69"/>
      <c r="AH302" s="70"/>
      <c r="AI302" s="70"/>
      <c r="AJ302" s="70"/>
      <c r="AK302" s="70"/>
      <c r="AL302" s="70"/>
      <c r="AM302" s="70"/>
      <c r="AN302" s="70" t="str">
        <f t="shared" si="101"/>
        <v>---</v>
      </c>
      <c r="AO302" s="70" t="str">
        <f t="shared" si="102"/>
        <v>---</v>
      </c>
      <c r="AP302" s="70" t="str">
        <f t="shared" si="103"/>
        <v>---</v>
      </c>
      <c r="AQ302" s="70" t="str">
        <f t="shared" si="104"/>
        <v>---</v>
      </c>
      <c r="AR302" s="70" t="str">
        <f t="shared" si="105"/>
        <v>---</v>
      </c>
      <c r="AS302" s="70" t="str">
        <f t="shared" si="106"/>
        <v>---</v>
      </c>
      <c r="AT302" s="71" t="str">
        <f t="shared" si="107"/>
        <v>---</v>
      </c>
    </row>
    <row r="303" spans="1:46" ht="30" customHeight="1" x14ac:dyDescent="0.3">
      <c r="A303" s="123">
        <f t="shared" si="91"/>
        <v>299</v>
      </c>
      <c r="B303" s="140">
        <f>INDEX('PEER GROUP'!B:B,MATCH($A303,'PEER GROUP'!$A:$A,0))</f>
        <v>0</v>
      </c>
      <c r="C303" s="83">
        <f>INDEX('PEER GROUP'!C:C,MATCH($A303,'PEER GROUP'!$A:$A,0))</f>
        <v>0</v>
      </c>
      <c r="D303" s="83">
        <f>INDEX('PEER GROUP'!D:D,MATCH($A303,'PEER GROUP'!$A:$A,0))</f>
        <v>0</v>
      </c>
      <c r="E303" s="83">
        <f>INDEX('PEER GROUP'!E:E,MATCH(A303,'PEER GROUP'!$A:$A,0))</f>
        <v>0</v>
      </c>
      <c r="F303" s="84">
        <f>INDEX('PEER GROUP'!F:F,MATCH($A303,'PEER GROUP'!$A:$A,0))</f>
        <v>0</v>
      </c>
      <c r="G303" s="84">
        <f>INDEX('PEER GROUP'!G:G,MATCH($A303,'PEER GROUP'!$A:$A,0))</f>
        <v>0</v>
      </c>
      <c r="H303" s="85"/>
      <c r="I303" s="85"/>
      <c r="J303" s="70">
        <f>INDEX('PEER GROUP'!K:K,MATCH($A303,'PEER GROUP'!$A:$A,0))</f>
        <v>0</v>
      </c>
      <c r="K303" s="70">
        <f>INDEX('PEER GROUP'!L:L,MATCH($A303,'PEER GROUP'!$A:$A,0))</f>
        <v>0</v>
      </c>
      <c r="L303" s="70">
        <f>INDEX('PEER GROUP'!M:M,MATCH($A303,'PEER GROUP'!$A:$A,0))</f>
        <v>0</v>
      </c>
      <c r="M303" s="86">
        <f>INDEX('PEER GROUP'!N:N,MATCH($A303,'PEER GROUP'!$A:$A,0))</f>
        <v>0</v>
      </c>
      <c r="N303" s="118"/>
      <c r="O303" s="115"/>
      <c r="P303" s="117"/>
      <c r="Q303" s="87"/>
      <c r="R303" s="87">
        <f t="shared" si="92"/>
        <v>0</v>
      </c>
      <c r="S303" s="87"/>
      <c r="T303" s="87"/>
      <c r="U303" s="87"/>
      <c r="V303" s="87">
        <f t="shared" si="93"/>
        <v>0</v>
      </c>
      <c r="W303" s="113">
        <f t="shared" si="90"/>
        <v>36.913096727263202</v>
      </c>
      <c r="X303" s="69">
        <f t="shared" si="94"/>
        <v>0</v>
      </c>
      <c r="Y303" s="70">
        <f t="shared" si="95"/>
        <v>0</v>
      </c>
      <c r="Z303" s="70">
        <f t="shared" si="96"/>
        <v>0</v>
      </c>
      <c r="AA303" s="70">
        <f t="shared" si="97"/>
        <v>0</v>
      </c>
      <c r="AB303" s="70">
        <f t="shared" si="98"/>
        <v>0</v>
      </c>
      <c r="AC303" s="70">
        <f t="shared" si="99"/>
        <v>0</v>
      </c>
      <c r="AD303" s="71">
        <f t="shared" si="100"/>
        <v>0</v>
      </c>
      <c r="AE303" s="49"/>
      <c r="AF303" s="21"/>
      <c r="AG303" s="69"/>
      <c r="AH303" s="70"/>
      <c r="AI303" s="70"/>
      <c r="AJ303" s="70"/>
      <c r="AK303" s="70"/>
      <c r="AL303" s="70"/>
      <c r="AM303" s="70"/>
      <c r="AN303" s="70" t="str">
        <f t="shared" si="101"/>
        <v>---</v>
      </c>
      <c r="AO303" s="70" t="str">
        <f t="shared" si="102"/>
        <v>---</v>
      </c>
      <c r="AP303" s="70" t="str">
        <f t="shared" si="103"/>
        <v>---</v>
      </c>
      <c r="AQ303" s="70" t="str">
        <f t="shared" si="104"/>
        <v>---</v>
      </c>
      <c r="AR303" s="70" t="str">
        <f t="shared" si="105"/>
        <v>---</v>
      </c>
      <c r="AS303" s="70" t="str">
        <f t="shared" si="106"/>
        <v>---</v>
      </c>
      <c r="AT303" s="71" t="str">
        <f t="shared" si="107"/>
        <v>---</v>
      </c>
    </row>
    <row r="304" spans="1:46" ht="30" customHeight="1" x14ac:dyDescent="0.3">
      <c r="A304" s="123">
        <f t="shared" si="91"/>
        <v>300</v>
      </c>
      <c r="B304" s="140">
        <f>INDEX('PEER GROUP'!B:B,MATCH($A304,'PEER GROUP'!$A:$A,0))</f>
        <v>0</v>
      </c>
      <c r="C304" s="83">
        <f>INDEX('PEER GROUP'!C:C,MATCH($A304,'PEER GROUP'!$A:$A,0))</f>
        <v>0</v>
      </c>
      <c r="D304" s="83">
        <f>INDEX('PEER GROUP'!D:D,MATCH($A304,'PEER GROUP'!$A:$A,0))</f>
        <v>0</v>
      </c>
      <c r="E304" s="83">
        <f>INDEX('PEER GROUP'!E:E,MATCH(A304,'PEER GROUP'!$A:$A,0))</f>
        <v>0</v>
      </c>
      <c r="F304" s="84">
        <f>INDEX('PEER GROUP'!F:F,MATCH($A304,'PEER GROUP'!$A:$A,0))</f>
        <v>0</v>
      </c>
      <c r="G304" s="84">
        <f>INDEX('PEER GROUP'!G:G,MATCH($A304,'PEER GROUP'!$A:$A,0))</f>
        <v>0</v>
      </c>
      <c r="H304" s="85"/>
      <c r="I304" s="85"/>
      <c r="J304" s="70">
        <f>INDEX('PEER GROUP'!K:K,MATCH($A304,'PEER GROUP'!$A:$A,0))</f>
        <v>0</v>
      </c>
      <c r="K304" s="70">
        <f>INDEX('PEER GROUP'!L:L,MATCH($A304,'PEER GROUP'!$A:$A,0))</f>
        <v>0</v>
      </c>
      <c r="L304" s="70">
        <f>INDEX('PEER GROUP'!M:M,MATCH($A304,'PEER GROUP'!$A:$A,0))</f>
        <v>0</v>
      </c>
      <c r="M304" s="86">
        <f>INDEX('PEER GROUP'!N:N,MATCH($A304,'PEER GROUP'!$A:$A,0))</f>
        <v>0</v>
      </c>
      <c r="N304" s="118"/>
      <c r="O304" s="115"/>
      <c r="P304" s="117"/>
      <c r="Q304" s="87"/>
      <c r="R304" s="87">
        <f t="shared" si="92"/>
        <v>0</v>
      </c>
      <c r="S304" s="87"/>
      <c r="T304" s="87"/>
      <c r="U304" s="87"/>
      <c r="V304" s="87">
        <f t="shared" si="93"/>
        <v>0</v>
      </c>
      <c r="W304" s="113">
        <f t="shared" si="90"/>
        <v>36.913096727263202</v>
      </c>
      <c r="X304" s="69">
        <f t="shared" si="94"/>
        <v>0</v>
      </c>
      <c r="Y304" s="70">
        <f t="shared" si="95"/>
        <v>0</v>
      </c>
      <c r="Z304" s="70">
        <f t="shared" si="96"/>
        <v>0</v>
      </c>
      <c r="AA304" s="70">
        <f t="shared" si="97"/>
        <v>0</v>
      </c>
      <c r="AB304" s="70">
        <f t="shared" si="98"/>
        <v>0</v>
      </c>
      <c r="AC304" s="70">
        <f t="shared" si="99"/>
        <v>0</v>
      </c>
      <c r="AD304" s="71">
        <f t="shared" si="100"/>
        <v>0</v>
      </c>
      <c r="AE304" s="49"/>
      <c r="AF304" s="21"/>
      <c r="AG304" s="69"/>
      <c r="AH304" s="70"/>
      <c r="AI304" s="70"/>
      <c r="AJ304" s="70"/>
      <c r="AK304" s="70"/>
      <c r="AL304" s="70"/>
      <c r="AM304" s="70"/>
      <c r="AN304" s="70" t="str">
        <f t="shared" si="101"/>
        <v>---</v>
      </c>
      <c r="AO304" s="70" t="str">
        <f t="shared" si="102"/>
        <v>---</v>
      </c>
      <c r="AP304" s="70" t="str">
        <f t="shared" si="103"/>
        <v>---</v>
      </c>
      <c r="AQ304" s="70" t="str">
        <f t="shared" si="104"/>
        <v>---</v>
      </c>
      <c r="AR304" s="70" t="str">
        <f t="shared" si="105"/>
        <v>---</v>
      </c>
      <c r="AS304" s="70" t="str">
        <f t="shared" si="106"/>
        <v>---</v>
      </c>
      <c r="AT304" s="71" t="str">
        <f t="shared" si="107"/>
        <v>---</v>
      </c>
    </row>
    <row r="305" spans="1:46" ht="30" customHeight="1" x14ac:dyDescent="0.3">
      <c r="A305" s="123">
        <f t="shared" si="91"/>
        <v>301</v>
      </c>
      <c r="B305" s="140">
        <f>INDEX('PEER GROUP'!B:B,MATCH($A305,'PEER GROUP'!$A:$A,0))</f>
        <v>0</v>
      </c>
      <c r="C305" s="83">
        <f>INDEX('PEER GROUP'!C:C,MATCH($A305,'PEER GROUP'!$A:$A,0))</f>
        <v>0</v>
      </c>
      <c r="D305" s="83">
        <f>INDEX('PEER GROUP'!D:D,MATCH($A305,'PEER GROUP'!$A:$A,0))</f>
        <v>0</v>
      </c>
      <c r="E305" s="83">
        <f>INDEX('PEER GROUP'!E:E,MATCH(A305,'PEER GROUP'!$A:$A,0))</f>
        <v>0</v>
      </c>
      <c r="F305" s="84">
        <f>INDEX('PEER GROUP'!F:F,MATCH($A305,'PEER GROUP'!$A:$A,0))</f>
        <v>0</v>
      </c>
      <c r="G305" s="84">
        <f>INDEX('PEER GROUP'!G:G,MATCH($A305,'PEER GROUP'!$A:$A,0))</f>
        <v>0</v>
      </c>
      <c r="H305" s="85"/>
      <c r="I305" s="85"/>
      <c r="J305" s="70">
        <f>INDEX('PEER GROUP'!K:K,MATCH($A305,'PEER GROUP'!$A:$A,0))</f>
        <v>0</v>
      </c>
      <c r="K305" s="70">
        <f>INDEX('PEER GROUP'!L:L,MATCH($A305,'PEER GROUP'!$A:$A,0))</f>
        <v>0</v>
      </c>
      <c r="L305" s="70">
        <f>INDEX('PEER GROUP'!M:M,MATCH($A305,'PEER GROUP'!$A:$A,0))</f>
        <v>0</v>
      </c>
      <c r="M305" s="86">
        <f>INDEX('PEER GROUP'!N:N,MATCH($A305,'PEER GROUP'!$A:$A,0))</f>
        <v>0</v>
      </c>
      <c r="N305" s="118"/>
      <c r="O305" s="115"/>
      <c r="P305" s="117"/>
      <c r="Q305" s="87"/>
      <c r="R305" s="87">
        <f t="shared" si="92"/>
        <v>0</v>
      </c>
      <c r="S305" s="87"/>
      <c r="T305" s="87"/>
      <c r="U305" s="87"/>
      <c r="V305" s="87">
        <f t="shared" si="93"/>
        <v>0</v>
      </c>
      <c r="W305" s="113">
        <f t="shared" si="90"/>
        <v>36.913096727263202</v>
      </c>
      <c r="X305" s="69">
        <f t="shared" si="94"/>
        <v>0</v>
      </c>
      <c r="Y305" s="70">
        <f t="shared" si="95"/>
        <v>0</v>
      </c>
      <c r="Z305" s="70">
        <f t="shared" si="96"/>
        <v>0</v>
      </c>
      <c r="AA305" s="70">
        <f t="shared" si="97"/>
        <v>0</v>
      </c>
      <c r="AB305" s="70">
        <f t="shared" si="98"/>
        <v>0</v>
      </c>
      <c r="AC305" s="70">
        <f t="shared" si="99"/>
        <v>0</v>
      </c>
      <c r="AD305" s="71">
        <f t="shared" si="100"/>
        <v>0</v>
      </c>
      <c r="AE305" s="49"/>
      <c r="AF305" s="21"/>
      <c r="AG305" s="69"/>
      <c r="AH305" s="70"/>
      <c r="AI305" s="70"/>
      <c r="AJ305" s="70"/>
      <c r="AK305" s="70"/>
      <c r="AL305" s="70"/>
      <c r="AM305" s="70"/>
      <c r="AN305" s="70" t="str">
        <f t="shared" si="101"/>
        <v>---</v>
      </c>
      <c r="AO305" s="70" t="str">
        <f t="shared" si="102"/>
        <v>---</v>
      </c>
      <c r="AP305" s="70" t="str">
        <f t="shared" si="103"/>
        <v>---</v>
      </c>
      <c r="AQ305" s="70" t="str">
        <f t="shared" si="104"/>
        <v>---</v>
      </c>
      <c r="AR305" s="70" t="str">
        <f t="shared" si="105"/>
        <v>---</v>
      </c>
      <c r="AS305" s="70" t="str">
        <f t="shared" si="106"/>
        <v>---</v>
      </c>
      <c r="AT305" s="71" t="str">
        <f t="shared" si="107"/>
        <v>---</v>
      </c>
    </row>
    <row r="306" spans="1:46" ht="30" customHeight="1" x14ac:dyDescent="0.3">
      <c r="A306" s="123">
        <f t="shared" si="91"/>
        <v>302</v>
      </c>
      <c r="B306" s="140">
        <f>INDEX('PEER GROUP'!B:B,MATCH($A306,'PEER GROUP'!$A:$A,0))</f>
        <v>0</v>
      </c>
      <c r="C306" s="83">
        <f>INDEX('PEER GROUP'!C:C,MATCH($A306,'PEER GROUP'!$A:$A,0))</f>
        <v>0</v>
      </c>
      <c r="D306" s="83">
        <f>INDEX('PEER GROUP'!D:D,MATCH($A306,'PEER GROUP'!$A:$A,0))</f>
        <v>0</v>
      </c>
      <c r="E306" s="83">
        <f>INDEX('PEER GROUP'!E:E,MATCH(A306,'PEER GROUP'!$A:$A,0))</f>
        <v>0</v>
      </c>
      <c r="F306" s="84">
        <f>INDEX('PEER GROUP'!F:F,MATCH($A306,'PEER GROUP'!$A:$A,0))</f>
        <v>0</v>
      </c>
      <c r="G306" s="84">
        <f>INDEX('PEER GROUP'!G:G,MATCH($A306,'PEER GROUP'!$A:$A,0))</f>
        <v>0</v>
      </c>
      <c r="H306" s="85"/>
      <c r="I306" s="85"/>
      <c r="J306" s="70">
        <f>INDEX('PEER GROUP'!K:K,MATCH($A306,'PEER GROUP'!$A:$A,0))</f>
        <v>0</v>
      </c>
      <c r="K306" s="70">
        <f>INDEX('PEER GROUP'!L:L,MATCH($A306,'PEER GROUP'!$A:$A,0))</f>
        <v>0</v>
      </c>
      <c r="L306" s="70">
        <f>INDEX('PEER GROUP'!M:M,MATCH($A306,'PEER GROUP'!$A:$A,0))</f>
        <v>0</v>
      </c>
      <c r="M306" s="86">
        <f>INDEX('PEER GROUP'!N:N,MATCH($A306,'PEER GROUP'!$A:$A,0))</f>
        <v>0</v>
      </c>
      <c r="N306" s="118"/>
      <c r="O306" s="115"/>
      <c r="P306" s="117"/>
      <c r="Q306" s="87"/>
      <c r="R306" s="87">
        <f t="shared" si="92"/>
        <v>0</v>
      </c>
      <c r="S306" s="87"/>
      <c r="T306" s="87"/>
      <c r="U306" s="87"/>
      <c r="V306" s="87">
        <f t="shared" si="93"/>
        <v>0</v>
      </c>
      <c r="W306" s="113">
        <f t="shared" si="90"/>
        <v>36.913096727263202</v>
      </c>
      <c r="X306" s="69">
        <f t="shared" si="94"/>
        <v>0</v>
      </c>
      <c r="Y306" s="70">
        <f t="shared" si="95"/>
        <v>0</v>
      </c>
      <c r="Z306" s="70">
        <f t="shared" si="96"/>
        <v>0</v>
      </c>
      <c r="AA306" s="70">
        <f t="shared" si="97"/>
        <v>0</v>
      </c>
      <c r="AB306" s="70">
        <f t="shared" si="98"/>
        <v>0</v>
      </c>
      <c r="AC306" s="70">
        <f t="shared" si="99"/>
        <v>0</v>
      </c>
      <c r="AD306" s="71">
        <f t="shared" si="100"/>
        <v>0</v>
      </c>
      <c r="AE306" s="49"/>
      <c r="AF306" s="21"/>
      <c r="AG306" s="69"/>
      <c r="AH306" s="70"/>
      <c r="AI306" s="70"/>
      <c r="AJ306" s="70"/>
      <c r="AK306" s="70"/>
      <c r="AL306" s="70"/>
      <c r="AM306" s="70"/>
      <c r="AN306" s="70" t="str">
        <f t="shared" si="101"/>
        <v>---</v>
      </c>
      <c r="AO306" s="70" t="str">
        <f t="shared" si="102"/>
        <v>---</v>
      </c>
      <c r="AP306" s="70" t="str">
        <f t="shared" si="103"/>
        <v>---</v>
      </c>
      <c r="AQ306" s="70" t="str">
        <f t="shared" si="104"/>
        <v>---</v>
      </c>
      <c r="AR306" s="70" t="str">
        <f t="shared" si="105"/>
        <v>---</v>
      </c>
      <c r="AS306" s="70" t="str">
        <f t="shared" si="106"/>
        <v>---</v>
      </c>
      <c r="AT306" s="71" t="str">
        <f t="shared" si="107"/>
        <v>---</v>
      </c>
    </row>
    <row r="307" spans="1:46" ht="30" customHeight="1" x14ac:dyDescent="0.3">
      <c r="A307" s="123">
        <f t="shared" si="91"/>
        <v>303</v>
      </c>
      <c r="B307" s="140">
        <f>INDEX('PEER GROUP'!B:B,MATCH($A307,'PEER GROUP'!$A:$A,0))</f>
        <v>0</v>
      </c>
      <c r="C307" s="83">
        <f>INDEX('PEER GROUP'!C:C,MATCH($A307,'PEER GROUP'!$A:$A,0))</f>
        <v>0</v>
      </c>
      <c r="D307" s="83">
        <f>INDEX('PEER GROUP'!D:D,MATCH($A307,'PEER GROUP'!$A:$A,0))</f>
        <v>0</v>
      </c>
      <c r="E307" s="83">
        <f>INDEX('PEER GROUP'!E:E,MATCH(A307,'PEER GROUP'!$A:$A,0))</f>
        <v>0</v>
      </c>
      <c r="F307" s="84">
        <f>INDEX('PEER GROUP'!F:F,MATCH($A307,'PEER GROUP'!$A:$A,0))</f>
        <v>0</v>
      </c>
      <c r="G307" s="84">
        <f>INDEX('PEER GROUP'!G:G,MATCH($A307,'PEER GROUP'!$A:$A,0))</f>
        <v>0</v>
      </c>
      <c r="H307" s="85"/>
      <c r="I307" s="85"/>
      <c r="J307" s="70">
        <f>INDEX('PEER GROUP'!K:K,MATCH($A307,'PEER GROUP'!$A:$A,0))</f>
        <v>0</v>
      </c>
      <c r="K307" s="70">
        <f>INDEX('PEER GROUP'!L:L,MATCH($A307,'PEER GROUP'!$A:$A,0))</f>
        <v>0</v>
      </c>
      <c r="L307" s="70">
        <f>INDEX('PEER GROUP'!M:M,MATCH($A307,'PEER GROUP'!$A:$A,0))</f>
        <v>0</v>
      </c>
      <c r="M307" s="86">
        <f>INDEX('PEER GROUP'!N:N,MATCH($A307,'PEER GROUP'!$A:$A,0))</f>
        <v>0</v>
      </c>
      <c r="N307" s="118"/>
      <c r="O307" s="115"/>
      <c r="P307" s="117"/>
      <c r="Q307" s="87"/>
      <c r="R307" s="87">
        <f t="shared" si="92"/>
        <v>0</v>
      </c>
      <c r="S307" s="87"/>
      <c r="T307" s="87"/>
      <c r="U307" s="87"/>
      <c r="V307" s="87">
        <f t="shared" si="93"/>
        <v>0</v>
      </c>
      <c r="W307" s="113">
        <f t="shared" si="90"/>
        <v>36.913096727263202</v>
      </c>
      <c r="X307" s="69">
        <f t="shared" si="94"/>
        <v>0</v>
      </c>
      <c r="Y307" s="70">
        <f t="shared" si="95"/>
        <v>0</v>
      </c>
      <c r="Z307" s="70">
        <f t="shared" si="96"/>
        <v>0</v>
      </c>
      <c r="AA307" s="70">
        <f t="shared" si="97"/>
        <v>0</v>
      </c>
      <c r="AB307" s="70">
        <f t="shared" si="98"/>
        <v>0</v>
      </c>
      <c r="AC307" s="70">
        <f t="shared" si="99"/>
        <v>0</v>
      </c>
      <c r="AD307" s="71">
        <f t="shared" si="100"/>
        <v>0</v>
      </c>
      <c r="AE307" s="49"/>
      <c r="AF307" s="21"/>
      <c r="AG307" s="69"/>
      <c r="AH307" s="70"/>
      <c r="AI307" s="70"/>
      <c r="AJ307" s="70"/>
      <c r="AK307" s="70"/>
      <c r="AL307" s="70"/>
      <c r="AM307" s="70"/>
      <c r="AN307" s="70" t="str">
        <f t="shared" si="101"/>
        <v>---</v>
      </c>
      <c r="AO307" s="70" t="str">
        <f t="shared" si="102"/>
        <v>---</v>
      </c>
      <c r="AP307" s="70" t="str">
        <f t="shared" si="103"/>
        <v>---</v>
      </c>
      <c r="AQ307" s="70" t="str">
        <f t="shared" si="104"/>
        <v>---</v>
      </c>
      <c r="AR307" s="70" t="str">
        <f t="shared" si="105"/>
        <v>---</v>
      </c>
      <c r="AS307" s="70" t="str">
        <f t="shared" si="106"/>
        <v>---</v>
      </c>
      <c r="AT307" s="71" t="str">
        <f t="shared" si="107"/>
        <v>---</v>
      </c>
    </row>
    <row r="308" spans="1:46" ht="30" customHeight="1" x14ac:dyDescent="0.3">
      <c r="A308" s="123">
        <f t="shared" si="91"/>
        <v>304</v>
      </c>
      <c r="B308" s="140">
        <f>INDEX('PEER GROUP'!B:B,MATCH($A308,'PEER GROUP'!$A:$A,0))</f>
        <v>0</v>
      </c>
      <c r="C308" s="83">
        <f>INDEX('PEER GROUP'!C:C,MATCH($A308,'PEER GROUP'!$A:$A,0))</f>
        <v>0</v>
      </c>
      <c r="D308" s="83">
        <f>INDEX('PEER GROUP'!D:D,MATCH($A308,'PEER GROUP'!$A:$A,0))</f>
        <v>0</v>
      </c>
      <c r="E308" s="83">
        <f>INDEX('PEER GROUP'!E:E,MATCH(A308,'PEER GROUP'!$A:$A,0))</f>
        <v>0</v>
      </c>
      <c r="F308" s="84">
        <f>INDEX('PEER GROUP'!F:F,MATCH($A308,'PEER GROUP'!$A:$A,0))</f>
        <v>0</v>
      </c>
      <c r="G308" s="84">
        <f>INDEX('PEER GROUP'!G:G,MATCH($A308,'PEER GROUP'!$A:$A,0))</f>
        <v>0</v>
      </c>
      <c r="H308" s="85"/>
      <c r="I308" s="85"/>
      <c r="J308" s="70">
        <f>INDEX('PEER GROUP'!K:K,MATCH($A308,'PEER GROUP'!$A:$A,0))</f>
        <v>0</v>
      </c>
      <c r="K308" s="70">
        <f>INDEX('PEER GROUP'!L:L,MATCH($A308,'PEER GROUP'!$A:$A,0))</f>
        <v>0</v>
      </c>
      <c r="L308" s="70">
        <f>INDEX('PEER GROUP'!M:M,MATCH($A308,'PEER GROUP'!$A:$A,0))</f>
        <v>0</v>
      </c>
      <c r="M308" s="86">
        <f>INDEX('PEER GROUP'!N:N,MATCH($A308,'PEER GROUP'!$A:$A,0))</f>
        <v>0</v>
      </c>
      <c r="N308" s="118"/>
      <c r="O308" s="115"/>
      <c r="P308" s="117"/>
      <c r="Q308" s="87"/>
      <c r="R308" s="87">
        <f t="shared" si="92"/>
        <v>0</v>
      </c>
      <c r="S308" s="87"/>
      <c r="T308" s="87"/>
      <c r="U308" s="87"/>
      <c r="V308" s="87">
        <f t="shared" si="93"/>
        <v>0</v>
      </c>
      <c r="W308" s="113">
        <f t="shared" si="90"/>
        <v>36.913096727263202</v>
      </c>
      <c r="X308" s="69">
        <f t="shared" si="94"/>
        <v>0</v>
      </c>
      <c r="Y308" s="70">
        <f t="shared" si="95"/>
        <v>0</v>
      </c>
      <c r="Z308" s="70">
        <f t="shared" si="96"/>
        <v>0</v>
      </c>
      <c r="AA308" s="70">
        <f t="shared" si="97"/>
        <v>0</v>
      </c>
      <c r="AB308" s="70">
        <f t="shared" si="98"/>
        <v>0</v>
      </c>
      <c r="AC308" s="70">
        <f t="shared" si="99"/>
        <v>0</v>
      </c>
      <c r="AD308" s="71">
        <f t="shared" si="100"/>
        <v>0</v>
      </c>
      <c r="AE308" s="49"/>
      <c r="AF308" s="21"/>
      <c r="AG308" s="69"/>
      <c r="AH308" s="70"/>
      <c r="AI308" s="70"/>
      <c r="AJ308" s="70"/>
      <c r="AK308" s="70"/>
      <c r="AL308" s="70"/>
      <c r="AM308" s="70"/>
      <c r="AN308" s="70" t="str">
        <f t="shared" si="101"/>
        <v>---</v>
      </c>
      <c r="AO308" s="70" t="str">
        <f t="shared" si="102"/>
        <v>---</v>
      </c>
      <c r="AP308" s="70" t="str">
        <f t="shared" si="103"/>
        <v>---</v>
      </c>
      <c r="AQ308" s="70" t="str">
        <f t="shared" si="104"/>
        <v>---</v>
      </c>
      <c r="AR308" s="70" t="str">
        <f t="shared" si="105"/>
        <v>---</v>
      </c>
      <c r="AS308" s="70" t="str">
        <f t="shared" si="106"/>
        <v>---</v>
      </c>
      <c r="AT308" s="71" t="str">
        <f t="shared" si="107"/>
        <v>---</v>
      </c>
    </row>
    <row r="309" spans="1:46" ht="30" customHeight="1" x14ac:dyDescent="0.3">
      <c r="A309" s="123">
        <f t="shared" si="91"/>
        <v>305</v>
      </c>
      <c r="B309" s="140">
        <f>INDEX('PEER GROUP'!B:B,MATCH($A309,'PEER GROUP'!$A:$A,0))</f>
        <v>0</v>
      </c>
      <c r="C309" s="83">
        <f>INDEX('PEER GROUP'!C:C,MATCH($A309,'PEER GROUP'!$A:$A,0))</f>
        <v>0</v>
      </c>
      <c r="D309" s="83">
        <f>INDEX('PEER GROUP'!D:D,MATCH($A309,'PEER GROUP'!$A:$A,0))</f>
        <v>0</v>
      </c>
      <c r="E309" s="83">
        <f>INDEX('PEER GROUP'!E:E,MATCH(A309,'PEER GROUP'!$A:$A,0))</f>
        <v>0</v>
      </c>
      <c r="F309" s="84">
        <f>INDEX('PEER GROUP'!F:F,MATCH($A309,'PEER GROUP'!$A:$A,0))</f>
        <v>0</v>
      </c>
      <c r="G309" s="84">
        <f>INDEX('PEER GROUP'!G:G,MATCH($A309,'PEER GROUP'!$A:$A,0))</f>
        <v>0</v>
      </c>
      <c r="H309" s="85"/>
      <c r="I309" s="85"/>
      <c r="J309" s="70">
        <f>INDEX('PEER GROUP'!K:K,MATCH($A309,'PEER GROUP'!$A:$A,0))</f>
        <v>0</v>
      </c>
      <c r="K309" s="70">
        <f>INDEX('PEER GROUP'!L:L,MATCH($A309,'PEER GROUP'!$A:$A,0))</f>
        <v>0</v>
      </c>
      <c r="L309" s="70">
        <f>INDEX('PEER GROUP'!M:M,MATCH($A309,'PEER GROUP'!$A:$A,0))</f>
        <v>0</v>
      </c>
      <c r="M309" s="86">
        <f>INDEX('PEER GROUP'!N:N,MATCH($A309,'PEER GROUP'!$A:$A,0))</f>
        <v>0</v>
      </c>
      <c r="N309" s="118"/>
      <c r="O309" s="115"/>
      <c r="P309" s="117"/>
      <c r="Q309" s="87"/>
      <c r="R309" s="87">
        <f t="shared" si="92"/>
        <v>0</v>
      </c>
      <c r="S309" s="87"/>
      <c r="T309" s="87"/>
      <c r="U309" s="87"/>
      <c r="V309" s="87">
        <f t="shared" si="93"/>
        <v>0</v>
      </c>
      <c r="W309" s="113">
        <f t="shared" si="90"/>
        <v>36.913096727263202</v>
      </c>
      <c r="X309" s="69">
        <f t="shared" si="94"/>
        <v>0</v>
      </c>
      <c r="Y309" s="70">
        <f t="shared" si="95"/>
        <v>0</v>
      </c>
      <c r="Z309" s="70">
        <f t="shared" si="96"/>
        <v>0</v>
      </c>
      <c r="AA309" s="70">
        <f t="shared" si="97"/>
        <v>0</v>
      </c>
      <c r="AB309" s="70">
        <f t="shared" si="98"/>
        <v>0</v>
      </c>
      <c r="AC309" s="70">
        <f t="shared" si="99"/>
        <v>0</v>
      </c>
      <c r="AD309" s="71">
        <f t="shared" si="100"/>
        <v>0</v>
      </c>
      <c r="AE309" s="49"/>
      <c r="AF309" s="21"/>
      <c r="AG309" s="69"/>
      <c r="AH309" s="70"/>
      <c r="AI309" s="70"/>
      <c r="AJ309" s="70"/>
      <c r="AK309" s="70"/>
      <c r="AL309" s="70"/>
      <c r="AM309" s="70"/>
      <c r="AN309" s="70" t="str">
        <f t="shared" si="101"/>
        <v>---</v>
      </c>
      <c r="AO309" s="70" t="str">
        <f t="shared" si="102"/>
        <v>---</v>
      </c>
      <c r="AP309" s="70" t="str">
        <f t="shared" si="103"/>
        <v>---</v>
      </c>
      <c r="AQ309" s="70" t="str">
        <f t="shared" si="104"/>
        <v>---</v>
      </c>
      <c r="AR309" s="70" t="str">
        <f t="shared" si="105"/>
        <v>---</v>
      </c>
      <c r="AS309" s="70" t="str">
        <f t="shared" si="106"/>
        <v>---</v>
      </c>
      <c r="AT309" s="71" t="str">
        <f t="shared" si="107"/>
        <v>---</v>
      </c>
    </row>
    <row r="310" spans="1:46" ht="30" customHeight="1" x14ac:dyDescent="0.3">
      <c r="A310" s="123">
        <f t="shared" si="91"/>
        <v>306</v>
      </c>
      <c r="B310" s="140">
        <f>INDEX('PEER GROUP'!B:B,MATCH($A310,'PEER GROUP'!$A:$A,0))</f>
        <v>0</v>
      </c>
      <c r="C310" s="83">
        <f>INDEX('PEER GROUP'!C:C,MATCH($A310,'PEER GROUP'!$A:$A,0))</f>
        <v>0</v>
      </c>
      <c r="D310" s="83">
        <f>INDEX('PEER GROUP'!D:D,MATCH($A310,'PEER GROUP'!$A:$A,0))</f>
        <v>0</v>
      </c>
      <c r="E310" s="83">
        <f>INDEX('PEER GROUP'!E:E,MATCH(A310,'PEER GROUP'!$A:$A,0))</f>
        <v>0</v>
      </c>
      <c r="F310" s="84">
        <f>INDEX('PEER GROUP'!F:F,MATCH($A310,'PEER GROUP'!$A:$A,0))</f>
        <v>0</v>
      </c>
      <c r="G310" s="84">
        <f>INDEX('PEER GROUP'!G:G,MATCH($A310,'PEER GROUP'!$A:$A,0))</f>
        <v>0</v>
      </c>
      <c r="H310" s="85"/>
      <c r="I310" s="85"/>
      <c r="J310" s="70">
        <f>INDEX('PEER GROUP'!K:K,MATCH($A310,'PEER GROUP'!$A:$A,0))</f>
        <v>0</v>
      </c>
      <c r="K310" s="70">
        <f>INDEX('PEER GROUP'!L:L,MATCH($A310,'PEER GROUP'!$A:$A,0))</f>
        <v>0</v>
      </c>
      <c r="L310" s="70">
        <f>INDEX('PEER GROUP'!M:M,MATCH($A310,'PEER GROUP'!$A:$A,0))</f>
        <v>0</v>
      </c>
      <c r="M310" s="86">
        <f>INDEX('PEER GROUP'!N:N,MATCH($A310,'PEER GROUP'!$A:$A,0))</f>
        <v>0</v>
      </c>
      <c r="N310" s="118"/>
      <c r="O310" s="115"/>
      <c r="P310" s="117"/>
      <c r="Q310" s="87"/>
      <c r="R310" s="87">
        <f t="shared" si="92"/>
        <v>0</v>
      </c>
      <c r="S310" s="87"/>
      <c r="T310" s="87"/>
      <c r="U310" s="87"/>
      <c r="V310" s="87">
        <f t="shared" si="93"/>
        <v>0</v>
      </c>
      <c r="W310" s="113">
        <f t="shared" si="90"/>
        <v>36.913096727263202</v>
      </c>
      <c r="X310" s="69">
        <f t="shared" si="94"/>
        <v>0</v>
      </c>
      <c r="Y310" s="70">
        <f t="shared" si="95"/>
        <v>0</v>
      </c>
      <c r="Z310" s="70">
        <f t="shared" si="96"/>
        <v>0</v>
      </c>
      <c r="AA310" s="70">
        <f t="shared" si="97"/>
        <v>0</v>
      </c>
      <c r="AB310" s="70">
        <f t="shared" si="98"/>
        <v>0</v>
      </c>
      <c r="AC310" s="70">
        <f t="shared" si="99"/>
        <v>0</v>
      </c>
      <c r="AD310" s="71">
        <f t="shared" si="100"/>
        <v>0</v>
      </c>
      <c r="AE310" s="49"/>
      <c r="AF310" s="21"/>
      <c r="AG310" s="69"/>
      <c r="AH310" s="70"/>
      <c r="AI310" s="70"/>
      <c r="AJ310" s="70"/>
      <c r="AK310" s="70"/>
      <c r="AL310" s="70"/>
      <c r="AM310" s="70"/>
      <c r="AN310" s="70" t="str">
        <f t="shared" si="101"/>
        <v>---</v>
      </c>
      <c r="AO310" s="70" t="str">
        <f t="shared" si="102"/>
        <v>---</v>
      </c>
      <c r="AP310" s="70" t="str">
        <f t="shared" si="103"/>
        <v>---</v>
      </c>
      <c r="AQ310" s="70" t="str">
        <f t="shared" si="104"/>
        <v>---</v>
      </c>
      <c r="AR310" s="70" t="str">
        <f t="shared" si="105"/>
        <v>---</v>
      </c>
      <c r="AS310" s="70" t="str">
        <f t="shared" si="106"/>
        <v>---</v>
      </c>
      <c r="AT310" s="71" t="str">
        <f t="shared" si="107"/>
        <v>---</v>
      </c>
    </row>
    <row r="311" spans="1:46" ht="30" customHeight="1" x14ac:dyDescent="0.3">
      <c r="A311" s="123">
        <f t="shared" si="91"/>
        <v>307</v>
      </c>
      <c r="B311" s="140">
        <f>INDEX('PEER GROUP'!B:B,MATCH($A311,'PEER GROUP'!$A:$A,0))</f>
        <v>0</v>
      </c>
      <c r="C311" s="83">
        <f>INDEX('PEER GROUP'!C:C,MATCH($A311,'PEER GROUP'!$A:$A,0))</f>
        <v>0</v>
      </c>
      <c r="D311" s="83">
        <f>INDEX('PEER GROUP'!D:D,MATCH($A311,'PEER GROUP'!$A:$A,0))</f>
        <v>0</v>
      </c>
      <c r="E311" s="83">
        <f>INDEX('PEER GROUP'!E:E,MATCH(A311,'PEER GROUP'!$A:$A,0))</f>
        <v>0</v>
      </c>
      <c r="F311" s="84">
        <f>INDEX('PEER GROUP'!F:F,MATCH($A311,'PEER GROUP'!$A:$A,0))</f>
        <v>0</v>
      </c>
      <c r="G311" s="84">
        <f>INDEX('PEER GROUP'!G:G,MATCH($A311,'PEER GROUP'!$A:$A,0))</f>
        <v>0</v>
      </c>
      <c r="H311" s="85"/>
      <c r="I311" s="85"/>
      <c r="J311" s="70">
        <f>INDEX('PEER GROUP'!K:K,MATCH($A311,'PEER GROUP'!$A:$A,0))</f>
        <v>0</v>
      </c>
      <c r="K311" s="70">
        <f>INDEX('PEER GROUP'!L:L,MATCH($A311,'PEER GROUP'!$A:$A,0))</f>
        <v>0</v>
      </c>
      <c r="L311" s="70">
        <f>INDEX('PEER GROUP'!M:M,MATCH($A311,'PEER GROUP'!$A:$A,0))</f>
        <v>0</v>
      </c>
      <c r="M311" s="86">
        <f>INDEX('PEER GROUP'!N:N,MATCH($A311,'PEER GROUP'!$A:$A,0))</f>
        <v>0</v>
      </c>
      <c r="N311" s="118"/>
      <c r="O311" s="115"/>
      <c r="P311" s="117"/>
      <c r="Q311" s="87"/>
      <c r="R311" s="87">
        <f t="shared" si="92"/>
        <v>0</v>
      </c>
      <c r="S311" s="87"/>
      <c r="T311" s="87"/>
      <c r="U311" s="87"/>
      <c r="V311" s="87">
        <f t="shared" si="93"/>
        <v>0</v>
      </c>
      <c r="W311" s="113">
        <f t="shared" si="90"/>
        <v>36.913096727263202</v>
      </c>
      <c r="X311" s="69">
        <f t="shared" si="94"/>
        <v>0</v>
      </c>
      <c r="Y311" s="70">
        <f t="shared" si="95"/>
        <v>0</v>
      </c>
      <c r="Z311" s="70">
        <f t="shared" si="96"/>
        <v>0</v>
      </c>
      <c r="AA311" s="70">
        <f t="shared" si="97"/>
        <v>0</v>
      </c>
      <c r="AB311" s="70">
        <f t="shared" si="98"/>
        <v>0</v>
      </c>
      <c r="AC311" s="70">
        <f t="shared" si="99"/>
        <v>0</v>
      </c>
      <c r="AD311" s="71">
        <f t="shared" si="100"/>
        <v>0</v>
      </c>
      <c r="AE311" s="49"/>
      <c r="AF311" s="21"/>
      <c r="AG311" s="69"/>
      <c r="AH311" s="70"/>
      <c r="AI311" s="70"/>
      <c r="AJ311" s="70"/>
      <c r="AK311" s="70"/>
      <c r="AL311" s="70"/>
      <c r="AM311" s="70"/>
      <c r="AN311" s="70" t="str">
        <f t="shared" si="101"/>
        <v>---</v>
      </c>
      <c r="AO311" s="70" t="str">
        <f t="shared" si="102"/>
        <v>---</v>
      </c>
      <c r="AP311" s="70" t="str">
        <f t="shared" si="103"/>
        <v>---</v>
      </c>
      <c r="AQ311" s="70" t="str">
        <f t="shared" si="104"/>
        <v>---</v>
      </c>
      <c r="AR311" s="70" t="str">
        <f t="shared" si="105"/>
        <v>---</v>
      </c>
      <c r="AS311" s="70" t="str">
        <f t="shared" si="106"/>
        <v>---</v>
      </c>
      <c r="AT311" s="71" t="str">
        <f t="shared" si="107"/>
        <v>---</v>
      </c>
    </row>
    <row r="312" spans="1:46" ht="30" customHeight="1" x14ac:dyDescent="0.3">
      <c r="A312" s="123">
        <f t="shared" si="91"/>
        <v>308</v>
      </c>
      <c r="B312" s="140">
        <f>INDEX('PEER GROUP'!B:B,MATCH($A312,'PEER GROUP'!$A:$A,0))</f>
        <v>0</v>
      </c>
      <c r="C312" s="83">
        <f>INDEX('PEER GROUP'!C:C,MATCH($A312,'PEER GROUP'!$A:$A,0))</f>
        <v>0</v>
      </c>
      <c r="D312" s="83">
        <f>INDEX('PEER GROUP'!D:D,MATCH($A312,'PEER GROUP'!$A:$A,0))</f>
        <v>0</v>
      </c>
      <c r="E312" s="83">
        <f>INDEX('PEER GROUP'!E:E,MATCH(A312,'PEER GROUP'!$A:$A,0))</f>
        <v>0</v>
      </c>
      <c r="F312" s="84">
        <f>INDEX('PEER GROUP'!F:F,MATCH($A312,'PEER GROUP'!$A:$A,0))</f>
        <v>0</v>
      </c>
      <c r="G312" s="84">
        <f>INDEX('PEER GROUP'!G:G,MATCH($A312,'PEER GROUP'!$A:$A,0))</f>
        <v>0</v>
      </c>
      <c r="H312" s="85"/>
      <c r="I312" s="85"/>
      <c r="J312" s="70">
        <f>INDEX('PEER GROUP'!K:K,MATCH($A312,'PEER GROUP'!$A:$A,0))</f>
        <v>0</v>
      </c>
      <c r="K312" s="70">
        <f>INDEX('PEER GROUP'!L:L,MATCH($A312,'PEER GROUP'!$A:$A,0))</f>
        <v>0</v>
      </c>
      <c r="L312" s="70">
        <f>INDEX('PEER GROUP'!M:M,MATCH($A312,'PEER GROUP'!$A:$A,0))</f>
        <v>0</v>
      </c>
      <c r="M312" s="86">
        <f>INDEX('PEER GROUP'!N:N,MATCH($A312,'PEER GROUP'!$A:$A,0))</f>
        <v>0</v>
      </c>
      <c r="N312" s="118"/>
      <c r="O312" s="115"/>
      <c r="P312" s="117"/>
      <c r="Q312" s="87"/>
      <c r="R312" s="87">
        <f t="shared" si="92"/>
        <v>0</v>
      </c>
      <c r="S312" s="87"/>
      <c r="T312" s="87"/>
      <c r="U312" s="87"/>
      <c r="V312" s="87">
        <f t="shared" si="93"/>
        <v>0</v>
      </c>
      <c r="W312" s="113">
        <f t="shared" si="90"/>
        <v>36.913096727263202</v>
      </c>
      <c r="X312" s="69">
        <f t="shared" si="94"/>
        <v>0</v>
      </c>
      <c r="Y312" s="70">
        <f t="shared" si="95"/>
        <v>0</v>
      </c>
      <c r="Z312" s="70">
        <f t="shared" si="96"/>
        <v>0</v>
      </c>
      <c r="AA312" s="70">
        <f t="shared" si="97"/>
        <v>0</v>
      </c>
      <c r="AB312" s="70">
        <f t="shared" si="98"/>
        <v>0</v>
      </c>
      <c r="AC312" s="70">
        <f t="shared" si="99"/>
        <v>0</v>
      </c>
      <c r="AD312" s="71">
        <f t="shared" si="100"/>
        <v>0</v>
      </c>
      <c r="AE312" s="49"/>
      <c r="AF312" s="21"/>
      <c r="AG312" s="69"/>
      <c r="AH312" s="70"/>
      <c r="AI312" s="70"/>
      <c r="AJ312" s="70"/>
      <c r="AK312" s="70"/>
      <c r="AL312" s="70"/>
      <c r="AM312" s="70"/>
      <c r="AN312" s="70" t="str">
        <f t="shared" si="101"/>
        <v>---</v>
      </c>
      <c r="AO312" s="70" t="str">
        <f t="shared" si="102"/>
        <v>---</v>
      </c>
      <c r="AP312" s="70" t="str">
        <f t="shared" si="103"/>
        <v>---</v>
      </c>
      <c r="AQ312" s="70" t="str">
        <f t="shared" si="104"/>
        <v>---</v>
      </c>
      <c r="AR312" s="70" t="str">
        <f t="shared" si="105"/>
        <v>---</v>
      </c>
      <c r="AS312" s="70" t="str">
        <f t="shared" si="106"/>
        <v>---</v>
      </c>
      <c r="AT312" s="71" t="str">
        <f t="shared" si="107"/>
        <v>---</v>
      </c>
    </row>
    <row r="313" spans="1:46" ht="30" customHeight="1" x14ac:dyDescent="0.3">
      <c r="A313" s="123">
        <f t="shared" si="91"/>
        <v>309</v>
      </c>
      <c r="B313" s="140">
        <f>INDEX('PEER GROUP'!B:B,MATCH($A313,'PEER GROUP'!$A:$A,0))</f>
        <v>0</v>
      </c>
      <c r="C313" s="83">
        <f>INDEX('PEER GROUP'!C:C,MATCH($A313,'PEER GROUP'!$A:$A,0))</f>
        <v>0</v>
      </c>
      <c r="D313" s="83">
        <f>INDEX('PEER GROUP'!D:D,MATCH($A313,'PEER GROUP'!$A:$A,0))</f>
        <v>0</v>
      </c>
      <c r="E313" s="83">
        <f>INDEX('PEER GROUP'!E:E,MATCH(A313,'PEER GROUP'!$A:$A,0))</f>
        <v>0</v>
      </c>
      <c r="F313" s="84">
        <f>INDEX('PEER GROUP'!F:F,MATCH($A313,'PEER GROUP'!$A:$A,0))</f>
        <v>0</v>
      </c>
      <c r="G313" s="84">
        <f>INDEX('PEER GROUP'!G:G,MATCH($A313,'PEER GROUP'!$A:$A,0))</f>
        <v>0</v>
      </c>
      <c r="H313" s="85"/>
      <c r="I313" s="85"/>
      <c r="J313" s="70">
        <f>INDEX('PEER GROUP'!K:K,MATCH($A313,'PEER GROUP'!$A:$A,0))</f>
        <v>0</v>
      </c>
      <c r="K313" s="70">
        <f>INDEX('PEER GROUP'!L:L,MATCH($A313,'PEER GROUP'!$A:$A,0))</f>
        <v>0</v>
      </c>
      <c r="L313" s="70">
        <f>INDEX('PEER GROUP'!M:M,MATCH($A313,'PEER GROUP'!$A:$A,0))</f>
        <v>0</v>
      </c>
      <c r="M313" s="86">
        <f>INDEX('PEER GROUP'!N:N,MATCH($A313,'PEER GROUP'!$A:$A,0))</f>
        <v>0</v>
      </c>
      <c r="N313" s="118"/>
      <c r="O313" s="115"/>
      <c r="P313" s="117"/>
      <c r="Q313" s="87"/>
      <c r="R313" s="87">
        <f t="shared" si="92"/>
        <v>0</v>
      </c>
      <c r="S313" s="87"/>
      <c r="T313" s="87"/>
      <c r="U313" s="87"/>
      <c r="V313" s="87">
        <f t="shared" si="93"/>
        <v>0</v>
      </c>
      <c r="W313" s="113">
        <f t="shared" si="90"/>
        <v>36.913096727263202</v>
      </c>
      <c r="X313" s="69">
        <f t="shared" si="94"/>
        <v>0</v>
      </c>
      <c r="Y313" s="70">
        <f t="shared" si="95"/>
        <v>0</v>
      </c>
      <c r="Z313" s="70">
        <f t="shared" si="96"/>
        <v>0</v>
      </c>
      <c r="AA313" s="70">
        <f t="shared" si="97"/>
        <v>0</v>
      </c>
      <c r="AB313" s="70">
        <f t="shared" si="98"/>
        <v>0</v>
      </c>
      <c r="AC313" s="70">
        <f t="shared" si="99"/>
        <v>0</v>
      </c>
      <c r="AD313" s="71">
        <f t="shared" si="100"/>
        <v>0</v>
      </c>
      <c r="AE313" s="49"/>
      <c r="AF313" s="21"/>
      <c r="AG313" s="69"/>
      <c r="AH313" s="70"/>
      <c r="AI313" s="70"/>
      <c r="AJ313" s="70"/>
      <c r="AK313" s="70"/>
      <c r="AL313" s="70"/>
      <c r="AM313" s="70"/>
      <c r="AN313" s="70" t="str">
        <f t="shared" si="101"/>
        <v>---</v>
      </c>
      <c r="AO313" s="70" t="str">
        <f t="shared" si="102"/>
        <v>---</v>
      </c>
      <c r="AP313" s="70" t="str">
        <f t="shared" si="103"/>
        <v>---</v>
      </c>
      <c r="AQ313" s="70" t="str">
        <f t="shared" si="104"/>
        <v>---</v>
      </c>
      <c r="AR313" s="70" t="str">
        <f t="shared" si="105"/>
        <v>---</v>
      </c>
      <c r="AS313" s="70" t="str">
        <f t="shared" si="106"/>
        <v>---</v>
      </c>
      <c r="AT313" s="71" t="str">
        <f t="shared" si="107"/>
        <v>---</v>
      </c>
    </row>
    <row r="314" spans="1:46" ht="30" customHeight="1" x14ac:dyDescent="0.3">
      <c r="A314" s="123">
        <f t="shared" si="91"/>
        <v>310</v>
      </c>
      <c r="B314" s="140">
        <f>INDEX('PEER GROUP'!B:B,MATCH($A314,'PEER GROUP'!$A:$A,0))</f>
        <v>0</v>
      </c>
      <c r="C314" s="83">
        <f>INDEX('PEER GROUP'!C:C,MATCH($A314,'PEER GROUP'!$A:$A,0))</f>
        <v>0</v>
      </c>
      <c r="D314" s="83">
        <f>INDEX('PEER GROUP'!D:D,MATCH($A314,'PEER GROUP'!$A:$A,0))</f>
        <v>0</v>
      </c>
      <c r="E314" s="83">
        <f>INDEX('PEER GROUP'!E:E,MATCH(A314,'PEER GROUP'!$A:$A,0))</f>
        <v>0</v>
      </c>
      <c r="F314" s="84">
        <f>INDEX('PEER GROUP'!F:F,MATCH($A314,'PEER GROUP'!$A:$A,0))</f>
        <v>0</v>
      </c>
      <c r="G314" s="84">
        <f>INDEX('PEER GROUP'!G:G,MATCH($A314,'PEER GROUP'!$A:$A,0))</f>
        <v>0</v>
      </c>
      <c r="H314" s="85"/>
      <c r="I314" s="85"/>
      <c r="J314" s="70">
        <f>INDEX('PEER GROUP'!K:K,MATCH($A314,'PEER GROUP'!$A:$A,0))</f>
        <v>0</v>
      </c>
      <c r="K314" s="70">
        <f>INDEX('PEER GROUP'!L:L,MATCH($A314,'PEER GROUP'!$A:$A,0))</f>
        <v>0</v>
      </c>
      <c r="L314" s="70">
        <f>INDEX('PEER GROUP'!M:M,MATCH($A314,'PEER GROUP'!$A:$A,0))</f>
        <v>0</v>
      </c>
      <c r="M314" s="86">
        <f>INDEX('PEER GROUP'!N:N,MATCH($A314,'PEER GROUP'!$A:$A,0))</f>
        <v>0</v>
      </c>
      <c r="N314" s="118"/>
      <c r="O314" s="115"/>
      <c r="P314" s="117"/>
      <c r="Q314" s="87"/>
      <c r="R314" s="87">
        <f t="shared" si="92"/>
        <v>0</v>
      </c>
      <c r="S314" s="87"/>
      <c r="T314" s="87"/>
      <c r="U314" s="87"/>
      <c r="V314" s="87">
        <f t="shared" si="93"/>
        <v>0</v>
      </c>
      <c r="W314" s="113">
        <f t="shared" si="90"/>
        <v>36.913096727263202</v>
      </c>
      <c r="X314" s="69">
        <f t="shared" si="94"/>
        <v>0</v>
      </c>
      <c r="Y314" s="70">
        <f t="shared" si="95"/>
        <v>0</v>
      </c>
      <c r="Z314" s="70">
        <f t="shared" si="96"/>
        <v>0</v>
      </c>
      <c r="AA314" s="70">
        <f t="shared" si="97"/>
        <v>0</v>
      </c>
      <c r="AB314" s="70">
        <f t="shared" si="98"/>
        <v>0</v>
      </c>
      <c r="AC314" s="70">
        <f t="shared" si="99"/>
        <v>0</v>
      </c>
      <c r="AD314" s="71">
        <f t="shared" si="100"/>
        <v>0</v>
      </c>
      <c r="AE314" s="49"/>
      <c r="AF314" s="21"/>
      <c r="AG314" s="69"/>
      <c r="AH314" s="70"/>
      <c r="AI314" s="70"/>
      <c r="AJ314" s="70"/>
      <c r="AK314" s="70"/>
      <c r="AL314" s="70"/>
      <c r="AM314" s="70"/>
      <c r="AN314" s="70" t="str">
        <f t="shared" si="101"/>
        <v>---</v>
      </c>
      <c r="AO314" s="70" t="str">
        <f t="shared" si="102"/>
        <v>---</v>
      </c>
      <c r="AP314" s="70" t="str">
        <f t="shared" si="103"/>
        <v>---</v>
      </c>
      <c r="AQ314" s="70" t="str">
        <f t="shared" si="104"/>
        <v>---</v>
      </c>
      <c r="AR314" s="70" t="str">
        <f t="shared" si="105"/>
        <v>---</v>
      </c>
      <c r="AS314" s="70" t="str">
        <f t="shared" si="106"/>
        <v>---</v>
      </c>
      <c r="AT314" s="71" t="str">
        <f t="shared" si="107"/>
        <v>---</v>
      </c>
    </row>
    <row r="315" spans="1:46" ht="30" customHeight="1" x14ac:dyDescent="0.3">
      <c r="A315" s="123">
        <f t="shared" si="91"/>
        <v>311</v>
      </c>
      <c r="B315" s="140">
        <f>INDEX('PEER GROUP'!B:B,MATCH($A315,'PEER GROUP'!$A:$A,0))</f>
        <v>0</v>
      </c>
      <c r="C315" s="83">
        <f>INDEX('PEER GROUP'!C:C,MATCH($A315,'PEER GROUP'!$A:$A,0))</f>
        <v>0</v>
      </c>
      <c r="D315" s="83">
        <f>INDEX('PEER GROUP'!D:D,MATCH($A315,'PEER GROUP'!$A:$A,0))</f>
        <v>0</v>
      </c>
      <c r="E315" s="83">
        <f>INDEX('PEER GROUP'!E:E,MATCH(A315,'PEER GROUP'!$A:$A,0))</f>
        <v>0</v>
      </c>
      <c r="F315" s="84">
        <f>INDEX('PEER GROUP'!F:F,MATCH($A315,'PEER GROUP'!$A:$A,0))</f>
        <v>0</v>
      </c>
      <c r="G315" s="84">
        <f>INDEX('PEER GROUP'!G:G,MATCH($A315,'PEER GROUP'!$A:$A,0))</f>
        <v>0</v>
      </c>
      <c r="H315" s="85"/>
      <c r="I315" s="85"/>
      <c r="J315" s="70">
        <f>INDEX('PEER GROUP'!K:K,MATCH($A315,'PEER GROUP'!$A:$A,0))</f>
        <v>0</v>
      </c>
      <c r="K315" s="70">
        <f>INDEX('PEER GROUP'!L:L,MATCH($A315,'PEER GROUP'!$A:$A,0))</f>
        <v>0</v>
      </c>
      <c r="L315" s="70">
        <f>INDEX('PEER GROUP'!M:M,MATCH($A315,'PEER GROUP'!$A:$A,0))</f>
        <v>0</v>
      </c>
      <c r="M315" s="86">
        <f>INDEX('PEER GROUP'!N:N,MATCH($A315,'PEER GROUP'!$A:$A,0))</f>
        <v>0</v>
      </c>
      <c r="N315" s="118"/>
      <c r="O315" s="115"/>
      <c r="P315" s="117"/>
      <c r="Q315" s="87"/>
      <c r="R315" s="87">
        <f t="shared" si="92"/>
        <v>0</v>
      </c>
      <c r="S315" s="87"/>
      <c r="T315" s="87"/>
      <c r="U315" s="87"/>
      <c r="V315" s="87">
        <f t="shared" si="93"/>
        <v>0</v>
      </c>
      <c r="W315" s="113">
        <f t="shared" si="90"/>
        <v>36.913096727263202</v>
      </c>
      <c r="X315" s="69">
        <f t="shared" si="94"/>
        <v>0</v>
      </c>
      <c r="Y315" s="70">
        <f t="shared" si="95"/>
        <v>0</v>
      </c>
      <c r="Z315" s="70">
        <f t="shared" si="96"/>
        <v>0</v>
      </c>
      <c r="AA315" s="70">
        <f t="shared" si="97"/>
        <v>0</v>
      </c>
      <c r="AB315" s="70">
        <f t="shared" si="98"/>
        <v>0</v>
      </c>
      <c r="AC315" s="70">
        <f t="shared" si="99"/>
        <v>0</v>
      </c>
      <c r="AD315" s="71">
        <f t="shared" si="100"/>
        <v>0</v>
      </c>
      <c r="AE315" s="49"/>
      <c r="AF315" s="21"/>
      <c r="AG315" s="69"/>
      <c r="AH315" s="70"/>
      <c r="AI315" s="70"/>
      <c r="AJ315" s="70"/>
      <c r="AK315" s="70"/>
      <c r="AL315" s="70"/>
      <c r="AM315" s="70"/>
      <c r="AN315" s="70" t="str">
        <f t="shared" si="101"/>
        <v>---</v>
      </c>
      <c r="AO315" s="70" t="str">
        <f t="shared" si="102"/>
        <v>---</v>
      </c>
      <c r="AP315" s="70" t="str">
        <f t="shared" si="103"/>
        <v>---</v>
      </c>
      <c r="AQ315" s="70" t="str">
        <f t="shared" si="104"/>
        <v>---</v>
      </c>
      <c r="AR315" s="70" t="str">
        <f t="shared" si="105"/>
        <v>---</v>
      </c>
      <c r="AS315" s="70" t="str">
        <f t="shared" si="106"/>
        <v>---</v>
      </c>
      <c r="AT315" s="71" t="str">
        <f t="shared" si="107"/>
        <v>---</v>
      </c>
    </row>
    <row r="316" spans="1:46" ht="30" customHeight="1" x14ac:dyDescent="0.3">
      <c r="A316" s="123">
        <f t="shared" si="91"/>
        <v>312</v>
      </c>
      <c r="B316" s="140">
        <f>INDEX('PEER GROUP'!B:B,MATCH($A316,'PEER GROUP'!$A:$A,0))</f>
        <v>0</v>
      </c>
      <c r="C316" s="83">
        <f>INDEX('PEER GROUP'!C:C,MATCH($A316,'PEER GROUP'!$A:$A,0))</f>
        <v>0</v>
      </c>
      <c r="D316" s="83">
        <f>INDEX('PEER GROUP'!D:D,MATCH($A316,'PEER GROUP'!$A:$A,0))</f>
        <v>0</v>
      </c>
      <c r="E316" s="83">
        <f>INDEX('PEER GROUP'!E:E,MATCH(A316,'PEER GROUP'!$A:$A,0))</f>
        <v>0</v>
      </c>
      <c r="F316" s="84">
        <f>INDEX('PEER GROUP'!F:F,MATCH($A316,'PEER GROUP'!$A:$A,0))</f>
        <v>0</v>
      </c>
      <c r="G316" s="84">
        <f>INDEX('PEER GROUP'!G:G,MATCH($A316,'PEER GROUP'!$A:$A,0))</f>
        <v>0</v>
      </c>
      <c r="H316" s="85"/>
      <c r="I316" s="85"/>
      <c r="J316" s="70">
        <f>INDEX('PEER GROUP'!K:K,MATCH($A316,'PEER GROUP'!$A:$A,0))</f>
        <v>0</v>
      </c>
      <c r="K316" s="70">
        <f>INDEX('PEER GROUP'!L:L,MATCH($A316,'PEER GROUP'!$A:$A,0))</f>
        <v>0</v>
      </c>
      <c r="L316" s="70">
        <f>INDEX('PEER GROUP'!M:M,MATCH($A316,'PEER GROUP'!$A:$A,0))</f>
        <v>0</v>
      </c>
      <c r="M316" s="86">
        <f>INDEX('PEER GROUP'!N:N,MATCH($A316,'PEER GROUP'!$A:$A,0))</f>
        <v>0</v>
      </c>
      <c r="N316" s="118"/>
      <c r="O316" s="115"/>
      <c r="P316" s="117"/>
      <c r="Q316" s="87"/>
      <c r="R316" s="87">
        <f t="shared" si="92"/>
        <v>0</v>
      </c>
      <c r="S316" s="87"/>
      <c r="T316" s="87"/>
      <c r="U316" s="87"/>
      <c r="V316" s="87">
        <f t="shared" si="93"/>
        <v>0</v>
      </c>
      <c r="W316" s="113">
        <f t="shared" si="90"/>
        <v>36.913096727263202</v>
      </c>
      <c r="X316" s="69">
        <f t="shared" si="94"/>
        <v>0</v>
      </c>
      <c r="Y316" s="70">
        <f t="shared" si="95"/>
        <v>0</v>
      </c>
      <c r="Z316" s="70">
        <f t="shared" si="96"/>
        <v>0</v>
      </c>
      <c r="AA316" s="70">
        <f t="shared" si="97"/>
        <v>0</v>
      </c>
      <c r="AB316" s="70">
        <f t="shared" si="98"/>
        <v>0</v>
      </c>
      <c r="AC316" s="70">
        <f t="shared" si="99"/>
        <v>0</v>
      </c>
      <c r="AD316" s="71">
        <f t="shared" si="100"/>
        <v>0</v>
      </c>
      <c r="AE316" s="49"/>
      <c r="AF316" s="21"/>
      <c r="AG316" s="69"/>
      <c r="AH316" s="70"/>
      <c r="AI316" s="70"/>
      <c r="AJ316" s="70"/>
      <c r="AK316" s="70"/>
      <c r="AL316" s="70"/>
      <c r="AM316" s="70"/>
      <c r="AN316" s="70" t="str">
        <f t="shared" si="101"/>
        <v>---</v>
      </c>
      <c r="AO316" s="70" t="str">
        <f t="shared" si="102"/>
        <v>---</v>
      </c>
      <c r="AP316" s="70" t="str">
        <f t="shared" si="103"/>
        <v>---</v>
      </c>
      <c r="AQ316" s="70" t="str">
        <f t="shared" si="104"/>
        <v>---</v>
      </c>
      <c r="AR316" s="70" t="str">
        <f t="shared" si="105"/>
        <v>---</v>
      </c>
      <c r="AS316" s="70" t="str">
        <f t="shared" si="106"/>
        <v>---</v>
      </c>
      <c r="AT316" s="71" t="str">
        <f t="shared" si="107"/>
        <v>---</v>
      </c>
    </row>
    <row r="317" spans="1:46" ht="30" customHeight="1" x14ac:dyDescent="0.3">
      <c r="A317" s="123">
        <f t="shared" si="91"/>
        <v>313</v>
      </c>
      <c r="B317" s="140">
        <f>INDEX('PEER GROUP'!B:B,MATCH($A317,'PEER GROUP'!$A:$A,0))</f>
        <v>0</v>
      </c>
      <c r="C317" s="83">
        <f>INDEX('PEER GROUP'!C:C,MATCH($A317,'PEER GROUP'!$A:$A,0))</f>
        <v>0</v>
      </c>
      <c r="D317" s="83">
        <f>INDEX('PEER GROUP'!D:D,MATCH($A317,'PEER GROUP'!$A:$A,0))</f>
        <v>0</v>
      </c>
      <c r="E317" s="83">
        <f>INDEX('PEER GROUP'!E:E,MATCH(A317,'PEER GROUP'!$A:$A,0))</f>
        <v>0</v>
      </c>
      <c r="F317" s="84">
        <f>INDEX('PEER GROUP'!F:F,MATCH($A317,'PEER GROUP'!$A:$A,0))</f>
        <v>0</v>
      </c>
      <c r="G317" s="84">
        <f>INDEX('PEER GROUP'!G:G,MATCH($A317,'PEER GROUP'!$A:$A,0))</f>
        <v>0</v>
      </c>
      <c r="H317" s="85"/>
      <c r="I317" s="85"/>
      <c r="J317" s="70">
        <f>INDEX('PEER GROUP'!K:K,MATCH($A317,'PEER GROUP'!$A:$A,0))</f>
        <v>0</v>
      </c>
      <c r="K317" s="70">
        <f>INDEX('PEER GROUP'!L:L,MATCH($A317,'PEER GROUP'!$A:$A,0))</f>
        <v>0</v>
      </c>
      <c r="L317" s="70">
        <f>INDEX('PEER GROUP'!M:M,MATCH($A317,'PEER GROUP'!$A:$A,0))</f>
        <v>0</v>
      </c>
      <c r="M317" s="86">
        <f>INDEX('PEER GROUP'!N:N,MATCH($A317,'PEER GROUP'!$A:$A,0))</f>
        <v>0</v>
      </c>
      <c r="N317" s="118"/>
      <c r="O317" s="115"/>
      <c r="P317" s="117"/>
      <c r="Q317" s="87"/>
      <c r="R317" s="87">
        <f t="shared" si="92"/>
        <v>0</v>
      </c>
      <c r="S317" s="87"/>
      <c r="T317" s="87"/>
      <c r="U317" s="87"/>
      <c r="V317" s="87">
        <f t="shared" si="93"/>
        <v>0</v>
      </c>
      <c r="W317" s="113">
        <f t="shared" si="90"/>
        <v>36.913096727263202</v>
      </c>
      <c r="X317" s="69">
        <f t="shared" si="94"/>
        <v>0</v>
      </c>
      <c r="Y317" s="70">
        <f t="shared" si="95"/>
        <v>0</v>
      </c>
      <c r="Z317" s="70">
        <f t="shared" si="96"/>
        <v>0</v>
      </c>
      <c r="AA317" s="70">
        <f t="shared" si="97"/>
        <v>0</v>
      </c>
      <c r="AB317" s="70">
        <f t="shared" si="98"/>
        <v>0</v>
      </c>
      <c r="AC317" s="70">
        <f t="shared" si="99"/>
        <v>0</v>
      </c>
      <c r="AD317" s="71">
        <f t="shared" si="100"/>
        <v>0</v>
      </c>
      <c r="AE317" s="49"/>
      <c r="AF317" s="21"/>
      <c r="AG317" s="69"/>
      <c r="AH317" s="70"/>
      <c r="AI317" s="70"/>
      <c r="AJ317" s="70"/>
      <c r="AK317" s="70"/>
      <c r="AL317" s="70"/>
      <c r="AM317" s="70"/>
      <c r="AN317" s="70" t="str">
        <f t="shared" si="101"/>
        <v>---</v>
      </c>
      <c r="AO317" s="70" t="str">
        <f t="shared" si="102"/>
        <v>---</v>
      </c>
      <c r="AP317" s="70" t="str">
        <f t="shared" si="103"/>
        <v>---</v>
      </c>
      <c r="AQ317" s="70" t="str">
        <f t="shared" si="104"/>
        <v>---</v>
      </c>
      <c r="AR317" s="70" t="str">
        <f t="shared" si="105"/>
        <v>---</v>
      </c>
      <c r="AS317" s="70" t="str">
        <f t="shared" si="106"/>
        <v>---</v>
      </c>
      <c r="AT317" s="71" t="str">
        <f t="shared" si="107"/>
        <v>---</v>
      </c>
    </row>
    <row r="318" spans="1:46" ht="30" customHeight="1" x14ac:dyDescent="0.3">
      <c r="A318" s="123">
        <f t="shared" si="91"/>
        <v>314</v>
      </c>
      <c r="B318" s="140">
        <f>INDEX('PEER GROUP'!B:B,MATCH($A318,'PEER GROUP'!$A:$A,0))</f>
        <v>0</v>
      </c>
      <c r="C318" s="83">
        <f>INDEX('PEER GROUP'!C:C,MATCH($A318,'PEER GROUP'!$A:$A,0))</f>
        <v>0</v>
      </c>
      <c r="D318" s="83">
        <f>INDEX('PEER GROUP'!D:D,MATCH($A318,'PEER GROUP'!$A:$A,0))</f>
        <v>0</v>
      </c>
      <c r="E318" s="83">
        <f>INDEX('PEER GROUP'!E:E,MATCH(A318,'PEER GROUP'!$A:$A,0))</f>
        <v>0</v>
      </c>
      <c r="F318" s="84">
        <f>INDEX('PEER GROUP'!F:F,MATCH($A318,'PEER GROUP'!$A:$A,0))</f>
        <v>0</v>
      </c>
      <c r="G318" s="84">
        <f>INDEX('PEER GROUP'!G:G,MATCH($A318,'PEER GROUP'!$A:$A,0))</f>
        <v>0</v>
      </c>
      <c r="H318" s="85"/>
      <c r="I318" s="85"/>
      <c r="J318" s="70">
        <f>INDEX('PEER GROUP'!K:K,MATCH($A318,'PEER GROUP'!$A:$A,0))</f>
        <v>0</v>
      </c>
      <c r="K318" s="70">
        <f>INDEX('PEER GROUP'!L:L,MATCH($A318,'PEER GROUP'!$A:$A,0))</f>
        <v>0</v>
      </c>
      <c r="L318" s="70">
        <f>INDEX('PEER GROUP'!M:M,MATCH($A318,'PEER GROUP'!$A:$A,0))</f>
        <v>0</v>
      </c>
      <c r="M318" s="86">
        <f>INDEX('PEER GROUP'!N:N,MATCH($A318,'PEER GROUP'!$A:$A,0))</f>
        <v>0</v>
      </c>
      <c r="N318" s="118"/>
      <c r="O318" s="115"/>
      <c r="P318" s="117"/>
      <c r="Q318" s="87"/>
      <c r="R318" s="87">
        <f t="shared" si="92"/>
        <v>0</v>
      </c>
      <c r="S318" s="87"/>
      <c r="T318" s="87"/>
      <c r="U318" s="87"/>
      <c r="V318" s="87">
        <f t="shared" si="93"/>
        <v>0</v>
      </c>
      <c r="W318" s="113">
        <f t="shared" si="90"/>
        <v>36.913096727263202</v>
      </c>
      <c r="X318" s="69">
        <f t="shared" si="94"/>
        <v>0</v>
      </c>
      <c r="Y318" s="70">
        <f t="shared" si="95"/>
        <v>0</v>
      </c>
      <c r="Z318" s="70">
        <f t="shared" si="96"/>
        <v>0</v>
      </c>
      <c r="AA318" s="70">
        <f t="shared" si="97"/>
        <v>0</v>
      </c>
      <c r="AB318" s="70">
        <f t="shared" si="98"/>
        <v>0</v>
      </c>
      <c r="AC318" s="70">
        <f t="shared" si="99"/>
        <v>0</v>
      </c>
      <c r="AD318" s="71">
        <f t="shared" si="100"/>
        <v>0</v>
      </c>
      <c r="AE318" s="49"/>
      <c r="AF318" s="21"/>
      <c r="AG318" s="69"/>
      <c r="AH318" s="70"/>
      <c r="AI318" s="70"/>
      <c r="AJ318" s="70"/>
      <c r="AK318" s="70"/>
      <c r="AL318" s="70"/>
      <c r="AM318" s="70"/>
      <c r="AN318" s="70" t="str">
        <f t="shared" si="101"/>
        <v>---</v>
      </c>
      <c r="AO318" s="70" t="str">
        <f t="shared" si="102"/>
        <v>---</v>
      </c>
      <c r="AP318" s="70" t="str">
        <f t="shared" si="103"/>
        <v>---</v>
      </c>
      <c r="AQ318" s="70" t="str">
        <f t="shared" si="104"/>
        <v>---</v>
      </c>
      <c r="AR318" s="70" t="str">
        <f t="shared" si="105"/>
        <v>---</v>
      </c>
      <c r="AS318" s="70" t="str">
        <f t="shared" si="106"/>
        <v>---</v>
      </c>
      <c r="AT318" s="71" t="str">
        <f t="shared" si="107"/>
        <v>---</v>
      </c>
    </row>
    <row r="319" spans="1:46" ht="30" customHeight="1" x14ac:dyDescent="0.3">
      <c r="A319" s="123">
        <f t="shared" si="91"/>
        <v>315</v>
      </c>
      <c r="B319" s="140">
        <f>INDEX('PEER GROUP'!B:B,MATCH($A319,'PEER GROUP'!$A:$A,0))</f>
        <v>0</v>
      </c>
      <c r="C319" s="83">
        <f>INDEX('PEER GROUP'!C:C,MATCH($A319,'PEER GROUP'!$A:$A,0))</f>
        <v>0</v>
      </c>
      <c r="D319" s="83">
        <f>INDEX('PEER GROUP'!D:D,MATCH($A319,'PEER GROUP'!$A:$A,0))</f>
        <v>0</v>
      </c>
      <c r="E319" s="83">
        <f>INDEX('PEER GROUP'!E:E,MATCH(A319,'PEER GROUP'!$A:$A,0))</f>
        <v>0</v>
      </c>
      <c r="F319" s="84">
        <f>INDEX('PEER GROUP'!F:F,MATCH($A319,'PEER GROUP'!$A:$A,0))</f>
        <v>0</v>
      </c>
      <c r="G319" s="84">
        <f>INDEX('PEER GROUP'!G:G,MATCH($A319,'PEER GROUP'!$A:$A,0))</f>
        <v>0</v>
      </c>
      <c r="H319" s="85"/>
      <c r="I319" s="85"/>
      <c r="J319" s="70">
        <f>INDEX('PEER GROUP'!K:K,MATCH($A319,'PEER GROUP'!$A:$A,0))</f>
        <v>0</v>
      </c>
      <c r="K319" s="70">
        <f>INDEX('PEER GROUP'!L:L,MATCH($A319,'PEER GROUP'!$A:$A,0))</f>
        <v>0</v>
      </c>
      <c r="L319" s="70">
        <f>INDEX('PEER GROUP'!M:M,MATCH($A319,'PEER GROUP'!$A:$A,0))</f>
        <v>0</v>
      </c>
      <c r="M319" s="86">
        <f>INDEX('PEER GROUP'!N:N,MATCH($A319,'PEER GROUP'!$A:$A,0))</f>
        <v>0</v>
      </c>
      <c r="N319" s="118"/>
      <c r="O319" s="115"/>
      <c r="P319" s="117"/>
      <c r="Q319" s="87"/>
      <c r="R319" s="87">
        <f t="shared" si="92"/>
        <v>0</v>
      </c>
      <c r="S319" s="87"/>
      <c r="T319" s="87"/>
      <c r="U319" s="87"/>
      <c r="V319" s="87">
        <f t="shared" si="93"/>
        <v>0</v>
      </c>
      <c r="W319" s="113">
        <f t="shared" si="90"/>
        <v>36.913096727263202</v>
      </c>
      <c r="X319" s="69">
        <f t="shared" si="94"/>
        <v>0</v>
      </c>
      <c r="Y319" s="70">
        <f t="shared" si="95"/>
        <v>0</v>
      </c>
      <c r="Z319" s="70">
        <f t="shared" si="96"/>
        <v>0</v>
      </c>
      <c r="AA319" s="70">
        <f t="shared" si="97"/>
        <v>0</v>
      </c>
      <c r="AB319" s="70">
        <f t="shared" si="98"/>
        <v>0</v>
      </c>
      <c r="AC319" s="70">
        <f t="shared" si="99"/>
        <v>0</v>
      </c>
      <c r="AD319" s="71">
        <f t="shared" si="100"/>
        <v>0</v>
      </c>
      <c r="AE319" s="49"/>
      <c r="AF319" s="21"/>
      <c r="AG319" s="69"/>
      <c r="AH319" s="70"/>
      <c r="AI319" s="70"/>
      <c r="AJ319" s="70"/>
      <c r="AK319" s="70"/>
      <c r="AL319" s="70"/>
      <c r="AM319" s="70"/>
      <c r="AN319" s="70" t="str">
        <f t="shared" si="101"/>
        <v>---</v>
      </c>
      <c r="AO319" s="70" t="str">
        <f t="shared" si="102"/>
        <v>---</v>
      </c>
      <c r="AP319" s="70" t="str">
        <f t="shared" si="103"/>
        <v>---</v>
      </c>
      <c r="AQ319" s="70" t="str">
        <f t="shared" si="104"/>
        <v>---</v>
      </c>
      <c r="AR319" s="70" t="str">
        <f t="shared" si="105"/>
        <v>---</v>
      </c>
      <c r="AS319" s="70" t="str">
        <f t="shared" si="106"/>
        <v>---</v>
      </c>
      <c r="AT319" s="71" t="str">
        <f t="shared" si="107"/>
        <v>---</v>
      </c>
    </row>
    <row r="320" spans="1:46" ht="30" customHeight="1" x14ac:dyDescent="0.3">
      <c r="A320" s="123">
        <f t="shared" si="91"/>
        <v>316</v>
      </c>
      <c r="B320" s="140">
        <f>INDEX('PEER GROUP'!B:B,MATCH($A320,'PEER GROUP'!$A:$A,0))</f>
        <v>0</v>
      </c>
      <c r="C320" s="83">
        <f>INDEX('PEER GROUP'!C:C,MATCH($A320,'PEER GROUP'!$A:$A,0))</f>
        <v>0</v>
      </c>
      <c r="D320" s="83">
        <f>INDEX('PEER GROUP'!D:D,MATCH($A320,'PEER GROUP'!$A:$A,0))</f>
        <v>0</v>
      </c>
      <c r="E320" s="83">
        <f>INDEX('PEER GROUP'!E:E,MATCH(A320,'PEER GROUP'!$A:$A,0))</f>
        <v>0</v>
      </c>
      <c r="F320" s="84">
        <f>INDEX('PEER GROUP'!F:F,MATCH($A320,'PEER GROUP'!$A:$A,0))</f>
        <v>0</v>
      </c>
      <c r="G320" s="84">
        <f>INDEX('PEER GROUP'!G:G,MATCH($A320,'PEER GROUP'!$A:$A,0))</f>
        <v>0</v>
      </c>
      <c r="H320" s="85"/>
      <c r="I320" s="85"/>
      <c r="J320" s="70">
        <f>INDEX('PEER GROUP'!K:K,MATCH($A320,'PEER GROUP'!$A:$A,0))</f>
        <v>0</v>
      </c>
      <c r="K320" s="70">
        <f>INDEX('PEER GROUP'!L:L,MATCH($A320,'PEER GROUP'!$A:$A,0))</f>
        <v>0</v>
      </c>
      <c r="L320" s="70">
        <f>INDEX('PEER GROUP'!M:M,MATCH($A320,'PEER GROUP'!$A:$A,0))</f>
        <v>0</v>
      </c>
      <c r="M320" s="86">
        <f>INDEX('PEER GROUP'!N:N,MATCH($A320,'PEER GROUP'!$A:$A,0))</f>
        <v>0</v>
      </c>
      <c r="N320" s="118"/>
      <c r="O320" s="115"/>
      <c r="P320" s="117"/>
      <c r="Q320" s="87"/>
      <c r="R320" s="87">
        <f t="shared" si="92"/>
        <v>0</v>
      </c>
      <c r="S320" s="87"/>
      <c r="T320" s="87"/>
      <c r="U320" s="87"/>
      <c r="V320" s="87">
        <f t="shared" si="93"/>
        <v>0</v>
      </c>
      <c r="W320" s="113">
        <f t="shared" si="90"/>
        <v>36.913096727263202</v>
      </c>
      <c r="X320" s="69">
        <f t="shared" si="94"/>
        <v>0</v>
      </c>
      <c r="Y320" s="70">
        <f t="shared" si="95"/>
        <v>0</v>
      </c>
      <c r="Z320" s="70">
        <f t="shared" si="96"/>
        <v>0</v>
      </c>
      <c r="AA320" s="70">
        <f t="shared" si="97"/>
        <v>0</v>
      </c>
      <c r="AB320" s="70">
        <f t="shared" si="98"/>
        <v>0</v>
      </c>
      <c r="AC320" s="70">
        <f t="shared" si="99"/>
        <v>0</v>
      </c>
      <c r="AD320" s="71">
        <f t="shared" si="100"/>
        <v>0</v>
      </c>
      <c r="AE320" s="49"/>
      <c r="AF320" s="21"/>
      <c r="AG320" s="69"/>
      <c r="AH320" s="70"/>
      <c r="AI320" s="70"/>
      <c r="AJ320" s="70"/>
      <c r="AK320" s="70"/>
      <c r="AL320" s="70"/>
      <c r="AM320" s="70"/>
      <c r="AN320" s="70" t="str">
        <f t="shared" si="101"/>
        <v>---</v>
      </c>
      <c r="AO320" s="70" t="str">
        <f t="shared" si="102"/>
        <v>---</v>
      </c>
      <c r="AP320" s="70" t="str">
        <f t="shared" si="103"/>
        <v>---</v>
      </c>
      <c r="AQ320" s="70" t="str">
        <f t="shared" si="104"/>
        <v>---</v>
      </c>
      <c r="AR320" s="70" t="str">
        <f t="shared" si="105"/>
        <v>---</v>
      </c>
      <c r="AS320" s="70" t="str">
        <f t="shared" si="106"/>
        <v>---</v>
      </c>
      <c r="AT320" s="71" t="str">
        <f t="shared" si="107"/>
        <v>---</v>
      </c>
    </row>
    <row r="321" spans="1:46" ht="30" customHeight="1" x14ac:dyDescent="0.3">
      <c r="A321" s="123">
        <f t="shared" si="91"/>
        <v>317</v>
      </c>
      <c r="B321" s="140">
        <f>INDEX('PEER GROUP'!B:B,MATCH($A321,'PEER GROUP'!$A:$A,0))</f>
        <v>0</v>
      </c>
      <c r="C321" s="83">
        <f>INDEX('PEER GROUP'!C:C,MATCH($A321,'PEER GROUP'!$A:$A,0))</f>
        <v>0</v>
      </c>
      <c r="D321" s="83">
        <f>INDEX('PEER GROUP'!D:D,MATCH($A321,'PEER GROUP'!$A:$A,0))</f>
        <v>0</v>
      </c>
      <c r="E321" s="83">
        <f>INDEX('PEER GROUP'!E:E,MATCH(A321,'PEER GROUP'!$A:$A,0))</f>
        <v>0</v>
      </c>
      <c r="F321" s="84">
        <f>INDEX('PEER GROUP'!F:F,MATCH($A321,'PEER GROUP'!$A:$A,0))</f>
        <v>0</v>
      </c>
      <c r="G321" s="84">
        <f>INDEX('PEER GROUP'!G:G,MATCH($A321,'PEER GROUP'!$A:$A,0))</f>
        <v>0</v>
      </c>
      <c r="H321" s="85"/>
      <c r="I321" s="85"/>
      <c r="J321" s="70">
        <f>INDEX('PEER GROUP'!K:K,MATCH($A321,'PEER GROUP'!$A:$A,0))</f>
        <v>0</v>
      </c>
      <c r="K321" s="70">
        <f>INDEX('PEER GROUP'!L:L,MATCH($A321,'PEER GROUP'!$A:$A,0))</f>
        <v>0</v>
      </c>
      <c r="L321" s="70">
        <f>INDEX('PEER GROUP'!M:M,MATCH($A321,'PEER GROUP'!$A:$A,0))</f>
        <v>0</v>
      </c>
      <c r="M321" s="86">
        <f>INDEX('PEER GROUP'!N:N,MATCH($A321,'PEER GROUP'!$A:$A,0))</f>
        <v>0</v>
      </c>
      <c r="N321" s="118"/>
      <c r="O321" s="115"/>
      <c r="P321" s="117"/>
      <c r="Q321" s="87"/>
      <c r="R321" s="87">
        <f t="shared" si="92"/>
        <v>0</v>
      </c>
      <c r="S321" s="87"/>
      <c r="T321" s="87"/>
      <c r="U321" s="87"/>
      <c r="V321" s="87">
        <f t="shared" si="93"/>
        <v>0</v>
      </c>
      <c r="W321" s="113">
        <f t="shared" si="90"/>
        <v>36.913096727263202</v>
      </c>
      <c r="X321" s="69">
        <f t="shared" si="94"/>
        <v>0</v>
      </c>
      <c r="Y321" s="70">
        <f t="shared" si="95"/>
        <v>0</v>
      </c>
      <c r="Z321" s="70">
        <f t="shared" si="96"/>
        <v>0</v>
      </c>
      <c r="AA321" s="70">
        <f t="shared" si="97"/>
        <v>0</v>
      </c>
      <c r="AB321" s="70">
        <f t="shared" si="98"/>
        <v>0</v>
      </c>
      <c r="AC321" s="70">
        <f t="shared" si="99"/>
        <v>0</v>
      </c>
      <c r="AD321" s="71">
        <f t="shared" si="100"/>
        <v>0</v>
      </c>
      <c r="AE321" s="49"/>
      <c r="AF321" s="21"/>
      <c r="AG321" s="69"/>
      <c r="AH321" s="70"/>
      <c r="AI321" s="70"/>
      <c r="AJ321" s="70"/>
      <c r="AK321" s="70"/>
      <c r="AL321" s="70"/>
      <c r="AM321" s="70"/>
      <c r="AN321" s="70" t="str">
        <f t="shared" si="101"/>
        <v>---</v>
      </c>
      <c r="AO321" s="70" t="str">
        <f t="shared" si="102"/>
        <v>---</v>
      </c>
      <c r="AP321" s="70" t="str">
        <f t="shared" si="103"/>
        <v>---</v>
      </c>
      <c r="AQ321" s="70" t="str">
        <f t="shared" si="104"/>
        <v>---</v>
      </c>
      <c r="AR321" s="70" t="str">
        <f t="shared" si="105"/>
        <v>---</v>
      </c>
      <c r="AS321" s="70" t="str">
        <f t="shared" si="106"/>
        <v>---</v>
      </c>
      <c r="AT321" s="71" t="str">
        <f t="shared" si="107"/>
        <v>---</v>
      </c>
    </row>
    <row r="322" spans="1:46" ht="30" customHeight="1" x14ac:dyDescent="0.3">
      <c r="A322" s="123">
        <f t="shared" si="91"/>
        <v>318</v>
      </c>
      <c r="B322" s="140">
        <f>INDEX('PEER GROUP'!B:B,MATCH($A322,'PEER GROUP'!$A:$A,0))</f>
        <v>0</v>
      </c>
      <c r="C322" s="83">
        <f>INDEX('PEER GROUP'!C:C,MATCH($A322,'PEER GROUP'!$A:$A,0))</f>
        <v>0</v>
      </c>
      <c r="D322" s="83">
        <f>INDEX('PEER GROUP'!D:D,MATCH($A322,'PEER GROUP'!$A:$A,0))</f>
        <v>0</v>
      </c>
      <c r="E322" s="83">
        <f>INDEX('PEER GROUP'!E:E,MATCH(A322,'PEER GROUP'!$A:$A,0))</f>
        <v>0</v>
      </c>
      <c r="F322" s="84">
        <f>INDEX('PEER GROUP'!F:F,MATCH($A322,'PEER GROUP'!$A:$A,0))</f>
        <v>0</v>
      </c>
      <c r="G322" s="84">
        <f>INDEX('PEER GROUP'!G:G,MATCH($A322,'PEER GROUP'!$A:$A,0))</f>
        <v>0</v>
      </c>
      <c r="H322" s="85"/>
      <c r="I322" s="85"/>
      <c r="J322" s="70">
        <f>INDEX('PEER GROUP'!K:K,MATCH($A322,'PEER GROUP'!$A:$A,0))</f>
        <v>0</v>
      </c>
      <c r="K322" s="70">
        <f>INDEX('PEER GROUP'!L:L,MATCH($A322,'PEER GROUP'!$A:$A,0))</f>
        <v>0</v>
      </c>
      <c r="L322" s="70">
        <f>INDEX('PEER GROUP'!M:M,MATCH($A322,'PEER GROUP'!$A:$A,0))</f>
        <v>0</v>
      </c>
      <c r="M322" s="86">
        <f>INDEX('PEER GROUP'!N:N,MATCH($A322,'PEER GROUP'!$A:$A,0))</f>
        <v>0</v>
      </c>
      <c r="N322" s="118"/>
      <c r="O322" s="115"/>
      <c r="P322" s="117"/>
      <c r="Q322" s="87"/>
      <c r="R322" s="87">
        <f t="shared" si="92"/>
        <v>0</v>
      </c>
      <c r="S322" s="87"/>
      <c r="T322" s="87"/>
      <c r="U322" s="87"/>
      <c r="V322" s="87">
        <f t="shared" si="93"/>
        <v>0</v>
      </c>
      <c r="W322" s="113">
        <f t="shared" si="90"/>
        <v>36.913096727263202</v>
      </c>
      <c r="X322" s="69">
        <f t="shared" si="94"/>
        <v>0</v>
      </c>
      <c r="Y322" s="70">
        <f t="shared" si="95"/>
        <v>0</v>
      </c>
      <c r="Z322" s="70">
        <f t="shared" si="96"/>
        <v>0</v>
      </c>
      <c r="AA322" s="70">
        <f t="shared" si="97"/>
        <v>0</v>
      </c>
      <c r="AB322" s="70">
        <f t="shared" si="98"/>
        <v>0</v>
      </c>
      <c r="AC322" s="70">
        <f t="shared" si="99"/>
        <v>0</v>
      </c>
      <c r="AD322" s="71">
        <f t="shared" si="100"/>
        <v>0</v>
      </c>
      <c r="AE322" s="49"/>
      <c r="AF322" s="21"/>
      <c r="AG322" s="69"/>
      <c r="AH322" s="70"/>
      <c r="AI322" s="70"/>
      <c r="AJ322" s="70"/>
      <c r="AK322" s="70"/>
      <c r="AL322" s="70"/>
      <c r="AM322" s="70"/>
      <c r="AN322" s="70" t="str">
        <f t="shared" si="101"/>
        <v>---</v>
      </c>
      <c r="AO322" s="70" t="str">
        <f t="shared" si="102"/>
        <v>---</v>
      </c>
      <c r="AP322" s="70" t="str">
        <f t="shared" si="103"/>
        <v>---</v>
      </c>
      <c r="AQ322" s="70" t="str">
        <f t="shared" si="104"/>
        <v>---</v>
      </c>
      <c r="AR322" s="70" t="str">
        <f t="shared" si="105"/>
        <v>---</v>
      </c>
      <c r="AS322" s="70" t="str">
        <f t="shared" si="106"/>
        <v>---</v>
      </c>
      <c r="AT322" s="71" t="str">
        <f t="shared" si="107"/>
        <v>---</v>
      </c>
    </row>
    <row r="323" spans="1:46" ht="30" customHeight="1" x14ac:dyDescent="0.3">
      <c r="A323" s="123">
        <f t="shared" si="91"/>
        <v>319</v>
      </c>
      <c r="B323" s="140">
        <f>INDEX('PEER GROUP'!B:B,MATCH($A323,'PEER GROUP'!$A:$A,0))</f>
        <v>0</v>
      </c>
      <c r="C323" s="83">
        <f>INDEX('PEER GROUP'!C:C,MATCH($A323,'PEER GROUP'!$A:$A,0))</f>
        <v>0</v>
      </c>
      <c r="D323" s="83">
        <f>INDEX('PEER GROUP'!D:D,MATCH($A323,'PEER GROUP'!$A:$A,0))</f>
        <v>0</v>
      </c>
      <c r="E323" s="83">
        <f>INDEX('PEER GROUP'!E:E,MATCH(A323,'PEER GROUP'!$A:$A,0))</f>
        <v>0</v>
      </c>
      <c r="F323" s="84">
        <f>INDEX('PEER GROUP'!F:F,MATCH($A323,'PEER GROUP'!$A:$A,0))</f>
        <v>0</v>
      </c>
      <c r="G323" s="84">
        <f>INDEX('PEER GROUP'!G:G,MATCH($A323,'PEER GROUP'!$A:$A,0))</f>
        <v>0</v>
      </c>
      <c r="H323" s="85"/>
      <c r="I323" s="85"/>
      <c r="J323" s="70">
        <f>INDEX('PEER GROUP'!K:K,MATCH($A323,'PEER GROUP'!$A:$A,0))</f>
        <v>0</v>
      </c>
      <c r="K323" s="70">
        <f>INDEX('PEER GROUP'!L:L,MATCH($A323,'PEER GROUP'!$A:$A,0))</f>
        <v>0</v>
      </c>
      <c r="L323" s="70">
        <f>INDEX('PEER GROUP'!M:M,MATCH($A323,'PEER GROUP'!$A:$A,0))</f>
        <v>0</v>
      </c>
      <c r="M323" s="86">
        <f>INDEX('PEER GROUP'!N:N,MATCH($A323,'PEER GROUP'!$A:$A,0))</f>
        <v>0</v>
      </c>
      <c r="N323" s="118"/>
      <c r="O323" s="115"/>
      <c r="P323" s="117"/>
      <c r="Q323" s="87"/>
      <c r="R323" s="87">
        <f t="shared" si="92"/>
        <v>0</v>
      </c>
      <c r="S323" s="87"/>
      <c r="T323" s="87"/>
      <c r="U323" s="87"/>
      <c r="V323" s="87">
        <f t="shared" si="93"/>
        <v>0</v>
      </c>
      <c r="W323" s="113">
        <f t="shared" si="90"/>
        <v>36.913096727263202</v>
      </c>
      <c r="X323" s="69">
        <f t="shared" si="94"/>
        <v>0</v>
      </c>
      <c r="Y323" s="70">
        <f t="shared" si="95"/>
        <v>0</v>
      </c>
      <c r="Z323" s="70">
        <f t="shared" si="96"/>
        <v>0</v>
      </c>
      <c r="AA323" s="70">
        <f t="shared" si="97"/>
        <v>0</v>
      </c>
      <c r="AB323" s="70">
        <f t="shared" si="98"/>
        <v>0</v>
      </c>
      <c r="AC323" s="70">
        <f t="shared" si="99"/>
        <v>0</v>
      </c>
      <c r="AD323" s="71">
        <f t="shared" si="100"/>
        <v>0</v>
      </c>
      <c r="AE323" s="49"/>
      <c r="AF323" s="21"/>
      <c r="AG323" s="69"/>
      <c r="AH323" s="70"/>
      <c r="AI323" s="70"/>
      <c r="AJ323" s="70"/>
      <c r="AK323" s="70"/>
      <c r="AL323" s="70"/>
      <c r="AM323" s="70"/>
      <c r="AN323" s="70" t="str">
        <f t="shared" si="101"/>
        <v>---</v>
      </c>
      <c r="AO323" s="70" t="str">
        <f t="shared" si="102"/>
        <v>---</v>
      </c>
      <c r="AP323" s="70" t="str">
        <f t="shared" si="103"/>
        <v>---</v>
      </c>
      <c r="AQ323" s="70" t="str">
        <f t="shared" si="104"/>
        <v>---</v>
      </c>
      <c r="AR323" s="70" t="str">
        <f t="shared" si="105"/>
        <v>---</v>
      </c>
      <c r="AS323" s="70" t="str">
        <f t="shared" si="106"/>
        <v>---</v>
      </c>
      <c r="AT323" s="71" t="str">
        <f t="shared" si="107"/>
        <v>---</v>
      </c>
    </row>
    <row r="324" spans="1:46" ht="30" customHeight="1" x14ac:dyDescent="0.3">
      <c r="A324" s="123">
        <f t="shared" si="91"/>
        <v>320</v>
      </c>
      <c r="B324" s="140">
        <f>INDEX('PEER GROUP'!B:B,MATCH($A324,'PEER GROUP'!$A:$A,0))</f>
        <v>0</v>
      </c>
      <c r="C324" s="83">
        <f>INDEX('PEER GROUP'!C:C,MATCH($A324,'PEER GROUP'!$A:$A,0))</f>
        <v>0</v>
      </c>
      <c r="D324" s="83">
        <f>INDEX('PEER GROUP'!D:D,MATCH($A324,'PEER GROUP'!$A:$A,0))</f>
        <v>0</v>
      </c>
      <c r="E324" s="83">
        <f>INDEX('PEER GROUP'!E:E,MATCH(A324,'PEER GROUP'!$A:$A,0))</f>
        <v>0</v>
      </c>
      <c r="F324" s="84">
        <f>INDEX('PEER GROUP'!F:F,MATCH($A324,'PEER GROUP'!$A:$A,0))</f>
        <v>0</v>
      </c>
      <c r="G324" s="84">
        <f>INDEX('PEER GROUP'!G:G,MATCH($A324,'PEER GROUP'!$A:$A,0))</f>
        <v>0</v>
      </c>
      <c r="H324" s="85"/>
      <c r="I324" s="85"/>
      <c r="J324" s="70">
        <f>INDEX('PEER GROUP'!K:K,MATCH($A324,'PEER GROUP'!$A:$A,0))</f>
        <v>0</v>
      </c>
      <c r="K324" s="70">
        <f>INDEX('PEER GROUP'!L:L,MATCH($A324,'PEER GROUP'!$A:$A,0))</f>
        <v>0</v>
      </c>
      <c r="L324" s="70">
        <f>INDEX('PEER GROUP'!M:M,MATCH($A324,'PEER GROUP'!$A:$A,0))</f>
        <v>0</v>
      </c>
      <c r="M324" s="86">
        <f>INDEX('PEER GROUP'!N:N,MATCH($A324,'PEER GROUP'!$A:$A,0))</f>
        <v>0</v>
      </c>
      <c r="N324" s="118"/>
      <c r="O324" s="115"/>
      <c r="P324" s="117"/>
      <c r="Q324" s="87"/>
      <c r="R324" s="87">
        <f t="shared" si="92"/>
        <v>0</v>
      </c>
      <c r="S324" s="87"/>
      <c r="T324" s="87"/>
      <c r="U324" s="87"/>
      <c r="V324" s="87">
        <f t="shared" si="93"/>
        <v>0</v>
      </c>
      <c r="W324" s="113">
        <f t="shared" si="90"/>
        <v>36.913096727263202</v>
      </c>
      <c r="X324" s="69">
        <f t="shared" si="94"/>
        <v>0</v>
      </c>
      <c r="Y324" s="70">
        <f t="shared" si="95"/>
        <v>0</v>
      </c>
      <c r="Z324" s="70">
        <f t="shared" si="96"/>
        <v>0</v>
      </c>
      <c r="AA324" s="70">
        <f t="shared" si="97"/>
        <v>0</v>
      </c>
      <c r="AB324" s="70">
        <f t="shared" si="98"/>
        <v>0</v>
      </c>
      <c r="AC324" s="70">
        <f t="shared" si="99"/>
        <v>0</v>
      </c>
      <c r="AD324" s="71">
        <f t="shared" si="100"/>
        <v>0</v>
      </c>
      <c r="AE324" s="49"/>
      <c r="AF324" s="21"/>
      <c r="AG324" s="69"/>
      <c r="AH324" s="70"/>
      <c r="AI324" s="70"/>
      <c r="AJ324" s="70"/>
      <c r="AK324" s="70"/>
      <c r="AL324" s="70"/>
      <c r="AM324" s="70"/>
      <c r="AN324" s="70" t="str">
        <f t="shared" si="101"/>
        <v>---</v>
      </c>
      <c r="AO324" s="70" t="str">
        <f t="shared" si="102"/>
        <v>---</v>
      </c>
      <c r="AP324" s="70" t="str">
        <f t="shared" si="103"/>
        <v>---</v>
      </c>
      <c r="AQ324" s="70" t="str">
        <f t="shared" si="104"/>
        <v>---</v>
      </c>
      <c r="AR324" s="70" t="str">
        <f t="shared" si="105"/>
        <v>---</v>
      </c>
      <c r="AS324" s="70" t="str">
        <f t="shared" si="106"/>
        <v>---</v>
      </c>
      <c r="AT324" s="71" t="str">
        <f t="shared" si="107"/>
        <v>---</v>
      </c>
    </row>
    <row r="325" spans="1:46" ht="30" customHeight="1" x14ac:dyDescent="0.3">
      <c r="A325" s="123">
        <f t="shared" si="91"/>
        <v>321</v>
      </c>
      <c r="B325" s="140">
        <f>INDEX('PEER GROUP'!B:B,MATCH($A325,'PEER GROUP'!$A:$A,0))</f>
        <v>0</v>
      </c>
      <c r="C325" s="83">
        <f>INDEX('PEER GROUP'!C:C,MATCH($A325,'PEER GROUP'!$A:$A,0))</f>
        <v>0</v>
      </c>
      <c r="D325" s="83">
        <f>INDEX('PEER GROUP'!D:D,MATCH($A325,'PEER GROUP'!$A:$A,0))</f>
        <v>0</v>
      </c>
      <c r="E325" s="83">
        <f>INDEX('PEER GROUP'!E:E,MATCH(A325,'PEER GROUP'!$A:$A,0))</f>
        <v>0</v>
      </c>
      <c r="F325" s="84">
        <f>INDEX('PEER GROUP'!F:F,MATCH($A325,'PEER GROUP'!$A:$A,0))</f>
        <v>0</v>
      </c>
      <c r="G325" s="84">
        <f>INDEX('PEER GROUP'!G:G,MATCH($A325,'PEER GROUP'!$A:$A,0))</f>
        <v>0</v>
      </c>
      <c r="H325" s="85"/>
      <c r="I325" s="85"/>
      <c r="J325" s="70">
        <f>INDEX('PEER GROUP'!K:K,MATCH($A325,'PEER GROUP'!$A:$A,0))</f>
        <v>0</v>
      </c>
      <c r="K325" s="70">
        <f>INDEX('PEER GROUP'!L:L,MATCH($A325,'PEER GROUP'!$A:$A,0))</f>
        <v>0</v>
      </c>
      <c r="L325" s="70">
        <f>INDEX('PEER GROUP'!M:M,MATCH($A325,'PEER GROUP'!$A:$A,0))</f>
        <v>0</v>
      </c>
      <c r="M325" s="86">
        <f>INDEX('PEER GROUP'!N:N,MATCH($A325,'PEER GROUP'!$A:$A,0))</f>
        <v>0</v>
      </c>
      <c r="N325" s="118"/>
      <c r="O325" s="115"/>
      <c r="P325" s="117"/>
      <c r="Q325" s="87"/>
      <c r="R325" s="87">
        <f t="shared" si="92"/>
        <v>0</v>
      </c>
      <c r="S325" s="87"/>
      <c r="T325" s="87"/>
      <c r="U325" s="87"/>
      <c r="V325" s="87">
        <f t="shared" si="93"/>
        <v>0</v>
      </c>
      <c r="W325" s="113">
        <f t="shared" si="90"/>
        <v>36.913096727263202</v>
      </c>
      <c r="X325" s="69">
        <f t="shared" si="94"/>
        <v>0</v>
      </c>
      <c r="Y325" s="70">
        <f t="shared" si="95"/>
        <v>0</v>
      </c>
      <c r="Z325" s="70">
        <f t="shared" si="96"/>
        <v>0</v>
      </c>
      <c r="AA325" s="70">
        <f t="shared" si="97"/>
        <v>0</v>
      </c>
      <c r="AB325" s="70">
        <f t="shared" si="98"/>
        <v>0</v>
      </c>
      <c r="AC325" s="70">
        <f t="shared" si="99"/>
        <v>0</v>
      </c>
      <c r="AD325" s="71">
        <f t="shared" si="100"/>
        <v>0</v>
      </c>
      <c r="AE325" s="49"/>
      <c r="AF325" s="21"/>
      <c r="AG325" s="69"/>
      <c r="AH325" s="70"/>
      <c r="AI325" s="70"/>
      <c r="AJ325" s="70"/>
      <c r="AK325" s="70"/>
      <c r="AL325" s="70"/>
      <c r="AM325" s="70"/>
      <c r="AN325" s="70" t="str">
        <f t="shared" si="101"/>
        <v>---</v>
      </c>
      <c r="AO325" s="70" t="str">
        <f t="shared" si="102"/>
        <v>---</v>
      </c>
      <c r="AP325" s="70" t="str">
        <f t="shared" si="103"/>
        <v>---</v>
      </c>
      <c r="AQ325" s="70" t="str">
        <f t="shared" si="104"/>
        <v>---</v>
      </c>
      <c r="AR325" s="70" t="str">
        <f t="shared" si="105"/>
        <v>---</v>
      </c>
      <c r="AS325" s="70" t="str">
        <f t="shared" si="106"/>
        <v>---</v>
      </c>
      <c r="AT325" s="71" t="str">
        <f t="shared" si="107"/>
        <v>---</v>
      </c>
    </row>
    <row r="326" spans="1:46" ht="30" customHeight="1" x14ac:dyDescent="0.3">
      <c r="A326" s="123">
        <f t="shared" si="91"/>
        <v>322</v>
      </c>
      <c r="B326" s="140">
        <f>INDEX('PEER GROUP'!B:B,MATCH($A326,'PEER GROUP'!$A:$A,0))</f>
        <v>0</v>
      </c>
      <c r="C326" s="83">
        <f>INDEX('PEER GROUP'!C:C,MATCH($A326,'PEER GROUP'!$A:$A,0))</f>
        <v>0</v>
      </c>
      <c r="D326" s="83">
        <f>INDEX('PEER GROUP'!D:D,MATCH($A326,'PEER GROUP'!$A:$A,0))</f>
        <v>0</v>
      </c>
      <c r="E326" s="83">
        <f>INDEX('PEER GROUP'!E:E,MATCH(A326,'PEER GROUP'!$A:$A,0))</f>
        <v>0</v>
      </c>
      <c r="F326" s="84">
        <f>INDEX('PEER GROUP'!F:F,MATCH($A326,'PEER GROUP'!$A:$A,0))</f>
        <v>0</v>
      </c>
      <c r="G326" s="84">
        <f>INDEX('PEER GROUP'!G:G,MATCH($A326,'PEER GROUP'!$A:$A,0))</f>
        <v>0</v>
      </c>
      <c r="H326" s="85"/>
      <c r="I326" s="85"/>
      <c r="J326" s="70">
        <f>INDEX('PEER GROUP'!K:K,MATCH($A326,'PEER GROUP'!$A:$A,0))</f>
        <v>0</v>
      </c>
      <c r="K326" s="70">
        <f>INDEX('PEER GROUP'!L:L,MATCH($A326,'PEER GROUP'!$A:$A,0))</f>
        <v>0</v>
      </c>
      <c r="L326" s="70">
        <f>INDEX('PEER GROUP'!M:M,MATCH($A326,'PEER GROUP'!$A:$A,0))</f>
        <v>0</v>
      </c>
      <c r="M326" s="86">
        <f>INDEX('PEER GROUP'!N:N,MATCH($A326,'PEER GROUP'!$A:$A,0))</f>
        <v>0</v>
      </c>
      <c r="N326" s="118"/>
      <c r="O326" s="115"/>
      <c r="P326" s="117"/>
      <c r="Q326" s="87"/>
      <c r="R326" s="87">
        <f t="shared" si="92"/>
        <v>0</v>
      </c>
      <c r="S326" s="87"/>
      <c r="T326" s="87"/>
      <c r="U326" s="87"/>
      <c r="V326" s="87">
        <f t="shared" si="93"/>
        <v>0</v>
      </c>
      <c r="W326" s="113">
        <f t="shared" si="90"/>
        <v>36.913096727263202</v>
      </c>
      <c r="X326" s="69">
        <f t="shared" si="94"/>
        <v>0</v>
      </c>
      <c r="Y326" s="70">
        <f t="shared" si="95"/>
        <v>0</v>
      </c>
      <c r="Z326" s="70">
        <f t="shared" si="96"/>
        <v>0</v>
      </c>
      <c r="AA326" s="70">
        <f t="shared" si="97"/>
        <v>0</v>
      </c>
      <c r="AB326" s="70">
        <f t="shared" si="98"/>
        <v>0</v>
      </c>
      <c r="AC326" s="70">
        <f t="shared" si="99"/>
        <v>0</v>
      </c>
      <c r="AD326" s="71">
        <f t="shared" si="100"/>
        <v>0</v>
      </c>
      <c r="AE326" s="49"/>
      <c r="AF326" s="21"/>
      <c r="AG326" s="69"/>
      <c r="AH326" s="70"/>
      <c r="AI326" s="70"/>
      <c r="AJ326" s="70"/>
      <c r="AK326" s="70"/>
      <c r="AL326" s="70"/>
      <c r="AM326" s="70"/>
      <c r="AN326" s="70" t="str">
        <f t="shared" si="101"/>
        <v>---</v>
      </c>
      <c r="AO326" s="70" t="str">
        <f t="shared" si="102"/>
        <v>---</v>
      </c>
      <c r="AP326" s="70" t="str">
        <f t="shared" si="103"/>
        <v>---</v>
      </c>
      <c r="AQ326" s="70" t="str">
        <f t="shared" si="104"/>
        <v>---</v>
      </c>
      <c r="AR326" s="70" t="str">
        <f t="shared" si="105"/>
        <v>---</v>
      </c>
      <c r="AS326" s="70" t="str">
        <f t="shared" si="106"/>
        <v>---</v>
      </c>
      <c r="AT326" s="71" t="str">
        <f t="shared" si="107"/>
        <v>---</v>
      </c>
    </row>
    <row r="327" spans="1:46" ht="30" customHeight="1" x14ac:dyDescent="0.3">
      <c r="A327" s="123">
        <f t="shared" si="91"/>
        <v>323</v>
      </c>
      <c r="B327" s="140">
        <f>INDEX('PEER GROUP'!B:B,MATCH($A327,'PEER GROUP'!$A:$A,0))</f>
        <v>0</v>
      </c>
      <c r="C327" s="83">
        <f>INDEX('PEER GROUP'!C:C,MATCH($A327,'PEER GROUP'!$A:$A,0))</f>
        <v>0</v>
      </c>
      <c r="D327" s="83">
        <f>INDEX('PEER GROUP'!D:D,MATCH($A327,'PEER GROUP'!$A:$A,0))</f>
        <v>0</v>
      </c>
      <c r="E327" s="83">
        <f>INDEX('PEER GROUP'!E:E,MATCH(A327,'PEER GROUP'!$A:$A,0))</f>
        <v>0</v>
      </c>
      <c r="F327" s="84">
        <f>INDEX('PEER GROUP'!F:F,MATCH($A327,'PEER GROUP'!$A:$A,0))</f>
        <v>0</v>
      </c>
      <c r="G327" s="84">
        <f>INDEX('PEER GROUP'!G:G,MATCH($A327,'PEER GROUP'!$A:$A,0))</f>
        <v>0</v>
      </c>
      <c r="H327" s="85"/>
      <c r="I327" s="85"/>
      <c r="J327" s="70">
        <f>INDEX('PEER GROUP'!K:K,MATCH($A327,'PEER GROUP'!$A:$A,0))</f>
        <v>0</v>
      </c>
      <c r="K327" s="70">
        <f>INDEX('PEER GROUP'!L:L,MATCH($A327,'PEER GROUP'!$A:$A,0))</f>
        <v>0</v>
      </c>
      <c r="L327" s="70">
        <f>INDEX('PEER GROUP'!M:M,MATCH($A327,'PEER GROUP'!$A:$A,0))</f>
        <v>0</v>
      </c>
      <c r="M327" s="86">
        <f>INDEX('PEER GROUP'!N:N,MATCH($A327,'PEER GROUP'!$A:$A,0))</f>
        <v>0</v>
      </c>
      <c r="N327" s="118"/>
      <c r="O327" s="115"/>
      <c r="P327" s="117"/>
      <c r="Q327" s="87"/>
      <c r="R327" s="87">
        <f t="shared" si="92"/>
        <v>0</v>
      </c>
      <c r="S327" s="87"/>
      <c r="T327" s="87"/>
      <c r="U327" s="87"/>
      <c r="V327" s="87">
        <f t="shared" si="93"/>
        <v>0</v>
      </c>
      <c r="W327" s="113">
        <f t="shared" si="90"/>
        <v>36.913096727263202</v>
      </c>
      <c r="X327" s="69">
        <f t="shared" si="94"/>
        <v>0</v>
      </c>
      <c r="Y327" s="70">
        <f t="shared" si="95"/>
        <v>0</v>
      </c>
      <c r="Z327" s="70">
        <f t="shared" si="96"/>
        <v>0</v>
      </c>
      <c r="AA327" s="70">
        <f t="shared" si="97"/>
        <v>0</v>
      </c>
      <c r="AB327" s="70">
        <f t="shared" si="98"/>
        <v>0</v>
      </c>
      <c r="AC327" s="70">
        <f t="shared" si="99"/>
        <v>0</v>
      </c>
      <c r="AD327" s="71">
        <f t="shared" si="100"/>
        <v>0</v>
      </c>
      <c r="AE327" s="49"/>
      <c r="AF327" s="21"/>
      <c r="AG327" s="69"/>
      <c r="AH327" s="70"/>
      <c r="AI327" s="70"/>
      <c r="AJ327" s="70"/>
      <c r="AK327" s="70"/>
      <c r="AL327" s="70"/>
      <c r="AM327" s="70"/>
      <c r="AN327" s="70" t="str">
        <f t="shared" si="101"/>
        <v>---</v>
      </c>
      <c r="AO327" s="70" t="str">
        <f t="shared" si="102"/>
        <v>---</v>
      </c>
      <c r="AP327" s="70" t="str">
        <f t="shared" si="103"/>
        <v>---</v>
      </c>
      <c r="AQ327" s="70" t="str">
        <f t="shared" si="104"/>
        <v>---</v>
      </c>
      <c r="AR327" s="70" t="str">
        <f t="shared" si="105"/>
        <v>---</v>
      </c>
      <c r="AS327" s="70" t="str">
        <f t="shared" si="106"/>
        <v>---</v>
      </c>
      <c r="AT327" s="71" t="str">
        <f t="shared" si="107"/>
        <v>---</v>
      </c>
    </row>
    <row r="328" spans="1:46" ht="30" customHeight="1" x14ac:dyDescent="0.3">
      <c r="A328" s="123">
        <f t="shared" si="91"/>
        <v>324</v>
      </c>
      <c r="B328" s="140">
        <f>INDEX('PEER GROUP'!B:B,MATCH($A328,'PEER GROUP'!$A:$A,0))</f>
        <v>0</v>
      </c>
      <c r="C328" s="83">
        <f>INDEX('PEER GROUP'!C:C,MATCH($A328,'PEER GROUP'!$A:$A,0))</f>
        <v>0</v>
      </c>
      <c r="D328" s="83">
        <f>INDEX('PEER GROUP'!D:D,MATCH($A328,'PEER GROUP'!$A:$A,0))</f>
        <v>0</v>
      </c>
      <c r="E328" s="83">
        <f>INDEX('PEER GROUP'!E:E,MATCH(A328,'PEER GROUP'!$A:$A,0))</f>
        <v>0</v>
      </c>
      <c r="F328" s="84">
        <f>INDEX('PEER GROUP'!F:F,MATCH($A328,'PEER GROUP'!$A:$A,0))</f>
        <v>0</v>
      </c>
      <c r="G328" s="84">
        <f>INDEX('PEER GROUP'!G:G,MATCH($A328,'PEER GROUP'!$A:$A,0))</f>
        <v>0</v>
      </c>
      <c r="H328" s="85"/>
      <c r="I328" s="85"/>
      <c r="J328" s="70">
        <f>INDEX('PEER GROUP'!K:K,MATCH($A328,'PEER GROUP'!$A:$A,0))</f>
        <v>0</v>
      </c>
      <c r="K328" s="70">
        <f>INDEX('PEER GROUP'!L:L,MATCH($A328,'PEER GROUP'!$A:$A,0))</f>
        <v>0</v>
      </c>
      <c r="L328" s="70">
        <f>INDEX('PEER GROUP'!M:M,MATCH($A328,'PEER GROUP'!$A:$A,0))</f>
        <v>0</v>
      </c>
      <c r="M328" s="86">
        <f>INDEX('PEER GROUP'!N:N,MATCH($A328,'PEER GROUP'!$A:$A,0))</f>
        <v>0</v>
      </c>
      <c r="N328" s="118"/>
      <c r="O328" s="115"/>
      <c r="P328" s="117"/>
      <c r="Q328" s="87"/>
      <c r="R328" s="87">
        <f t="shared" si="92"/>
        <v>0</v>
      </c>
      <c r="S328" s="87"/>
      <c r="T328" s="87"/>
      <c r="U328" s="87"/>
      <c r="V328" s="87">
        <f t="shared" si="93"/>
        <v>0</v>
      </c>
      <c r="W328" s="113">
        <f t="shared" si="90"/>
        <v>36.913096727263202</v>
      </c>
      <c r="X328" s="69">
        <f t="shared" si="94"/>
        <v>0</v>
      </c>
      <c r="Y328" s="70">
        <f t="shared" si="95"/>
        <v>0</v>
      </c>
      <c r="Z328" s="70">
        <f t="shared" si="96"/>
        <v>0</v>
      </c>
      <c r="AA328" s="70">
        <f t="shared" si="97"/>
        <v>0</v>
      </c>
      <c r="AB328" s="70">
        <f t="shared" si="98"/>
        <v>0</v>
      </c>
      <c r="AC328" s="70">
        <f t="shared" si="99"/>
        <v>0</v>
      </c>
      <c r="AD328" s="71">
        <f t="shared" si="100"/>
        <v>0</v>
      </c>
      <c r="AE328" s="49"/>
      <c r="AF328" s="21"/>
      <c r="AG328" s="69"/>
      <c r="AH328" s="70"/>
      <c r="AI328" s="70"/>
      <c r="AJ328" s="70"/>
      <c r="AK328" s="70"/>
      <c r="AL328" s="70"/>
      <c r="AM328" s="70"/>
      <c r="AN328" s="70" t="str">
        <f t="shared" si="101"/>
        <v>---</v>
      </c>
      <c r="AO328" s="70" t="str">
        <f t="shared" si="102"/>
        <v>---</v>
      </c>
      <c r="AP328" s="70" t="str">
        <f t="shared" si="103"/>
        <v>---</v>
      </c>
      <c r="AQ328" s="70" t="str">
        <f t="shared" si="104"/>
        <v>---</v>
      </c>
      <c r="AR328" s="70" t="str">
        <f t="shared" si="105"/>
        <v>---</v>
      </c>
      <c r="AS328" s="70" t="str">
        <f t="shared" si="106"/>
        <v>---</v>
      </c>
      <c r="AT328" s="71" t="str">
        <f t="shared" si="107"/>
        <v>---</v>
      </c>
    </row>
    <row r="329" spans="1:46" ht="30" customHeight="1" x14ac:dyDescent="0.3">
      <c r="A329" s="123">
        <f t="shared" si="91"/>
        <v>325</v>
      </c>
      <c r="B329" s="140">
        <f>INDEX('PEER GROUP'!B:B,MATCH($A329,'PEER GROUP'!$A:$A,0))</f>
        <v>0</v>
      </c>
      <c r="C329" s="83">
        <f>INDEX('PEER GROUP'!C:C,MATCH($A329,'PEER GROUP'!$A:$A,0))</f>
        <v>0</v>
      </c>
      <c r="D329" s="83">
        <f>INDEX('PEER GROUP'!D:D,MATCH($A329,'PEER GROUP'!$A:$A,0))</f>
        <v>0</v>
      </c>
      <c r="E329" s="83">
        <f>INDEX('PEER GROUP'!E:E,MATCH(A329,'PEER GROUP'!$A:$A,0))</f>
        <v>0</v>
      </c>
      <c r="F329" s="84">
        <f>INDEX('PEER GROUP'!F:F,MATCH($A329,'PEER GROUP'!$A:$A,0))</f>
        <v>0</v>
      </c>
      <c r="G329" s="84">
        <f>INDEX('PEER GROUP'!G:G,MATCH($A329,'PEER GROUP'!$A:$A,0))</f>
        <v>0</v>
      </c>
      <c r="H329" s="85"/>
      <c r="I329" s="85"/>
      <c r="J329" s="70">
        <f>INDEX('PEER GROUP'!K:K,MATCH($A329,'PEER GROUP'!$A:$A,0))</f>
        <v>0</v>
      </c>
      <c r="K329" s="70">
        <f>INDEX('PEER GROUP'!L:L,MATCH($A329,'PEER GROUP'!$A:$A,0))</f>
        <v>0</v>
      </c>
      <c r="L329" s="70">
        <f>INDEX('PEER GROUP'!M:M,MATCH($A329,'PEER GROUP'!$A:$A,0))</f>
        <v>0</v>
      </c>
      <c r="M329" s="86">
        <f>INDEX('PEER GROUP'!N:N,MATCH($A329,'PEER GROUP'!$A:$A,0))</f>
        <v>0</v>
      </c>
      <c r="N329" s="118"/>
      <c r="O329" s="115"/>
      <c r="P329" s="117"/>
      <c r="Q329" s="87"/>
      <c r="R329" s="87">
        <f t="shared" si="92"/>
        <v>0</v>
      </c>
      <c r="S329" s="87"/>
      <c r="T329" s="87"/>
      <c r="U329" s="87"/>
      <c r="V329" s="87">
        <f t="shared" si="93"/>
        <v>0</v>
      </c>
      <c r="W329" s="113">
        <f t="shared" si="90"/>
        <v>36.913096727263202</v>
      </c>
      <c r="X329" s="69">
        <f t="shared" si="94"/>
        <v>0</v>
      </c>
      <c r="Y329" s="70">
        <f t="shared" si="95"/>
        <v>0</v>
      </c>
      <c r="Z329" s="70">
        <f t="shared" si="96"/>
        <v>0</v>
      </c>
      <c r="AA329" s="70">
        <f t="shared" si="97"/>
        <v>0</v>
      </c>
      <c r="AB329" s="70">
        <f t="shared" si="98"/>
        <v>0</v>
      </c>
      <c r="AC329" s="70">
        <f t="shared" si="99"/>
        <v>0</v>
      </c>
      <c r="AD329" s="71">
        <f t="shared" si="100"/>
        <v>0</v>
      </c>
      <c r="AE329" s="49"/>
      <c r="AF329" s="21"/>
      <c r="AG329" s="69"/>
      <c r="AH329" s="70"/>
      <c r="AI329" s="70"/>
      <c r="AJ329" s="70"/>
      <c r="AK329" s="70"/>
      <c r="AL329" s="70"/>
      <c r="AM329" s="70"/>
      <c r="AN329" s="70" t="str">
        <f t="shared" si="101"/>
        <v>---</v>
      </c>
      <c r="AO329" s="70" t="str">
        <f t="shared" si="102"/>
        <v>---</v>
      </c>
      <c r="AP329" s="70" t="str">
        <f t="shared" si="103"/>
        <v>---</v>
      </c>
      <c r="AQ329" s="70" t="str">
        <f t="shared" si="104"/>
        <v>---</v>
      </c>
      <c r="AR329" s="70" t="str">
        <f t="shared" si="105"/>
        <v>---</v>
      </c>
      <c r="AS329" s="70" t="str">
        <f t="shared" si="106"/>
        <v>---</v>
      </c>
      <c r="AT329" s="71" t="str">
        <f t="shared" si="107"/>
        <v>---</v>
      </c>
    </row>
    <row r="330" spans="1:46" ht="30" customHeight="1" x14ac:dyDescent="0.3">
      <c r="A330" s="123">
        <f t="shared" si="91"/>
        <v>326</v>
      </c>
      <c r="B330" s="140">
        <f>INDEX('PEER GROUP'!B:B,MATCH($A330,'PEER GROUP'!$A:$A,0))</f>
        <v>0</v>
      </c>
      <c r="C330" s="83">
        <f>INDEX('PEER GROUP'!C:C,MATCH($A330,'PEER GROUP'!$A:$A,0))</f>
        <v>0</v>
      </c>
      <c r="D330" s="83">
        <f>INDEX('PEER GROUP'!D:D,MATCH($A330,'PEER GROUP'!$A:$A,0))</f>
        <v>0</v>
      </c>
      <c r="E330" s="83">
        <f>INDEX('PEER GROUP'!E:E,MATCH(A330,'PEER GROUP'!$A:$A,0))</f>
        <v>0</v>
      </c>
      <c r="F330" s="84">
        <f>INDEX('PEER GROUP'!F:F,MATCH($A330,'PEER GROUP'!$A:$A,0))</f>
        <v>0</v>
      </c>
      <c r="G330" s="84">
        <f>INDEX('PEER GROUP'!G:G,MATCH($A330,'PEER GROUP'!$A:$A,0))</f>
        <v>0</v>
      </c>
      <c r="H330" s="85"/>
      <c r="I330" s="85"/>
      <c r="J330" s="70">
        <f>INDEX('PEER GROUP'!K:K,MATCH($A330,'PEER GROUP'!$A:$A,0))</f>
        <v>0</v>
      </c>
      <c r="K330" s="70">
        <f>INDEX('PEER GROUP'!L:L,MATCH($A330,'PEER GROUP'!$A:$A,0))</f>
        <v>0</v>
      </c>
      <c r="L330" s="70">
        <f>INDEX('PEER GROUP'!M:M,MATCH($A330,'PEER GROUP'!$A:$A,0))</f>
        <v>0</v>
      </c>
      <c r="M330" s="86">
        <f>INDEX('PEER GROUP'!N:N,MATCH($A330,'PEER GROUP'!$A:$A,0))</f>
        <v>0</v>
      </c>
      <c r="N330" s="118"/>
      <c r="O330" s="115"/>
      <c r="P330" s="117"/>
      <c r="Q330" s="87"/>
      <c r="R330" s="87">
        <f t="shared" si="92"/>
        <v>0</v>
      </c>
      <c r="S330" s="87"/>
      <c r="T330" s="87"/>
      <c r="U330" s="87"/>
      <c r="V330" s="87">
        <f t="shared" si="93"/>
        <v>0</v>
      </c>
      <c r="W330" s="113">
        <f t="shared" si="90"/>
        <v>36.913096727263202</v>
      </c>
      <c r="X330" s="69">
        <f t="shared" si="94"/>
        <v>0</v>
      </c>
      <c r="Y330" s="70">
        <f t="shared" si="95"/>
        <v>0</v>
      </c>
      <c r="Z330" s="70">
        <f t="shared" si="96"/>
        <v>0</v>
      </c>
      <c r="AA330" s="70">
        <f t="shared" si="97"/>
        <v>0</v>
      </c>
      <c r="AB330" s="70">
        <f t="shared" si="98"/>
        <v>0</v>
      </c>
      <c r="AC330" s="70">
        <f t="shared" si="99"/>
        <v>0</v>
      </c>
      <c r="AD330" s="71">
        <f t="shared" si="100"/>
        <v>0</v>
      </c>
      <c r="AE330" s="49"/>
      <c r="AF330" s="21"/>
      <c r="AG330" s="69"/>
      <c r="AH330" s="70"/>
      <c r="AI330" s="70"/>
      <c r="AJ330" s="70"/>
      <c r="AK330" s="70"/>
      <c r="AL330" s="70"/>
      <c r="AM330" s="70"/>
      <c r="AN330" s="70" t="str">
        <f t="shared" si="101"/>
        <v>---</v>
      </c>
      <c r="AO330" s="70" t="str">
        <f t="shared" si="102"/>
        <v>---</v>
      </c>
      <c r="AP330" s="70" t="str">
        <f t="shared" si="103"/>
        <v>---</v>
      </c>
      <c r="AQ330" s="70" t="str">
        <f t="shared" si="104"/>
        <v>---</v>
      </c>
      <c r="AR330" s="70" t="str">
        <f t="shared" si="105"/>
        <v>---</v>
      </c>
      <c r="AS330" s="70" t="str">
        <f t="shared" si="106"/>
        <v>---</v>
      </c>
      <c r="AT330" s="71" t="str">
        <f t="shared" si="107"/>
        <v>---</v>
      </c>
    </row>
    <row r="331" spans="1:46" ht="30" customHeight="1" x14ac:dyDescent="0.3">
      <c r="A331" s="123">
        <f t="shared" si="91"/>
        <v>327</v>
      </c>
      <c r="B331" s="140">
        <f>INDEX('PEER GROUP'!B:B,MATCH($A331,'PEER GROUP'!$A:$A,0))</f>
        <v>0</v>
      </c>
      <c r="C331" s="83">
        <f>INDEX('PEER GROUP'!C:C,MATCH($A331,'PEER GROUP'!$A:$A,0))</f>
        <v>0</v>
      </c>
      <c r="D331" s="83">
        <f>INDEX('PEER GROUP'!D:D,MATCH($A331,'PEER GROUP'!$A:$A,0))</f>
        <v>0</v>
      </c>
      <c r="E331" s="83">
        <f>INDEX('PEER GROUP'!E:E,MATCH(A331,'PEER GROUP'!$A:$A,0))</f>
        <v>0</v>
      </c>
      <c r="F331" s="84">
        <f>INDEX('PEER GROUP'!F:F,MATCH($A331,'PEER GROUP'!$A:$A,0))</f>
        <v>0</v>
      </c>
      <c r="G331" s="84">
        <f>INDEX('PEER GROUP'!G:G,MATCH($A331,'PEER GROUP'!$A:$A,0))</f>
        <v>0</v>
      </c>
      <c r="H331" s="85"/>
      <c r="I331" s="85"/>
      <c r="J331" s="70">
        <f>INDEX('PEER GROUP'!K:K,MATCH($A331,'PEER GROUP'!$A:$A,0))</f>
        <v>0</v>
      </c>
      <c r="K331" s="70">
        <f>INDEX('PEER GROUP'!L:L,MATCH($A331,'PEER GROUP'!$A:$A,0))</f>
        <v>0</v>
      </c>
      <c r="L331" s="70">
        <f>INDEX('PEER GROUP'!M:M,MATCH($A331,'PEER GROUP'!$A:$A,0))</f>
        <v>0</v>
      </c>
      <c r="M331" s="86">
        <f>INDEX('PEER GROUP'!N:N,MATCH($A331,'PEER GROUP'!$A:$A,0))</f>
        <v>0</v>
      </c>
      <c r="N331" s="118"/>
      <c r="O331" s="115"/>
      <c r="P331" s="117"/>
      <c r="Q331" s="87"/>
      <c r="R331" s="87">
        <f t="shared" si="92"/>
        <v>0</v>
      </c>
      <c r="S331" s="87"/>
      <c r="T331" s="87"/>
      <c r="U331" s="87"/>
      <c r="V331" s="87">
        <f t="shared" si="93"/>
        <v>0</v>
      </c>
      <c r="W331" s="113">
        <f t="shared" si="90"/>
        <v>36.913096727263202</v>
      </c>
      <c r="X331" s="69">
        <f t="shared" si="94"/>
        <v>0</v>
      </c>
      <c r="Y331" s="70">
        <f t="shared" si="95"/>
        <v>0</v>
      </c>
      <c r="Z331" s="70">
        <f t="shared" si="96"/>
        <v>0</v>
      </c>
      <c r="AA331" s="70">
        <f t="shared" si="97"/>
        <v>0</v>
      </c>
      <c r="AB331" s="70">
        <f t="shared" si="98"/>
        <v>0</v>
      </c>
      <c r="AC331" s="70">
        <f t="shared" si="99"/>
        <v>0</v>
      </c>
      <c r="AD331" s="71">
        <f t="shared" si="100"/>
        <v>0</v>
      </c>
      <c r="AE331" s="49"/>
      <c r="AF331" s="21"/>
      <c r="AG331" s="69"/>
      <c r="AH331" s="70"/>
      <c r="AI331" s="70"/>
      <c r="AJ331" s="70"/>
      <c r="AK331" s="70"/>
      <c r="AL331" s="70"/>
      <c r="AM331" s="70"/>
      <c r="AN331" s="70" t="str">
        <f t="shared" si="101"/>
        <v>---</v>
      </c>
      <c r="AO331" s="70" t="str">
        <f t="shared" si="102"/>
        <v>---</v>
      </c>
      <c r="AP331" s="70" t="str">
        <f t="shared" si="103"/>
        <v>---</v>
      </c>
      <c r="AQ331" s="70" t="str">
        <f t="shared" si="104"/>
        <v>---</v>
      </c>
      <c r="AR331" s="70" t="str">
        <f t="shared" si="105"/>
        <v>---</v>
      </c>
      <c r="AS331" s="70" t="str">
        <f t="shared" si="106"/>
        <v>---</v>
      </c>
      <c r="AT331" s="71" t="str">
        <f t="shared" si="107"/>
        <v>---</v>
      </c>
    </row>
    <row r="332" spans="1:46" ht="30" customHeight="1" x14ac:dyDescent="0.3">
      <c r="A332" s="123">
        <f t="shared" si="91"/>
        <v>328</v>
      </c>
      <c r="B332" s="140">
        <f>INDEX('PEER GROUP'!B:B,MATCH($A332,'PEER GROUP'!$A:$A,0))</f>
        <v>0</v>
      </c>
      <c r="C332" s="83">
        <f>INDEX('PEER GROUP'!C:C,MATCH($A332,'PEER GROUP'!$A:$A,0))</f>
        <v>0</v>
      </c>
      <c r="D332" s="83">
        <f>INDEX('PEER GROUP'!D:D,MATCH($A332,'PEER GROUP'!$A:$A,0))</f>
        <v>0</v>
      </c>
      <c r="E332" s="83">
        <f>INDEX('PEER GROUP'!E:E,MATCH(A332,'PEER GROUP'!$A:$A,0))</f>
        <v>0</v>
      </c>
      <c r="F332" s="84">
        <f>INDEX('PEER GROUP'!F:F,MATCH($A332,'PEER GROUP'!$A:$A,0))</f>
        <v>0</v>
      </c>
      <c r="G332" s="84">
        <f>INDEX('PEER GROUP'!G:G,MATCH($A332,'PEER GROUP'!$A:$A,0))</f>
        <v>0</v>
      </c>
      <c r="H332" s="85"/>
      <c r="I332" s="85"/>
      <c r="J332" s="70">
        <f>INDEX('PEER GROUP'!K:K,MATCH($A332,'PEER GROUP'!$A:$A,0))</f>
        <v>0</v>
      </c>
      <c r="K332" s="70">
        <f>INDEX('PEER GROUP'!L:L,MATCH($A332,'PEER GROUP'!$A:$A,0))</f>
        <v>0</v>
      </c>
      <c r="L332" s="70">
        <f>INDEX('PEER GROUP'!M:M,MATCH($A332,'PEER GROUP'!$A:$A,0))</f>
        <v>0</v>
      </c>
      <c r="M332" s="86">
        <f>INDEX('PEER GROUP'!N:N,MATCH($A332,'PEER GROUP'!$A:$A,0))</f>
        <v>0</v>
      </c>
      <c r="N332" s="118"/>
      <c r="O332" s="115"/>
      <c r="P332" s="117"/>
      <c r="Q332" s="87"/>
      <c r="R332" s="87">
        <f t="shared" si="92"/>
        <v>0</v>
      </c>
      <c r="S332" s="87"/>
      <c r="T332" s="87"/>
      <c r="U332" s="87"/>
      <c r="V332" s="87">
        <f t="shared" si="93"/>
        <v>0</v>
      </c>
      <c r="W332" s="113">
        <f t="shared" si="90"/>
        <v>36.913096727263202</v>
      </c>
      <c r="X332" s="69">
        <f t="shared" si="94"/>
        <v>0</v>
      </c>
      <c r="Y332" s="70">
        <f t="shared" si="95"/>
        <v>0</v>
      </c>
      <c r="Z332" s="70">
        <f t="shared" si="96"/>
        <v>0</v>
      </c>
      <c r="AA332" s="70">
        <f t="shared" si="97"/>
        <v>0</v>
      </c>
      <c r="AB332" s="70">
        <f t="shared" si="98"/>
        <v>0</v>
      </c>
      <c r="AC332" s="70">
        <f t="shared" si="99"/>
        <v>0</v>
      </c>
      <c r="AD332" s="71">
        <f t="shared" si="100"/>
        <v>0</v>
      </c>
      <c r="AE332" s="49"/>
      <c r="AF332" s="21"/>
      <c r="AG332" s="69"/>
      <c r="AH332" s="70"/>
      <c r="AI332" s="70"/>
      <c r="AJ332" s="70"/>
      <c r="AK332" s="70"/>
      <c r="AL332" s="70"/>
      <c r="AM332" s="70"/>
      <c r="AN332" s="70" t="str">
        <f t="shared" si="101"/>
        <v>---</v>
      </c>
      <c r="AO332" s="70" t="str">
        <f t="shared" si="102"/>
        <v>---</v>
      </c>
      <c r="AP332" s="70" t="str">
        <f t="shared" si="103"/>
        <v>---</v>
      </c>
      <c r="AQ332" s="70" t="str">
        <f t="shared" si="104"/>
        <v>---</v>
      </c>
      <c r="AR332" s="70" t="str">
        <f t="shared" si="105"/>
        <v>---</v>
      </c>
      <c r="AS332" s="70" t="str">
        <f t="shared" si="106"/>
        <v>---</v>
      </c>
      <c r="AT332" s="71" t="str">
        <f t="shared" si="107"/>
        <v>---</v>
      </c>
    </row>
    <row r="333" spans="1:46" ht="30" customHeight="1" x14ac:dyDescent="0.3">
      <c r="A333" s="123">
        <f t="shared" si="91"/>
        <v>329</v>
      </c>
      <c r="B333" s="140">
        <f>INDEX('PEER GROUP'!B:B,MATCH($A333,'PEER GROUP'!$A:$A,0))</f>
        <v>0</v>
      </c>
      <c r="C333" s="83">
        <f>INDEX('PEER GROUP'!C:C,MATCH($A333,'PEER GROUP'!$A:$A,0))</f>
        <v>0</v>
      </c>
      <c r="D333" s="83">
        <f>INDEX('PEER GROUP'!D:D,MATCH($A333,'PEER GROUP'!$A:$A,0))</f>
        <v>0</v>
      </c>
      <c r="E333" s="83">
        <f>INDEX('PEER GROUP'!E:E,MATCH(A333,'PEER GROUP'!$A:$A,0))</f>
        <v>0</v>
      </c>
      <c r="F333" s="84">
        <f>INDEX('PEER GROUP'!F:F,MATCH($A333,'PEER GROUP'!$A:$A,0))</f>
        <v>0</v>
      </c>
      <c r="G333" s="84">
        <f>INDEX('PEER GROUP'!G:G,MATCH($A333,'PEER GROUP'!$A:$A,0))</f>
        <v>0</v>
      </c>
      <c r="H333" s="85"/>
      <c r="I333" s="85"/>
      <c r="J333" s="70">
        <f>INDEX('PEER GROUP'!K:K,MATCH($A333,'PEER GROUP'!$A:$A,0))</f>
        <v>0</v>
      </c>
      <c r="K333" s="70">
        <f>INDEX('PEER GROUP'!L:L,MATCH($A333,'PEER GROUP'!$A:$A,0))</f>
        <v>0</v>
      </c>
      <c r="L333" s="70">
        <f>INDEX('PEER GROUP'!M:M,MATCH($A333,'PEER GROUP'!$A:$A,0))</f>
        <v>0</v>
      </c>
      <c r="M333" s="86">
        <f>INDEX('PEER GROUP'!N:N,MATCH($A333,'PEER GROUP'!$A:$A,0))</f>
        <v>0</v>
      </c>
      <c r="N333" s="118"/>
      <c r="O333" s="115"/>
      <c r="P333" s="117"/>
      <c r="Q333" s="87"/>
      <c r="R333" s="87">
        <f t="shared" si="92"/>
        <v>0</v>
      </c>
      <c r="S333" s="87"/>
      <c r="T333" s="87"/>
      <c r="U333" s="87"/>
      <c r="V333" s="87">
        <f t="shared" si="93"/>
        <v>0</v>
      </c>
      <c r="W333" s="113">
        <f t="shared" si="90"/>
        <v>36.913096727263202</v>
      </c>
      <c r="X333" s="69">
        <f t="shared" si="94"/>
        <v>0</v>
      </c>
      <c r="Y333" s="70">
        <f t="shared" si="95"/>
        <v>0</v>
      </c>
      <c r="Z333" s="70">
        <f t="shared" si="96"/>
        <v>0</v>
      </c>
      <c r="AA333" s="70">
        <f t="shared" si="97"/>
        <v>0</v>
      </c>
      <c r="AB333" s="70">
        <f t="shared" si="98"/>
        <v>0</v>
      </c>
      <c r="AC333" s="70">
        <f t="shared" si="99"/>
        <v>0</v>
      </c>
      <c r="AD333" s="71">
        <f t="shared" si="100"/>
        <v>0</v>
      </c>
      <c r="AE333" s="49"/>
      <c r="AF333" s="21"/>
      <c r="AG333" s="69"/>
      <c r="AH333" s="70"/>
      <c r="AI333" s="70"/>
      <c r="AJ333" s="70"/>
      <c r="AK333" s="70"/>
      <c r="AL333" s="70"/>
      <c r="AM333" s="70"/>
      <c r="AN333" s="70" t="str">
        <f t="shared" si="101"/>
        <v>---</v>
      </c>
      <c r="AO333" s="70" t="str">
        <f t="shared" si="102"/>
        <v>---</v>
      </c>
      <c r="AP333" s="70" t="str">
        <f t="shared" si="103"/>
        <v>---</v>
      </c>
      <c r="AQ333" s="70" t="str">
        <f t="shared" si="104"/>
        <v>---</v>
      </c>
      <c r="AR333" s="70" t="str">
        <f t="shared" si="105"/>
        <v>---</v>
      </c>
      <c r="AS333" s="70" t="str">
        <f t="shared" si="106"/>
        <v>---</v>
      </c>
      <c r="AT333" s="71" t="str">
        <f t="shared" si="107"/>
        <v>---</v>
      </c>
    </row>
    <row r="334" spans="1:46" ht="30" customHeight="1" x14ac:dyDescent="0.3">
      <c r="A334" s="123">
        <f t="shared" si="91"/>
        <v>330</v>
      </c>
      <c r="B334" s="140">
        <f>INDEX('PEER GROUP'!B:B,MATCH($A334,'PEER GROUP'!$A:$A,0))</f>
        <v>0</v>
      </c>
      <c r="C334" s="83">
        <f>INDEX('PEER GROUP'!C:C,MATCH($A334,'PEER GROUP'!$A:$A,0))</f>
        <v>0</v>
      </c>
      <c r="D334" s="83">
        <f>INDEX('PEER GROUP'!D:D,MATCH($A334,'PEER GROUP'!$A:$A,0))</f>
        <v>0</v>
      </c>
      <c r="E334" s="83">
        <f>INDEX('PEER GROUP'!E:E,MATCH(A334,'PEER GROUP'!$A:$A,0))</f>
        <v>0</v>
      </c>
      <c r="F334" s="84">
        <f>INDEX('PEER GROUP'!F:F,MATCH($A334,'PEER GROUP'!$A:$A,0))</f>
        <v>0</v>
      </c>
      <c r="G334" s="84">
        <f>INDEX('PEER GROUP'!G:G,MATCH($A334,'PEER GROUP'!$A:$A,0))</f>
        <v>0</v>
      </c>
      <c r="H334" s="85"/>
      <c r="I334" s="85"/>
      <c r="J334" s="70">
        <f>INDEX('PEER GROUP'!K:K,MATCH($A334,'PEER GROUP'!$A:$A,0))</f>
        <v>0</v>
      </c>
      <c r="K334" s="70">
        <f>INDEX('PEER GROUP'!L:L,MATCH($A334,'PEER GROUP'!$A:$A,0))</f>
        <v>0</v>
      </c>
      <c r="L334" s="70">
        <f>INDEX('PEER GROUP'!M:M,MATCH($A334,'PEER GROUP'!$A:$A,0))</f>
        <v>0</v>
      </c>
      <c r="M334" s="86">
        <f>INDEX('PEER GROUP'!N:N,MATCH($A334,'PEER GROUP'!$A:$A,0))</f>
        <v>0</v>
      </c>
      <c r="N334" s="118"/>
      <c r="O334" s="115"/>
      <c r="P334" s="117"/>
      <c r="Q334" s="87"/>
      <c r="R334" s="87">
        <f t="shared" si="92"/>
        <v>0</v>
      </c>
      <c r="S334" s="87"/>
      <c r="T334" s="87"/>
      <c r="U334" s="87"/>
      <c r="V334" s="87">
        <f t="shared" si="93"/>
        <v>0</v>
      </c>
      <c r="W334" s="113">
        <f t="shared" si="90"/>
        <v>36.913096727263202</v>
      </c>
      <c r="X334" s="69">
        <f t="shared" si="94"/>
        <v>0</v>
      </c>
      <c r="Y334" s="70">
        <f t="shared" si="95"/>
        <v>0</v>
      </c>
      <c r="Z334" s="70">
        <f t="shared" si="96"/>
        <v>0</v>
      </c>
      <c r="AA334" s="70">
        <f t="shared" si="97"/>
        <v>0</v>
      </c>
      <c r="AB334" s="70">
        <f t="shared" si="98"/>
        <v>0</v>
      </c>
      <c r="AC334" s="70">
        <f t="shared" si="99"/>
        <v>0</v>
      </c>
      <c r="AD334" s="71">
        <f t="shared" si="100"/>
        <v>0</v>
      </c>
      <c r="AE334" s="49"/>
      <c r="AF334" s="21"/>
      <c r="AG334" s="69"/>
      <c r="AH334" s="70"/>
      <c r="AI334" s="70"/>
      <c r="AJ334" s="70"/>
      <c r="AK334" s="70"/>
      <c r="AL334" s="70"/>
      <c r="AM334" s="70"/>
      <c r="AN334" s="70" t="str">
        <f t="shared" si="101"/>
        <v>---</v>
      </c>
      <c r="AO334" s="70" t="str">
        <f t="shared" si="102"/>
        <v>---</v>
      </c>
      <c r="AP334" s="70" t="str">
        <f t="shared" si="103"/>
        <v>---</v>
      </c>
      <c r="AQ334" s="70" t="str">
        <f t="shared" si="104"/>
        <v>---</v>
      </c>
      <c r="AR334" s="70" t="str">
        <f t="shared" si="105"/>
        <v>---</v>
      </c>
      <c r="AS334" s="70" t="str">
        <f t="shared" si="106"/>
        <v>---</v>
      </c>
      <c r="AT334" s="71" t="str">
        <f t="shared" si="107"/>
        <v>---</v>
      </c>
    </row>
    <row r="335" spans="1:46" ht="30" customHeight="1" x14ac:dyDescent="0.3">
      <c r="A335" s="123">
        <f t="shared" si="91"/>
        <v>331</v>
      </c>
      <c r="B335" s="140">
        <f>INDEX('PEER GROUP'!B:B,MATCH($A335,'PEER GROUP'!$A:$A,0))</f>
        <v>0</v>
      </c>
      <c r="C335" s="83">
        <f>INDEX('PEER GROUP'!C:C,MATCH($A335,'PEER GROUP'!$A:$A,0))</f>
        <v>0</v>
      </c>
      <c r="D335" s="83">
        <f>INDEX('PEER GROUP'!D:D,MATCH($A335,'PEER GROUP'!$A:$A,0))</f>
        <v>0</v>
      </c>
      <c r="E335" s="83">
        <f>INDEX('PEER GROUP'!E:E,MATCH(A335,'PEER GROUP'!$A:$A,0))</f>
        <v>0</v>
      </c>
      <c r="F335" s="84">
        <f>INDEX('PEER GROUP'!F:F,MATCH($A335,'PEER GROUP'!$A:$A,0))</f>
        <v>0</v>
      </c>
      <c r="G335" s="84">
        <f>INDEX('PEER GROUP'!G:G,MATCH($A335,'PEER GROUP'!$A:$A,0))</f>
        <v>0</v>
      </c>
      <c r="H335" s="85"/>
      <c r="I335" s="85"/>
      <c r="J335" s="70">
        <f>INDEX('PEER GROUP'!K:K,MATCH($A335,'PEER GROUP'!$A:$A,0))</f>
        <v>0</v>
      </c>
      <c r="K335" s="70">
        <f>INDEX('PEER GROUP'!L:L,MATCH($A335,'PEER GROUP'!$A:$A,0))</f>
        <v>0</v>
      </c>
      <c r="L335" s="70">
        <f>INDEX('PEER GROUP'!M:M,MATCH($A335,'PEER GROUP'!$A:$A,0))</f>
        <v>0</v>
      </c>
      <c r="M335" s="86">
        <f>INDEX('PEER GROUP'!N:N,MATCH($A335,'PEER GROUP'!$A:$A,0))</f>
        <v>0</v>
      </c>
      <c r="N335" s="118"/>
      <c r="O335" s="115"/>
      <c r="P335" s="117"/>
      <c r="Q335" s="87"/>
      <c r="R335" s="87">
        <f t="shared" si="92"/>
        <v>0</v>
      </c>
      <c r="S335" s="87"/>
      <c r="T335" s="87"/>
      <c r="U335" s="87"/>
      <c r="V335" s="87">
        <f t="shared" si="93"/>
        <v>0</v>
      </c>
      <c r="W335" s="113">
        <f t="shared" si="90"/>
        <v>36.913096727263202</v>
      </c>
      <c r="X335" s="69">
        <f t="shared" si="94"/>
        <v>0</v>
      </c>
      <c r="Y335" s="70">
        <f t="shared" si="95"/>
        <v>0</v>
      </c>
      <c r="Z335" s="70">
        <f t="shared" si="96"/>
        <v>0</v>
      </c>
      <c r="AA335" s="70">
        <f t="shared" si="97"/>
        <v>0</v>
      </c>
      <c r="AB335" s="70">
        <f t="shared" si="98"/>
        <v>0</v>
      </c>
      <c r="AC335" s="70">
        <f t="shared" si="99"/>
        <v>0</v>
      </c>
      <c r="AD335" s="71">
        <f t="shared" si="100"/>
        <v>0</v>
      </c>
      <c r="AE335" s="49"/>
      <c r="AF335" s="21"/>
      <c r="AG335" s="69"/>
      <c r="AH335" s="70"/>
      <c r="AI335" s="70"/>
      <c r="AJ335" s="70"/>
      <c r="AK335" s="70"/>
      <c r="AL335" s="70"/>
      <c r="AM335" s="70"/>
      <c r="AN335" s="70" t="str">
        <f t="shared" si="101"/>
        <v>---</v>
      </c>
      <c r="AO335" s="70" t="str">
        <f t="shared" si="102"/>
        <v>---</v>
      </c>
      <c r="AP335" s="70" t="str">
        <f t="shared" si="103"/>
        <v>---</v>
      </c>
      <c r="AQ335" s="70" t="str">
        <f t="shared" si="104"/>
        <v>---</v>
      </c>
      <c r="AR335" s="70" t="str">
        <f t="shared" si="105"/>
        <v>---</v>
      </c>
      <c r="AS335" s="70" t="str">
        <f t="shared" si="106"/>
        <v>---</v>
      </c>
      <c r="AT335" s="71" t="str">
        <f t="shared" si="107"/>
        <v>---</v>
      </c>
    </row>
    <row r="336" spans="1:46" ht="30" customHeight="1" x14ac:dyDescent="0.3">
      <c r="A336" s="123">
        <f t="shared" si="91"/>
        <v>332</v>
      </c>
      <c r="B336" s="140">
        <f>INDEX('PEER GROUP'!B:B,MATCH($A336,'PEER GROUP'!$A:$A,0))</f>
        <v>0</v>
      </c>
      <c r="C336" s="83">
        <f>INDEX('PEER GROUP'!C:C,MATCH($A336,'PEER GROUP'!$A:$A,0))</f>
        <v>0</v>
      </c>
      <c r="D336" s="83">
        <f>INDEX('PEER GROUP'!D:D,MATCH($A336,'PEER GROUP'!$A:$A,0))</f>
        <v>0</v>
      </c>
      <c r="E336" s="83">
        <f>INDEX('PEER GROUP'!E:E,MATCH(A336,'PEER GROUP'!$A:$A,0))</f>
        <v>0</v>
      </c>
      <c r="F336" s="84">
        <f>INDEX('PEER GROUP'!F:F,MATCH($A336,'PEER GROUP'!$A:$A,0))</f>
        <v>0</v>
      </c>
      <c r="G336" s="84">
        <f>INDEX('PEER GROUP'!G:G,MATCH($A336,'PEER GROUP'!$A:$A,0))</f>
        <v>0</v>
      </c>
      <c r="H336" s="85"/>
      <c r="I336" s="85"/>
      <c r="J336" s="70">
        <f>INDEX('PEER GROUP'!K:K,MATCH($A336,'PEER GROUP'!$A:$A,0))</f>
        <v>0</v>
      </c>
      <c r="K336" s="70">
        <f>INDEX('PEER GROUP'!L:L,MATCH($A336,'PEER GROUP'!$A:$A,0))</f>
        <v>0</v>
      </c>
      <c r="L336" s="70">
        <f>INDEX('PEER GROUP'!M:M,MATCH($A336,'PEER GROUP'!$A:$A,0))</f>
        <v>0</v>
      </c>
      <c r="M336" s="86">
        <f>INDEX('PEER GROUP'!N:N,MATCH($A336,'PEER GROUP'!$A:$A,0))</f>
        <v>0</v>
      </c>
      <c r="N336" s="118"/>
      <c r="O336" s="115"/>
      <c r="P336" s="117"/>
      <c r="Q336" s="87"/>
      <c r="R336" s="87">
        <f t="shared" si="92"/>
        <v>0</v>
      </c>
      <c r="S336" s="87"/>
      <c r="T336" s="87"/>
      <c r="U336" s="87"/>
      <c r="V336" s="87">
        <f t="shared" si="93"/>
        <v>0</v>
      </c>
      <c r="W336" s="113">
        <f t="shared" si="90"/>
        <v>36.913096727263202</v>
      </c>
      <c r="X336" s="69">
        <f t="shared" si="94"/>
        <v>0</v>
      </c>
      <c r="Y336" s="70">
        <f t="shared" si="95"/>
        <v>0</v>
      </c>
      <c r="Z336" s="70">
        <f t="shared" si="96"/>
        <v>0</v>
      </c>
      <c r="AA336" s="70">
        <f t="shared" si="97"/>
        <v>0</v>
      </c>
      <c r="AB336" s="70">
        <f t="shared" si="98"/>
        <v>0</v>
      </c>
      <c r="AC336" s="70">
        <f t="shared" si="99"/>
        <v>0</v>
      </c>
      <c r="AD336" s="71">
        <f t="shared" si="100"/>
        <v>0</v>
      </c>
      <c r="AE336" s="49"/>
      <c r="AF336" s="21"/>
      <c r="AG336" s="69"/>
      <c r="AH336" s="70"/>
      <c r="AI336" s="70"/>
      <c r="AJ336" s="70"/>
      <c r="AK336" s="70"/>
      <c r="AL336" s="70"/>
      <c r="AM336" s="70"/>
      <c r="AN336" s="70" t="str">
        <f t="shared" si="101"/>
        <v>---</v>
      </c>
      <c r="AO336" s="70" t="str">
        <f t="shared" si="102"/>
        <v>---</v>
      </c>
      <c r="AP336" s="70" t="str">
        <f t="shared" si="103"/>
        <v>---</v>
      </c>
      <c r="AQ336" s="70" t="str">
        <f t="shared" si="104"/>
        <v>---</v>
      </c>
      <c r="AR336" s="70" t="str">
        <f t="shared" si="105"/>
        <v>---</v>
      </c>
      <c r="AS336" s="70" t="str">
        <f t="shared" si="106"/>
        <v>---</v>
      </c>
      <c r="AT336" s="71" t="str">
        <f t="shared" si="107"/>
        <v>---</v>
      </c>
    </row>
    <row r="337" spans="1:46" ht="30" customHeight="1" x14ac:dyDescent="0.3">
      <c r="A337" s="123">
        <f t="shared" si="91"/>
        <v>333</v>
      </c>
      <c r="B337" s="140">
        <f>INDEX('PEER GROUP'!B:B,MATCH($A337,'PEER GROUP'!$A:$A,0))</f>
        <v>0</v>
      </c>
      <c r="C337" s="83">
        <f>INDEX('PEER GROUP'!C:C,MATCH($A337,'PEER GROUP'!$A:$A,0))</f>
        <v>0</v>
      </c>
      <c r="D337" s="83">
        <f>INDEX('PEER GROUP'!D:D,MATCH($A337,'PEER GROUP'!$A:$A,0))</f>
        <v>0</v>
      </c>
      <c r="E337" s="83">
        <f>INDEX('PEER GROUP'!E:E,MATCH(A337,'PEER GROUP'!$A:$A,0))</f>
        <v>0</v>
      </c>
      <c r="F337" s="84">
        <f>INDEX('PEER GROUP'!F:F,MATCH($A337,'PEER GROUP'!$A:$A,0))</f>
        <v>0</v>
      </c>
      <c r="G337" s="84">
        <f>INDEX('PEER GROUP'!G:G,MATCH($A337,'PEER GROUP'!$A:$A,0))</f>
        <v>0</v>
      </c>
      <c r="H337" s="85"/>
      <c r="I337" s="85"/>
      <c r="J337" s="70">
        <f>INDEX('PEER GROUP'!K:K,MATCH($A337,'PEER GROUP'!$A:$A,0))</f>
        <v>0</v>
      </c>
      <c r="K337" s="70">
        <f>INDEX('PEER GROUP'!L:L,MATCH($A337,'PEER GROUP'!$A:$A,0))</f>
        <v>0</v>
      </c>
      <c r="L337" s="70">
        <f>INDEX('PEER GROUP'!M:M,MATCH($A337,'PEER GROUP'!$A:$A,0))</f>
        <v>0</v>
      </c>
      <c r="M337" s="86">
        <f>INDEX('PEER GROUP'!N:N,MATCH($A337,'PEER GROUP'!$A:$A,0))</f>
        <v>0</v>
      </c>
      <c r="N337" s="118"/>
      <c r="O337" s="115"/>
      <c r="P337" s="117"/>
      <c r="Q337" s="87"/>
      <c r="R337" s="87">
        <f t="shared" si="92"/>
        <v>0</v>
      </c>
      <c r="S337" s="87"/>
      <c r="T337" s="87"/>
      <c r="U337" s="87"/>
      <c r="V337" s="87">
        <f t="shared" si="93"/>
        <v>0</v>
      </c>
      <c r="W337" s="113">
        <f t="shared" si="90"/>
        <v>36.913096727263202</v>
      </c>
      <c r="X337" s="69">
        <f t="shared" si="94"/>
        <v>0</v>
      </c>
      <c r="Y337" s="70">
        <f t="shared" si="95"/>
        <v>0</v>
      </c>
      <c r="Z337" s="70">
        <f t="shared" si="96"/>
        <v>0</v>
      </c>
      <c r="AA337" s="70">
        <f t="shared" si="97"/>
        <v>0</v>
      </c>
      <c r="AB337" s="70">
        <f t="shared" si="98"/>
        <v>0</v>
      </c>
      <c r="AC337" s="70">
        <f t="shared" si="99"/>
        <v>0</v>
      </c>
      <c r="AD337" s="71">
        <f t="shared" si="100"/>
        <v>0</v>
      </c>
      <c r="AE337" s="49"/>
      <c r="AF337" s="21"/>
      <c r="AG337" s="69"/>
      <c r="AH337" s="70"/>
      <c r="AI337" s="70"/>
      <c r="AJ337" s="70"/>
      <c r="AK337" s="70"/>
      <c r="AL337" s="70"/>
      <c r="AM337" s="70"/>
      <c r="AN337" s="70" t="str">
        <f t="shared" si="101"/>
        <v>---</v>
      </c>
      <c r="AO337" s="70" t="str">
        <f t="shared" si="102"/>
        <v>---</v>
      </c>
      <c r="AP337" s="70" t="str">
        <f t="shared" si="103"/>
        <v>---</v>
      </c>
      <c r="AQ337" s="70" t="str">
        <f t="shared" si="104"/>
        <v>---</v>
      </c>
      <c r="AR337" s="70" t="str">
        <f t="shared" si="105"/>
        <v>---</v>
      </c>
      <c r="AS337" s="70" t="str">
        <f t="shared" si="106"/>
        <v>---</v>
      </c>
      <c r="AT337" s="71" t="str">
        <f t="shared" si="107"/>
        <v>---</v>
      </c>
    </row>
    <row r="338" spans="1:46" ht="30" customHeight="1" x14ac:dyDescent="0.3">
      <c r="A338" s="123">
        <f t="shared" si="91"/>
        <v>334</v>
      </c>
      <c r="B338" s="140">
        <f>INDEX('PEER GROUP'!B:B,MATCH($A338,'PEER GROUP'!$A:$A,0))</f>
        <v>0</v>
      </c>
      <c r="C338" s="83">
        <f>INDEX('PEER GROUP'!C:C,MATCH($A338,'PEER GROUP'!$A:$A,0))</f>
        <v>0</v>
      </c>
      <c r="D338" s="83">
        <f>INDEX('PEER GROUP'!D:D,MATCH($A338,'PEER GROUP'!$A:$A,0))</f>
        <v>0</v>
      </c>
      <c r="E338" s="83">
        <f>INDEX('PEER GROUP'!E:E,MATCH(A338,'PEER GROUP'!$A:$A,0))</f>
        <v>0</v>
      </c>
      <c r="F338" s="84">
        <f>INDEX('PEER GROUP'!F:F,MATCH($A338,'PEER GROUP'!$A:$A,0))</f>
        <v>0</v>
      </c>
      <c r="G338" s="84">
        <f>INDEX('PEER GROUP'!G:G,MATCH($A338,'PEER GROUP'!$A:$A,0))</f>
        <v>0</v>
      </c>
      <c r="H338" s="85"/>
      <c r="I338" s="85"/>
      <c r="J338" s="70">
        <f>INDEX('PEER GROUP'!K:K,MATCH($A338,'PEER GROUP'!$A:$A,0))</f>
        <v>0</v>
      </c>
      <c r="K338" s="70">
        <f>INDEX('PEER GROUP'!L:L,MATCH($A338,'PEER GROUP'!$A:$A,0))</f>
        <v>0</v>
      </c>
      <c r="L338" s="70">
        <f>INDEX('PEER GROUP'!M:M,MATCH($A338,'PEER GROUP'!$A:$A,0))</f>
        <v>0</v>
      </c>
      <c r="M338" s="86">
        <f>INDEX('PEER GROUP'!N:N,MATCH($A338,'PEER GROUP'!$A:$A,0))</f>
        <v>0</v>
      </c>
      <c r="N338" s="118"/>
      <c r="O338" s="115"/>
      <c r="P338" s="117"/>
      <c r="Q338" s="87"/>
      <c r="R338" s="87">
        <f t="shared" si="92"/>
        <v>0</v>
      </c>
      <c r="S338" s="87"/>
      <c r="T338" s="87"/>
      <c r="U338" s="87"/>
      <c r="V338" s="87">
        <f t="shared" si="93"/>
        <v>0</v>
      </c>
      <c r="W338" s="113">
        <f t="shared" si="90"/>
        <v>36.913096727263202</v>
      </c>
      <c r="X338" s="69">
        <f t="shared" si="94"/>
        <v>0</v>
      </c>
      <c r="Y338" s="70">
        <f t="shared" si="95"/>
        <v>0</v>
      </c>
      <c r="Z338" s="70">
        <f t="shared" si="96"/>
        <v>0</v>
      </c>
      <c r="AA338" s="70">
        <f t="shared" si="97"/>
        <v>0</v>
      </c>
      <c r="AB338" s="70">
        <f t="shared" si="98"/>
        <v>0</v>
      </c>
      <c r="AC338" s="70">
        <f t="shared" si="99"/>
        <v>0</v>
      </c>
      <c r="AD338" s="71">
        <f t="shared" si="100"/>
        <v>0</v>
      </c>
      <c r="AE338" s="49"/>
      <c r="AF338" s="21"/>
      <c r="AG338" s="69"/>
      <c r="AH338" s="70"/>
      <c r="AI338" s="70"/>
      <c r="AJ338" s="70"/>
      <c r="AK338" s="70"/>
      <c r="AL338" s="70"/>
      <c r="AM338" s="70"/>
      <c r="AN338" s="70" t="str">
        <f t="shared" si="101"/>
        <v>---</v>
      </c>
      <c r="AO338" s="70" t="str">
        <f t="shared" si="102"/>
        <v>---</v>
      </c>
      <c r="AP338" s="70" t="str">
        <f t="shared" si="103"/>
        <v>---</v>
      </c>
      <c r="AQ338" s="70" t="str">
        <f t="shared" si="104"/>
        <v>---</v>
      </c>
      <c r="AR338" s="70" t="str">
        <f t="shared" si="105"/>
        <v>---</v>
      </c>
      <c r="AS338" s="70" t="str">
        <f t="shared" si="106"/>
        <v>---</v>
      </c>
      <c r="AT338" s="71" t="str">
        <f t="shared" si="107"/>
        <v>---</v>
      </c>
    </row>
    <row r="339" spans="1:46" ht="30" customHeight="1" x14ac:dyDescent="0.3">
      <c r="A339" s="123">
        <f t="shared" si="91"/>
        <v>335</v>
      </c>
      <c r="B339" s="140">
        <f>INDEX('PEER GROUP'!B:B,MATCH($A339,'PEER GROUP'!$A:$A,0))</f>
        <v>0</v>
      </c>
      <c r="C339" s="83">
        <f>INDEX('PEER GROUP'!C:C,MATCH($A339,'PEER GROUP'!$A:$A,0))</f>
        <v>0</v>
      </c>
      <c r="D339" s="83">
        <f>INDEX('PEER GROUP'!D:D,MATCH($A339,'PEER GROUP'!$A:$A,0))</f>
        <v>0</v>
      </c>
      <c r="E339" s="83">
        <f>INDEX('PEER GROUP'!E:E,MATCH(A339,'PEER GROUP'!$A:$A,0))</f>
        <v>0</v>
      </c>
      <c r="F339" s="84">
        <f>INDEX('PEER GROUP'!F:F,MATCH($A339,'PEER GROUP'!$A:$A,0))</f>
        <v>0</v>
      </c>
      <c r="G339" s="84">
        <f>INDEX('PEER GROUP'!G:G,MATCH($A339,'PEER GROUP'!$A:$A,0))</f>
        <v>0</v>
      </c>
      <c r="H339" s="85"/>
      <c r="I339" s="85"/>
      <c r="J339" s="70">
        <f>INDEX('PEER GROUP'!K:K,MATCH($A339,'PEER GROUP'!$A:$A,0))</f>
        <v>0</v>
      </c>
      <c r="K339" s="70">
        <f>INDEX('PEER GROUP'!L:L,MATCH($A339,'PEER GROUP'!$A:$A,0))</f>
        <v>0</v>
      </c>
      <c r="L339" s="70">
        <f>INDEX('PEER GROUP'!M:M,MATCH($A339,'PEER GROUP'!$A:$A,0))</f>
        <v>0</v>
      </c>
      <c r="M339" s="86">
        <f>INDEX('PEER GROUP'!N:N,MATCH($A339,'PEER GROUP'!$A:$A,0))</f>
        <v>0</v>
      </c>
      <c r="N339" s="118"/>
      <c r="O339" s="115"/>
      <c r="P339" s="117"/>
      <c r="Q339" s="87"/>
      <c r="R339" s="87">
        <f t="shared" si="92"/>
        <v>0</v>
      </c>
      <c r="S339" s="87"/>
      <c r="T339" s="87"/>
      <c r="U339" s="87"/>
      <c r="V339" s="87">
        <f t="shared" si="93"/>
        <v>0</v>
      </c>
      <c r="W339" s="113">
        <f t="shared" si="90"/>
        <v>36.913096727263202</v>
      </c>
      <c r="X339" s="69">
        <f t="shared" si="94"/>
        <v>0</v>
      </c>
      <c r="Y339" s="70">
        <f t="shared" si="95"/>
        <v>0</v>
      </c>
      <c r="Z339" s="70">
        <f t="shared" si="96"/>
        <v>0</v>
      </c>
      <c r="AA339" s="70">
        <f t="shared" si="97"/>
        <v>0</v>
      </c>
      <c r="AB339" s="70">
        <f t="shared" si="98"/>
        <v>0</v>
      </c>
      <c r="AC339" s="70">
        <f t="shared" si="99"/>
        <v>0</v>
      </c>
      <c r="AD339" s="71">
        <f t="shared" si="100"/>
        <v>0</v>
      </c>
      <c r="AE339" s="49"/>
      <c r="AF339" s="21"/>
      <c r="AG339" s="69"/>
      <c r="AH339" s="70"/>
      <c r="AI339" s="70"/>
      <c r="AJ339" s="70"/>
      <c r="AK339" s="70"/>
      <c r="AL339" s="70"/>
      <c r="AM339" s="70"/>
      <c r="AN339" s="70" t="str">
        <f t="shared" si="101"/>
        <v>---</v>
      </c>
      <c r="AO339" s="70" t="str">
        <f t="shared" si="102"/>
        <v>---</v>
      </c>
      <c r="AP339" s="70" t="str">
        <f t="shared" si="103"/>
        <v>---</v>
      </c>
      <c r="AQ339" s="70" t="str">
        <f t="shared" si="104"/>
        <v>---</v>
      </c>
      <c r="AR339" s="70" t="str">
        <f t="shared" si="105"/>
        <v>---</v>
      </c>
      <c r="AS339" s="70" t="str">
        <f t="shared" si="106"/>
        <v>---</v>
      </c>
      <c r="AT339" s="71" t="str">
        <f t="shared" si="107"/>
        <v>---</v>
      </c>
    </row>
    <row r="340" spans="1:46" ht="30" customHeight="1" x14ac:dyDescent="0.3">
      <c r="A340" s="123">
        <f t="shared" si="91"/>
        <v>336</v>
      </c>
      <c r="B340" s="140">
        <f>INDEX('PEER GROUP'!B:B,MATCH($A340,'PEER GROUP'!$A:$A,0))</f>
        <v>0</v>
      </c>
      <c r="C340" s="83">
        <f>INDEX('PEER GROUP'!C:C,MATCH($A340,'PEER GROUP'!$A:$A,0))</f>
        <v>0</v>
      </c>
      <c r="D340" s="83">
        <f>INDEX('PEER GROUP'!D:D,MATCH($A340,'PEER GROUP'!$A:$A,0))</f>
        <v>0</v>
      </c>
      <c r="E340" s="83">
        <f>INDEX('PEER GROUP'!E:E,MATCH(A340,'PEER GROUP'!$A:$A,0))</f>
        <v>0</v>
      </c>
      <c r="F340" s="84">
        <f>INDEX('PEER GROUP'!F:F,MATCH($A340,'PEER GROUP'!$A:$A,0))</f>
        <v>0</v>
      </c>
      <c r="G340" s="84">
        <f>INDEX('PEER GROUP'!G:G,MATCH($A340,'PEER GROUP'!$A:$A,0))</f>
        <v>0</v>
      </c>
      <c r="H340" s="85"/>
      <c r="I340" s="85"/>
      <c r="J340" s="70">
        <f>INDEX('PEER GROUP'!K:K,MATCH($A340,'PEER GROUP'!$A:$A,0))</f>
        <v>0</v>
      </c>
      <c r="K340" s="70">
        <f>INDEX('PEER GROUP'!L:L,MATCH($A340,'PEER GROUP'!$A:$A,0))</f>
        <v>0</v>
      </c>
      <c r="L340" s="70">
        <f>INDEX('PEER GROUP'!M:M,MATCH($A340,'PEER GROUP'!$A:$A,0))</f>
        <v>0</v>
      </c>
      <c r="M340" s="86">
        <f>INDEX('PEER GROUP'!N:N,MATCH($A340,'PEER GROUP'!$A:$A,0))</f>
        <v>0</v>
      </c>
      <c r="N340" s="118"/>
      <c r="O340" s="115"/>
      <c r="P340" s="117"/>
      <c r="Q340" s="87"/>
      <c r="R340" s="87">
        <f t="shared" si="92"/>
        <v>0</v>
      </c>
      <c r="S340" s="87"/>
      <c r="T340" s="87"/>
      <c r="U340" s="87"/>
      <c r="V340" s="87">
        <f t="shared" si="93"/>
        <v>0</v>
      </c>
      <c r="W340" s="113">
        <f t="shared" si="90"/>
        <v>36.913096727263202</v>
      </c>
      <c r="X340" s="69">
        <f t="shared" si="94"/>
        <v>0</v>
      </c>
      <c r="Y340" s="70">
        <f t="shared" si="95"/>
        <v>0</v>
      </c>
      <c r="Z340" s="70">
        <f t="shared" si="96"/>
        <v>0</v>
      </c>
      <c r="AA340" s="70">
        <f t="shared" si="97"/>
        <v>0</v>
      </c>
      <c r="AB340" s="70">
        <f t="shared" si="98"/>
        <v>0</v>
      </c>
      <c r="AC340" s="70">
        <f t="shared" si="99"/>
        <v>0</v>
      </c>
      <c r="AD340" s="71">
        <f t="shared" si="100"/>
        <v>0</v>
      </c>
      <c r="AE340" s="49"/>
      <c r="AF340" s="21"/>
      <c r="AG340" s="69"/>
      <c r="AH340" s="70"/>
      <c r="AI340" s="70"/>
      <c r="AJ340" s="70"/>
      <c r="AK340" s="70"/>
      <c r="AL340" s="70"/>
      <c r="AM340" s="70"/>
      <c r="AN340" s="70" t="str">
        <f t="shared" si="101"/>
        <v>---</v>
      </c>
      <c r="AO340" s="70" t="str">
        <f t="shared" si="102"/>
        <v>---</v>
      </c>
      <c r="AP340" s="70" t="str">
        <f t="shared" si="103"/>
        <v>---</v>
      </c>
      <c r="AQ340" s="70" t="str">
        <f t="shared" si="104"/>
        <v>---</v>
      </c>
      <c r="AR340" s="70" t="str">
        <f t="shared" si="105"/>
        <v>---</v>
      </c>
      <c r="AS340" s="70" t="str">
        <f t="shared" si="106"/>
        <v>---</v>
      </c>
      <c r="AT340" s="71" t="str">
        <f t="shared" si="107"/>
        <v>---</v>
      </c>
    </row>
    <row r="341" spans="1:46" ht="30" customHeight="1" x14ac:dyDescent="0.3">
      <c r="A341" s="123">
        <f t="shared" si="91"/>
        <v>337</v>
      </c>
      <c r="B341" s="140">
        <f>INDEX('PEER GROUP'!B:B,MATCH($A341,'PEER GROUP'!$A:$A,0))</f>
        <v>0</v>
      </c>
      <c r="C341" s="83">
        <f>INDEX('PEER GROUP'!C:C,MATCH($A341,'PEER GROUP'!$A:$A,0))</f>
        <v>0</v>
      </c>
      <c r="D341" s="83">
        <f>INDEX('PEER GROUP'!D:D,MATCH($A341,'PEER GROUP'!$A:$A,0))</f>
        <v>0</v>
      </c>
      <c r="E341" s="83">
        <f>INDEX('PEER GROUP'!E:E,MATCH(A341,'PEER GROUP'!$A:$A,0))</f>
        <v>0</v>
      </c>
      <c r="F341" s="84">
        <f>INDEX('PEER GROUP'!F:F,MATCH($A341,'PEER GROUP'!$A:$A,0))</f>
        <v>0</v>
      </c>
      <c r="G341" s="84">
        <f>INDEX('PEER GROUP'!G:G,MATCH($A341,'PEER GROUP'!$A:$A,0))</f>
        <v>0</v>
      </c>
      <c r="H341" s="85"/>
      <c r="I341" s="85"/>
      <c r="J341" s="70">
        <f>INDEX('PEER GROUP'!K:K,MATCH($A341,'PEER GROUP'!$A:$A,0))</f>
        <v>0</v>
      </c>
      <c r="K341" s="70">
        <f>INDEX('PEER GROUP'!L:L,MATCH($A341,'PEER GROUP'!$A:$A,0))</f>
        <v>0</v>
      </c>
      <c r="L341" s="70">
        <f>INDEX('PEER GROUP'!M:M,MATCH($A341,'PEER GROUP'!$A:$A,0))</f>
        <v>0</v>
      </c>
      <c r="M341" s="86">
        <f>INDEX('PEER GROUP'!N:N,MATCH($A341,'PEER GROUP'!$A:$A,0))</f>
        <v>0</v>
      </c>
      <c r="N341" s="118"/>
      <c r="O341" s="115"/>
      <c r="P341" s="117"/>
      <c r="Q341" s="87"/>
      <c r="R341" s="87">
        <f t="shared" si="92"/>
        <v>0</v>
      </c>
      <c r="S341" s="87"/>
      <c r="T341" s="87"/>
      <c r="U341" s="87"/>
      <c r="V341" s="87">
        <f t="shared" si="93"/>
        <v>0</v>
      </c>
      <c r="W341" s="113">
        <f t="shared" si="90"/>
        <v>36.913096727263202</v>
      </c>
      <c r="X341" s="69">
        <f t="shared" si="94"/>
        <v>0</v>
      </c>
      <c r="Y341" s="70">
        <f t="shared" si="95"/>
        <v>0</v>
      </c>
      <c r="Z341" s="70">
        <f t="shared" si="96"/>
        <v>0</v>
      </c>
      <c r="AA341" s="70">
        <f t="shared" si="97"/>
        <v>0</v>
      </c>
      <c r="AB341" s="70">
        <f t="shared" si="98"/>
        <v>0</v>
      </c>
      <c r="AC341" s="70">
        <f t="shared" si="99"/>
        <v>0</v>
      </c>
      <c r="AD341" s="71">
        <f t="shared" si="100"/>
        <v>0</v>
      </c>
      <c r="AE341" s="49"/>
      <c r="AF341" s="21"/>
      <c r="AG341" s="69"/>
      <c r="AH341" s="70"/>
      <c r="AI341" s="70"/>
      <c r="AJ341" s="70"/>
      <c r="AK341" s="70"/>
      <c r="AL341" s="70"/>
      <c r="AM341" s="70"/>
      <c r="AN341" s="70" t="str">
        <f t="shared" si="101"/>
        <v>---</v>
      </c>
      <c r="AO341" s="70" t="str">
        <f t="shared" si="102"/>
        <v>---</v>
      </c>
      <c r="AP341" s="70" t="str">
        <f t="shared" si="103"/>
        <v>---</v>
      </c>
      <c r="AQ341" s="70" t="str">
        <f t="shared" si="104"/>
        <v>---</v>
      </c>
      <c r="AR341" s="70" t="str">
        <f t="shared" si="105"/>
        <v>---</v>
      </c>
      <c r="AS341" s="70" t="str">
        <f t="shared" si="106"/>
        <v>---</v>
      </c>
      <c r="AT341" s="71" t="str">
        <f t="shared" si="107"/>
        <v>---</v>
      </c>
    </row>
    <row r="342" spans="1:46" ht="30" customHeight="1" x14ac:dyDescent="0.3">
      <c r="A342" s="123">
        <f t="shared" si="91"/>
        <v>338</v>
      </c>
      <c r="B342" s="140">
        <f>INDEX('PEER GROUP'!B:B,MATCH($A342,'PEER GROUP'!$A:$A,0))</f>
        <v>0</v>
      </c>
      <c r="C342" s="83">
        <f>INDEX('PEER GROUP'!C:C,MATCH($A342,'PEER GROUP'!$A:$A,0))</f>
        <v>0</v>
      </c>
      <c r="D342" s="83">
        <f>INDEX('PEER GROUP'!D:D,MATCH($A342,'PEER GROUP'!$A:$A,0))</f>
        <v>0</v>
      </c>
      <c r="E342" s="83">
        <f>INDEX('PEER GROUP'!E:E,MATCH(A342,'PEER GROUP'!$A:$A,0))</f>
        <v>0</v>
      </c>
      <c r="F342" s="84">
        <f>INDEX('PEER GROUP'!F:F,MATCH($A342,'PEER GROUP'!$A:$A,0))</f>
        <v>0</v>
      </c>
      <c r="G342" s="84">
        <f>INDEX('PEER GROUP'!G:G,MATCH($A342,'PEER GROUP'!$A:$A,0))</f>
        <v>0</v>
      </c>
      <c r="H342" s="85"/>
      <c r="I342" s="85"/>
      <c r="J342" s="70">
        <f>INDEX('PEER GROUP'!K:K,MATCH($A342,'PEER GROUP'!$A:$A,0))</f>
        <v>0</v>
      </c>
      <c r="K342" s="70">
        <f>INDEX('PEER GROUP'!L:L,MATCH($A342,'PEER GROUP'!$A:$A,0))</f>
        <v>0</v>
      </c>
      <c r="L342" s="70">
        <f>INDEX('PEER GROUP'!M:M,MATCH($A342,'PEER GROUP'!$A:$A,0))</f>
        <v>0</v>
      </c>
      <c r="M342" s="86">
        <f>INDEX('PEER GROUP'!N:N,MATCH($A342,'PEER GROUP'!$A:$A,0))</f>
        <v>0</v>
      </c>
      <c r="N342" s="118"/>
      <c r="O342" s="115"/>
      <c r="P342" s="117"/>
      <c r="Q342" s="87"/>
      <c r="R342" s="87">
        <f t="shared" si="92"/>
        <v>0</v>
      </c>
      <c r="S342" s="87"/>
      <c r="T342" s="87"/>
      <c r="U342" s="87"/>
      <c r="V342" s="87">
        <f t="shared" si="93"/>
        <v>0</v>
      </c>
      <c r="W342" s="113">
        <f t="shared" si="90"/>
        <v>36.913096727263202</v>
      </c>
      <c r="X342" s="69">
        <f t="shared" si="94"/>
        <v>0</v>
      </c>
      <c r="Y342" s="70">
        <f t="shared" si="95"/>
        <v>0</v>
      </c>
      <c r="Z342" s="70">
        <f t="shared" si="96"/>
        <v>0</v>
      </c>
      <c r="AA342" s="70">
        <f t="shared" si="97"/>
        <v>0</v>
      </c>
      <c r="AB342" s="70">
        <f t="shared" si="98"/>
        <v>0</v>
      </c>
      <c r="AC342" s="70">
        <f t="shared" si="99"/>
        <v>0</v>
      </c>
      <c r="AD342" s="71">
        <f t="shared" si="100"/>
        <v>0</v>
      </c>
      <c r="AE342" s="49"/>
      <c r="AF342" s="21"/>
      <c r="AG342" s="69"/>
      <c r="AH342" s="70"/>
      <c r="AI342" s="70"/>
      <c r="AJ342" s="70"/>
      <c r="AK342" s="70"/>
      <c r="AL342" s="70"/>
      <c r="AM342" s="70"/>
      <c r="AN342" s="70" t="str">
        <f t="shared" si="101"/>
        <v>---</v>
      </c>
      <c r="AO342" s="70" t="str">
        <f t="shared" si="102"/>
        <v>---</v>
      </c>
      <c r="AP342" s="70" t="str">
        <f t="shared" si="103"/>
        <v>---</v>
      </c>
      <c r="AQ342" s="70" t="str">
        <f t="shared" si="104"/>
        <v>---</v>
      </c>
      <c r="AR342" s="70" t="str">
        <f t="shared" si="105"/>
        <v>---</v>
      </c>
      <c r="AS342" s="70" t="str">
        <f t="shared" si="106"/>
        <v>---</v>
      </c>
      <c r="AT342" s="71" t="str">
        <f t="shared" si="107"/>
        <v>---</v>
      </c>
    </row>
    <row r="343" spans="1:46" ht="30" customHeight="1" x14ac:dyDescent="0.3">
      <c r="A343" s="123">
        <f t="shared" si="91"/>
        <v>339</v>
      </c>
      <c r="B343" s="140">
        <f>INDEX('PEER GROUP'!B:B,MATCH($A343,'PEER GROUP'!$A:$A,0))</f>
        <v>0</v>
      </c>
      <c r="C343" s="83">
        <f>INDEX('PEER GROUP'!C:C,MATCH($A343,'PEER GROUP'!$A:$A,0))</f>
        <v>0</v>
      </c>
      <c r="D343" s="83">
        <f>INDEX('PEER GROUP'!D:D,MATCH($A343,'PEER GROUP'!$A:$A,0))</f>
        <v>0</v>
      </c>
      <c r="E343" s="83">
        <f>INDEX('PEER GROUP'!E:E,MATCH(A343,'PEER GROUP'!$A:$A,0))</f>
        <v>0</v>
      </c>
      <c r="F343" s="84">
        <f>INDEX('PEER GROUP'!F:F,MATCH($A343,'PEER GROUP'!$A:$A,0))</f>
        <v>0</v>
      </c>
      <c r="G343" s="84">
        <f>INDEX('PEER GROUP'!G:G,MATCH($A343,'PEER GROUP'!$A:$A,0))</f>
        <v>0</v>
      </c>
      <c r="H343" s="85"/>
      <c r="I343" s="85"/>
      <c r="J343" s="70">
        <f>INDEX('PEER GROUP'!K:K,MATCH($A343,'PEER GROUP'!$A:$A,0))</f>
        <v>0</v>
      </c>
      <c r="K343" s="70">
        <f>INDEX('PEER GROUP'!L:L,MATCH($A343,'PEER GROUP'!$A:$A,0))</f>
        <v>0</v>
      </c>
      <c r="L343" s="70">
        <f>INDEX('PEER GROUP'!M:M,MATCH($A343,'PEER GROUP'!$A:$A,0))</f>
        <v>0</v>
      </c>
      <c r="M343" s="86">
        <f>INDEX('PEER GROUP'!N:N,MATCH($A343,'PEER GROUP'!$A:$A,0))</f>
        <v>0</v>
      </c>
      <c r="N343" s="118"/>
      <c r="O343" s="115"/>
      <c r="P343" s="117"/>
      <c r="Q343" s="87"/>
      <c r="R343" s="87">
        <f t="shared" si="92"/>
        <v>0</v>
      </c>
      <c r="S343" s="87"/>
      <c r="T343" s="87"/>
      <c r="U343" s="87"/>
      <c r="V343" s="87">
        <f t="shared" si="93"/>
        <v>0</v>
      </c>
      <c r="W343" s="113">
        <f t="shared" si="90"/>
        <v>36.913096727263202</v>
      </c>
      <c r="X343" s="69">
        <f t="shared" si="94"/>
        <v>0</v>
      </c>
      <c r="Y343" s="70">
        <f t="shared" si="95"/>
        <v>0</v>
      </c>
      <c r="Z343" s="70">
        <f t="shared" si="96"/>
        <v>0</v>
      </c>
      <c r="AA343" s="70">
        <f t="shared" si="97"/>
        <v>0</v>
      </c>
      <c r="AB343" s="70">
        <f t="shared" si="98"/>
        <v>0</v>
      </c>
      <c r="AC343" s="70">
        <f t="shared" si="99"/>
        <v>0</v>
      </c>
      <c r="AD343" s="71">
        <f t="shared" si="100"/>
        <v>0</v>
      </c>
      <c r="AE343" s="49"/>
      <c r="AF343" s="21"/>
      <c r="AG343" s="69"/>
      <c r="AH343" s="70"/>
      <c r="AI343" s="70"/>
      <c r="AJ343" s="70"/>
      <c r="AK343" s="70"/>
      <c r="AL343" s="70"/>
      <c r="AM343" s="70"/>
      <c r="AN343" s="70" t="str">
        <f t="shared" si="101"/>
        <v>---</v>
      </c>
      <c r="AO343" s="70" t="str">
        <f t="shared" si="102"/>
        <v>---</v>
      </c>
      <c r="AP343" s="70" t="str">
        <f t="shared" si="103"/>
        <v>---</v>
      </c>
      <c r="AQ343" s="70" t="str">
        <f t="shared" si="104"/>
        <v>---</v>
      </c>
      <c r="AR343" s="70" t="str">
        <f t="shared" si="105"/>
        <v>---</v>
      </c>
      <c r="AS343" s="70" t="str">
        <f t="shared" si="106"/>
        <v>---</v>
      </c>
      <c r="AT343" s="71" t="str">
        <f t="shared" si="107"/>
        <v>---</v>
      </c>
    </row>
    <row r="344" spans="1:46" ht="30" customHeight="1" x14ac:dyDescent="0.3">
      <c r="A344" s="123">
        <f t="shared" si="91"/>
        <v>340</v>
      </c>
      <c r="B344" s="140">
        <f>INDEX('PEER GROUP'!B:B,MATCH($A344,'PEER GROUP'!$A:$A,0))</f>
        <v>0</v>
      </c>
      <c r="C344" s="83">
        <f>INDEX('PEER GROUP'!C:C,MATCH($A344,'PEER GROUP'!$A:$A,0))</f>
        <v>0</v>
      </c>
      <c r="D344" s="83">
        <f>INDEX('PEER GROUP'!D:D,MATCH($A344,'PEER GROUP'!$A:$A,0))</f>
        <v>0</v>
      </c>
      <c r="E344" s="83">
        <f>INDEX('PEER GROUP'!E:E,MATCH(A344,'PEER GROUP'!$A:$A,0))</f>
        <v>0</v>
      </c>
      <c r="F344" s="84">
        <f>INDEX('PEER GROUP'!F:F,MATCH($A344,'PEER GROUP'!$A:$A,0))</f>
        <v>0</v>
      </c>
      <c r="G344" s="84">
        <f>INDEX('PEER GROUP'!G:G,MATCH($A344,'PEER GROUP'!$A:$A,0))</f>
        <v>0</v>
      </c>
      <c r="H344" s="85"/>
      <c r="I344" s="85"/>
      <c r="J344" s="70">
        <f>INDEX('PEER GROUP'!K:K,MATCH($A344,'PEER GROUP'!$A:$A,0))</f>
        <v>0</v>
      </c>
      <c r="K344" s="70">
        <f>INDEX('PEER GROUP'!L:L,MATCH($A344,'PEER GROUP'!$A:$A,0))</f>
        <v>0</v>
      </c>
      <c r="L344" s="70">
        <f>INDEX('PEER GROUP'!M:M,MATCH($A344,'PEER GROUP'!$A:$A,0))</f>
        <v>0</v>
      </c>
      <c r="M344" s="86">
        <f>INDEX('PEER GROUP'!N:N,MATCH($A344,'PEER GROUP'!$A:$A,0))</f>
        <v>0</v>
      </c>
      <c r="N344" s="118"/>
      <c r="O344" s="115"/>
      <c r="P344" s="117"/>
      <c r="Q344" s="87"/>
      <c r="R344" s="87">
        <f t="shared" si="92"/>
        <v>0</v>
      </c>
      <c r="S344" s="87"/>
      <c r="T344" s="87"/>
      <c r="U344" s="87"/>
      <c r="V344" s="87">
        <f t="shared" si="93"/>
        <v>0</v>
      </c>
      <c r="W344" s="113">
        <f t="shared" si="90"/>
        <v>36.913096727263202</v>
      </c>
      <c r="X344" s="69">
        <f t="shared" si="94"/>
        <v>0</v>
      </c>
      <c r="Y344" s="70">
        <f t="shared" si="95"/>
        <v>0</v>
      </c>
      <c r="Z344" s="70">
        <f t="shared" si="96"/>
        <v>0</v>
      </c>
      <c r="AA344" s="70">
        <f t="shared" si="97"/>
        <v>0</v>
      </c>
      <c r="AB344" s="70">
        <f t="shared" si="98"/>
        <v>0</v>
      </c>
      <c r="AC344" s="70">
        <f t="shared" si="99"/>
        <v>0</v>
      </c>
      <c r="AD344" s="71">
        <f t="shared" si="100"/>
        <v>0</v>
      </c>
      <c r="AE344" s="49"/>
      <c r="AF344" s="21"/>
      <c r="AG344" s="69"/>
      <c r="AH344" s="70"/>
      <c r="AI344" s="70"/>
      <c r="AJ344" s="70"/>
      <c r="AK344" s="70"/>
      <c r="AL344" s="70"/>
      <c r="AM344" s="70"/>
      <c r="AN344" s="70" t="str">
        <f t="shared" si="101"/>
        <v>---</v>
      </c>
      <c r="AO344" s="70" t="str">
        <f t="shared" si="102"/>
        <v>---</v>
      </c>
      <c r="AP344" s="70" t="str">
        <f t="shared" si="103"/>
        <v>---</v>
      </c>
      <c r="AQ344" s="70" t="str">
        <f t="shared" si="104"/>
        <v>---</v>
      </c>
      <c r="AR344" s="70" t="str">
        <f t="shared" si="105"/>
        <v>---</v>
      </c>
      <c r="AS344" s="70" t="str">
        <f t="shared" si="106"/>
        <v>---</v>
      </c>
      <c r="AT344" s="71" t="str">
        <f t="shared" si="107"/>
        <v>---</v>
      </c>
    </row>
    <row r="345" spans="1:46" ht="30" customHeight="1" x14ac:dyDescent="0.3">
      <c r="A345" s="123">
        <f t="shared" si="91"/>
        <v>341</v>
      </c>
      <c r="B345" s="140">
        <f>INDEX('PEER GROUP'!B:B,MATCH($A345,'PEER GROUP'!$A:$A,0))</f>
        <v>0</v>
      </c>
      <c r="C345" s="83">
        <f>INDEX('PEER GROUP'!C:C,MATCH($A345,'PEER GROUP'!$A:$A,0))</f>
        <v>0</v>
      </c>
      <c r="D345" s="83">
        <f>INDEX('PEER GROUP'!D:D,MATCH($A345,'PEER GROUP'!$A:$A,0))</f>
        <v>0</v>
      </c>
      <c r="E345" s="83">
        <f>INDEX('PEER GROUP'!E:E,MATCH(A345,'PEER GROUP'!$A:$A,0))</f>
        <v>0</v>
      </c>
      <c r="F345" s="84">
        <f>INDEX('PEER GROUP'!F:F,MATCH($A345,'PEER GROUP'!$A:$A,0))</f>
        <v>0</v>
      </c>
      <c r="G345" s="84">
        <f>INDEX('PEER GROUP'!G:G,MATCH($A345,'PEER GROUP'!$A:$A,0))</f>
        <v>0</v>
      </c>
      <c r="H345" s="85"/>
      <c r="I345" s="85"/>
      <c r="J345" s="70">
        <f>INDEX('PEER GROUP'!K:K,MATCH($A345,'PEER GROUP'!$A:$A,0))</f>
        <v>0</v>
      </c>
      <c r="K345" s="70">
        <f>INDEX('PEER GROUP'!L:L,MATCH($A345,'PEER GROUP'!$A:$A,0))</f>
        <v>0</v>
      </c>
      <c r="L345" s="70">
        <f>INDEX('PEER GROUP'!M:M,MATCH($A345,'PEER GROUP'!$A:$A,0))</f>
        <v>0</v>
      </c>
      <c r="M345" s="86">
        <f>INDEX('PEER GROUP'!N:N,MATCH($A345,'PEER GROUP'!$A:$A,0))</f>
        <v>0</v>
      </c>
      <c r="N345" s="118"/>
      <c r="O345" s="115"/>
      <c r="P345" s="117"/>
      <c r="Q345" s="87"/>
      <c r="R345" s="87">
        <f t="shared" si="92"/>
        <v>0</v>
      </c>
      <c r="S345" s="87"/>
      <c r="T345" s="87"/>
      <c r="U345" s="87"/>
      <c r="V345" s="87">
        <f t="shared" si="93"/>
        <v>0</v>
      </c>
      <c r="W345" s="113">
        <f t="shared" si="90"/>
        <v>36.913096727263202</v>
      </c>
      <c r="X345" s="69">
        <f t="shared" si="94"/>
        <v>0</v>
      </c>
      <c r="Y345" s="70">
        <f t="shared" si="95"/>
        <v>0</v>
      </c>
      <c r="Z345" s="70">
        <f t="shared" si="96"/>
        <v>0</v>
      </c>
      <c r="AA345" s="70">
        <f t="shared" si="97"/>
        <v>0</v>
      </c>
      <c r="AB345" s="70">
        <f t="shared" si="98"/>
        <v>0</v>
      </c>
      <c r="AC345" s="70">
        <f t="shared" si="99"/>
        <v>0</v>
      </c>
      <c r="AD345" s="71">
        <f t="shared" si="100"/>
        <v>0</v>
      </c>
      <c r="AE345" s="49"/>
      <c r="AF345" s="21"/>
      <c r="AG345" s="69"/>
      <c r="AH345" s="70"/>
      <c r="AI345" s="70"/>
      <c r="AJ345" s="70"/>
      <c r="AK345" s="70"/>
      <c r="AL345" s="70"/>
      <c r="AM345" s="70"/>
      <c r="AN345" s="70" t="str">
        <f t="shared" si="101"/>
        <v>---</v>
      </c>
      <c r="AO345" s="70" t="str">
        <f t="shared" si="102"/>
        <v>---</v>
      </c>
      <c r="AP345" s="70" t="str">
        <f t="shared" si="103"/>
        <v>---</v>
      </c>
      <c r="AQ345" s="70" t="str">
        <f t="shared" si="104"/>
        <v>---</v>
      </c>
      <c r="AR345" s="70" t="str">
        <f t="shared" si="105"/>
        <v>---</v>
      </c>
      <c r="AS345" s="70" t="str">
        <f t="shared" si="106"/>
        <v>---</v>
      </c>
      <c r="AT345" s="71" t="str">
        <f t="shared" si="107"/>
        <v>---</v>
      </c>
    </row>
    <row r="346" spans="1:46" ht="30" customHeight="1" x14ac:dyDescent="0.3">
      <c r="A346" s="123">
        <f t="shared" si="91"/>
        <v>342</v>
      </c>
      <c r="B346" s="140">
        <f>INDEX('PEER GROUP'!B:B,MATCH($A346,'PEER GROUP'!$A:$A,0))</f>
        <v>0</v>
      </c>
      <c r="C346" s="83">
        <f>INDEX('PEER GROUP'!C:C,MATCH($A346,'PEER GROUP'!$A:$A,0))</f>
        <v>0</v>
      </c>
      <c r="D346" s="83">
        <f>INDEX('PEER GROUP'!D:D,MATCH($A346,'PEER GROUP'!$A:$A,0))</f>
        <v>0</v>
      </c>
      <c r="E346" s="83">
        <f>INDEX('PEER GROUP'!E:E,MATCH(A346,'PEER GROUP'!$A:$A,0))</f>
        <v>0</v>
      </c>
      <c r="F346" s="84">
        <f>INDEX('PEER GROUP'!F:F,MATCH($A346,'PEER GROUP'!$A:$A,0))</f>
        <v>0</v>
      </c>
      <c r="G346" s="84">
        <f>INDEX('PEER GROUP'!G:G,MATCH($A346,'PEER GROUP'!$A:$A,0))</f>
        <v>0</v>
      </c>
      <c r="H346" s="85"/>
      <c r="I346" s="85"/>
      <c r="J346" s="70">
        <f>INDEX('PEER GROUP'!K:K,MATCH($A346,'PEER GROUP'!$A:$A,0))</f>
        <v>0</v>
      </c>
      <c r="K346" s="70">
        <f>INDEX('PEER GROUP'!L:L,MATCH($A346,'PEER GROUP'!$A:$A,0))</f>
        <v>0</v>
      </c>
      <c r="L346" s="70">
        <f>INDEX('PEER GROUP'!M:M,MATCH($A346,'PEER GROUP'!$A:$A,0))</f>
        <v>0</v>
      </c>
      <c r="M346" s="86">
        <f>INDEX('PEER GROUP'!N:N,MATCH($A346,'PEER GROUP'!$A:$A,0))</f>
        <v>0</v>
      </c>
      <c r="N346" s="118"/>
      <c r="O346" s="115"/>
      <c r="P346" s="117"/>
      <c r="Q346" s="87"/>
      <c r="R346" s="87">
        <f t="shared" si="92"/>
        <v>0</v>
      </c>
      <c r="S346" s="87"/>
      <c r="T346" s="87"/>
      <c r="U346" s="87"/>
      <c r="V346" s="87">
        <f t="shared" si="93"/>
        <v>0</v>
      </c>
      <c r="W346" s="113">
        <f t="shared" si="90"/>
        <v>36.913096727263202</v>
      </c>
      <c r="X346" s="69">
        <f t="shared" si="94"/>
        <v>0</v>
      </c>
      <c r="Y346" s="70">
        <f t="shared" si="95"/>
        <v>0</v>
      </c>
      <c r="Z346" s="70">
        <f t="shared" si="96"/>
        <v>0</v>
      </c>
      <c r="AA346" s="70">
        <f t="shared" si="97"/>
        <v>0</v>
      </c>
      <c r="AB346" s="70">
        <f t="shared" si="98"/>
        <v>0</v>
      </c>
      <c r="AC346" s="70">
        <f t="shared" si="99"/>
        <v>0</v>
      </c>
      <c r="AD346" s="71">
        <f t="shared" si="100"/>
        <v>0</v>
      </c>
      <c r="AE346" s="49"/>
      <c r="AF346" s="21"/>
      <c r="AG346" s="69"/>
      <c r="AH346" s="70"/>
      <c r="AI346" s="70"/>
      <c r="AJ346" s="70"/>
      <c r="AK346" s="70"/>
      <c r="AL346" s="70"/>
      <c r="AM346" s="70"/>
      <c r="AN346" s="70" t="str">
        <f t="shared" si="101"/>
        <v>---</v>
      </c>
      <c r="AO346" s="70" t="str">
        <f t="shared" si="102"/>
        <v>---</v>
      </c>
      <c r="AP346" s="70" t="str">
        <f t="shared" si="103"/>
        <v>---</v>
      </c>
      <c r="AQ346" s="70" t="str">
        <f t="shared" si="104"/>
        <v>---</v>
      </c>
      <c r="AR346" s="70" t="str">
        <f t="shared" si="105"/>
        <v>---</v>
      </c>
      <c r="AS346" s="70" t="str">
        <f t="shared" si="106"/>
        <v>---</v>
      </c>
      <c r="AT346" s="71" t="str">
        <f t="shared" si="107"/>
        <v>---</v>
      </c>
    </row>
    <row r="347" spans="1:46" ht="30" customHeight="1" x14ac:dyDescent="0.3">
      <c r="A347" s="123">
        <f t="shared" si="91"/>
        <v>343</v>
      </c>
      <c r="B347" s="140">
        <f>INDEX('PEER GROUP'!B:B,MATCH($A347,'PEER GROUP'!$A:$A,0))</f>
        <v>0</v>
      </c>
      <c r="C347" s="83">
        <f>INDEX('PEER GROUP'!C:C,MATCH($A347,'PEER GROUP'!$A:$A,0))</f>
        <v>0</v>
      </c>
      <c r="D347" s="83">
        <f>INDEX('PEER GROUP'!D:D,MATCH($A347,'PEER GROUP'!$A:$A,0))</f>
        <v>0</v>
      </c>
      <c r="E347" s="83">
        <f>INDEX('PEER GROUP'!E:E,MATCH(A347,'PEER GROUP'!$A:$A,0))</f>
        <v>0</v>
      </c>
      <c r="F347" s="84">
        <f>INDEX('PEER GROUP'!F:F,MATCH($A347,'PEER GROUP'!$A:$A,0))</f>
        <v>0</v>
      </c>
      <c r="G347" s="84">
        <f>INDEX('PEER GROUP'!G:G,MATCH($A347,'PEER GROUP'!$A:$A,0))</f>
        <v>0</v>
      </c>
      <c r="H347" s="85"/>
      <c r="I347" s="85"/>
      <c r="J347" s="70">
        <f>INDEX('PEER GROUP'!K:K,MATCH($A347,'PEER GROUP'!$A:$A,0))</f>
        <v>0</v>
      </c>
      <c r="K347" s="70">
        <f>INDEX('PEER GROUP'!L:L,MATCH($A347,'PEER GROUP'!$A:$A,0))</f>
        <v>0</v>
      </c>
      <c r="L347" s="70">
        <f>INDEX('PEER GROUP'!M:M,MATCH($A347,'PEER GROUP'!$A:$A,0))</f>
        <v>0</v>
      </c>
      <c r="M347" s="86">
        <f>INDEX('PEER GROUP'!N:N,MATCH($A347,'PEER GROUP'!$A:$A,0))</f>
        <v>0</v>
      </c>
      <c r="N347" s="118"/>
      <c r="O347" s="115"/>
      <c r="P347" s="117"/>
      <c r="Q347" s="87"/>
      <c r="R347" s="87">
        <f t="shared" si="92"/>
        <v>0</v>
      </c>
      <c r="S347" s="87"/>
      <c r="T347" s="87"/>
      <c r="U347" s="87"/>
      <c r="V347" s="87">
        <f t="shared" si="93"/>
        <v>0</v>
      </c>
      <c r="W347" s="113">
        <f t="shared" si="90"/>
        <v>36.913096727263202</v>
      </c>
      <c r="X347" s="69">
        <f t="shared" si="94"/>
        <v>0</v>
      </c>
      <c r="Y347" s="70">
        <f t="shared" si="95"/>
        <v>0</v>
      </c>
      <c r="Z347" s="70">
        <f t="shared" si="96"/>
        <v>0</v>
      </c>
      <c r="AA347" s="70">
        <f t="shared" si="97"/>
        <v>0</v>
      </c>
      <c r="AB347" s="70">
        <f t="shared" si="98"/>
        <v>0</v>
      </c>
      <c r="AC347" s="70">
        <f t="shared" si="99"/>
        <v>0</v>
      </c>
      <c r="AD347" s="71">
        <f t="shared" si="100"/>
        <v>0</v>
      </c>
      <c r="AE347" s="49"/>
      <c r="AF347" s="21"/>
      <c r="AG347" s="69"/>
      <c r="AH347" s="70"/>
      <c r="AI347" s="70"/>
      <c r="AJ347" s="70"/>
      <c r="AK347" s="70"/>
      <c r="AL347" s="70"/>
      <c r="AM347" s="70"/>
      <c r="AN347" s="70" t="str">
        <f t="shared" si="101"/>
        <v>---</v>
      </c>
      <c r="AO347" s="70" t="str">
        <f t="shared" si="102"/>
        <v>---</v>
      </c>
      <c r="AP347" s="70" t="str">
        <f t="shared" si="103"/>
        <v>---</v>
      </c>
      <c r="AQ347" s="70" t="str">
        <f t="shared" si="104"/>
        <v>---</v>
      </c>
      <c r="AR347" s="70" t="str">
        <f t="shared" si="105"/>
        <v>---</v>
      </c>
      <c r="AS347" s="70" t="str">
        <f t="shared" si="106"/>
        <v>---</v>
      </c>
      <c r="AT347" s="71" t="str">
        <f t="shared" si="107"/>
        <v>---</v>
      </c>
    </row>
    <row r="348" spans="1:46" ht="30" customHeight="1" x14ac:dyDescent="0.3">
      <c r="A348" s="123">
        <f t="shared" si="91"/>
        <v>344</v>
      </c>
      <c r="B348" s="140">
        <f>INDEX('PEER GROUP'!B:B,MATCH($A348,'PEER GROUP'!$A:$A,0))</f>
        <v>0</v>
      </c>
      <c r="C348" s="83">
        <f>INDEX('PEER GROUP'!C:C,MATCH($A348,'PEER GROUP'!$A:$A,0))</f>
        <v>0</v>
      </c>
      <c r="D348" s="83">
        <f>INDEX('PEER GROUP'!D:D,MATCH($A348,'PEER GROUP'!$A:$A,0))</f>
        <v>0</v>
      </c>
      <c r="E348" s="83">
        <f>INDEX('PEER GROUP'!E:E,MATCH(A348,'PEER GROUP'!$A:$A,0))</f>
        <v>0</v>
      </c>
      <c r="F348" s="84">
        <f>INDEX('PEER GROUP'!F:F,MATCH($A348,'PEER GROUP'!$A:$A,0))</f>
        <v>0</v>
      </c>
      <c r="G348" s="84">
        <f>INDEX('PEER GROUP'!G:G,MATCH($A348,'PEER GROUP'!$A:$A,0))</f>
        <v>0</v>
      </c>
      <c r="H348" s="85"/>
      <c r="I348" s="85"/>
      <c r="J348" s="70">
        <f>INDEX('PEER GROUP'!K:K,MATCH($A348,'PEER GROUP'!$A:$A,0))</f>
        <v>0</v>
      </c>
      <c r="K348" s="70">
        <f>INDEX('PEER GROUP'!L:L,MATCH($A348,'PEER GROUP'!$A:$A,0))</f>
        <v>0</v>
      </c>
      <c r="L348" s="70">
        <f>INDEX('PEER GROUP'!M:M,MATCH($A348,'PEER GROUP'!$A:$A,0))</f>
        <v>0</v>
      </c>
      <c r="M348" s="86">
        <f>INDEX('PEER GROUP'!N:N,MATCH($A348,'PEER GROUP'!$A:$A,0))</f>
        <v>0</v>
      </c>
      <c r="N348" s="118"/>
      <c r="O348" s="115"/>
      <c r="P348" s="117"/>
      <c r="Q348" s="87"/>
      <c r="R348" s="87">
        <f t="shared" si="92"/>
        <v>0</v>
      </c>
      <c r="S348" s="87"/>
      <c r="T348" s="87"/>
      <c r="U348" s="87"/>
      <c r="V348" s="87">
        <f t="shared" si="93"/>
        <v>0</v>
      </c>
      <c r="W348" s="113">
        <f t="shared" si="90"/>
        <v>36.913096727263202</v>
      </c>
      <c r="X348" s="69">
        <f t="shared" si="94"/>
        <v>0</v>
      </c>
      <c r="Y348" s="70">
        <f t="shared" si="95"/>
        <v>0</v>
      </c>
      <c r="Z348" s="70">
        <f t="shared" si="96"/>
        <v>0</v>
      </c>
      <c r="AA348" s="70">
        <f t="shared" si="97"/>
        <v>0</v>
      </c>
      <c r="AB348" s="70">
        <f t="shared" si="98"/>
        <v>0</v>
      </c>
      <c r="AC348" s="70">
        <f t="shared" si="99"/>
        <v>0</v>
      </c>
      <c r="AD348" s="71">
        <f t="shared" si="100"/>
        <v>0</v>
      </c>
      <c r="AE348" s="49"/>
      <c r="AF348" s="21"/>
      <c r="AG348" s="69"/>
      <c r="AH348" s="70"/>
      <c r="AI348" s="70"/>
      <c r="AJ348" s="70"/>
      <c r="AK348" s="70"/>
      <c r="AL348" s="70"/>
      <c r="AM348" s="70"/>
      <c r="AN348" s="70" t="str">
        <f t="shared" si="101"/>
        <v>---</v>
      </c>
      <c r="AO348" s="70" t="str">
        <f t="shared" si="102"/>
        <v>---</v>
      </c>
      <c r="AP348" s="70" t="str">
        <f t="shared" si="103"/>
        <v>---</v>
      </c>
      <c r="AQ348" s="70" t="str">
        <f t="shared" si="104"/>
        <v>---</v>
      </c>
      <c r="AR348" s="70" t="str">
        <f t="shared" si="105"/>
        <v>---</v>
      </c>
      <c r="AS348" s="70" t="str">
        <f t="shared" si="106"/>
        <v>---</v>
      </c>
      <c r="AT348" s="71" t="str">
        <f t="shared" si="107"/>
        <v>---</v>
      </c>
    </row>
    <row r="349" spans="1:46" ht="30" customHeight="1" x14ac:dyDescent="0.3">
      <c r="A349" s="123">
        <f t="shared" si="91"/>
        <v>345</v>
      </c>
      <c r="B349" s="140">
        <f>INDEX('PEER GROUP'!B:B,MATCH($A349,'PEER GROUP'!$A:$A,0))</f>
        <v>0</v>
      </c>
      <c r="C349" s="83">
        <f>INDEX('PEER GROUP'!C:C,MATCH($A349,'PEER GROUP'!$A:$A,0))</f>
        <v>0</v>
      </c>
      <c r="D349" s="83">
        <f>INDEX('PEER GROUP'!D:D,MATCH($A349,'PEER GROUP'!$A:$A,0))</f>
        <v>0</v>
      </c>
      <c r="E349" s="83">
        <f>INDEX('PEER GROUP'!E:E,MATCH(A349,'PEER GROUP'!$A:$A,0))</f>
        <v>0</v>
      </c>
      <c r="F349" s="84">
        <f>INDEX('PEER GROUP'!F:F,MATCH($A349,'PEER GROUP'!$A:$A,0))</f>
        <v>0</v>
      </c>
      <c r="G349" s="84">
        <f>INDEX('PEER GROUP'!G:G,MATCH($A349,'PEER GROUP'!$A:$A,0))</f>
        <v>0</v>
      </c>
      <c r="H349" s="85"/>
      <c r="I349" s="85"/>
      <c r="J349" s="70">
        <f>INDEX('PEER GROUP'!K:K,MATCH($A349,'PEER GROUP'!$A:$A,0))</f>
        <v>0</v>
      </c>
      <c r="K349" s="70">
        <f>INDEX('PEER GROUP'!L:L,MATCH($A349,'PEER GROUP'!$A:$A,0))</f>
        <v>0</v>
      </c>
      <c r="L349" s="70">
        <f>INDEX('PEER GROUP'!M:M,MATCH($A349,'PEER GROUP'!$A:$A,0))</f>
        <v>0</v>
      </c>
      <c r="M349" s="86">
        <f>INDEX('PEER GROUP'!N:N,MATCH($A349,'PEER GROUP'!$A:$A,0))</f>
        <v>0</v>
      </c>
      <c r="N349" s="118"/>
      <c r="O349" s="115"/>
      <c r="P349" s="117"/>
      <c r="Q349" s="87"/>
      <c r="R349" s="87">
        <f t="shared" si="92"/>
        <v>0</v>
      </c>
      <c r="S349" s="87"/>
      <c r="T349" s="87"/>
      <c r="U349" s="87"/>
      <c r="V349" s="87">
        <f t="shared" si="93"/>
        <v>0</v>
      </c>
      <c r="W349" s="113">
        <f t="shared" si="90"/>
        <v>36.913096727263202</v>
      </c>
      <c r="X349" s="69">
        <f t="shared" si="94"/>
        <v>0</v>
      </c>
      <c r="Y349" s="70">
        <f t="shared" si="95"/>
        <v>0</v>
      </c>
      <c r="Z349" s="70">
        <f t="shared" si="96"/>
        <v>0</v>
      </c>
      <c r="AA349" s="70">
        <f t="shared" si="97"/>
        <v>0</v>
      </c>
      <c r="AB349" s="70">
        <f t="shared" si="98"/>
        <v>0</v>
      </c>
      <c r="AC349" s="70">
        <f t="shared" si="99"/>
        <v>0</v>
      </c>
      <c r="AD349" s="71">
        <f t="shared" si="100"/>
        <v>0</v>
      </c>
      <c r="AE349" s="49"/>
      <c r="AF349" s="21"/>
      <c r="AG349" s="69"/>
      <c r="AH349" s="70"/>
      <c r="AI349" s="70"/>
      <c r="AJ349" s="70"/>
      <c r="AK349" s="70"/>
      <c r="AL349" s="70"/>
      <c r="AM349" s="70"/>
      <c r="AN349" s="70" t="str">
        <f t="shared" si="101"/>
        <v>---</v>
      </c>
      <c r="AO349" s="70" t="str">
        <f t="shared" si="102"/>
        <v>---</v>
      </c>
      <c r="AP349" s="70" t="str">
        <f t="shared" si="103"/>
        <v>---</v>
      </c>
      <c r="AQ349" s="70" t="str">
        <f t="shared" si="104"/>
        <v>---</v>
      </c>
      <c r="AR349" s="70" t="str">
        <f t="shared" si="105"/>
        <v>---</v>
      </c>
      <c r="AS349" s="70" t="str">
        <f t="shared" si="106"/>
        <v>---</v>
      </c>
      <c r="AT349" s="71" t="str">
        <f t="shared" si="107"/>
        <v>---</v>
      </c>
    </row>
    <row r="350" spans="1:46" ht="30" customHeight="1" x14ac:dyDescent="0.3">
      <c r="A350" s="123">
        <f t="shared" si="91"/>
        <v>346</v>
      </c>
      <c r="B350" s="140">
        <f>INDEX('PEER GROUP'!B:B,MATCH($A350,'PEER GROUP'!$A:$A,0))</f>
        <v>0</v>
      </c>
      <c r="C350" s="83">
        <f>INDEX('PEER GROUP'!C:C,MATCH($A350,'PEER GROUP'!$A:$A,0))</f>
        <v>0</v>
      </c>
      <c r="D350" s="83">
        <f>INDEX('PEER GROUP'!D:D,MATCH($A350,'PEER GROUP'!$A:$A,0))</f>
        <v>0</v>
      </c>
      <c r="E350" s="83">
        <f>INDEX('PEER GROUP'!E:E,MATCH(A350,'PEER GROUP'!$A:$A,0))</f>
        <v>0</v>
      </c>
      <c r="F350" s="84">
        <f>INDEX('PEER GROUP'!F:F,MATCH($A350,'PEER GROUP'!$A:$A,0))</f>
        <v>0</v>
      </c>
      <c r="G350" s="84">
        <f>INDEX('PEER GROUP'!G:G,MATCH($A350,'PEER GROUP'!$A:$A,0))</f>
        <v>0</v>
      </c>
      <c r="H350" s="85"/>
      <c r="I350" s="85"/>
      <c r="J350" s="70">
        <f>INDEX('PEER GROUP'!K:K,MATCH($A350,'PEER GROUP'!$A:$A,0))</f>
        <v>0</v>
      </c>
      <c r="K350" s="70">
        <f>INDEX('PEER GROUP'!L:L,MATCH($A350,'PEER GROUP'!$A:$A,0))</f>
        <v>0</v>
      </c>
      <c r="L350" s="70">
        <f>INDEX('PEER GROUP'!M:M,MATCH($A350,'PEER GROUP'!$A:$A,0))</f>
        <v>0</v>
      </c>
      <c r="M350" s="86">
        <f>INDEX('PEER GROUP'!N:N,MATCH($A350,'PEER GROUP'!$A:$A,0))</f>
        <v>0</v>
      </c>
      <c r="N350" s="118"/>
      <c r="O350" s="115"/>
      <c r="P350" s="117"/>
      <c r="Q350" s="87"/>
      <c r="R350" s="87">
        <f t="shared" si="92"/>
        <v>0</v>
      </c>
      <c r="S350" s="87"/>
      <c r="T350" s="87"/>
      <c r="U350" s="87"/>
      <c r="V350" s="87">
        <f t="shared" si="93"/>
        <v>0</v>
      </c>
      <c r="W350" s="113">
        <f t="shared" si="90"/>
        <v>36.913096727263202</v>
      </c>
      <c r="X350" s="69">
        <f t="shared" si="94"/>
        <v>0</v>
      </c>
      <c r="Y350" s="70">
        <f t="shared" si="95"/>
        <v>0</v>
      </c>
      <c r="Z350" s="70">
        <f t="shared" si="96"/>
        <v>0</v>
      </c>
      <c r="AA350" s="70">
        <f t="shared" si="97"/>
        <v>0</v>
      </c>
      <c r="AB350" s="70">
        <f t="shared" si="98"/>
        <v>0</v>
      </c>
      <c r="AC350" s="70">
        <f t="shared" si="99"/>
        <v>0</v>
      </c>
      <c r="AD350" s="71">
        <f t="shared" si="100"/>
        <v>0</v>
      </c>
      <c r="AE350" s="49"/>
      <c r="AF350" s="21"/>
      <c r="AG350" s="69"/>
      <c r="AH350" s="70"/>
      <c r="AI350" s="70"/>
      <c r="AJ350" s="70"/>
      <c r="AK350" s="70"/>
      <c r="AL350" s="70"/>
      <c r="AM350" s="70"/>
      <c r="AN350" s="70" t="str">
        <f t="shared" si="101"/>
        <v>---</v>
      </c>
      <c r="AO350" s="70" t="str">
        <f t="shared" si="102"/>
        <v>---</v>
      </c>
      <c r="AP350" s="70" t="str">
        <f t="shared" si="103"/>
        <v>---</v>
      </c>
      <c r="AQ350" s="70" t="str">
        <f t="shared" si="104"/>
        <v>---</v>
      </c>
      <c r="AR350" s="70" t="str">
        <f t="shared" si="105"/>
        <v>---</v>
      </c>
      <c r="AS350" s="70" t="str">
        <f t="shared" si="106"/>
        <v>---</v>
      </c>
      <c r="AT350" s="71" t="str">
        <f t="shared" si="107"/>
        <v>---</v>
      </c>
    </row>
    <row r="351" spans="1:46" ht="30" customHeight="1" x14ac:dyDescent="0.3">
      <c r="A351" s="123">
        <f t="shared" si="91"/>
        <v>347</v>
      </c>
      <c r="B351" s="140">
        <f>INDEX('PEER GROUP'!B:B,MATCH($A351,'PEER GROUP'!$A:$A,0))</f>
        <v>0</v>
      </c>
      <c r="C351" s="83">
        <f>INDEX('PEER GROUP'!C:C,MATCH($A351,'PEER GROUP'!$A:$A,0))</f>
        <v>0</v>
      </c>
      <c r="D351" s="83">
        <f>INDEX('PEER GROUP'!D:D,MATCH($A351,'PEER GROUP'!$A:$A,0))</f>
        <v>0</v>
      </c>
      <c r="E351" s="83">
        <f>INDEX('PEER GROUP'!E:E,MATCH(A351,'PEER GROUP'!$A:$A,0))</f>
        <v>0</v>
      </c>
      <c r="F351" s="84">
        <f>INDEX('PEER GROUP'!F:F,MATCH($A351,'PEER GROUP'!$A:$A,0))</f>
        <v>0</v>
      </c>
      <c r="G351" s="84">
        <f>INDEX('PEER GROUP'!G:G,MATCH($A351,'PEER GROUP'!$A:$A,0))</f>
        <v>0</v>
      </c>
      <c r="H351" s="85"/>
      <c r="I351" s="85"/>
      <c r="J351" s="70">
        <f>INDEX('PEER GROUP'!K:K,MATCH($A351,'PEER GROUP'!$A:$A,0))</f>
        <v>0</v>
      </c>
      <c r="K351" s="70">
        <f>INDEX('PEER GROUP'!L:L,MATCH($A351,'PEER GROUP'!$A:$A,0))</f>
        <v>0</v>
      </c>
      <c r="L351" s="70">
        <f>INDEX('PEER GROUP'!M:M,MATCH($A351,'PEER GROUP'!$A:$A,0))</f>
        <v>0</v>
      </c>
      <c r="M351" s="86">
        <f>INDEX('PEER GROUP'!N:N,MATCH($A351,'PEER GROUP'!$A:$A,0))</f>
        <v>0</v>
      </c>
      <c r="N351" s="118"/>
      <c r="O351" s="115"/>
      <c r="P351" s="117"/>
      <c r="Q351" s="87"/>
      <c r="R351" s="87">
        <f t="shared" si="92"/>
        <v>0</v>
      </c>
      <c r="S351" s="87"/>
      <c r="T351" s="87"/>
      <c r="U351" s="87"/>
      <c r="V351" s="87">
        <f t="shared" si="93"/>
        <v>0</v>
      </c>
      <c r="W351" s="113">
        <f t="shared" si="90"/>
        <v>36.913096727263202</v>
      </c>
      <c r="X351" s="69">
        <f t="shared" si="94"/>
        <v>0</v>
      </c>
      <c r="Y351" s="70">
        <f t="shared" si="95"/>
        <v>0</v>
      </c>
      <c r="Z351" s="70">
        <f t="shared" si="96"/>
        <v>0</v>
      </c>
      <c r="AA351" s="70">
        <f t="shared" si="97"/>
        <v>0</v>
      </c>
      <c r="AB351" s="70">
        <f t="shared" si="98"/>
        <v>0</v>
      </c>
      <c r="AC351" s="70">
        <f t="shared" si="99"/>
        <v>0</v>
      </c>
      <c r="AD351" s="71">
        <f t="shared" si="100"/>
        <v>0</v>
      </c>
      <c r="AE351" s="49"/>
      <c r="AF351" s="21"/>
      <c r="AG351" s="69"/>
      <c r="AH351" s="70"/>
      <c r="AI351" s="70"/>
      <c r="AJ351" s="70"/>
      <c r="AK351" s="70"/>
      <c r="AL351" s="70"/>
      <c r="AM351" s="70"/>
      <c r="AN351" s="70" t="str">
        <f t="shared" si="101"/>
        <v>---</v>
      </c>
      <c r="AO351" s="70" t="str">
        <f t="shared" si="102"/>
        <v>---</v>
      </c>
      <c r="AP351" s="70" t="str">
        <f t="shared" si="103"/>
        <v>---</v>
      </c>
      <c r="AQ351" s="70" t="str">
        <f t="shared" si="104"/>
        <v>---</v>
      </c>
      <c r="AR351" s="70" t="str">
        <f t="shared" si="105"/>
        <v>---</v>
      </c>
      <c r="AS351" s="70" t="str">
        <f t="shared" si="106"/>
        <v>---</v>
      </c>
      <c r="AT351" s="71" t="str">
        <f t="shared" si="107"/>
        <v>---</v>
      </c>
    </row>
    <row r="352" spans="1:46" ht="30" customHeight="1" x14ac:dyDescent="0.3">
      <c r="A352" s="123">
        <f t="shared" si="91"/>
        <v>348</v>
      </c>
      <c r="B352" s="140">
        <f>INDEX('PEER GROUP'!B:B,MATCH($A352,'PEER GROUP'!$A:$A,0))</f>
        <v>0</v>
      </c>
      <c r="C352" s="83">
        <f>INDEX('PEER GROUP'!C:C,MATCH($A352,'PEER GROUP'!$A:$A,0))</f>
        <v>0</v>
      </c>
      <c r="D352" s="83">
        <f>INDEX('PEER GROUP'!D:D,MATCH($A352,'PEER GROUP'!$A:$A,0))</f>
        <v>0</v>
      </c>
      <c r="E352" s="83">
        <f>INDEX('PEER GROUP'!E:E,MATCH(A352,'PEER GROUP'!$A:$A,0))</f>
        <v>0</v>
      </c>
      <c r="F352" s="84">
        <f>INDEX('PEER GROUP'!F:F,MATCH($A352,'PEER GROUP'!$A:$A,0))</f>
        <v>0</v>
      </c>
      <c r="G352" s="84">
        <f>INDEX('PEER GROUP'!G:G,MATCH($A352,'PEER GROUP'!$A:$A,0))</f>
        <v>0</v>
      </c>
      <c r="H352" s="85"/>
      <c r="I352" s="85"/>
      <c r="J352" s="70">
        <f>INDEX('PEER GROUP'!K:K,MATCH($A352,'PEER GROUP'!$A:$A,0))</f>
        <v>0</v>
      </c>
      <c r="K352" s="70">
        <f>INDEX('PEER GROUP'!L:L,MATCH($A352,'PEER GROUP'!$A:$A,0))</f>
        <v>0</v>
      </c>
      <c r="L352" s="70">
        <f>INDEX('PEER GROUP'!M:M,MATCH($A352,'PEER GROUP'!$A:$A,0))</f>
        <v>0</v>
      </c>
      <c r="M352" s="86">
        <f>INDEX('PEER GROUP'!N:N,MATCH($A352,'PEER GROUP'!$A:$A,0))</f>
        <v>0</v>
      </c>
      <c r="N352" s="118"/>
      <c r="O352" s="115"/>
      <c r="P352" s="117"/>
      <c r="Q352" s="87"/>
      <c r="R352" s="87">
        <f t="shared" si="92"/>
        <v>0</v>
      </c>
      <c r="S352" s="87"/>
      <c r="T352" s="87"/>
      <c r="U352" s="87"/>
      <c r="V352" s="87">
        <f t="shared" si="93"/>
        <v>0</v>
      </c>
      <c r="W352" s="113">
        <f t="shared" si="90"/>
        <v>36.913096727263202</v>
      </c>
      <c r="X352" s="69">
        <f t="shared" si="94"/>
        <v>0</v>
      </c>
      <c r="Y352" s="70">
        <f t="shared" si="95"/>
        <v>0</v>
      </c>
      <c r="Z352" s="70">
        <f t="shared" si="96"/>
        <v>0</v>
      </c>
      <c r="AA352" s="70">
        <f t="shared" si="97"/>
        <v>0</v>
      </c>
      <c r="AB352" s="70">
        <f t="shared" si="98"/>
        <v>0</v>
      </c>
      <c r="AC352" s="70">
        <f t="shared" si="99"/>
        <v>0</v>
      </c>
      <c r="AD352" s="71">
        <f t="shared" si="100"/>
        <v>0</v>
      </c>
      <c r="AE352" s="49"/>
      <c r="AF352" s="21"/>
      <c r="AG352" s="69"/>
      <c r="AH352" s="70"/>
      <c r="AI352" s="70"/>
      <c r="AJ352" s="70"/>
      <c r="AK352" s="70"/>
      <c r="AL352" s="70"/>
      <c r="AM352" s="70"/>
      <c r="AN352" s="70" t="str">
        <f t="shared" si="101"/>
        <v>---</v>
      </c>
      <c r="AO352" s="70" t="str">
        <f t="shared" si="102"/>
        <v>---</v>
      </c>
      <c r="AP352" s="70" t="str">
        <f t="shared" si="103"/>
        <v>---</v>
      </c>
      <c r="AQ352" s="70" t="str">
        <f t="shared" si="104"/>
        <v>---</v>
      </c>
      <c r="AR352" s="70" t="str">
        <f t="shared" si="105"/>
        <v>---</v>
      </c>
      <c r="AS352" s="70" t="str">
        <f t="shared" si="106"/>
        <v>---</v>
      </c>
      <c r="AT352" s="71" t="str">
        <f t="shared" si="107"/>
        <v>---</v>
      </c>
    </row>
    <row r="353" spans="1:46" ht="30" customHeight="1" x14ac:dyDescent="0.3">
      <c r="A353" s="123">
        <f t="shared" si="91"/>
        <v>349</v>
      </c>
      <c r="B353" s="140">
        <f>INDEX('PEER GROUP'!B:B,MATCH($A353,'PEER GROUP'!$A:$A,0))</f>
        <v>0</v>
      </c>
      <c r="C353" s="83">
        <f>INDEX('PEER GROUP'!C:C,MATCH($A353,'PEER GROUP'!$A:$A,0))</f>
        <v>0</v>
      </c>
      <c r="D353" s="83">
        <f>INDEX('PEER GROUP'!D:D,MATCH($A353,'PEER GROUP'!$A:$A,0))</f>
        <v>0</v>
      </c>
      <c r="E353" s="83">
        <f>INDEX('PEER GROUP'!E:E,MATCH(A353,'PEER GROUP'!$A:$A,0))</f>
        <v>0</v>
      </c>
      <c r="F353" s="84">
        <f>INDEX('PEER GROUP'!F:F,MATCH($A353,'PEER GROUP'!$A:$A,0))</f>
        <v>0</v>
      </c>
      <c r="G353" s="84">
        <f>INDEX('PEER GROUP'!G:G,MATCH($A353,'PEER GROUP'!$A:$A,0))</f>
        <v>0</v>
      </c>
      <c r="H353" s="85"/>
      <c r="I353" s="85"/>
      <c r="J353" s="70">
        <f>INDEX('PEER GROUP'!K:K,MATCH($A353,'PEER GROUP'!$A:$A,0))</f>
        <v>0</v>
      </c>
      <c r="K353" s="70">
        <f>INDEX('PEER GROUP'!L:L,MATCH($A353,'PEER GROUP'!$A:$A,0))</f>
        <v>0</v>
      </c>
      <c r="L353" s="70">
        <f>INDEX('PEER GROUP'!M:M,MATCH($A353,'PEER GROUP'!$A:$A,0))</f>
        <v>0</v>
      </c>
      <c r="M353" s="86">
        <f>INDEX('PEER GROUP'!N:N,MATCH($A353,'PEER GROUP'!$A:$A,0))</f>
        <v>0</v>
      </c>
      <c r="N353" s="118"/>
      <c r="O353" s="115"/>
      <c r="P353" s="117"/>
      <c r="Q353" s="87"/>
      <c r="R353" s="87">
        <f t="shared" si="92"/>
        <v>0</v>
      </c>
      <c r="S353" s="87"/>
      <c r="T353" s="87"/>
      <c r="U353" s="87"/>
      <c r="V353" s="87">
        <f t="shared" si="93"/>
        <v>0</v>
      </c>
      <c r="W353" s="113">
        <f t="shared" si="90"/>
        <v>36.913096727263202</v>
      </c>
      <c r="X353" s="69">
        <f t="shared" si="94"/>
        <v>0</v>
      </c>
      <c r="Y353" s="70">
        <f t="shared" si="95"/>
        <v>0</v>
      </c>
      <c r="Z353" s="70">
        <f t="shared" si="96"/>
        <v>0</v>
      </c>
      <c r="AA353" s="70">
        <f t="shared" si="97"/>
        <v>0</v>
      </c>
      <c r="AB353" s="70">
        <f t="shared" si="98"/>
        <v>0</v>
      </c>
      <c r="AC353" s="70">
        <f t="shared" si="99"/>
        <v>0</v>
      </c>
      <c r="AD353" s="71">
        <f t="shared" si="100"/>
        <v>0</v>
      </c>
      <c r="AE353" s="49"/>
      <c r="AF353" s="21"/>
      <c r="AG353" s="69"/>
      <c r="AH353" s="70"/>
      <c r="AI353" s="70"/>
      <c r="AJ353" s="70"/>
      <c r="AK353" s="70"/>
      <c r="AL353" s="70"/>
      <c r="AM353" s="70"/>
      <c r="AN353" s="70" t="str">
        <f t="shared" si="101"/>
        <v>---</v>
      </c>
      <c r="AO353" s="70" t="str">
        <f t="shared" si="102"/>
        <v>---</v>
      </c>
      <c r="AP353" s="70" t="str">
        <f t="shared" si="103"/>
        <v>---</v>
      </c>
      <c r="AQ353" s="70" t="str">
        <f t="shared" si="104"/>
        <v>---</v>
      </c>
      <c r="AR353" s="70" t="str">
        <f t="shared" si="105"/>
        <v>---</v>
      </c>
      <c r="AS353" s="70" t="str">
        <f t="shared" si="106"/>
        <v>---</v>
      </c>
      <c r="AT353" s="71" t="str">
        <f t="shared" si="107"/>
        <v>---</v>
      </c>
    </row>
    <row r="354" spans="1:46" ht="30" customHeight="1" x14ac:dyDescent="0.3">
      <c r="A354" s="123">
        <f t="shared" si="91"/>
        <v>350</v>
      </c>
      <c r="B354" s="140">
        <f>INDEX('PEER GROUP'!B:B,MATCH($A354,'PEER GROUP'!$A:$A,0))</f>
        <v>0</v>
      </c>
      <c r="C354" s="83">
        <f>INDEX('PEER GROUP'!C:C,MATCH($A354,'PEER GROUP'!$A:$A,0))</f>
        <v>0</v>
      </c>
      <c r="D354" s="83">
        <f>INDEX('PEER GROUP'!D:D,MATCH($A354,'PEER GROUP'!$A:$A,0))</f>
        <v>0</v>
      </c>
      <c r="E354" s="83">
        <f>INDEX('PEER GROUP'!E:E,MATCH(A354,'PEER GROUP'!$A:$A,0))</f>
        <v>0</v>
      </c>
      <c r="F354" s="84">
        <f>INDEX('PEER GROUP'!F:F,MATCH($A354,'PEER GROUP'!$A:$A,0))</f>
        <v>0</v>
      </c>
      <c r="G354" s="84">
        <f>INDEX('PEER GROUP'!G:G,MATCH($A354,'PEER GROUP'!$A:$A,0))</f>
        <v>0</v>
      </c>
      <c r="H354" s="85"/>
      <c r="I354" s="85"/>
      <c r="J354" s="70">
        <f>INDEX('PEER GROUP'!K:K,MATCH($A354,'PEER GROUP'!$A:$A,0))</f>
        <v>0</v>
      </c>
      <c r="K354" s="70">
        <f>INDEX('PEER GROUP'!L:L,MATCH($A354,'PEER GROUP'!$A:$A,0))</f>
        <v>0</v>
      </c>
      <c r="L354" s="70">
        <f>INDEX('PEER GROUP'!M:M,MATCH($A354,'PEER GROUP'!$A:$A,0))</f>
        <v>0</v>
      </c>
      <c r="M354" s="86">
        <f>INDEX('PEER GROUP'!N:N,MATCH($A354,'PEER GROUP'!$A:$A,0))</f>
        <v>0</v>
      </c>
      <c r="N354" s="118"/>
      <c r="O354" s="115"/>
      <c r="P354" s="117"/>
      <c r="Q354" s="87"/>
      <c r="R354" s="87">
        <f t="shared" si="92"/>
        <v>0</v>
      </c>
      <c r="S354" s="87"/>
      <c r="T354" s="87"/>
      <c r="U354" s="87"/>
      <c r="V354" s="87">
        <f t="shared" si="93"/>
        <v>0</v>
      </c>
      <c r="W354" s="113">
        <f t="shared" si="90"/>
        <v>36.913096727263202</v>
      </c>
      <c r="X354" s="69">
        <f t="shared" si="94"/>
        <v>0</v>
      </c>
      <c r="Y354" s="70">
        <f t="shared" si="95"/>
        <v>0</v>
      </c>
      <c r="Z354" s="70">
        <f t="shared" si="96"/>
        <v>0</v>
      </c>
      <c r="AA354" s="70">
        <f t="shared" si="97"/>
        <v>0</v>
      </c>
      <c r="AB354" s="70">
        <f t="shared" si="98"/>
        <v>0</v>
      </c>
      <c r="AC354" s="70">
        <f t="shared" si="99"/>
        <v>0</v>
      </c>
      <c r="AD354" s="71">
        <f t="shared" si="100"/>
        <v>0</v>
      </c>
      <c r="AE354" s="49"/>
      <c r="AF354" s="21"/>
      <c r="AG354" s="69"/>
      <c r="AH354" s="70"/>
      <c r="AI354" s="70"/>
      <c r="AJ354" s="70"/>
      <c r="AK354" s="70"/>
      <c r="AL354" s="70"/>
      <c r="AM354" s="70"/>
      <c r="AN354" s="70" t="str">
        <f t="shared" si="101"/>
        <v>---</v>
      </c>
      <c r="AO354" s="70" t="str">
        <f t="shared" si="102"/>
        <v>---</v>
      </c>
      <c r="AP354" s="70" t="str">
        <f t="shared" si="103"/>
        <v>---</v>
      </c>
      <c r="AQ354" s="70" t="str">
        <f t="shared" si="104"/>
        <v>---</v>
      </c>
      <c r="AR354" s="70" t="str">
        <f t="shared" si="105"/>
        <v>---</v>
      </c>
      <c r="AS354" s="70" t="str">
        <f t="shared" si="106"/>
        <v>---</v>
      </c>
      <c r="AT354" s="71" t="str">
        <f t="shared" si="107"/>
        <v>---</v>
      </c>
    </row>
    <row r="355" spans="1:46" ht="30" customHeight="1" x14ac:dyDescent="0.3">
      <c r="A355" s="123">
        <f t="shared" si="91"/>
        <v>351</v>
      </c>
      <c r="B355" s="140">
        <f>INDEX('PEER GROUP'!B:B,MATCH($A355,'PEER GROUP'!$A:$A,0))</f>
        <v>0</v>
      </c>
      <c r="C355" s="83">
        <f>INDEX('PEER GROUP'!C:C,MATCH($A355,'PEER GROUP'!$A:$A,0))</f>
        <v>0</v>
      </c>
      <c r="D355" s="83">
        <f>INDEX('PEER GROUP'!D:D,MATCH($A355,'PEER GROUP'!$A:$A,0))</f>
        <v>0</v>
      </c>
      <c r="E355" s="83">
        <f>INDEX('PEER GROUP'!E:E,MATCH(A355,'PEER GROUP'!$A:$A,0))</f>
        <v>0</v>
      </c>
      <c r="F355" s="84">
        <f>INDEX('PEER GROUP'!F:F,MATCH($A355,'PEER GROUP'!$A:$A,0))</f>
        <v>0</v>
      </c>
      <c r="G355" s="84">
        <f>INDEX('PEER GROUP'!G:G,MATCH($A355,'PEER GROUP'!$A:$A,0))</f>
        <v>0</v>
      </c>
      <c r="H355" s="85"/>
      <c r="I355" s="85"/>
      <c r="J355" s="70">
        <f>INDEX('PEER GROUP'!K:K,MATCH($A355,'PEER GROUP'!$A:$A,0))</f>
        <v>0</v>
      </c>
      <c r="K355" s="70">
        <f>INDEX('PEER GROUP'!L:L,MATCH($A355,'PEER GROUP'!$A:$A,0))</f>
        <v>0</v>
      </c>
      <c r="L355" s="70">
        <f>INDEX('PEER GROUP'!M:M,MATCH($A355,'PEER GROUP'!$A:$A,0))</f>
        <v>0</v>
      </c>
      <c r="M355" s="86">
        <f>INDEX('PEER GROUP'!N:N,MATCH($A355,'PEER GROUP'!$A:$A,0))</f>
        <v>0</v>
      </c>
      <c r="N355" s="118"/>
      <c r="O355" s="115"/>
      <c r="P355" s="117"/>
      <c r="Q355" s="87"/>
      <c r="R355" s="87">
        <f t="shared" si="92"/>
        <v>0</v>
      </c>
      <c r="S355" s="87"/>
      <c r="T355" s="87"/>
      <c r="U355" s="87"/>
      <c r="V355" s="87">
        <f t="shared" si="93"/>
        <v>0</v>
      </c>
      <c r="W355" s="113">
        <f t="shared" ref="W355:W418" si="108">IF(DataEffDate&gt;DATE(2022,1,1),
IF(E355&lt;DATE(2022,1,1),
(1+UpdateFactor)^(IF(E355&lt;DataEffDate,1,-1)*YEARFRAC(E355,DATE(2022,1,1),1))+(1+UpdateFactor_TEMP)^(IF(DATE(2022,1,1)&lt;DataEffDate,1,-1)*YEARFRAC(DATE(2022,1,1),DataEffDate,1))-1,
(1+UpdateFactor_TEMP)^(IF(E355&lt;DataEffDate,1,-1)*YEARFRAC(E355,DataEffDate,1))),
(1+UpdateFactor)^(IF(E355&lt;DataEffDate,1,-1)*YEARFRAC(E355,DataEffDate,1)))</f>
        <v>36.913096727263202</v>
      </c>
      <c r="X355" s="69">
        <f t="shared" si="94"/>
        <v>0</v>
      </c>
      <c r="Y355" s="70">
        <f t="shared" si="95"/>
        <v>0</v>
      </c>
      <c r="Z355" s="70">
        <f t="shared" si="96"/>
        <v>0</v>
      </c>
      <c r="AA355" s="70">
        <f t="shared" si="97"/>
        <v>0</v>
      </c>
      <c r="AB355" s="70">
        <f t="shared" si="98"/>
        <v>0</v>
      </c>
      <c r="AC355" s="70">
        <f t="shared" si="99"/>
        <v>0</v>
      </c>
      <c r="AD355" s="71">
        <f t="shared" si="100"/>
        <v>0</v>
      </c>
      <c r="AE355" s="49"/>
      <c r="AF355" s="21"/>
      <c r="AG355" s="69"/>
      <c r="AH355" s="70"/>
      <c r="AI355" s="70"/>
      <c r="AJ355" s="70"/>
      <c r="AK355" s="70"/>
      <c r="AL355" s="70"/>
      <c r="AM355" s="70"/>
      <c r="AN355" s="70" t="str">
        <f t="shared" si="101"/>
        <v>---</v>
      </c>
      <c r="AO355" s="70" t="str">
        <f t="shared" si="102"/>
        <v>---</v>
      </c>
      <c r="AP355" s="70" t="str">
        <f t="shared" si="103"/>
        <v>---</v>
      </c>
      <c r="AQ355" s="70" t="str">
        <f t="shared" si="104"/>
        <v>---</v>
      </c>
      <c r="AR355" s="70" t="str">
        <f t="shared" si="105"/>
        <v>---</v>
      </c>
      <c r="AS355" s="70" t="str">
        <f t="shared" si="106"/>
        <v>---</v>
      </c>
      <c r="AT355" s="71" t="str">
        <f t="shared" si="107"/>
        <v>---</v>
      </c>
    </row>
    <row r="356" spans="1:46" ht="30" customHeight="1" x14ac:dyDescent="0.3">
      <c r="A356" s="123">
        <f t="shared" ref="A356:A419" si="109">A355+1</f>
        <v>352</v>
      </c>
      <c r="B356" s="140">
        <f>INDEX('PEER GROUP'!B:B,MATCH($A356,'PEER GROUP'!$A:$A,0))</f>
        <v>0</v>
      </c>
      <c r="C356" s="83">
        <f>INDEX('PEER GROUP'!C:C,MATCH($A356,'PEER GROUP'!$A:$A,0))</f>
        <v>0</v>
      </c>
      <c r="D356" s="83">
        <f>INDEX('PEER GROUP'!D:D,MATCH($A356,'PEER GROUP'!$A:$A,0))</f>
        <v>0</v>
      </c>
      <c r="E356" s="83">
        <f>INDEX('PEER GROUP'!E:E,MATCH(A356,'PEER GROUP'!$A:$A,0))</f>
        <v>0</v>
      </c>
      <c r="F356" s="84">
        <f>INDEX('PEER GROUP'!F:F,MATCH($A356,'PEER GROUP'!$A:$A,0))</f>
        <v>0</v>
      </c>
      <c r="G356" s="84">
        <f>INDEX('PEER GROUP'!G:G,MATCH($A356,'PEER GROUP'!$A:$A,0))</f>
        <v>0</v>
      </c>
      <c r="H356" s="85"/>
      <c r="I356" s="85"/>
      <c r="J356" s="70">
        <f>INDEX('PEER GROUP'!K:K,MATCH($A356,'PEER GROUP'!$A:$A,0))</f>
        <v>0</v>
      </c>
      <c r="K356" s="70">
        <f>INDEX('PEER GROUP'!L:L,MATCH($A356,'PEER GROUP'!$A:$A,0))</f>
        <v>0</v>
      </c>
      <c r="L356" s="70">
        <f>INDEX('PEER GROUP'!M:M,MATCH($A356,'PEER GROUP'!$A:$A,0))</f>
        <v>0</v>
      </c>
      <c r="M356" s="86">
        <f>INDEX('PEER GROUP'!N:N,MATCH($A356,'PEER GROUP'!$A:$A,0))</f>
        <v>0</v>
      </c>
      <c r="N356" s="118"/>
      <c r="O356" s="115"/>
      <c r="P356" s="117"/>
      <c r="Q356" s="87"/>
      <c r="R356" s="87">
        <f t="shared" ref="R356:R419" si="110">SUM(P356:Q356)</f>
        <v>0</v>
      </c>
      <c r="S356" s="87"/>
      <c r="T356" s="87"/>
      <c r="U356" s="87"/>
      <c r="V356" s="87">
        <f t="shared" ref="V356:V419" si="111">SUM(R356:U356)</f>
        <v>0</v>
      </c>
      <c r="W356" s="113">
        <f t="shared" si="108"/>
        <v>36.913096727263202</v>
      </c>
      <c r="X356" s="69">
        <f t="shared" ref="X356:X419" si="112">P356*$W356</f>
        <v>0</v>
      </c>
      <c r="Y356" s="70">
        <f t="shared" ref="Y356:Y419" si="113">Q356*$W356</f>
        <v>0</v>
      </c>
      <c r="Z356" s="70">
        <f t="shared" ref="Z356:Z419" si="114">SUM(X356:Y356)</f>
        <v>0</v>
      </c>
      <c r="AA356" s="70">
        <f t="shared" ref="AA356:AA419" si="115">S356*$W356</f>
        <v>0</v>
      </c>
      <c r="AB356" s="70">
        <f t="shared" ref="AB356:AB419" si="116">T356*$W356</f>
        <v>0</v>
      </c>
      <c r="AC356" s="70">
        <f t="shared" ref="AC356:AC419" si="117">U356*$W356</f>
        <v>0</v>
      </c>
      <c r="AD356" s="71">
        <f t="shared" ref="AD356:AD419" si="118">SUM(Z356:AC356)</f>
        <v>0</v>
      </c>
      <c r="AE356" s="49"/>
      <c r="AF356" s="21"/>
      <c r="AG356" s="69"/>
      <c r="AH356" s="70"/>
      <c r="AI356" s="70"/>
      <c r="AJ356" s="70"/>
      <c r="AK356" s="70"/>
      <c r="AL356" s="70"/>
      <c r="AM356" s="70"/>
      <c r="AN356" s="70" t="str">
        <f t="shared" ref="AN356:AN419" si="119">IFERROR(P356/AG356-1,"---")</f>
        <v>---</v>
      </c>
      <c r="AO356" s="70" t="str">
        <f t="shared" ref="AO356:AO419" si="120">IFERROR(Q356/AH356-1,"---")</f>
        <v>---</v>
      </c>
      <c r="AP356" s="70" t="str">
        <f t="shared" ref="AP356:AP419" si="121">IFERROR(R356/AI356-1,"---")</f>
        <v>---</v>
      </c>
      <c r="AQ356" s="70" t="str">
        <f t="shared" ref="AQ356:AQ419" si="122">IFERROR(S356/AJ356-1,"---")</f>
        <v>---</v>
      </c>
      <c r="AR356" s="70" t="str">
        <f t="shared" ref="AR356:AR419" si="123">IFERROR(T356/AK356-1,"---")</f>
        <v>---</v>
      </c>
      <c r="AS356" s="70" t="str">
        <f t="shared" ref="AS356:AS419" si="124">IFERROR(U356/AL356-1,"---")</f>
        <v>---</v>
      </c>
      <c r="AT356" s="71" t="str">
        <f t="shared" ref="AT356:AT419" si="125">IFERROR(V356/AM356-1,"---")</f>
        <v>---</v>
      </c>
    </row>
    <row r="357" spans="1:46" ht="30" customHeight="1" x14ac:dyDescent="0.3">
      <c r="A357" s="123">
        <f t="shared" si="109"/>
        <v>353</v>
      </c>
      <c r="B357" s="140">
        <f>INDEX('PEER GROUP'!B:B,MATCH($A357,'PEER GROUP'!$A:$A,0))</f>
        <v>0</v>
      </c>
      <c r="C357" s="83">
        <f>INDEX('PEER GROUP'!C:C,MATCH($A357,'PEER GROUP'!$A:$A,0))</f>
        <v>0</v>
      </c>
      <c r="D357" s="83">
        <f>INDEX('PEER GROUP'!D:D,MATCH($A357,'PEER GROUP'!$A:$A,0))</f>
        <v>0</v>
      </c>
      <c r="E357" s="83">
        <f>INDEX('PEER GROUP'!E:E,MATCH(A357,'PEER GROUP'!$A:$A,0))</f>
        <v>0</v>
      </c>
      <c r="F357" s="84">
        <f>INDEX('PEER GROUP'!F:F,MATCH($A357,'PEER GROUP'!$A:$A,0))</f>
        <v>0</v>
      </c>
      <c r="G357" s="84">
        <f>INDEX('PEER GROUP'!G:G,MATCH($A357,'PEER GROUP'!$A:$A,0))</f>
        <v>0</v>
      </c>
      <c r="H357" s="85"/>
      <c r="I357" s="85"/>
      <c r="J357" s="70">
        <f>INDEX('PEER GROUP'!K:K,MATCH($A357,'PEER GROUP'!$A:$A,0))</f>
        <v>0</v>
      </c>
      <c r="K357" s="70">
        <f>INDEX('PEER GROUP'!L:L,MATCH($A357,'PEER GROUP'!$A:$A,0))</f>
        <v>0</v>
      </c>
      <c r="L357" s="70">
        <f>INDEX('PEER GROUP'!M:M,MATCH($A357,'PEER GROUP'!$A:$A,0))</f>
        <v>0</v>
      </c>
      <c r="M357" s="86">
        <f>INDEX('PEER GROUP'!N:N,MATCH($A357,'PEER GROUP'!$A:$A,0))</f>
        <v>0</v>
      </c>
      <c r="N357" s="118"/>
      <c r="O357" s="115"/>
      <c r="P357" s="117"/>
      <c r="Q357" s="87"/>
      <c r="R357" s="87">
        <f t="shared" si="110"/>
        <v>0</v>
      </c>
      <c r="S357" s="87"/>
      <c r="T357" s="87"/>
      <c r="U357" s="87"/>
      <c r="V357" s="87">
        <f t="shared" si="111"/>
        <v>0</v>
      </c>
      <c r="W357" s="113">
        <f t="shared" si="108"/>
        <v>36.913096727263202</v>
      </c>
      <c r="X357" s="69">
        <f t="shared" si="112"/>
        <v>0</v>
      </c>
      <c r="Y357" s="70">
        <f t="shared" si="113"/>
        <v>0</v>
      </c>
      <c r="Z357" s="70">
        <f t="shared" si="114"/>
        <v>0</v>
      </c>
      <c r="AA357" s="70">
        <f t="shared" si="115"/>
        <v>0</v>
      </c>
      <c r="AB357" s="70">
        <f t="shared" si="116"/>
        <v>0</v>
      </c>
      <c r="AC357" s="70">
        <f t="shared" si="117"/>
        <v>0</v>
      </c>
      <c r="AD357" s="71">
        <f t="shared" si="118"/>
        <v>0</v>
      </c>
      <c r="AE357" s="49"/>
      <c r="AF357" s="21"/>
      <c r="AG357" s="69"/>
      <c r="AH357" s="70"/>
      <c r="AI357" s="70"/>
      <c r="AJ357" s="70"/>
      <c r="AK357" s="70"/>
      <c r="AL357" s="70"/>
      <c r="AM357" s="70"/>
      <c r="AN357" s="70" t="str">
        <f t="shared" si="119"/>
        <v>---</v>
      </c>
      <c r="AO357" s="70" t="str">
        <f t="shared" si="120"/>
        <v>---</v>
      </c>
      <c r="AP357" s="70" t="str">
        <f t="shared" si="121"/>
        <v>---</v>
      </c>
      <c r="AQ357" s="70" t="str">
        <f t="shared" si="122"/>
        <v>---</v>
      </c>
      <c r="AR357" s="70" t="str">
        <f t="shared" si="123"/>
        <v>---</v>
      </c>
      <c r="AS357" s="70" t="str">
        <f t="shared" si="124"/>
        <v>---</v>
      </c>
      <c r="AT357" s="71" t="str">
        <f t="shared" si="125"/>
        <v>---</v>
      </c>
    </row>
    <row r="358" spans="1:46" ht="30" customHeight="1" x14ac:dyDescent="0.3">
      <c r="A358" s="123">
        <f t="shared" si="109"/>
        <v>354</v>
      </c>
      <c r="B358" s="140">
        <f>INDEX('PEER GROUP'!B:B,MATCH($A358,'PEER GROUP'!$A:$A,0))</f>
        <v>0</v>
      </c>
      <c r="C358" s="83">
        <f>INDEX('PEER GROUP'!C:C,MATCH($A358,'PEER GROUP'!$A:$A,0))</f>
        <v>0</v>
      </c>
      <c r="D358" s="83">
        <f>INDEX('PEER GROUP'!D:D,MATCH($A358,'PEER GROUP'!$A:$A,0))</f>
        <v>0</v>
      </c>
      <c r="E358" s="83">
        <f>INDEX('PEER GROUP'!E:E,MATCH(A358,'PEER GROUP'!$A:$A,0))</f>
        <v>0</v>
      </c>
      <c r="F358" s="84">
        <f>INDEX('PEER GROUP'!F:F,MATCH($A358,'PEER GROUP'!$A:$A,0))</f>
        <v>0</v>
      </c>
      <c r="G358" s="84">
        <f>INDEX('PEER GROUP'!G:G,MATCH($A358,'PEER GROUP'!$A:$A,0))</f>
        <v>0</v>
      </c>
      <c r="H358" s="85"/>
      <c r="I358" s="85"/>
      <c r="J358" s="70">
        <f>INDEX('PEER GROUP'!K:K,MATCH($A358,'PEER GROUP'!$A:$A,0))</f>
        <v>0</v>
      </c>
      <c r="K358" s="70">
        <f>INDEX('PEER GROUP'!L:L,MATCH($A358,'PEER GROUP'!$A:$A,0))</f>
        <v>0</v>
      </c>
      <c r="L358" s="70">
        <f>INDEX('PEER GROUP'!M:M,MATCH($A358,'PEER GROUP'!$A:$A,0))</f>
        <v>0</v>
      </c>
      <c r="M358" s="86">
        <f>INDEX('PEER GROUP'!N:N,MATCH($A358,'PEER GROUP'!$A:$A,0))</f>
        <v>0</v>
      </c>
      <c r="N358" s="118"/>
      <c r="O358" s="115"/>
      <c r="P358" s="117"/>
      <c r="Q358" s="87"/>
      <c r="R358" s="87">
        <f t="shared" si="110"/>
        <v>0</v>
      </c>
      <c r="S358" s="87"/>
      <c r="T358" s="87"/>
      <c r="U358" s="87"/>
      <c r="V358" s="87">
        <f t="shared" si="111"/>
        <v>0</v>
      </c>
      <c r="W358" s="113">
        <f t="shared" si="108"/>
        <v>36.913096727263202</v>
      </c>
      <c r="X358" s="69">
        <f t="shared" si="112"/>
        <v>0</v>
      </c>
      <c r="Y358" s="70">
        <f t="shared" si="113"/>
        <v>0</v>
      </c>
      <c r="Z358" s="70">
        <f t="shared" si="114"/>
        <v>0</v>
      </c>
      <c r="AA358" s="70">
        <f t="shared" si="115"/>
        <v>0</v>
      </c>
      <c r="AB358" s="70">
        <f t="shared" si="116"/>
        <v>0</v>
      </c>
      <c r="AC358" s="70">
        <f t="shared" si="117"/>
        <v>0</v>
      </c>
      <c r="AD358" s="71">
        <f t="shared" si="118"/>
        <v>0</v>
      </c>
      <c r="AE358" s="49"/>
      <c r="AF358" s="21"/>
      <c r="AG358" s="69"/>
      <c r="AH358" s="70"/>
      <c r="AI358" s="70"/>
      <c r="AJ358" s="70"/>
      <c r="AK358" s="70"/>
      <c r="AL358" s="70"/>
      <c r="AM358" s="70"/>
      <c r="AN358" s="70" t="str">
        <f t="shared" si="119"/>
        <v>---</v>
      </c>
      <c r="AO358" s="70" t="str">
        <f t="shared" si="120"/>
        <v>---</v>
      </c>
      <c r="AP358" s="70" t="str">
        <f t="shared" si="121"/>
        <v>---</v>
      </c>
      <c r="AQ358" s="70" t="str">
        <f t="shared" si="122"/>
        <v>---</v>
      </c>
      <c r="AR358" s="70" t="str">
        <f t="shared" si="123"/>
        <v>---</v>
      </c>
      <c r="AS358" s="70" t="str">
        <f t="shared" si="124"/>
        <v>---</v>
      </c>
      <c r="AT358" s="71" t="str">
        <f t="shared" si="125"/>
        <v>---</v>
      </c>
    </row>
    <row r="359" spans="1:46" ht="30" customHeight="1" x14ac:dyDescent="0.3">
      <c r="A359" s="123">
        <f t="shared" si="109"/>
        <v>355</v>
      </c>
      <c r="B359" s="140">
        <f>INDEX('PEER GROUP'!B:B,MATCH($A359,'PEER GROUP'!$A:$A,0))</f>
        <v>0</v>
      </c>
      <c r="C359" s="83">
        <f>INDEX('PEER GROUP'!C:C,MATCH($A359,'PEER GROUP'!$A:$A,0))</f>
        <v>0</v>
      </c>
      <c r="D359" s="83">
        <f>INDEX('PEER GROUP'!D:D,MATCH($A359,'PEER GROUP'!$A:$A,0))</f>
        <v>0</v>
      </c>
      <c r="E359" s="83">
        <f>INDEX('PEER GROUP'!E:E,MATCH(A359,'PEER GROUP'!$A:$A,0))</f>
        <v>0</v>
      </c>
      <c r="F359" s="84">
        <f>INDEX('PEER GROUP'!F:F,MATCH($A359,'PEER GROUP'!$A:$A,0))</f>
        <v>0</v>
      </c>
      <c r="G359" s="84">
        <f>INDEX('PEER GROUP'!G:G,MATCH($A359,'PEER GROUP'!$A:$A,0))</f>
        <v>0</v>
      </c>
      <c r="H359" s="85"/>
      <c r="I359" s="85"/>
      <c r="J359" s="70">
        <f>INDEX('PEER GROUP'!K:K,MATCH($A359,'PEER GROUP'!$A:$A,0))</f>
        <v>0</v>
      </c>
      <c r="K359" s="70">
        <f>INDEX('PEER GROUP'!L:L,MATCH($A359,'PEER GROUP'!$A:$A,0))</f>
        <v>0</v>
      </c>
      <c r="L359" s="70">
        <f>INDEX('PEER GROUP'!M:M,MATCH($A359,'PEER GROUP'!$A:$A,0))</f>
        <v>0</v>
      </c>
      <c r="M359" s="86">
        <f>INDEX('PEER GROUP'!N:N,MATCH($A359,'PEER GROUP'!$A:$A,0))</f>
        <v>0</v>
      </c>
      <c r="N359" s="118"/>
      <c r="O359" s="115"/>
      <c r="P359" s="117"/>
      <c r="Q359" s="87"/>
      <c r="R359" s="87">
        <f t="shared" si="110"/>
        <v>0</v>
      </c>
      <c r="S359" s="87"/>
      <c r="T359" s="87"/>
      <c r="U359" s="87"/>
      <c r="V359" s="87">
        <f t="shared" si="111"/>
        <v>0</v>
      </c>
      <c r="W359" s="113">
        <f t="shared" si="108"/>
        <v>36.913096727263202</v>
      </c>
      <c r="X359" s="69">
        <f t="shared" si="112"/>
        <v>0</v>
      </c>
      <c r="Y359" s="70">
        <f t="shared" si="113"/>
        <v>0</v>
      </c>
      <c r="Z359" s="70">
        <f t="shared" si="114"/>
        <v>0</v>
      </c>
      <c r="AA359" s="70">
        <f t="shared" si="115"/>
        <v>0</v>
      </c>
      <c r="AB359" s="70">
        <f t="shared" si="116"/>
        <v>0</v>
      </c>
      <c r="AC359" s="70">
        <f t="shared" si="117"/>
        <v>0</v>
      </c>
      <c r="AD359" s="71">
        <f t="shared" si="118"/>
        <v>0</v>
      </c>
      <c r="AE359" s="49"/>
      <c r="AF359" s="21"/>
      <c r="AG359" s="69"/>
      <c r="AH359" s="70"/>
      <c r="AI359" s="70"/>
      <c r="AJ359" s="70"/>
      <c r="AK359" s="70"/>
      <c r="AL359" s="70"/>
      <c r="AM359" s="70"/>
      <c r="AN359" s="70" t="str">
        <f t="shared" si="119"/>
        <v>---</v>
      </c>
      <c r="AO359" s="70" t="str">
        <f t="shared" si="120"/>
        <v>---</v>
      </c>
      <c r="AP359" s="70" t="str">
        <f t="shared" si="121"/>
        <v>---</v>
      </c>
      <c r="AQ359" s="70" t="str">
        <f t="shared" si="122"/>
        <v>---</v>
      </c>
      <c r="AR359" s="70" t="str">
        <f t="shared" si="123"/>
        <v>---</v>
      </c>
      <c r="AS359" s="70" t="str">
        <f t="shared" si="124"/>
        <v>---</v>
      </c>
      <c r="AT359" s="71" t="str">
        <f t="shared" si="125"/>
        <v>---</v>
      </c>
    </row>
    <row r="360" spans="1:46" ht="30" customHeight="1" x14ac:dyDescent="0.3">
      <c r="A360" s="123">
        <f t="shared" si="109"/>
        <v>356</v>
      </c>
      <c r="B360" s="140">
        <f>INDEX('PEER GROUP'!B:B,MATCH($A360,'PEER GROUP'!$A:$A,0))</f>
        <v>0</v>
      </c>
      <c r="C360" s="83">
        <f>INDEX('PEER GROUP'!C:C,MATCH($A360,'PEER GROUP'!$A:$A,0))</f>
        <v>0</v>
      </c>
      <c r="D360" s="83">
        <f>INDEX('PEER GROUP'!D:D,MATCH($A360,'PEER GROUP'!$A:$A,0))</f>
        <v>0</v>
      </c>
      <c r="E360" s="83">
        <f>INDEX('PEER GROUP'!E:E,MATCH(A360,'PEER GROUP'!$A:$A,0))</f>
        <v>0</v>
      </c>
      <c r="F360" s="84">
        <f>INDEX('PEER GROUP'!F:F,MATCH($A360,'PEER GROUP'!$A:$A,0))</f>
        <v>0</v>
      </c>
      <c r="G360" s="84">
        <f>INDEX('PEER GROUP'!G:G,MATCH($A360,'PEER GROUP'!$A:$A,0))</f>
        <v>0</v>
      </c>
      <c r="H360" s="85"/>
      <c r="I360" s="85"/>
      <c r="J360" s="70">
        <f>INDEX('PEER GROUP'!K:K,MATCH($A360,'PEER GROUP'!$A:$A,0))</f>
        <v>0</v>
      </c>
      <c r="K360" s="70">
        <f>INDEX('PEER GROUP'!L:L,MATCH($A360,'PEER GROUP'!$A:$A,0))</f>
        <v>0</v>
      </c>
      <c r="L360" s="70">
        <f>INDEX('PEER GROUP'!M:M,MATCH($A360,'PEER GROUP'!$A:$A,0))</f>
        <v>0</v>
      </c>
      <c r="M360" s="86">
        <f>INDEX('PEER GROUP'!N:N,MATCH($A360,'PEER GROUP'!$A:$A,0))</f>
        <v>0</v>
      </c>
      <c r="N360" s="118"/>
      <c r="O360" s="115"/>
      <c r="P360" s="117"/>
      <c r="Q360" s="87"/>
      <c r="R360" s="87">
        <f t="shared" si="110"/>
        <v>0</v>
      </c>
      <c r="S360" s="87"/>
      <c r="T360" s="87"/>
      <c r="U360" s="87"/>
      <c r="V360" s="87">
        <f t="shared" si="111"/>
        <v>0</v>
      </c>
      <c r="W360" s="113">
        <f t="shared" si="108"/>
        <v>36.913096727263202</v>
      </c>
      <c r="X360" s="69">
        <f t="shared" si="112"/>
        <v>0</v>
      </c>
      <c r="Y360" s="70">
        <f t="shared" si="113"/>
        <v>0</v>
      </c>
      <c r="Z360" s="70">
        <f t="shared" si="114"/>
        <v>0</v>
      </c>
      <c r="AA360" s="70">
        <f t="shared" si="115"/>
        <v>0</v>
      </c>
      <c r="AB360" s="70">
        <f t="shared" si="116"/>
        <v>0</v>
      </c>
      <c r="AC360" s="70">
        <f t="shared" si="117"/>
        <v>0</v>
      </c>
      <c r="AD360" s="71">
        <f t="shared" si="118"/>
        <v>0</v>
      </c>
      <c r="AE360" s="49"/>
      <c r="AF360" s="21"/>
      <c r="AG360" s="69"/>
      <c r="AH360" s="70"/>
      <c r="AI360" s="70"/>
      <c r="AJ360" s="70"/>
      <c r="AK360" s="70"/>
      <c r="AL360" s="70"/>
      <c r="AM360" s="70"/>
      <c r="AN360" s="70" t="str">
        <f t="shared" si="119"/>
        <v>---</v>
      </c>
      <c r="AO360" s="70" t="str">
        <f t="shared" si="120"/>
        <v>---</v>
      </c>
      <c r="AP360" s="70" t="str">
        <f t="shared" si="121"/>
        <v>---</v>
      </c>
      <c r="AQ360" s="70" t="str">
        <f t="shared" si="122"/>
        <v>---</v>
      </c>
      <c r="AR360" s="70" t="str">
        <f t="shared" si="123"/>
        <v>---</v>
      </c>
      <c r="AS360" s="70" t="str">
        <f t="shared" si="124"/>
        <v>---</v>
      </c>
      <c r="AT360" s="71" t="str">
        <f t="shared" si="125"/>
        <v>---</v>
      </c>
    </row>
    <row r="361" spans="1:46" ht="30" customHeight="1" x14ac:dyDescent="0.3">
      <c r="A361" s="123">
        <f t="shared" si="109"/>
        <v>357</v>
      </c>
      <c r="B361" s="140">
        <f>INDEX('PEER GROUP'!B:B,MATCH($A361,'PEER GROUP'!$A:$A,0))</f>
        <v>0</v>
      </c>
      <c r="C361" s="83">
        <f>INDEX('PEER GROUP'!C:C,MATCH($A361,'PEER GROUP'!$A:$A,0))</f>
        <v>0</v>
      </c>
      <c r="D361" s="83">
        <f>INDEX('PEER GROUP'!D:D,MATCH($A361,'PEER GROUP'!$A:$A,0))</f>
        <v>0</v>
      </c>
      <c r="E361" s="83">
        <f>INDEX('PEER GROUP'!E:E,MATCH(A361,'PEER GROUP'!$A:$A,0))</f>
        <v>0</v>
      </c>
      <c r="F361" s="84">
        <f>INDEX('PEER GROUP'!F:F,MATCH($A361,'PEER GROUP'!$A:$A,0))</f>
        <v>0</v>
      </c>
      <c r="G361" s="84">
        <f>INDEX('PEER GROUP'!G:G,MATCH($A361,'PEER GROUP'!$A:$A,0))</f>
        <v>0</v>
      </c>
      <c r="H361" s="85"/>
      <c r="I361" s="85"/>
      <c r="J361" s="70">
        <f>INDEX('PEER GROUP'!K:K,MATCH($A361,'PEER GROUP'!$A:$A,0))</f>
        <v>0</v>
      </c>
      <c r="K361" s="70">
        <f>INDEX('PEER GROUP'!L:L,MATCH($A361,'PEER GROUP'!$A:$A,0))</f>
        <v>0</v>
      </c>
      <c r="L361" s="70">
        <f>INDEX('PEER GROUP'!M:M,MATCH($A361,'PEER GROUP'!$A:$A,0))</f>
        <v>0</v>
      </c>
      <c r="M361" s="86">
        <f>INDEX('PEER GROUP'!N:N,MATCH($A361,'PEER GROUP'!$A:$A,0))</f>
        <v>0</v>
      </c>
      <c r="N361" s="118"/>
      <c r="O361" s="115"/>
      <c r="P361" s="117"/>
      <c r="Q361" s="87"/>
      <c r="R361" s="87">
        <f t="shared" si="110"/>
        <v>0</v>
      </c>
      <c r="S361" s="87"/>
      <c r="T361" s="87"/>
      <c r="U361" s="87"/>
      <c r="V361" s="87">
        <f t="shared" si="111"/>
        <v>0</v>
      </c>
      <c r="W361" s="113">
        <f t="shared" si="108"/>
        <v>36.913096727263202</v>
      </c>
      <c r="X361" s="69">
        <f t="shared" si="112"/>
        <v>0</v>
      </c>
      <c r="Y361" s="70">
        <f t="shared" si="113"/>
        <v>0</v>
      </c>
      <c r="Z361" s="70">
        <f t="shared" si="114"/>
        <v>0</v>
      </c>
      <c r="AA361" s="70">
        <f t="shared" si="115"/>
        <v>0</v>
      </c>
      <c r="AB361" s="70">
        <f t="shared" si="116"/>
        <v>0</v>
      </c>
      <c r="AC361" s="70">
        <f t="shared" si="117"/>
        <v>0</v>
      </c>
      <c r="AD361" s="71">
        <f t="shared" si="118"/>
        <v>0</v>
      </c>
      <c r="AE361" s="49"/>
      <c r="AF361" s="21"/>
      <c r="AG361" s="69"/>
      <c r="AH361" s="70"/>
      <c r="AI361" s="70"/>
      <c r="AJ361" s="70"/>
      <c r="AK361" s="70"/>
      <c r="AL361" s="70"/>
      <c r="AM361" s="70"/>
      <c r="AN361" s="70" t="str">
        <f t="shared" si="119"/>
        <v>---</v>
      </c>
      <c r="AO361" s="70" t="str">
        <f t="shared" si="120"/>
        <v>---</v>
      </c>
      <c r="AP361" s="70" t="str">
        <f t="shared" si="121"/>
        <v>---</v>
      </c>
      <c r="AQ361" s="70" t="str">
        <f t="shared" si="122"/>
        <v>---</v>
      </c>
      <c r="AR361" s="70" t="str">
        <f t="shared" si="123"/>
        <v>---</v>
      </c>
      <c r="AS361" s="70" t="str">
        <f t="shared" si="124"/>
        <v>---</v>
      </c>
      <c r="AT361" s="71" t="str">
        <f t="shared" si="125"/>
        <v>---</v>
      </c>
    </row>
    <row r="362" spans="1:46" ht="30" customHeight="1" x14ac:dyDescent="0.3">
      <c r="A362" s="123">
        <f t="shared" si="109"/>
        <v>358</v>
      </c>
      <c r="B362" s="140">
        <f>INDEX('PEER GROUP'!B:B,MATCH($A362,'PEER GROUP'!$A:$A,0))</f>
        <v>0</v>
      </c>
      <c r="C362" s="83">
        <f>INDEX('PEER GROUP'!C:C,MATCH($A362,'PEER GROUP'!$A:$A,0))</f>
        <v>0</v>
      </c>
      <c r="D362" s="83">
        <f>INDEX('PEER GROUP'!D:D,MATCH($A362,'PEER GROUP'!$A:$A,0))</f>
        <v>0</v>
      </c>
      <c r="E362" s="83">
        <f>INDEX('PEER GROUP'!E:E,MATCH(A362,'PEER GROUP'!$A:$A,0))</f>
        <v>0</v>
      </c>
      <c r="F362" s="84">
        <f>INDEX('PEER GROUP'!F:F,MATCH($A362,'PEER GROUP'!$A:$A,0))</f>
        <v>0</v>
      </c>
      <c r="G362" s="84">
        <f>INDEX('PEER GROUP'!G:G,MATCH($A362,'PEER GROUP'!$A:$A,0))</f>
        <v>0</v>
      </c>
      <c r="H362" s="85"/>
      <c r="I362" s="85"/>
      <c r="J362" s="70">
        <f>INDEX('PEER GROUP'!K:K,MATCH($A362,'PEER GROUP'!$A:$A,0))</f>
        <v>0</v>
      </c>
      <c r="K362" s="70">
        <f>INDEX('PEER GROUP'!L:L,MATCH($A362,'PEER GROUP'!$A:$A,0))</f>
        <v>0</v>
      </c>
      <c r="L362" s="70">
        <f>INDEX('PEER GROUP'!M:M,MATCH($A362,'PEER GROUP'!$A:$A,0))</f>
        <v>0</v>
      </c>
      <c r="M362" s="86">
        <f>INDEX('PEER GROUP'!N:N,MATCH($A362,'PEER GROUP'!$A:$A,0))</f>
        <v>0</v>
      </c>
      <c r="N362" s="118"/>
      <c r="O362" s="115"/>
      <c r="P362" s="117"/>
      <c r="Q362" s="87"/>
      <c r="R362" s="87">
        <f t="shared" si="110"/>
        <v>0</v>
      </c>
      <c r="S362" s="87"/>
      <c r="T362" s="87"/>
      <c r="U362" s="87"/>
      <c r="V362" s="87">
        <f t="shared" si="111"/>
        <v>0</v>
      </c>
      <c r="W362" s="113">
        <f t="shared" si="108"/>
        <v>36.913096727263202</v>
      </c>
      <c r="X362" s="69">
        <f t="shared" si="112"/>
        <v>0</v>
      </c>
      <c r="Y362" s="70">
        <f t="shared" si="113"/>
        <v>0</v>
      </c>
      <c r="Z362" s="70">
        <f t="shared" si="114"/>
        <v>0</v>
      </c>
      <c r="AA362" s="70">
        <f t="shared" si="115"/>
        <v>0</v>
      </c>
      <c r="AB362" s="70">
        <f t="shared" si="116"/>
        <v>0</v>
      </c>
      <c r="AC362" s="70">
        <f t="shared" si="117"/>
        <v>0</v>
      </c>
      <c r="AD362" s="71">
        <f t="shared" si="118"/>
        <v>0</v>
      </c>
      <c r="AE362" s="49"/>
      <c r="AF362" s="21"/>
      <c r="AG362" s="69"/>
      <c r="AH362" s="70"/>
      <c r="AI362" s="70"/>
      <c r="AJ362" s="70"/>
      <c r="AK362" s="70"/>
      <c r="AL362" s="70"/>
      <c r="AM362" s="70"/>
      <c r="AN362" s="70" t="str">
        <f t="shared" si="119"/>
        <v>---</v>
      </c>
      <c r="AO362" s="70" t="str">
        <f t="shared" si="120"/>
        <v>---</v>
      </c>
      <c r="AP362" s="70" t="str">
        <f t="shared" si="121"/>
        <v>---</v>
      </c>
      <c r="AQ362" s="70" t="str">
        <f t="shared" si="122"/>
        <v>---</v>
      </c>
      <c r="AR362" s="70" t="str">
        <f t="shared" si="123"/>
        <v>---</v>
      </c>
      <c r="AS362" s="70" t="str">
        <f t="shared" si="124"/>
        <v>---</v>
      </c>
      <c r="AT362" s="71" t="str">
        <f t="shared" si="125"/>
        <v>---</v>
      </c>
    </row>
    <row r="363" spans="1:46" ht="30" customHeight="1" x14ac:dyDescent="0.3">
      <c r="A363" s="123">
        <f t="shared" si="109"/>
        <v>359</v>
      </c>
      <c r="B363" s="140">
        <f>INDEX('PEER GROUP'!B:B,MATCH($A363,'PEER GROUP'!$A:$A,0))</f>
        <v>0</v>
      </c>
      <c r="C363" s="83">
        <f>INDEX('PEER GROUP'!C:C,MATCH($A363,'PEER GROUP'!$A:$A,0))</f>
        <v>0</v>
      </c>
      <c r="D363" s="83">
        <f>INDEX('PEER GROUP'!D:D,MATCH($A363,'PEER GROUP'!$A:$A,0))</f>
        <v>0</v>
      </c>
      <c r="E363" s="83">
        <f>INDEX('PEER GROUP'!E:E,MATCH(A363,'PEER GROUP'!$A:$A,0))</f>
        <v>0</v>
      </c>
      <c r="F363" s="84">
        <f>INDEX('PEER GROUP'!F:F,MATCH($A363,'PEER GROUP'!$A:$A,0))</f>
        <v>0</v>
      </c>
      <c r="G363" s="84">
        <f>INDEX('PEER GROUP'!G:G,MATCH($A363,'PEER GROUP'!$A:$A,0))</f>
        <v>0</v>
      </c>
      <c r="H363" s="85"/>
      <c r="I363" s="85"/>
      <c r="J363" s="70">
        <f>INDEX('PEER GROUP'!K:K,MATCH($A363,'PEER GROUP'!$A:$A,0))</f>
        <v>0</v>
      </c>
      <c r="K363" s="70">
        <f>INDEX('PEER GROUP'!L:L,MATCH($A363,'PEER GROUP'!$A:$A,0))</f>
        <v>0</v>
      </c>
      <c r="L363" s="70">
        <f>INDEX('PEER GROUP'!M:M,MATCH($A363,'PEER GROUP'!$A:$A,0))</f>
        <v>0</v>
      </c>
      <c r="M363" s="86">
        <f>INDEX('PEER GROUP'!N:N,MATCH($A363,'PEER GROUP'!$A:$A,0))</f>
        <v>0</v>
      </c>
      <c r="N363" s="118"/>
      <c r="O363" s="115"/>
      <c r="P363" s="117"/>
      <c r="Q363" s="87"/>
      <c r="R363" s="87">
        <f t="shared" si="110"/>
        <v>0</v>
      </c>
      <c r="S363" s="87"/>
      <c r="T363" s="87"/>
      <c r="U363" s="87"/>
      <c r="V363" s="87">
        <f t="shared" si="111"/>
        <v>0</v>
      </c>
      <c r="W363" s="113">
        <f t="shared" si="108"/>
        <v>36.913096727263202</v>
      </c>
      <c r="X363" s="69">
        <f t="shared" si="112"/>
        <v>0</v>
      </c>
      <c r="Y363" s="70">
        <f t="shared" si="113"/>
        <v>0</v>
      </c>
      <c r="Z363" s="70">
        <f t="shared" si="114"/>
        <v>0</v>
      </c>
      <c r="AA363" s="70">
        <f t="shared" si="115"/>
        <v>0</v>
      </c>
      <c r="AB363" s="70">
        <f t="shared" si="116"/>
        <v>0</v>
      </c>
      <c r="AC363" s="70">
        <f t="shared" si="117"/>
        <v>0</v>
      </c>
      <c r="AD363" s="71">
        <f t="shared" si="118"/>
        <v>0</v>
      </c>
      <c r="AE363" s="49"/>
      <c r="AF363" s="21"/>
      <c r="AG363" s="69"/>
      <c r="AH363" s="70"/>
      <c r="AI363" s="70"/>
      <c r="AJ363" s="70"/>
      <c r="AK363" s="70"/>
      <c r="AL363" s="70"/>
      <c r="AM363" s="70"/>
      <c r="AN363" s="70" t="str">
        <f t="shared" si="119"/>
        <v>---</v>
      </c>
      <c r="AO363" s="70" t="str">
        <f t="shared" si="120"/>
        <v>---</v>
      </c>
      <c r="AP363" s="70" t="str">
        <f t="shared" si="121"/>
        <v>---</v>
      </c>
      <c r="AQ363" s="70" t="str">
        <f t="shared" si="122"/>
        <v>---</v>
      </c>
      <c r="AR363" s="70" t="str">
        <f t="shared" si="123"/>
        <v>---</v>
      </c>
      <c r="AS363" s="70" t="str">
        <f t="shared" si="124"/>
        <v>---</v>
      </c>
      <c r="AT363" s="71" t="str">
        <f t="shared" si="125"/>
        <v>---</v>
      </c>
    </row>
    <row r="364" spans="1:46" ht="30" customHeight="1" x14ac:dyDescent="0.3">
      <c r="A364" s="123">
        <f t="shared" si="109"/>
        <v>360</v>
      </c>
      <c r="B364" s="140">
        <f>INDEX('PEER GROUP'!B:B,MATCH($A364,'PEER GROUP'!$A:$A,0))</f>
        <v>0</v>
      </c>
      <c r="C364" s="83">
        <f>INDEX('PEER GROUP'!C:C,MATCH($A364,'PEER GROUP'!$A:$A,0))</f>
        <v>0</v>
      </c>
      <c r="D364" s="83">
        <f>INDEX('PEER GROUP'!D:D,MATCH($A364,'PEER GROUP'!$A:$A,0))</f>
        <v>0</v>
      </c>
      <c r="E364" s="83">
        <f>INDEX('PEER GROUP'!E:E,MATCH(A364,'PEER GROUP'!$A:$A,0))</f>
        <v>0</v>
      </c>
      <c r="F364" s="84">
        <f>INDEX('PEER GROUP'!F:F,MATCH($A364,'PEER GROUP'!$A:$A,0))</f>
        <v>0</v>
      </c>
      <c r="G364" s="84">
        <f>INDEX('PEER GROUP'!G:G,MATCH($A364,'PEER GROUP'!$A:$A,0))</f>
        <v>0</v>
      </c>
      <c r="H364" s="85"/>
      <c r="I364" s="85"/>
      <c r="J364" s="70">
        <f>INDEX('PEER GROUP'!K:K,MATCH($A364,'PEER GROUP'!$A:$A,0))</f>
        <v>0</v>
      </c>
      <c r="K364" s="70">
        <f>INDEX('PEER GROUP'!L:L,MATCH($A364,'PEER GROUP'!$A:$A,0))</f>
        <v>0</v>
      </c>
      <c r="L364" s="70">
        <f>INDEX('PEER GROUP'!M:M,MATCH($A364,'PEER GROUP'!$A:$A,0))</f>
        <v>0</v>
      </c>
      <c r="M364" s="86">
        <f>INDEX('PEER GROUP'!N:N,MATCH($A364,'PEER GROUP'!$A:$A,0))</f>
        <v>0</v>
      </c>
      <c r="N364" s="118"/>
      <c r="O364" s="115"/>
      <c r="P364" s="117"/>
      <c r="Q364" s="87"/>
      <c r="R364" s="87">
        <f t="shared" si="110"/>
        <v>0</v>
      </c>
      <c r="S364" s="87"/>
      <c r="T364" s="87"/>
      <c r="U364" s="87"/>
      <c r="V364" s="87">
        <f t="shared" si="111"/>
        <v>0</v>
      </c>
      <c r="W364" s="113">
        <f t="shared" si="108"/>
        <v>36.913096727263202</v>
      </c>
      <c r="X364" s="69">
        <f t="shared" si="112"/>
        <v>0</v>
      </c>
      <c r="Y364" s="70">
        <f t="shared" si="113"/>
        <v>0</v>
      </c>
      <c r="Z364" s="70">
        <f t="shared" si="114"/>
        <v>0</v>
      </c>
      <c r="AA364" s="70">
        <f t="shared" si="115"/>
        <v>0</v>
      </c>
      <c r="AB364" s="70">
        <f t="shared" si="116"/>
        <v>0</v>
      </c>
      <c r="AC364" s="70">
        <f t="shared" si="117"/>
        <v>0</v>
      </c>
      <c r="AD364" s="71">
        <f t="shared" si="118"/>
        <v>0</v>
      </c>
      <c r="AE364" s="49"/>
      <c r="AF364" s="21"/>
      <c r="AG364" s="69"/>
      <c r="AH364" s="70"/>
      <c r="AI364" s="70"/>
      <c r="AJ364" s="70"/>
      <c r="AK364" s="70"/>
      <c r="AL364" s="70"/>
      <c r="AM364" s="70"/>
      <c r="AN364" s="70" t="str">
        <f t="shared" si="119"/>
        <v>---</v>
      </c>
      <c r="AO364" s="70" t="str">
        <f t="shared" si="120"/>
        <v>---</v>
      </c>
      <c r="AP364" s="70" t="str">
        <f t="shared" si="121"/>
        <v>---</v>
      </c>
      <c r="AQ364" s="70" t="str">
        <f t="shared" si="122"/>
        <v>---</v>
      </c>
      <c r="AR364" s="70" t="str">
        <f t="shared" si="123"/>
        <v>---</v>
      </c>
      <c r="AS364" s="70" t="str">
        <f t="shared" si="124"/>
        <v>---</v>
      </c>
      <c r="AT364" s="71" t="str">
        <f t="shared" si="125"/>
        <v>---</v>
      </c>
    </row>
    <row r="365" spans="1:46" ht="30" customHeight="1" x14ac:dyDescent="0.3">
      <c r="A365" s="123">
        <f t="shared" si="109"/>
        <v>361</v>
      </c>
      <c r="B365" s="140">
        <f>INDEX('PEER GROUP'!B:B,MATCH($A365,'PEER GROUP'!$A:$A,0))</f>
        <v>0</v>
      </c>
      <c r="C365" s="83">
        <f>INDEX('PEER GROUP'!C:C,MATCH($A365,'PEER GROUP'!$A:$A,0))</f>
        <v>0</v>
      </c>
      <c r="D365" s="83">
        <f>INDEX('PEER GROUP'!D:D,MATCH($A365,'PEER GROUP'!$A:$A,0))</f>
        <v>0</v>
      </c>
      <c r="E365" s="83">
        <f>INDEX('PEER GROUP'!E:E,MATCH(A365,'PEER GROUP'!$A:$A,0))</f>
        <v>0</v>
      </c>
      <c r="F365" s="84">
        <f>INDEX('PEER GROUP'!F:F,MATCH($A365,'PEER GROUP'!$A:$A,0))</f>
        <v>0</v>
      </c>
      <c r="G365" s="84">
        <f>INDEX('PEER GROUP'!G:G,MATCH($A365,'PEER GROUP'!$A:$A,0))</f>
        <v>0</v>
      </c>
      <c r="H365" s="85"/>
      <c r="I365" s="85"/>
      <c r="J365" s="70">
        <f>INDEX('PEER GROUP'!K:K,MATCH($A365,'PEER GROUP'!$A:$A,0))</f>
        <v>0</v>
      </c>
      <c r="K365" s="70">
        <f>INDEX('PEER GROUP'!L:L,MATCH($A365,'PEER GROUP'!$A:$A,0))</f>
        <v>0</v>
      </c>
      <c r="L365" s="70">
        <f>INDEX('PEER GROUP'!M:M,MATCH($A365,'PEER GROUP'!$A:$A,0))</f>
        <v>0</v>
      </c>
      <c r="M365" s="86">
        <f>INDEX('PEER GROUP'!N:N,MATCH($A365,'PEER GROUP'!$A:$A,0))</f>
        <v>0</v>
      </c>
      <c r="N365" s="118"/>
      <c r="O365" s="115"/>
      <c r="P365" s="117"/>
      <c r="Q365" s="87"/>
      <c r="R365" s="87">
        <f t="shared" si="110"/>
        <v>0</v>
      </c>
      <c r="S365" s="87"/>
      <c r="T365" s="87"/>
      <c r="U365" s="87"/>
      <c r="V365" s="87">
        <f t="shared" si="111"/>
        <v>0</v>
      </c>
      <c r="W365" s="113">
        <f t="shared" si="108"/>
        <v>36.913096727263202</v>
      </c>
      <c r="X365" s="69">
        <f t="shared" si="112"/>
        <v>0</v>
      </c>
      <c r="Y365" s="70">
        <f t="shared" si="113"/>
        <v>0</v>
      </c>
      <c r="Z365" s="70">
        <f t="shared" si="114"/>
        <v>0</v>
      </c>
      <c r="AA365" s="70">
        <f t="shared" si="115"/>
        <v>0</v>
      </c>
      <c r="AB365" s="70">
        <f t="shared" si="116"/>
        <v>0</v>
      </c>
      <c r="AC365" s="70">
        <f t="shared" si="117"/>
        <v>0</v>
      </c>
      <c r="AD365" s="71">
        <f t="shared" si="118"/>
        <v>0</v>
      </c>
      <c r="AE365" s="49"/>
      <c r="AF365" s="21"/>
      <c r="AG365" s="69"/>
      <c r="AH365" s="70"/>
      <c r="AI365" s="70"/>
      <c r="AJ365" s="70"/>
      <c r="AK365" s="70"/>
      <c r="AL365" s="70"/>
      <c r="AM365" s="70"/>
      <c r="AN365" s="70" t="str">
        <f t="shared" si="119"/>
        <v>---</v>
      </c>
      <c r="AO365" s="70" t="str">
        <f t="shared" si="120"/>
        <v>---</v>
      </c>
      <c r="AP365" s="70" t="str">
        <f t="shared" si="121"/>
        <v>---</v>
      </c>
      <c r="AQ365" s="70" t="str">
        <f t="shared" si="122"/>
        <v>---</v>
      </c>
      <c r="AR365" s="70" t="str">
        <f t="shared" si="123"/>
        <v>---</v>
      </c>
      <c r="AS365" s="70" t="str">
        <f t="shared" si="124"/>
        <v>---</v>
      </c>
      <c r="AT365" s="71" t="str">
        <f t="shared" si="125"/>
        <v>---</v>
      </c>
    </row>
    <row r="366" spans="1:46" ht="30" customHeight="1" x14ac:dyDescent="0.3">
      <c r="A366" s="123">
        <f t="shared" si="109"/>
        <v>362</v>
      </c>
      <c r="B366" s="140">
        <f>INDEX('PEER GROUP'!B:B,MATCH($A366,'PEER GROUP'!$A:$A,0))</f>
        <v>0</v>
      </c>
      <c r="C366" s="83">
        <f>INDEX('PEER GROUP'!C:C,MATCH($A366,'PEER GROUP'!$A:$A,0))</f>
        <v>0</v>
      </c>
      <c r="D366" s="83">
        <f>INDEX('PEER GROUP'!D:D,MATCH($A366,'PEER GROUP'!$A:$A,0))</f>
        <v>0</v>
      </c>
      <c r="E366" s="83">
        <f>INDEX('PEER GROUP'!E:E,MATCH(A366,'PEER GROUP'!$A:$A,0))</f>
        <v>0</v>
      </c>
      <c r="F366" s="84">
        <f>INDEX('PEER GROUP'!F:F,MATCH($A366,'PEER GROUP'!$A:$A,0))</f>
        <v>0</v>
      </c>
      <c r="G366" s="84">
        <f>INDEX('PEER GROUP'!G:G,MATCH($A366,'PEER GROUP'!$A:$A,0))</f>
        <v>0</v>
      </c>
      <c r="H366" s="85"/>
      <c r="I366" s="85"/>
      <c r="J366" s="70">
        <f>INDEX('PEER GROUP'!K:K,MATCH($A366,'PEER GROUP'!$A:$A,0))</f>
        <v>0</v>
      </c>
      <c r="K366" s="70">
        <f>INDEX('PEER GROUP'!L:L,MATCH($A366,'PEER GROUP'!$A:$A,0))</f>
        <v>0</v>
      </c>
      <c r="L366" s="70">
        <f>INDEX('PEER GROUP'!M:M,MATCH($A366,'PEER GROUP'!$A:$A,0))</f>
        <v>0</v>
      </c>
      <c r="M366" s="86">
        <f>INDEX('PEER GROUP'!N:N,MATCH($A366,'PEER GROUP'!$A:$A,0))</f>
        <v>0</v>
      </c>
      <c r="N366" s="118"/>
      <c r="O366" s="115"/>
      <c r="P366" s="117"/>
      <c r="Q366" s="87"/>
      <c r="R366" s="87">
        <f t="shared" si="110"/>
        <v>0</v>
      </c>
      <c r="S366" s="87"/>
      <c r="T366" s="87"/>
      <c r="U366" s="87"/>
      <c r="V366" s="87">
        <f t="shared" si="111"/>
        <v>0</v>
      </c>
      <c r="W366" s="113">
        <f t="shared" si="108"/>
        <v>36.913096727263202</v>
      </c>
      <c r="X366" s="69">
        <f t="shared" si="112"/>
        <v>0</v>
      </c>
      <c r="Y366" s="70">
        <f t="shared" si="113"/>
        <v>0</v>
      </c>
      <c r="Z366" s="70">
        <f t="shared" si="114"/>
        <v>0</v>
      </c>
      <c r="AA366" s="70">
        <f t="shared" si="115"/>
        <v>0</v>
      </c>
      <c r="AB366" s="70">
        <f t="shared" si="116"/>
        <v>0</v>
      </c>
      <c r="AC366" s="70">
        <f t="shared" si="117"/>
        <v>0</v>
      </c>
      <c r="AD366" s="71">
        <f t="shared" si="118"/>
        <v>0</v>
      </c>
      <c r="AE366" s="49"/>
      <c r="AF366" s="21"/>
      <c r="AG366" s="69"/>
      <c r="AH366" s="70"/>
      <c r="AI366" s="70"/>
      <c r="AJ366" s="70"/>
      <c r="AK366" s="70"/>
      <c r="AL366" s="70"/>
      <c r="AM366" s="70"/>
      <c r="AN366" s="70" t="str">
        <f t="shared" si="119"/>
        <v>---</v>
      </c>
      <c r="AO366" s="70" t="str">
        <f t="shared" si="120"/>
        <v>---</v>
      </c>
      <c r="AP366" s="70" t="str">
        <f t="shared" si="121"/>
        <v>---</v>
      </c>
      <c r="AQ366" s="70" t="str">
        <f t="shared" si="122"/>
        <v>---</v>
      </c>
      <c r="AR366" s="70" t="str">
        <f t="shared" si="123"/>
        <v>---</v>
      </c>
      <c r="AS366" s="70" t="str">
        <f t="shared" si="124"/>
        <v>---</v>
      </c>
      <c r="AT366" s="71" t="str">
        <f t="shared" si="125"/>
        <v>---</v>
      </c>
    </row>
    <row r="367" spans="1:46" ht="30" customHeight="1" x14ac:dyDescent="0.3">
      <c r="A367" s="123">
        <f t="shared" si="109"/>
        <v>363</v>
      </c>
      <c r="B367" s="140">
        <f>INDEX('PEER GROUP'!B:B,MATCH($A367,'PEER GROUP'!$A:$A,0))</f>
        <v>0</v>
      </c>
      <c r="C367" s="83">
        <f>INDEX('PEER GROUP'!C:C,MATCH($A367,'PEER GROUP'!$A:$A,0))</f>
        <v>0</v>
      </c>
      <c r="D367" s="83">
        <f>INDEX('PEER GROUP'!D:D,MATCH($A367,'PEER GROUP'!$A:$A,0))</f>
        <v>0</v>
      </c>
      <c r="E367" s="83">
        <f>INDEX('PEER GROUP'!E:E,MATCH(A367,'PEER GROUP'!$A:$A,0))</f>
        <v>0</v>
      </c>
      <c r="F367" s="84">
        <f>INDEX('PEER GROUP'!F:F,MATCH($A367,'PEER GROUP'!$A:$A,0))</f>
        <v>0</v>
      </c>
      <c r="G367" s="84">
        <f>INDEX('PEER GROUP'!G:G,MATCH($A367,'PEER GROUP'!$A:$A,0))</f>
        <v>0</v>
      </c>
      <c r="H367" s="85"/>
      <c r="I367" s="85"/>
      <c r="J367" s="70">
        <f>INDEX('PEER GROUP'!K:K,MATCH($A367,'PEER GROUP'!$A:$A,0))</f>
        <v>0</v>
      </c>
      <c r="K367" s="70">
        <f>INDEX('PEER GROUP'!L:L,MATCH($A367,'PEER GROUP'!$A:$A,0))</f>
        <v>0</v>
      </c>
      <c r="L367" s="70">
        <f>INDEX('PEER GROUP'!M:M,MATCH($A367,'PEER GROUP'!$A:$A,0))</f>
        <v>0</v>
      </c>
      <c r="M367" s="86">
        <f>INDEX('PEER GROUP'!N:N,MATCH($A367,'PEER GROUP'!$A:$A,0))</f>
        <v>0</v>
      </c>
      <c r="N367" s="118"/>
      <c r="O367" s="115"/>
      <c r="P367" s="117"/>
      <c r="Q367" s="87"/>
      <c r="R367" s="87">
        <f t="shared" si="110"/>
        <v>0</v>
      </c>
      <c r="S367" s="87"/>
      <c r="T367" s="87"/>
      <c r="U367" s="87"/>
      <c r="V367" s="87">
        <f t="shared" si="111"/>
        <v>0</v>
      </c>
      <c r="W367" s="113">
        <f t="shared" si="108"/>
        <v>36.913096727263202</v>
      </c>
      <c r="X367" s="69">
        <f t="shared" si="112"/>
        <v>0</v>
      </c>
      <c r="Y367" s="70">
        <f t="shared" si="113"/>
        <v>0</v>
      </c>
      <c r="Z367" s="70">
        <f t="shared" si="114"/>
        <v>0</v>
      </c>
      <c r="AA367" s="70">
        <f t="shared" si="115"/>
        <v>0</v>
      </c>
      <c r="AB367" s="70">
        <f t="shared" si="116"/>
        <v>0</v>
      </c>
      <c r="AC367" s="70">
        <f t="shared" si="117"/>
        <v>0</v>
      </c>
      <c r="AD367" s="71">
        <f t="shared" si="118"/>
        <v>0</v>
      </c>
      <c r="AE367" s="49"/>
      <c r="AF367" s="21"/>
      <c r="AG367" s="69"/>
      <c r="AH367" s="70"/>
      <c r="AI367" s="70"/>
      <c r="AJ367" s="70"/>
      <c r="AK367" s="70"/>
      <c r="AL367" s="70"/>
      <c r="AM367" s="70"/>
      <c r="AN367" s="70" t="str">
        <f t="shared" si="119"/>
        <v>---</v>
      </c>
      <c r="AO367" s="70" t="str">
        <f t="shared" si="120"/>
        <v>---</v>
      </c>
      <c r="AP367" s="70" t="str">
        <f t="shared" si="121"/>
        <v>---</v>
      </c>
      <c r="AQ367" s="70" t="str">
        <f t="shared" si="122"/>
        <v>---</v>
      </c>
      <c r="AR367" s="70" t="str">
        <f t="shared" si="123"/>
        <v>---</v>
      </c>
      <c r="AS367" s="70" t="str">
        <f t="shared" si="124"/>
        <v>---</v>
      </c>
      <c r="AT367" s="71" t="str">
        <f t="shared" si="125"/>
        <v>---</v>
      </c>
    </row>
    <row r="368" spans="1:46" ht="30" customHeight="1" x14ac:dyDescent="0.3">
      <c r="A368" s="123">
        <f t="shared" si="109"/>
        <v>364</v>
      </c>
      <c r="B368" s="140">
        <f>INDEX('PEER GROUP'!B:B,MATCH($A368,'PEER GROUP'!$A:$A,0))</f>
        <v>0</v>
      </c>
      <c r="C368" s="83">
        <f>INDEX('PEER GROUP'!C:C,MATCH($A368,'PEER GROUP'!$A:$A,0))</f>
        <v>0</v>
      </c>
      <c r="D368" s="83">
        <f>INDEX('PEER GROUP'!D:D,MATCH($A368,'PEER GROUP'!$A:$A,0))</f>
        <v>0</v>
      </c>
      <c r="E368" s="83">
        <f>INDEX('PEER GROUP'!E:E,MATCH(A368,'PEER GROUP'!$A:$A,0))</f>
        <v>0</v>
      </c>
      <c r="F368" s="84">
        <f>INDEX('PEER GROUP'!F:F,MATCH($A368,'PEER GROUP'!$A:$A,0))</f>
        <v>0</v>
      </c>
      <c r="G368" s="84">
        <f>INDEX('PEER GROUP'!G:G,MATCH($A368,'PEER GROUP'!$A:$A,0))</f>
        <v>0</v>
      </c>
      <c r="H368" s="85"/>
      <c r="I368" s="85"/>
      <c r="J368" s="70">
        <f>INDEX('PEER GROUP'!K:K,MATCH($A368,'PEER GROUP'!$A:$A,0))</f>
        <v>0</v>
      </c>
      <c r="K368" s="70">
        <f>INDEX('PEER GROUP'!L:L,MATCH($A368,'PEER GROUP'!$A:$A,0))</f>
        <v>0</v>
      </c>
      <c r="L368" s="70">
        <f>INDEX('PEER GROUP'!M:M,MATCH($A368,'PEER GROUP'!$A:$A,0))</f>
        <v>0</v>
      </c>
      <c r="M368" s="86">
        <f>INDEX('PEER GROUP'!N:N,MATCH($A368,'PEER GROUP'!$A:$A,0))</f>
        <v>0</v>
      </c>
      <c r="N368" s="118"/>
      <c r="O368" s="115"/>
      <c r="P368" s="117"/>
      <c r="Q368" s="87"/>
      <c r="R368" s="87">
        <f t="shared" si="110"/>
        <v>0</v>
      </c>
      <c r="S368" s="87"/>
      <c r="T368" s="87"/>
      <c r="U368" s="87"/>
      <c r="V368" s="87">
        <f t="shared" si="111"/>
        <v>0</v>
      </c>
      <c r="W368" s="113">
        <f t="shared" si="108"/>
        <v>36.913096727263202</v>
      </c>
      <c r="X368" s="69">
        <f t="shared" si="112"/>
        <v>0</v>
      </c>
      <c r="Y368" s="70">
        <f t="shared" si="113"/>
        <v>0</v>
      </c>
      <c r="Z368" s="70">
        <f t="shared" si="114"/>
        <v>0</v>
      </c>
      <c r="AA368" s="70">
        <f t="shared" si="115"/>
        <v>0</v>
      </c>
      <c r="AB368" s="70">
        <f t="shared" si="116"/>
        <v>0</v>
      </c>
      <c r="AC368" s="70">
        <f t="shared" si="117"/>
        <v>0</v>
      </c>
      <c r="AD368" s="71">
        <f t="shared" si="118"/>
        <v>0</v>
      </c>
      <c r="AE368" s="49"/>
      <c r="AF368" s="21"/>
      <c r="AG368" s="69"/>
      <c r="AH368" s="70"/>
      <c r="AI368" s="70"/>
      <c r="AJ368" s="70"/>
      <c r="AK368" s="70"/>
      <c r="AL368" s="70"/>
      <c r="AM368" s="70"/>
      <c r="AN368" s="70" t="str">
        <f t="shared" si="119"/>
        <v>---</v>
      </c>
      <c r="AO368" s="70" t="str">
        <f t="shared" si="120"/>
        <v>---</v>
      </c>
      <c r="AP368" s="70" t="str">
        <f t="shared" si="121"/>
        <v>---</v>
      </c>
      <c r="AQ368" s="70" t="str">
        <f t="shared" si="122"/>
        <v>---</v>
      </c>
      <c r="AR368" s="70" t="str">
        <f t="shared" si="123"/>
        <v>---</v>
      </c>
      <c r="AS368" s="70" t="str">
        <f t="shared" si="124"/>
        <v>---</v>
      </c>
      <c r="AT368" s="71" t="str">
        <f t="shared" si="125"/>
        <v>---</v>
      </c>
    </row>
    <row r="369" spans="1:46" ht="30" customHeight="1" x14ac:dyDescent="0.3">
      <c r="A369" s="123">
        <f t="shared" si="109"/>
        <v>365</v>
      </c>
      <c r="B369" s="140">
        <f>INDEX('PEER GROUP'!B:B,MATCH($A369,'PEER GROUP'!$A:$A,0))</f>
        <v>0</v>
      </c>
      <c r="C369" s="83">
        <f>INDEX('PEER GROUP'!C:C,MATCH($A369,'PEER GROUP'!$A:$A,0))</f>
        <v>0</v>
      </c>
      <c r="D369" s="83">
        <f>INDEX('PEER GROUP'!D:D,MATCH($A369,'PEER GROUP'!$A:$A,0))</f>
        <v>0</v>
      </c>
      <c r="E369" s="83">
        <f>INDEX('PEER GROUP'!E:E,MATCH(A369,'PEER GROUP'!$A:$A,0))</f>
        <v>0</v>
      </c>
      <c r="F369" s="84">
        <f>INDEX('PEER GROUP'!F:F,MATCH($A369,'PEER GROUP'!$A:$A,0))</f>
        <v>0</v>
      </c>
      <c r="G369" s="84">
        <f>INDEX('PEER GROUP'!G:G,MATCH($A369,'PEER GROUP'!$A:$A,0))</f>
        <v>0</v>
      </c>
      <c r="H369" s="85"/>
      <c r="I369" s="85"/>
      <c r="J369" s="70">
        <f>INDEX('PEER GROUP'!K:K,MATCH($A369,'PEER GROUP'!$A:$A,0))</f>
        <v>0</v>
      </c>
      <c r="K369" s="70">
        <f>INDEX('PEER GROUP'!L:L,MATCH($A369,'PEER GROUP'!$A:$A,0))</f>
        <v>0</v>
      </c>
      <c r="L369" s="70">
        <f>INDEX('PEER GROUP'!M:M,MATCH($A369,'PEER GROUP'!$A:$A,0))</f>
        <v>0</v>
      </c>
      <c r="M369" s="86">
        <f>INDEX('PEER GROUP'!N:N,MATCH($A369,'PEER GROUP'!$A:$A,0))</f>
        <v>0</v>
      </c>
      <c r="N369" s="118"/>
      <c r="O369" s="115"/>
      <c r="P369" s="117"/>
      <c r="Q369" s="87"/>
      <c r="R369" s="87">
        <f t="shared" si="110"/>
        <v>0</v>
      </c>
      <c r="S369" s="87"/>
      <c r="T369" s="87"/>
      <c r="U369" s="87"/>
      <c r="V369" s="87">
        <f t="shared" si="111"/>
        <v>0</v>
      </c>
      <c r="W369" s="113">
        <f t="shared" si="108"/>
        <v>36.913096727263202</v>
      </c>
      <c r="X369" s="69">
        <f t="shared" si="112"/>
        <v>0</v>
      </c>
      <c r="Y369" s="70">
        <f t="shared" si="113"/>
        <v>0</v>
      </c>
      <c r="Z369" s="70">
        <f t="shared" si="114"/>
        <v>0</v>
      </c>
      <c r="AA369" s="70">
        <f t="shared" si="115"/>
        <v>0</v>
      </c>
      <c r="AB369" s="70">
        <f t="shared" si="116"/>
        <v>0</v>
      </c>
      <c r="AC369" s="70">
        <f t="shared" si="117"/>
        <v>0</v>
      </c>
      <c r="AD369" s="71">
        <f t="shared" si="118"/>
        <v>0</v>
      </c>
      <c r="AE369" s="49"/>
      <c r="AF369" s="21"/>
      <c r="AG369" s="69"/>
      <c r="AH369" s="70"/>
      <c r="AI369" s="70"/>
      <c r="AJ369" s="70"/>
      <c r="AK369" s="70"/>
      <c r="AL369" s="70"/>
      <c r="AM369" s="70"/>
      <c r="AN369" s="70" t="str">
        <f t="shared" si="119"/>
        <v>---</v>
      </c>
      <c r="AO369" s="70" t="str">
        <f t="shared" si="120"/>
        <v>---</v>
      </c>
      <c r="AP369" s="70" t="str">
        <f t="shared" si="121"/>
        <v>---</v>
      </c>
      <c r="AQ369" s="70" t="str">
        <f t="shared" si="122"/>
        <v>---</v>
      </c>
      <c r="AR369" s="70" t="str">
        <f t="shared" si="123"/>
        <v>---</v>
      </c>
      <c r="AS369" s="70" t="str">
        <f t="shared" si="124"/>
        <v>---</v>
      </c>
      <c r="AT369" s="71" t="str">
        <f t="shared" si="125"/>
        <v>---</v>
      </c>
    </row>
    <row r="370" spans="1:46" ht="30" customHeight="1" x14ac:dyDescent="0.3">
      <c r="A370" s="123">
        <f t="shared" si="109"/>
        <v>366</v>
      </c>
      <c r="B370" s="140">
        <f>INDEX('PEER GROUP'!B:B,MATCH($A370,'PEER GROUP'!$A:$A,0))</f>
        <v>0</v>
      </c>
      <c r="C370" s="83">
        <f>INDEX('PEER GROUP'!C:C,MATCH($A370,'PEER GROUP'!$A:$A,0))</f>
        <v>0</v>
      </c>
      <c r="D370" s="83">
        <f>INDEX('PEER GROUP'!D:D,MATCH($A370,'PEER GROUP'!$A:$A,0))</f>
        <v>0</v>
      </c>
      <c r="E370" s="83">
        <f>INDEX('PEER GROUP'!E:E,MATCH(A370,'PEER GROUP'!$A:$A,0))</f>
        <v>0</v>
      </c>
      <c r="F370" s="84">
        <f>INDEX('PEER GROUP'!F:F,MATCH($A370,'PEER GROUP'!$A:$A,0))</f>
        <v>0</v>
      </c>
      <c r="G370" s="84">
        <f>INDEX('PEER GROUP'!G:G,MATCH($A370,'PEER GROUP'!$A:$A,0))</f>
        <v>0</v>
      </c>
      <c r="H370" s="85"/>
      <c r="I370" s="85"/>
      <c r="J370" s="70">
        <f>INDEX('PEER GROUP'!K:K,MATCH($A370,'PEER GROUP'!$A:$A,0))</f>
        <v>0</v>
      </c>
      <c r="K370" s="70">
        <f>INDEX('PEER GROUP'!L:L,MATCH($A370,'PEER GROUP'!$A:$A,0))</f>
        <v>0</v>
      </c>
      <c r="L370" s="70">
        <f>INDEX('PEER GROUP'!M:M,MATCH($A370,'PEER GROUP'!$A:$A,0))</f>
        <v>0</v>
      </c>
      <c r="M370" s="86">
        <f>INDEX('PEER GROUP'!N:N,MATCH($A370,'PEER GROUP'!$A:$A,0))</f>
        <v>0</v>
      </c>
      <c r="N370" s="118"/>
      <c r="O370" s="115"/>
      <c r="P370" s="117"/>
      <c r="Q370" s="87"/>
      <c r="R370" s="87">
        <f t="shared" si="110"/>
        <v>0</v>
      </c>
      <c r="S370" s="87"/>
      <c r="T370" s="87"/>
      <c r="U370" s="87"/>
      <c r="V370" s="87">
        <f t="shared" si="111"/>
        <v>0</v>
      </c>
      <c r="W370" s="113">
        <f t="shared" si="108"/>
        <v>36.913096727263202</v>
      </c>
      <c r="X370" s="69">
        <f t="shared" si="112"/>
        <v>0</v>
      </c>
      <c r="Y370" s="70">
        <f t="shared" si="113"/>
        <v>0</v>
      </c>
      <c r="Z370" s="70">
        <f t="shared" si="114"/>
        <v>0</v>
      </c>
      <c r="AA370" s="70">
        <f t="shared" si="115"/>
        <v>0</v>
      </c>
      <c r="AB370" s="70">
        <f t="shared" si="116"/>
        <v>0</v>
      </c>
      <c r="AC370" s="70">
        <f t="shared" si="117"/>
        <v>0</v>
      </c>
      <c r="AD370" s="71">
        <f t="shared" si="118"/>
        <v>0</v>
      </c>
      <c r="AE370" s="49"/>
      <c r="AF370" s="21"/>
      <c r="AG370" s="69"/>
      <c r="AH370" s="70"/>
      <c r="AI370" s="70"/>
      <c r="AJ370" s="70"/>
      <c r="AK370" s="70"/>
      <c r="AL370" s="70"/>
      <c r="AM370" s="70"/>
      <c r="AN370" s="70" t="str">
        <f t="shared" si="119"/>
        <v>---</v>
      </c>
      <c r="AO370" s="70" t="str">
        <f t="shared" si="120"/>
        <v>---</v>
      </c>
      <c r="AP370" s="70" t="str">
        <f t="shared" si="121"/>
        <v>---</v>
      </c>
      <c r="AQ370" s="70" t="str">
        <f t="shared" si="122"/>
        <v>---</v>
      </c>
      <c r="AR370" s="70" t="str">
        <f t="shared" si="123"/>
        <v>---</v>
      </c>
      <c r="AS370" s="70" t="str">
        <f t="shared" si="124"/>
        <v>---</v>
      </c>
      <c r="AT370" s="71" t="str">
        <f t="shared" si="125"/>
        <v>---</v>
      </c>
    </row>
    <row r="371" spans="1:46" ht="30" customHeight="1" x14ac:dyDescent="0.3">
      <c r="A371" s="123">
        <f t="shared" si="109"/>
        <v>367</v>
      </c>
      <c r="B371" s="140">
        <f>INDEX('PEER GROUP'!B:B,MATCH($A371,'PEER GROUP'!$A:$A,0))</f>
        <v>0</v>
      </c>
      <c r="C371" s="83">
        <f>INDEX('PEER GROUP'!C:C,MATCH($A371,'PEER GROUP'!$A:$A,0))</f>
        <v>0</v>
      </c>
      <c r="D371" s="83">
        <f>INDEX('PEER GROUP'!D:D,MATCH($A371,'PEER GROUP'!$A:$A,0))</f>
        <v>0</v>
      </c>
      <c r="E371" s="83">
        <f>INDEX('PEER GROUP'!E:E,MATCH(A371,'PEER GROUP'!$A:$A,0))</f>
        <v>0</v>
      </c>
      <c r="F371" s="84">
        <f>INDEX('PEER GROUP'!F:F,MATCH($A371,'PEER GROUP'!$A:$A,0))</f>
        <v>0</v>
      </c>
      <c r="G371" s="84">
        <f>INDEX('PEER GROUP'!G:G,MATCH($A371,'PEER GROUP'!$A:$A,0))</f>
        <v>0</v>
      </c>
      <c r="H371" s="85"/>
      <c r="I371" s="85"/>
      <c r="J371" s="70">
        <f>INDEX('PEER GROUP'!K:K,MATCH($A371,'PEER GROUP'!$A:$A,0))</f>
        <v>0</v>
      </c>
      <c r="K371" s="70">
        <f>INDEX('PEER GROUP'!L:L,MATCH($A371,'PEER GROUP'!$A:$A,0))</f>
        <v>0</v>
      </c>
      <c r="L371" s="70">
        <f>INDEX('PEER GROUP'!M:M,MATCH($A371,'PEER GROUP'!$A:$A,0))</f>
        <v>0</v>
      </c>
      <c r="M371" s="86">
        <f>INDEX('PEER GROUP'!N:N,MATCH($A371,'PEER GROUP'!$A:$A,0))</f>
        <v>0</v>
      </c>
      <c r="N371" s="118"/>
      <c r="O371" s="115"/>
      <c r="P371" s="117"/>
      <c r="Q371" s="87"/>
      <c r="R371" s="87">
        <f t="shared" si="110"/>
        <v>0</v>
      </c>
      <c r="S371" s="87"/>
      <c r="T371" s="87"/>
      <c r="U371" s="87"/>
      <c r="V371" s="87">
        <f t="shared" si="111"/>
        <v>0</v>
      </c>
      <c r="W371" s="113">
        <f t="shared" si="108"/>
        <v>36.913096727263202</v>
      </c>
      <c r="X371" s="69">
        <f t="shared" si="112"/>
        <v>0</v>
      </c>
      <c r="Y371" s="70">
        <f t="shared" si="113"/>
        <v>0</v>
      </c>
      <c r="Z371" s="70">
        <f t="shared" si="114"/>
        <v>0</v>
      </c>
      <c r="AA371" s="70">
        <f t="shared" si="115"/>
        <v>0</v>
      </c>
      <c r="AB371" s="70">
        <f t="shared" si="116"/>
        <v>0</v>
      </c>
      <c r="AC371" s="70">
        <f t="shared" si="117"/>
        <v>0</v>
      </c>
      <c r="AD371" s="71">
        <f t="shared" si="118"/>
        <v>0</v>
      </c>
      <c r="AE371" s="49"/>
      <c r="AF371" s="21"/>
      <c r="AG371" s="69"/>
      <c r="AH371" s="70"/>
      <c r="AI371" s="70"/>
      <c r="AJ371" s="70"/>
      <c r="AK371" s="70"/>
      <c r="AL371" s="70"/>
      <c r="AM371" s="70"/>
      <c r="AN371" s="70" t="str">
        <f t="shared" si="119"/>
        <v>---</v>
      </c>
      <c r="AO371" s="70" t="str">
        <f t="shared" si="120"/>
        <v>---</v>
      </c>
      <c r="AP371" s="70" t="str">
        <f t="shared" si="121"/>
        <v>---</v>
      </c>
      <c r="AQ371" s="70" t="str">
        <f t="shared" si="122"/>
        <v>---</v>
      </c>
      <c r="AR371" s="70" t="str">
        <f t="shared" si="123"/>
        <v>---</v>
      </c>
      <c r="AS371" s="70" t="str">
        <f t="shared" si="124"/>
        <v>---</v>
      </c>
      <c r="AT371" s="71" t="str">
        <f t="shared" si="125"/>
        <v>---</v>
      </c>
    </row>
    <row r="372" spans="1:46" ht="30" customHeight="1" x14ac:dyDescent="0.3">
      <c r="A372" s="123">
        <f t="shared" si="109"/>
        <v>368</v>
      </c>
      <c r="B372" s="140">
        <f>INDEX('PEER GROUP'!B:B,MATCH($A372,'PEER GROUP'!$A:$A,0))</f>
        <v>0</v>
      </c>
      <c r="C372" s="83">
        <f>INDEX('PEER GROUP'!C:C,MATCH($A372,'PEER GROUP'!$A:$A,0))</f>
        <v>0</v>
      </c>
      <c r="D372" s="83">
        <f>INDEX('PEER GROUP'!D:D,MATCH($A372,'PEER GROUP'!$A:$A,0))</f>
        <v>0</v>
      </c>
      <c r="E372" s="83">
        <f>INDEX('PEER GROUP'!E:E,MATCH(A372,'PEER GROUP'!$A:$A,0))</f>
        <v>0</v>
      </c>
      <c r="F372" s="84">
        <f>INDEX('PEER GROUP'!F:F,MATCH($A372,'PEER GROUP'!$A:$A,0))</f>
        <v>0</v>
      </c>
      <c r="G372" s="84">
        <f>INDEX('PEER GROUP'!G:G,MATCH($A372,'PEER GROUP'!$A:$A,0))</f>
        <v>0</v>
      </c>
      <c r="H372" s="85"/>
      <c r="I372" s="85"/>
      <c r="J372" s="70">
        <f>INDEX('PEER GROUP'!K:K,MATCH($A372,'PEER GROUP'!$A:$A,0))</f>
        <v>0</v>
      </c>
      <c r="K372" s="70">
        <f>INDEX('PEER GROUP'!L:L,MATCH($A372,'PEER GROUP'!$A:$A,0))</f>
        <v>0</v>
      </c>
      <c r="L372" s="70">
        <f>INDEX('PEER GROUP'!M:M,MATCH($A372,'PEER GROUP'!$A:$A,0))</f>
        <v>0</v>
      </c>
      <c r="M372" s="86">
        <f>INDEX('PEER GROUP'!N:N,MATCH($A372,'PEER GROUP'!$A:$A,0))</f>
        <v>0</v>
      </c>
      <c r="N372" s="118"/>
      <c r="O372" s="115"/>
      <c r="P372" s="117"/>
      <c r="Q372" s="87"/>
      <c r="R372" s="87">
        <f t="shared" si="110"/>
        <v>0</v>
      </c>
      <c r="S372" s="87"/>
      <c r="T372" s="87"/>
      <c r="U372" s="87"/>
      <c r="V372" s="87">
        <f t="shared" si="111"/>
        <v>0</v>
      </c>
      <c r="W372" s="113">
        <f t="shared" si="108"/>
        <v>36.913096727263202</v>
      </c>
      <c r="X372" s="69">
        <f t="shared" si="112"/>
        <v>0</v>
      </c>
      <c r="Y372" s="70">
        <f t="shared" si="113"/>
        <v>0</v>
      </c>
      <c r="Z372" s="70">
        <f t="shared" si="114"/>
        <v>0</v>
      </c>
      <c r="AA372" s="70">
        <f t="shared" si="115"/>
        <v>0</v>
      </c>
      <c r="AB372" s="70">
        <f t="shared" si="116"/>
        <v>0</v>
      </c>
      <c r="AC372" s="70">
        <f t="shared" si="117"/>
        <v>0</v>
      </c>
      <c r="AD372" s="71">
        <f t="shared" si="118"/>
        <v>0</v>
      </c>
      <c r="AE372" s="49"/>
      <c r="AF372" s="21"/>
      <c r="AG372" s="69"/>
      <c r="AH372" s="70"/>
      <c r="AI372" s="70"/>
      <c r="AJ372" s="70"/>
      <c r="AK372" s="70"/>
      <c r="AL372" s="70"/>
      <c r="AM372" s="70"/>
      <c r="AN372" s="70" t="str">
        <f t="shared" si="119"/>
        <v>---</v>
      </c>
      <c r="AO372" s="70" t="str">
        <f t="shared" si="120"/>
        <v>---</v>
      </c>
      <c r="AP372" s="70" t="str">
        <f t="shared" si="121"/>
        <v>---</v>
      </c>
      <c r="AQ372" s="70" t="str">
        <f t="shared" si="122"/>
        <v>---</v>
      </c>
      <c r="AR372" s="70" t="str">
        <f t="shared" si="123"/>
        <v>---</v>
      </c>
      <c r="AS372" s="70" t="str">
        <f t="shared" si="124"/>
        <v>---</v>
      </c>
      <c r="AT372" s="71" t="str">
        <f t="shared" si="125"/>
        <v>---</v>
      </c>
    </row>
    <row r="373" spans="1:46" ht="30" customHeight="1" x14ac:dyDescent="0.3">
      <c r="A373" s="123">
        <f t="shared" si="109"/>
        <v>369</v>
      </c>
      <c r="B373" s="140">
        <f>INDEX('PEER GROUP'!B:B,MATCH($A373,'PEER GROUP'!$A:$A,0))</f>
        <v>0</v>
      </c>
      <c r="C373" s="83">
        <f>INDEX('PEER GROUP'!C:C,MATCH($A373,'PEER GROUP'!$A:$A,0))</f>
        <v>0</v>
      </c>
      <c r="D373" s="83">
        <f>INDEX('PEER GROUP'!D:D,MATCH($A373,'PEER GROUP'!$A:$A,0))</f>
        <v>0</v>
      </c>
      <c r="E373" s="83">
        <f>INDEX('PEER GROUP'!E:E,MATCH(A373,'PEER GROUP'!$A:$A,0))</f>
        <v>0</v>
      </c>
      <c r="F373" s="84">
        <f>INDEX('PEER GROUP'!F:F,MATCH($A373,'PEER GROUP'!$A:$A,0))</f>
        <v>0</v>
      </c>
      <c r="G373" s="84">
        <f>INDEX('PEER GROUP'!G:G,MATCH($A373,'PEER GROUP'!$A:$A,0))</f>
        <v>0</v>
      </c>
      <c r="H373" s="85"/>
      <c r="I373" s="85"/>
      <c r="J373" s="70">
        <f>INDEX('PEER GROUP'!K:K,MATCH($A373,'PEER GROUP'!$A:$A,0))</f>
        <v>0</v>
      </c>
      <c r="K373" s="70">
        <f>INDEX('PEER GROUP'!L:L,MATCH($A373,'PEER GROUP'!$A:$A,0))</f>
        <v>0</v>
      </c>
      <c r="L373" s="70">
        <f>INDEX('PEER GROUP'!M:M,MATCH($A373,'PEER GROUP'!$A:$A,0))</f>
        <v>0</v>
      </c>
      <c r="M373" s="86">
        <f>INDEX('PEER GROUP'!N:N,MATCH($A373,'PEER GROUP'!$A:$A,0))</f>
        <v>0</v>
      </c>
      <c r="N373" s="118"/>
      <c r="O373" s="115"/>
      <c r="P373" s="117"/>
      <c r="Q373" s="87"/>
      <c r="R373" s="87">
        <f t="shared" si="110"/>
        <v>0</v>
      </c>
      <c r="S373" s="87"/>
      <c r="T373" s="87"/>
      <c r="U373" s="87"/>
      <c r="V373" s="87">
        <f t="shared" si="111"/>
        <v>0</v>
      </c>
      <c r="W373" s="113">
        <f t="shared" si="108"/>
        <v>36.913096727263202</v>
      </c>
      <c r="X373" s="69">
        <f t="shared" si="112"/>
        <v>0</v>
      </c>
      <c r="Y373" s="70">
        <f t="shared" si="113"/>
        <v>0</v>
      </c>
      <c r="Z373" s="70">
        <f t="shared" si="114"/>
        <v>0</v>
      </c>
      <c r="AA373" s="70">
        <f t="shared" si="115"/>
        <v>0</v>
      </c>
      <c r="AB373" s="70">
        <f t="shared" si="116"/>
        <v>0</v>
      </c>
      <c r="AC373" s="70">
        <f t="shared" si="117"/>
        <v>0</v>
      </c>
      <c r="AD373" s="71">
        <f t="shared" si="118"/>
        <v>0</v>
      </c>
      <c r="AE373" s="49"/>
      <c r="AF373" s="21"/>
      <c r="AG373" s="69"/>
      <c r="AH373" s="70"/>
      <c r="AI373" s="70"/>
      <c r="AJ373" s="70"/>
      <c r="AK373" s="70"/>
      <c r="AL373" s="70"/>
      <c r="AM373" s="70"/>
      <c r="AN373" s="70" t="str">
        <f t="shared" si="119"/>
        <v>---</v>
      </c>
      <c r="AO373" s="70" t="str">
        <f t="shared" si="120"/>
        <v>---</v>
      </c>
      <c r="AP373" s="70" t="str">
        <f t="shared" si="121"/>
        <v>---</v>
      </c>
      <c r="AQ373" s="70" t="str">
        <f t="shared" si="122"/>
        <v>---</v>
      </c>
      <c r="AR373" s="70" t="str">
        <f t="shared" si="123"/>
        <v>---</v>
      </c>
      <c r="AS373" s="70" t="str">
        <f t="shared" si="124"/>
        <v>---</v>
      </c>
      <c r="AT373" s="71" t="str">
        <f t="shared" si="125"/>
        <v>---</v>
      </c>
    </row>
    <row r="374" spans="1:46" ht="30" customHeight="1" x14ac:dyDescent="0.3">
      <c r="A374" s="123">
        <f t="shared" si="109"/>
        <v>370</v>
      </c>
      <c r="B374" s="140">
        <f>INDEX('PEER GROUP'!B:B,MATCH($A374,'PEER GROUP'!$A:$A,0))</f>
        <v>0</v>
      </c>
      <c r="C374" s="83">
        <f>INDEX('PEER GROUP'!C:C,MATCH($A374,'PEER GROUP'!$A:$A,0))</f>
        <v>0</v>
      </c>
      <c r="D374" s="83">
        <f>INDEX('PEER GROUP'!D:D,MATCH($A374,'PEER GROUP'!$A:$A,0))</f>
        <v>0</v>
      </c>
      <c r="E374" s="83">
        <f>INDEX('PEER GROUP'!E:E,MATCH(A374,'PEER GROUP'!$A:$A,0))</f>
        <v>0</v>
      </c>
      <c r="F374" s="84">
        <f>INDEX('PEER GROUP'!F:F,MATCH($A374,'PEER GROUP'!$A:$A,0))</f>
        <v>0</v>
      </c>
      <c r="G374" s="84">
        <f>INDEX('PEER GROUP'!G:G,MATCH($A374,'PEER GROUP'!$A:$A,0))</f>
        <v>0</v>
      </c>
      <c r="H374" s="85"/>
      <c r="I374" s="85"/>
      <c r="J374" s="70">
        <f>INDEX('PEER GROUP'!K:K,MATCH($A374,'PEER GROUP'!$A:$A,0))</f>
        <v>0</v>
      </c>
      <c r="K374" s="70">
        <f>INDEX('PEER GROUP'!L:L,MATCH($A374,'PEER GROUP'!$A:$A,0))</f>
        <v>0</v>
      </c>
      <c r="L374" s="70">
        <f>INDEX('PEER GROUP'!M:M,MATCH($A374,'PEER GROUP'!$A:$A,0))</f>
        <v>0</v>
      </c>
      <c r="M374" s="86">
        <f>INDEX('PEER GROUP'!N:N,MATCH($A374,'PEER GROUP'!$A:$A,0))</f>
        <v>0</v>
      </c>
      <c r="N374" s="118"/>
      <c r="O374" s="115"/>
      <c r="P374" s="117"/>
      <c r="Q374" s="87"/>
      <c r="R374" s="87">
        <f t="shared" si="110"/>
        <v>0</v>
      </c>
      <c r="S374" s="87"/>
      <c r="T374" s="87"/>
      <c r="U374" s="87"/>
      <c r="V374" s="87">
        <f t="shared" si="111"/>
        <v>0</v>
      </c>
      <c r="W374" s="113">
        <f t="shared" si="108"/>
        <v>36.913096727263202</v>
      </c>
      <c r="X374" s="69">
        <f t="shared" si="112"/>
        <v>0</v>
      </c>
      <c r="Y374" s="70">
        <f t="shared" si="113"/>
        <v>0</v>
      </c>
      <c r="Z374" s="70">
        <f t="shared" si="114"/>
        <v>0</v>
      </c>
      <c r="AA374" s="70">
        <f t="shared" si="115"/>
        <v>0</v>
      </c>
      <c r="AB374" s="70">
        <f t="shared" si="116"/>
        <v>0</v>
      </c>
      <c r="AC374" s="70">
        <f t="shared" si="117"/>
        <v>0</v>
      </c>
      <c r="AD374" s="71">
        <f t="shared" si="118"/>
        <v>0</v>
      </c>
      <c r="AE374" s="49"/>
      <c r="AF374" s="21"/>
      <c r="AG374" s="69"/>
      <c r="AH374" s="70"/>
      <c r="AI374" s="70"/>
      <c r="AJ374" s="70"/>
      <c r="AK374" s="70"/>
      <c r="AL374" s="70"/>
      <c r="AM374" s="70"/>
      <c r="AN374" s="70" t="str">
        <f t="shared" si="119"/>
        <v>---</v>
      </c>
      <c r="AO374" s="70" t="str">
        <f t="shared" si="120"/>
        <v>---</v>
      </c>
      <c r="AP374" s="70" t="str">
        <f t="shared" si="121"/>
        <v>---</v>
      </c>
      <c r="AQ374" s="70" t="str">
        <f t="shared" si="122"/>
        <v>---</v>
      </c>
      <c r="AR374" s="70" t="str">
        <f t="shared" si="123"/>
        <v>---</v>
      </c>
      <c r="AS374" s="70" t="str">
        <f t="shared" si="124"/>
        <v>---</v>
      </c>
      <c r="AT374" s="71" t="str">
        <f t="shared" si="125"/>
        <v>---</v>
      </c>
    </row>
    <row r="375" spans="1:46" ht="30" customHeight="1" x14ac:dyDescent="0.3">
      <c r="A375" s="123">
        <f t="shared" si="109"/>
        <v>371</v>
      </c>
      <c r="B375" s="140">
        <f>INDEX('PEER GROUP'!B:B,MATCH($A375,'PEER GROUP'!$A:$A,0))</f>
        <v>0</v>
      </c>
      <c r="C375" s="83">
        <f>INDEX('PEER GROUP'!C:C,MATCH($A375,'PEER GROUP'!$A:$A,0))</f>
        <v>0</v>
      </c>
      <c r="D375" s="83">
        <f>INDEX('PEER GROUP'!D:D,MATCH($A375,'PEER GROUP'!$A:$A,0))</f>
        <v>0</v>
      </c>
      <c r="E375" s="83">
        <f>INDEX('PEER GROUP'!E:E,MATCH(A375,'PEER GROUP'!$A:$A,0))</f>
        <v>0</v>
      </c>
      <c r="F375" s="84">
        <f>INDEX('PEER GROUP'!F:F,MATCH($A375,'PEER GROUP'!$A:$A,0))</f>
        <v>0</v>
      </c>
      <c r="G375" s="84">
        <f>INDEX('PEER GROUP'!G:G,MATCH($A375,'PEER GROUP'!$A:$A,0))</f>
        <v>0</v>
      </c>
      <c r="H375" s="85"/>
      <c r="I375" s="85"/>
      <c r="J375" s="70">
        <f>INDEX('PEER GROUP'!K:K,MATCH($A375,'PEER GROUP'!$A:$A,0))</f>
        <v>0</v>
      </c>
      <c r="K375" s="70">
        <f>INDEX('PEER GROUP'!L:L,MATCH($A375,'PEER GROUP'!$A:$A,0))</f>
        <v>0</v>
      </c>
      <c r="L375" s="70">
        <f>INDEX('PEER GROUP'!M:M,MATCH($A375,'PEER GROUP'!$A:$A,0))</f>
        <v>0</v>
      </c>
      <c r="M375" s="86">
        <f>INDEX('PEER GROUP'!N:N,MATCH($A375,'PEER GROUP'!$A:$A,0))</f>
        <v>0</v>
      </c>
      <c r="N375" s="118"/>
      <c r="O375" s="115"/>
      <c r="P375" s="117"/>
      <c r="Q375" s="87"/>
      <c r="R375" s="87">
        <f t="shared" si="110"/>
        <v>0</v>
      </c>
      <c r="S375" s="87"/>
      <c r="T375" s="87"/>
      <c r="U375" s="87"/>
      <c r="V375" s="87">
        <f t="shared" si="111"/>
        <v>0</v>
      </c>
      <c r="W375" s="113">
        <f t="shared" si="108"/>
        <v>36.913096727263202</v>
      </c>
      <c r="X375" s="69">
        <f t="shared" si="112"/>
        <v>0</v>
      </c>
      <c r="Y375" s="70">
        <f t="shared" si="113"/>
        <v>0</v>
      </c>
      <c r="Z375" s="70">
        <f t="shared" si="114"/>
        <v>0</v>
      </c>
      <c r="AA375" s="70">
        <f t="shared" si="115"/>
        <v>0</v>
      </c>
      <c r="AB375" s="70">
        <f t="shared" si="116"/>
        <v>0</v>
      </c>
      <c r="AC375" s="70">
        <f t="shared" si="117"/>
        <v>0</v>
      </c>
      <c r="AD375" s="71">
        <f t="shared" si="118"/>
        <v>0</v>
      </c>
      <c r="AE375" s="49"/>
      <c r="AF375" s="21"/>
      <c r="AG375" s="69"/>
      <c r="AH375" s="70"/>
      <c r="AI375" s="70"/>
      <c r="AJ375" s="70"/>
      <c r="AK375" s="70"/>
      <c r="AL375" s="70"/>
      <c r="AM375" s="70"/>
      <c r="AN375" s="70" t="str">
        <f t="shared" si="119"/>
        <v>---</v>
      </c>
      <c r="AO375" s="70" t="str">
        <f t="shared" si="120"/>
        <v>---</v>
      </c>
      <c r="AP375" s="70" t="str">
        <f t="shared" si="121"/>
        <v>---</v>
      </c>
      <c r="AQ375" s="70" t="str">
        <f t="shared" si="122"/>
        <v>---</v>
      </c>
      <c r="AR375" s="70" t="str">
        <f t="shared" si="123"/>
        <v>---</v>
      </c>
      <c r="AS375" s="70" t="str">
        <f t="shared" si="124"/>
        <v>---</v>
      </c>
      <c r="AT375" s="71" t="str">
        <f t="shared" si="125"/>
        <v>---</v>
      </c>
    </row>
    <row r="376" spans="1:46" ht="30" customHeight="1" x14ac:dyDescent="0.3">
      <c r="A376" s="123">
        <f t="shared" si="109"/>
        <v>372</v>
      </c>
      <c r="B376" s="140">
        <f>INDEX('PEER GROUP'!B:B,MATCH($A376,'PEER GROUP'!$A:$A,0))</f>
        <v>0</v>
      </c>
      <c r="C376" s="83">
        <f>INDEX('PEER GROUP'!C:C,MATCH($A376,'PEER GROUP'!$A:$A,0))</f>
        <v>0</v>
      </c>
      <c r="D376" s="83">
        <f>INDEX('PEER GROUP'!D:D,MATCH($A376,'PEER GROUP'!$A:$A,0))</f>
        <v>0</v>
      </c>
      <c r="E376" s="83">
        <f>INDEX('PEER GROUP'!E:E,MATCH(A376,'PEER GROUP'!$A:$A,0))</f>
        <v>0</v>
      </c>
      <c r="F376" s="84">
        <f>INDEX('PEER GROUP'!F:F,MATCH($A376,'PEER GROUP'!$A:$A,0))</f>
        <v>0</v>
      </c>
      <c r="G376" s="84">
        <f>INDEX('PEER GROUP'!G:G,MATCH($A376,'PEER GROUP'!$A:$A,0))</f>
        <v>0</v>
      </c>
      <c r="H376" s="85"/>
      <c r="I376" s="85"/>
      <c r="J376" s="70">
        <f>INDEX('PEER GROUP'!K:K,MATCH($A376,'PEER GROUP'!$A:$A,0))</f>
        <v>0</v>
      </c>
      <c r="K376" s="70">
        <f>INDEX('PEER GROUP'!L:L,MATCH($A376,'PEER GROUP'!$A:$A,0))</f>
        <v>0</v>
      </c>
      <c r="L376" s="70">
        <f>INDEX('PEER GROUP'!M:M,MATCH($A376,'PEER GROUP'!$A:$A,0))</f>
        <v>0</v>
      </c>
      <c r="M376" s="86">
        <f>INDEX('PEER GROUP'!N:N,MATCH($A376,'PEER GROUP'!$A:$A,0))</f>
        <v>0</v>
      </c>
      <c r="N376" s="118"/>
      <c r="O376" s="115"/>
      <c r="P376" s="117"/>
      <c r="Q376" s="87"/>
      <c r="R376" s="87">
        <f t="shared" si="110"/>
        <v>0</v>
      </c>
      <c r="S376" s="87"/>
      <c r="T376" s="87"/>
      <c r="U376" s="87"/>
      <c r="V376" s="87">
        <f t="shared" si="111"/>
        <v>0</v>
      </c>
      <c r="W376" s="113">
        <f t="shared" si="108"/>
        <v>36.913096727263202</v>
      </c>
      <c r="X376" s="69">
        <f t="shared" si="112"/>
        <v>0</v>
      </c>
      <c r="Y376" s="70">
        <f t="shared" si="113"/>
        <v>0</v>
      </c>
      <c r="Z376" s="70">
        <f t="shared" si="114"/>
        <v>0</v>
      </c>
      <c r="AA376" s="70">
        <f t="shared" si="115"/>
        <v>0</v>
      </c>
      <c r="AB376" s="70">
        <f t="shared" si="116"/>
        <v>0</v>
      </c>
      <c r="AC376" s="70">
        <f t="shared" si="117"/>
        <v>0</v>
      </c>
      <c r="AD376" s="71">
        <f t="shared" si="118"/>
        <v>0</v>
      </c>
      <c r="AE376" s="49"/>
      <c r="AF376" s="21"/>
      <c r="AG376" s="69"/>
      <c r="AH376" s="70"/>
      <c r="AI376" s="70"/>
      <c r="AJ376" s="70"/>
      <c r="AK376" s="70"/>
      <c r="AL376" s="70"/>
      <c r="AM376" s="70"/>
      <c r="AN376" s="70" t="str">
        <f t="shared" si="119"/>
        <v>---</v>
      </c>
      <c r="AO376" s="70" t="str">
        <f t="shared" si="120"/>
        <v>---</v>
      </c>
      <c r="AP376" s="70" t="str">
        <f t="shared" si="121"/>
        <v>---</v>
      </c>
      <c r="AQ376" s="70" t="str">
        <f t="shared" si="122"/>
        <v>---</v>
      </c>
      <c r="AR376" s="70" t="str">
        <f t="shared" si="123"/>
        <v>---</v>
      </c>
      <c r="AS376" s="70" t="str">
        <f t="shared" si="124"/>
        <v>---</v>
      </c>
      <c r="AT376" s="71" t="str">
        <f t="shared" si="125"/>
        <v>---</v>
      </c>
    </row>
    <row r="377" spans="1:46" ht="30" customHeight="1" x14ac:dyDescent="0.3">
      <c r="A377" s="123">
        <f t="shared" si="109"/>
        <v>373</v>
      </c>
      <c r="B377" s="140">
        <f>INDEX('PEER GROUP'!B:B,MATCH($A377,'PEER GROUP'!$A:$A,0))</f>
        <v>0</v>
      </c>
      <c r="C377" s="83">
        <f>INDEX('PEER GROUP'!C:C,MATCH($A377,'PEER GROUP'!$A:$A,0))</f>
        <v>0</v>
      </c>
      <c r="D377" s="83">
        <f>INDEX('PEER GROUP'!D:D,MATCH($A377,'PEER GROUP'!$A:$A,0))</f>
        <v>0</v>
      </c>
      <c r="E377" s="83">
        <f>INDEX('PEER GROUP'!E:E,MATCH(A377,'PEER GROUP'!$A:$A,0))</f>
        <v>0</v>
      </c>
      <c r="F377" s="84">
        <f>INDEX('PEER GROUP'!F:F,MATCH($A377,'PEER GROUP'!$A:$A,0))</f>
        <v>0</v>
      </c>
      <c r="G377" s="84">
        <f>INDEX('PEER GROUP'!G:G,MATCH($A377,'PEER GROUP'!$A:$A,0))</f>
        <v>0</v>
      </c>
      <c r="H377" s="85"/>
      <c r="I377" s="85"/>
      <c r="J377" s="70">
        <f>INDEX('PEER GROUP'!K:K,MATCH($A377,'PEER GROUP'!$A:$A,0))</f>
        <v>0</v>
      </c>
      <c r="K377" s="70">
        <f>INDEX('PEER GROUP'!L:L,MATCH($A377,'PEER GROUP'!$A:$A,0))</f>
        <v>0</v>
      </c>
      <c r="L377" s="70">
        <f>INDEX('PEER GROUP'!M:M,MATCH($A377,'PEER GROUP'!$A:$A,0))</f>
        <v>0</v>
      </c>
      <c r="M377" s="86">
        <f>INDEX('PEER GROUP'!N:N,MATCH($A377,'PEER GROUP'!$A:$A,0))</f>
        <v>0</v>
      </c>
      <c r="N377" s="118"/>
      <c r="O377" s="115"/>
      <c r="P377" s="117"/>
      <c r="Q377" s="87"/>
      <c r="R377" s="87">
        <f t="shared" si="110"/>
        <v>0</v>
      </c>
      <c r="S377" s="87"/>
      <c r="T377" s="87"/>
      <c r="U377" s="87"/>
      <c r="V377" s="87">
        <f t="shared" si="111"/>
        <v>0</v>
      </c>
      <c r="W377" s="113">
        <f t="shared" si="108"/>
        <v>36.913096727263202</v>
      </c>
      <c r="X377" s="69">
        <f t="shared" si="112"/>
        <v>0</v>
      </c>
      <c r="Y377" s="70">
        <f t="shared" si="113"/>
        <v>0</v>
      </c>
      <c r="Z377" s="70">
        <f t="shared" si="114"/>
        <v>0</v>
      </c>
      <c r="AA377" s="70">
        <f t="shared" si="115"/>
        <v>0</v>
      </c>
      <c r="AB377" s="70">
        <f t="shared" si="116"/>
        <v>0</v>
      </c>
      <c r="AC377" s="70">
        <f t="shared" si="117"/>
        <v>0</v>
      </c>
      <c r="AD377" s="71">
        <f t="shared" si="118"/>
        <v>0</v>
      </c>
      <c r="AE377" s="49"/>
      <c r="AF377" s="21"/>
      <c r="AG377" s="69"/>
      <c r="AH377" s="70"/>
      <c r="AI377" s="70"/>
      <c r="AJ377" s="70"/>
      <c r="AK377" s="70"/>
      <c r="AL377" s="70"/>
      <c r="AM377" s="70"/>
      <c r="AN377" s="70" t="str">
        <f t="shared" si="119"/>
        <v>---</v>
      </c>
      <c r="AO377" s="70" t="str">
        <f t="shared" si="120"/>
        <v>---</v>
      </c>
      <c r="AP377" s="70" t="str">
        <f t="shared" si="121"/>
        <v>---</v>
      </c>
      <c r="AQ377" s="70" t="str">
        <f t="shared" si="122"/>
        <v>---</v>
      </c>
      <c r="AR377" s="70" t="str">
        <f t="shared" si="123"/>
        <v>---</v>
      </c>
      <c r="AS377" s="70" t="str">
        <f t="shared" si="124"/>
        <v>---</v>
      </c>
      <c r="AT377" s="71" t="str">
        <f t="shared" si="125"/>
        <v>---</v>
      </c>
    </row>
    <row r="378" spans="1:46" ht="30" customHeight="1" x14ac:dyDescent="0.3">
      <c r="A378" s="123">
        <f t="shared" si="109"/>
        <v>374</v>
      </c>
      <c r="B378" s="140">
        <f>INDEX('PEER GROUP'!B:B,MATCH($A378,'PEER GROUP'!$A:$A,0))</f>
        <v>0</v>
      </c>
      <c r="C378" s="83">
        <f>INDEX('PEER GROUP'!C:C,MATCH($A378,'PEER GROUP'!$A:$A,0))</f>
        <v>0</v>
      </c>
      <c r="D378" s="83">
        <f>INDEX('PEER GROUP'!D:D,MATCH($A378,'PEER GROUP'!$A:$A,0))</f>
        <v>0</v>
      </c>
      <c r="E378" s="83">
        <f>INDEX('PEER GROUP'!E:E,MATCH(A378,'PEER GROUP'!$A:$A,0))</f>
        <v>0</v>
      </c>
      <c r="F378" s="84">
        <f>INDEX('PEER GROUP'!F:F,MATCH($A378,'PEER GROUP'!$A:$A,0))</f>
        <v>0</v>
      </c>
      <c r="G378" s="84">
        <f>INDEX('PEER GROUP'!G:G,MATCH($A378,'PEER GROUP'!$A:$A,0))</f>
        <v>0</v>
      </c>
      <c r="H378" s="85"/>
      <c r="I378" s="85"/>
      <c r="J378" s="70">
        <f>INDEX('PEER GROUP'!K:K,MATCH($A378,'PEER GROUP'!$A:$A,0))</f>
        <v>0</v>
      </c>
      <c r="K378" s="70">
        <f>INDEX('PEER GROUP'!L:L,MATCH($A378,'PEER GROUP'!$A:$A,0))</f>
        <v>0</v>
      </c>
      <c r="L378" s="70">
        <f>INDEX('PEER GROUP'!M:M,MATCH($A378,'PEER GROUP'!$A:$A,0))</f>
        <v>0</v>
      </c>
      <c r="M378" s="86">
        <f>INDEX('PEER GROUP'!N:N,MATCH($A378,'PEER GROUP'!$A:$A,0))</f>
        <v>0</v>
      </c>
      <c r="N378" s="118"/>
      <c r="O378" s="115"/>
      <c r="P378" s="117"/>
      <c r="Q378" s="87"/>
      <c r="R378" s="87">
        <f t="shared" si="110"/>
        <v>0</v>
      </c>
      <c r="S378" s="87"/>
      <c r="T378" s="87"/>
      <c r="U378" s="87"/>
      <c r="V378" s="87">
        <f t="shared" si="111"/>
        <v>0</v>
      </c>
      <c r="W378" s="113">
        <f t="shared" si="108"/>
        <v>36.913096727263202</v>
      </c>
      <c r="X378" s="69">
        <f t="shared" si="112"/>
        <v>0</v>
      </c>
      <c r="Y378" s="70">
        <f t="shared" si="113"/>
        <v>0</v>
      </c>
      <c r="Z378" s="70">
        <f t="shared" si="114"/>
        <v>0</v>
      </c>
      <c r="AA378" s="70">
        <f t="shared" si="115"/>
        <v>0</v>
      </c>
      <c r="AB378" s="70">
        <f t="shared" si="116"/>
        <v>0</v>
      </c>
      <c r="AC378" s="70">
        <f t="shared" si="117"/>
        <v>0</v>
      </c>
      <c r="AD378" s="71">
        <f t="shared" si="118"/>
        <v>0</v>
      </c>
      <c r="AE378" s="49"/>
      <c r="AF378" s="21"/>
      <c r="AG378" s="69"/>
      <c r="AH378" s="70"/>
      <c r="AI378" s="70"/>
      <c r="AJ378" s="70"/>
      <c r="AK378" s="70"/>
      <c r="AL378" s="70"/>
      <c r="AM378" s="70"/>
      <c r="AN378" s="70" t="str">
        <f t="shared" si="119"/>
        <v>---</v>
      </c>
      <c r="AO378" s="70" t="str">
        <f t="shared" si="120"/>
        <v>---</v>
      </c>
      <c r="AP378" s="70" t="str">
        <f t="shared" si="121"/>
        <v>---</v>
      </c>
      <c r="AQ378" s="70" t="str">
        <f t="shared" si="122"/>
        <v>---</v>
      </c>
      <c r="AR378" s="70" t="str">
        <f t="shared" si="123"/>
        <v>---</v>
      </c>
      <c r="AS378" s="70" t="str">
        <f t="shared" si="124"/>
        <v>---</v>
      </c>
      <c r="AT378" s="71" t="str">
        <f t="shared" si="125"/>
        <v>---</v>
      </c>
    </row>
    <row r="379" spans="1:46" ht="30" customHeight="1" x14ac:dyDescent="0.3">
      <c r="A379" s="123">
        <f t="shared" si="109"/>
        <v>375</v>
      </c>
      <c r="B379" s="140">
        <f>INDEX('PEER GROUP'!B:B,MATCH($A379,'PEER GROUP'!$A:$A,0))</f>
        <v>0</v>
      </c>
      <c r="C379" s="83">
        <f>INDEX('PEER GROUP'!C:C,MATCH($A379,'PEER GROUP'!$A:$A,0))</f>
        <v>0</v>
      </c>
      <c r="D379" s="83">
        <f>INDEX('PEER GROUP'!D:D,MATCH($A379,'PEER GROUP'!$A:$A,0))</f>
        <v>0</v>
      </c>
      <c r="E379" s="83">
        <f>INDEX('PEER GROUP'!E:E,MATCH(A379,'PEER GROUP'!$A:$A,0))</f>
        <v>0</v>
      </c>
      <c r="F379" s="84">
        <f>INDEX('PEER GROUP'!F:F,MATCH($A379,'PEER GROUP'!$A:$A,0))</f>
        <v>0</v>
      </c>
      <c r="G379" s="84">
        <f>INDEX('PEER GROUP'!G:G,MATCH($A379,'PEER GROUP'!$A:$A,0))</f>
        <v>0</v>
      </c>
      <c r="H379" s="85"/>
      <c r="I379" s="85"/>
      <c r="J379" s="70">
        <f>INDEX('PEER GROUP'!K:K,MATCH($A379,'PEER GROUP'!$A:$A,0))</f>
        <v>0</v>
      </c>
      <c r="K379" s="70">
        <f>INDEX('PEER GROUP'!L:L,MATCH($A379,'PEER GROUP'!$A:$A,0))</f>
        <v>0</v>
      </c>
      <c r="L379" s="70">
        <f>INDEX('PEER GROUP'!M:M,MATCH($A379,'PEER GROUP'!$A:$A,0))</f>
        <v>0</v>
      </c>
      <c r="M379" s="86">
        <f>INDEX('PEER GROUP'!N:N,MATCH($A379,'PEER GROUP'!$A:$A,0))</f>
        <v>0</v>
      </c>
      <c r="N379" s="118"/>
      <c r="O379" s="115"/>
      <c r="P379" s="117"/>
      <c r="Q379" s="87"/>
      <c r="R379" s="87">
        <f t="shared" si="110"/>
        <v>0</v>
      </c>
      <c r="S379" s="87"/>
      <c r="T379" s="87"/>
      <c r="U379" s="87"/>
      <c r="V379" s="87">
        <f t="shared" si="111"/>
        <v>0</v>
      </c>
      <c r="W379" s="113">
        <f t="shared" si="108"/>
        <v>36.913096727263202</v>
      </c>
      <c r="X379" s="69">
        <f t="shared" si="112"/>
        <v>0</v>
      </c>
      <c r="Y379" s="70">
        <f t="shared" si="113"/>
        <v>0</v>
      </c>
      <c r="Z379" s="70">
        <f t="shared" si="114"/>
        <v>0</v>
      </c>
      <c r="AA379" s="70">
        <f t="shared" si="115"/>
        <v>0</v>
      </c>
      <c r="AB379" s="70">
        <f t="shared" si="116"/>
        <v>0</v>
      </c>
      <c r="AC379" s="70">
        <f t="shared" si="117"/>
        <v>0</v>
      </c>
      <c r="AD379" s="71">
        <f t="shared" si="118"/>
        <v>0</v>
      </c>
      <c r="AE379" s="49"/>
      <c r="AF379" s="21"/>
      <c r="AG379" s="69"/>
      <c r="AH379" s="70"/>
      <c r="AI379" s="70"/>
      <c r="AJ379" s="70"/>
      <c r="AK379" s="70"/>
      <c r="AL379" s="70"/>
      <c r="AM379" s="70"/>
      <c r="AN379" s="70" t="str">
        <f t="shared" si="119"/>
        <v>---</v>
      </c>
      <c r="AO379" s="70" t="str">
        <f t="shared" si="120"/>
        <v>---</v>
      </c>
      <c r="AP379" s="70" t="str">
        <f t="shared" si="121"/>
        <v>---</v>
      </c>
      <c r="AQ379" s="70" t="str">
        <f t="shared" si="122"/>
        <v>---</v>
      </c>
      <c r="AR379" s="70" t="str">
        <f t="shared" si="123"/>
        <v>---</v>
      </c>
      <c r="AS379" s="70" t="str">
        <f t="shared" si="124"/>
        <v>---</v>
      </c>
      <c r="AT379" s="71" t="str">
        <f t="shared" si="125"/>
        <v>---</v>
      </c>
    </row>
    <row r="380" spans="1:46" ht="30" customHeight="1" x14ac:dyDescent="0.3">
      <c r="A380" s="123">
        <f t="shared" si="109"/>
        <v>376</v>
      </c>
      <c r="B380" s="140">
        <f>INDEX('PEER GROUP'!B:B,MATCH($A380,'PEER GROUP'!$A:$A,0))</f>
        <v>0</v>
      </c>
      <c r="C380" s="83">
        <f>INDEX('PEER GROUP'!C:C,MATCH($A380,'PEER GROUP'!$A:$A,0))</f>
        <v>0</v>
      </c>
      <c r="D380" s="83">
        <f>INDEX('PEER GROUP'!D:D,MATCH($A380,'PEER GROUP'!$A:$A,0))</f>
        <v>0</v>
      </c>
      <c r="E380" s="83">
        <f>INDEX('PEER GROUP'!E:E,MATCH(A380,'PEER GROUP'!$A:$A,0))</f>
        <v>0</v>
      </c>
      <c r="F380" s="84">
        <f>INDEX('PEER GROUP'!F:F,MATCH($A380,'PEER GROUP'!$A:$A,0))</f>
        <v>0</v>
      </c>
      <c r="G380" s="84">
        <f>INDEX('PEER GROUP'!G:G,MATCH($A380,'PEER GROUP'!$A:$A,0))</f>
        <v>0</v>
      </c>
      <c r="H380" s="85"/>
      <c r="I380" s="85"/>
      <c r="J380" s="70">
        <f>INDEX('PEER GROUP'!K:K,MATCH($A380,'PEER GROUP'!$A:$A,0))</f>
        <v>0</v>
      </c>
      <c r="K380" s="70">
        <f>INDEX('PEER GROUP'!L:L,MATCH($A380,'PEER GROUP'!$A:$A,0))</f>
        <v>0</v>
      </c>
      <c r="L380" s="70">
        <f>INDEX('PEER GROUP'!M:M,MATCH($A380,'PEER GROUP'!$A:$A,0))</f>
        <v>0</v>
      </c>
      <c r="M380" s="86">
        <f>INDEX('PEER GROUP'!N:N,MATCH($A380,'PEER GROUP'!$A:$A,0))</f>
        <v>0</v>
      </c>
      <c r="N380" s="118"/>
      <c r="O380" s="115"/>
      <c r="P380" s="117"/>
      <c r="Q380" s="87"/>
      <c r="R380" s="87">
        <f t="shared" si="110"/>
        <v>0</v>
      </c>
      <c r="S380" s="87"/>
      <c r="T380" s="87"/>
      <c r="U380" s="87"/>
      <c r="V380" s="87">
        <f t="shared" si="111"/>
        <v>0</v>
      </c>
      <c r="W380" s="113">
        <f t="shared" si="108"/>
        <v>36.913096727263202</v>
      </c>
      <c r="X380" s="69">
        <f t="shared" si="112"/>
        <v>0</v>
      </c>
      <c r="Y380" s="70">
        <f t="shared" si="113"/>
        <v>0</v>
      </c>
      <c r="Z380" s="70">
        <f t="shared" si="114"/>
        <v>0</v>
      </c>
      <c r="AA380" s="70">
        <f t="shared" si="115"/>
        <v>0</v>
      </c>
      <c r="AB380" s="70">
        <f t="shared" si="116"/>
        <v>0</v>
      </c>
      <c r="AC380" s="70">
        <f t="shared" si="117"/>
        <v>0</v>
      </c>
      <c r="AD380" s="71">
        <f t="shared" si="118"/>
        <v>0</v>
      </c>
      <c r="AE380" s="49"/>
      <c r="AF380" s="21"/>
      <c r="AG380" s="69"/>
      <c r="AH380" s="70"/>
      <c r="AI380" s="70"/>
      <c r="AJ380" s="70"/>
      <c r="AK380" s="70"/>
      <c r="AL380" s="70"/>
      <c r="AM380" s="70"/>
      <c r="AN380" s="70" t="str">
        <f t="shared" si="119"/>
        <v>---</v>
      </c>
      <c r="AO380" s="70" t="str">
        <f t="shared" si="120"/>
        <v>---</v>
      </c>
      <c r="AP380" s="70" t="str">
        <f t="shared" si="121"/>
        <v>---</v>
      </c>
      <c r="AQ380" s="70" t="str">
        <f t="shared" si="122"/>
        <v>---</v>
      </c>
      <c r="AR380" s="70" t="str">
        <f t="shared" si="123"/>
        <v>---</v>
      </c>
      <c r="AS380" s="70" t="str">
        <f t="shared" si="124"/>
        <v>---</v>
      </c>
      <c r="AT380" s="71" t="str">
        <f t="shared" si="125"/>
        <v>---</v>
      </c>
    </row>
    <row r="381" spans="1:46" ht="30" customHeight="1" x14ac:dyDescent="0.3">
      <c r="A381" s="123">
        <f t="shared" si="109"/>
        <v>377</v>
      </c>
      <c r="B381" s="140">
        <f>INDEX('PEER GROUP'!B:B,MATCH($A381,'PEER GROUP'!$A:$A,0))</f>
        <v>0</v>
      </c>
      <c r="C381" s="83">
        <f>INDEX('PEER GROUP'!C:C,MATCH($A381,'PEER GROUP'!$A:$A,0))</f>
        <v>0</v>
      </c>
      <c r="D381" s="83">
        <f>INDEX('PEER GROUP'!D:D,MATCH($A381,'PEER GROUP'!$A:$A,0))</f>
        <v>0</v>
      </c>
      <c r="E381" s="83">
        <f>INDEX('PEER GROUP'!E:E,MATCH(A381,'PEER GROUP'!$A:$A,0))</f>
        <v>0</v>
      </c>
      <c r="F381" s="84">
        <f>INDEX('PEER GROUP'!F:F,MATCH($A381,'PEER GROUP'!$A:$A,0))</f>
        <v>0</v>
      </c>
      <c r="G381" s="84">
        <f>INDEX('PEER GROUP'!G:G,MATCH($A381,'PEER GROUP'!$A:$A,0))</f>
        <v>0</v>
      </c>
      <c r="H381" s="85"/>
      <c r="I381" s="85"/>
      <c r="J381" s="70">
        <f>INDEX('PEER GROUP'!K:K,MATCH($A381,'PEER GROUP'!$A:$A,0))</f>
        <v>0</v>
      </c>
      <c r="K381" s="70">
        <f>INDEX('PEER GROUP'!L:L,MATCH($A381,'PEER GROUP'!$A:$A,0))</f>
        <v>0</v>
      </c>
      <c r="L381" s="70">
        <f>INDEX('PEER GROUP'!M:M,MATCH($A381,'PEER GROUP'!$A:$A,0))</f>
        <v>0</v>
      </c>
      <c r="M381" s="86">
        <f>INDEX('PEER GROUP'!N:N,MATCH($A381,'PEER GROUP'!$A:$A,0))</f>
        <v>0</v>
      </c>
      <c r="N381" s="118"/>
      <c r="O381" s="115"/>
      <c r="P381" s="117"/>
      <c r="Q381" s="87"/>
      <c r="R381" s="87">
        <f t="shared" si="110"/>
        <v>0</v>
      </c>
      <c r="S381" s="87"/>
      <c r="T381" s="87"/>
      <c r="U381" s="87"/>
      <c r="V381" s="87">
        <f t="shared" si="111"/>
        <v>0</v>
      </c>
      <c r="W381" s="113">
        <f t="shared" si="108"/>
        <v>36.913096727263202</v>
      </c>
      <c r="X381" s="69">
        <f t="shared" si="112"/>
        <v>0</v>
      </c>
      <c r="Y381" s="70">
        <f t="shared" si="113"/>
        <v>0</v>
      </c>
      <c r="Z381" s="70">
        <f t="shared" si="114"/>
        <v>0</v>
      </c>
      <c r="AA381" s="70">
        <f t="shared" si="115"/>
        <v>0</v>
      </c>
      <c r="AB381" s="70">
        <f t="shared" si="116"/>
        <v>0</v>
      </c>
      <c r="AC381" s="70">
        <f t="shared" si="117"/>
        <v>0</v>
      </c>
      <c r="AD381" s="71">
        <f t="shared" si="118"/>
        <v>0</v>
      </c>
      <c r="AE381" s="49"/>
      <c r="AF381" s="21"/>
      <c r="AG381" s="69"/>
      <c r="AH381" s="70"/>
      <c r="AI381" s="70"/>
      <c r="AJ381" s="70"/>
      <c r="AK381" s="70"/>
      <c r="AL381" s="70"/>
      <c r="AM381" s="70"/>
      <c r="AN381" s="70" t="str">
        <f t="shared" si="119"/>
        <v>---</v>
      </c>
      <c r="AO381" s="70" t="str">
        <f t="shared" si="120"/>
        <v>---</v>
      </c>
      <c r="AP381" s="70" t="str">
        <f t="shared" si="121"/>
        <v>---</v>
      </c>
      <c r="AQ381" s="70" t="str">
        <f t="shared" si="122"/>
        <v>---</v>
      </c>
      <c r="AR381" s="70" t="str">
        <f t="shared" si="123"/>
        <v>---</v>
      </c>
      <c r="AS381" s="70" t="str">
        <f t="shared" si="124"/>
        <v>---</v>
      </c>
      <c r="AT381" s="71" t="str">
        <f t="shared" si="125"/>
        <v>---</v>
      </c>
    </row>
    <row r="382" spans="1:46" ht="30" customHeight="1" x14ac:dyDescent="0.3">
      <c r="A382" s="123">
        <f t="shared" si="109"/>
        <v>378</v>
      </c>
      <c r="B382" s="140">
        <f>INDEX('PEER GROUP'!B:B,MATCH($A382,'PEER GROUP'!$A:$A,0))</f>
        <v>0</v>
      </c>
      <c r="C382" s="83">
        <f>INDEX('PEER GROUP'!C:C,MATCH($A382,'PEER GROUP'!$A:$A,0))</f>
        <v>0</v>
      </c>
      <c r="D382" s="83">
        <f>INDEX('PEER GROUP'!D:D,MATCH($A382,'PEER GROUP'!$A:$A,0))</f>
        <v>0</v>
      </c>
      <c r="E382" s="83">
        <f>INDEX('PEER GROUP'!E:E,MATCH(A382,'PEER GROUP'!$A:$A,0))</f>
        <v>0</v>
      </c>
      <c r="F382" s="84">
        <f>INDEX('PEER GROUP'!F:F,MATCH($A382,'PEER GROUP'!$A:$A,0))</f>
        <v>0</v>
      </c>
      <c r="G382" s="84">
        <f>INDEX('PEER GROUP'!G:G,MATCH($A382,'PEER GROUP'!$A:$A,0))</f>
        <v>0</v>
      </c>
      <c r="H382" s="85"/>
      <c r="I382" s="85"/>
      <c r="J382" s="70">
        <f>INDEX('PEER GROUP'!K:K,MATCH($A382,'PEER GROUP'!$A:$A,0))</f>
        <v>0</v>
      </c>
      <c r="K382" s="70">
        <f>INDEX('PEER GROUP'!L:L,MATCH($A382,'PEER GROUP'!$A:$A,0))</f>
        <v>0</v>
      </c>
      <c r="L382" s="70">
        <f>INDEX('PEER GROUP'!M:M,MATCH($A382,'PEER GROUP'!$A:$A,0))</f>
        <v>0</v>
      </c>
      <c r="M382" s="86">
        <f>INDEX('PEER GROUP'!N:N,MATCH($A382,'PEER GROUP'!$A:$A,0))</f>
        <v>0</v>
      </c>
      <c r="N382" s="118"/>
      <c r="O382" s="115"/>
      <c r="P382" s="117"/>
      <c r="Q382" s="87"/>
      <c r="R382" s="87">
        <f t="shared" si="110"/>
        <v>0</v>
      </c>
      <c r="S382" s="87"/>
      <c r="T382" s="87"/>
      <c r="U382" s="87"/>
      <c r="V382" s="87">
        <f t="shared" si="111"/>
        <v>0</v>
      </c>
      <c r="W382" s="113">
        <f t="shared" si="108"/>
        <v>36.913096727263202</v>
      </c>
      <c r="X382" s="69">
        <f t="shared" si="112"/>
        <v>0</v>
      </c>
      <c r="Y382" s="70">
        <f t="shared" si="113"/>
        <v>0</v>
      </c>
      <c r="Z382" s="70">
        <f t="shared" si="114"/>
        <v>0</v>
      </c>
      <c r="AA382" s="70">
        <f t="shared" si="115"/>
        <v>0</v>
      </c>
      <c r="AB382" s="70">
        <f t="shared" si="116"/>
        <v>0</v>
      </c>
      <c r="AC382" s="70">
        <f t="shared" si="117"/>
        <v>0</v>
      </c>
      <c r="AD382" s="71">
        <f t="shared" si="118"/>
        <v>0</v>
      </c>
      <c r="AE382" s="49"/>
      <c r="AF382" s="21"/>
      <c r="AG382" s="69"/>
      <c r="AH382" s="70"/>
      <c r="AI382" s="70"/>
      <c r="AJ382" s="70"/>
      <c r="AK382" s="70"/>
      <c r="AL382" s="70"/>
      <c r="AM382" s="70"/>
      <c r="AN382" s="70" t="str">
        <f t="shared" si="119"/>
        <v>---</v>
      </c>
      <c r="AO382" s="70" t="str">
        <f t="shared" si="120"/>
        <v>---</v>
      </c>
      <c r="AP382" s="70" t="str">
        <f t="shared" si="121"/>
        <v>---</v>
      </c>
      <c r="AQ382" s="70" t="str">
        <f t="shared" si="122"/>
        <v>---</v>
      </c>
      <c r="AR382" s="70" t="str">
        <f t="shared" si="123"/>
        <v>---</v>
      </c>
      <c r="AS382" s="70" t="str">
        <f t="shared" si="124"/>
        <v>---</v>
      </c>
      <c r="AT382" s="71" t="str">
        <f t="shared" si="125"/>
        <v>---</v>
      </c>
    </row>
    <row r="383" spans="1:46" ht="30" customHeight="1" x14ac:dyDescent="0.3">
      <c r="A383" s="123">
        <f t="shared" si="109"/>
        <v>379</v>
      </c>
      <c r="B383" s="140">
        <f>INDEX('PEER GROUP'!B:B,MATCH($A383,'PEER GROUP'!$A:$A,0))</f>
        <v>0</v>
      </c>
      <c r="C383" s="83">
        <f>INDEX('PEER GROUP'!C:C,MATCH($A383,'PEER GROUP'!$A:$A,0))</f>
        <v>0</v>
      </c>
      <c r="D383" s="83">
        <f>INDEX('PEER GROUP'!D:D,MATCH($A383,'PEER GROUP'!$A:$A,0))</f>
        <v>0</v>
      </c>
      <c r="E383" s="83">
        <f>INDEX('PEER GROUP'!E:E,MATCH(A383,'PEER GROUP'!$A:$A,0))</f>
        <v>0</v>
      </c>
      <c r="F383" s="84">
        <f>INDEX('PEER GROUP'!F:F,MATCH($A383,'PEER GROUP'!$A:$A,0))</f>
        <v>0</v>
      </c>
      <c r="G383" s="84">
        <f>INDEX('PEER GROUP'!G:G,MATCH($A383,'PEER GROUP'!$A:$A,0))</f>
        <v>0</v>
      </c>
      <c r="H383" s="85"/>
      <c r="I383" s="85"/>
      <c r="J383" s="70">
        <f>INDEX('PEER GROUP'!K:K,MATCH($A383,'PEER GROUP'!$A:$A,0))</f>
        <v>0</v>
      </c>
      <c r="K383" s="70">
        <f>INDEX('PEER GROUP'!L:L,MATCH($A383,'PEER GROUP'!$A:$A,0))</f>
        <v>0</v>
      </c>
      <c r="L383" s="70">
        <f>INDEX('PEER GROUP'!M:M,MATCH($A383,'PEER GROUP'!$A:$A,0))</f>
        <v>0</v>
      </c>
      <c r="M383" s="86">
        <f>INDEX('PEER GROUP'!N:N,MATCH($A383,'PEER GROUP'!$A:$A,0))</f>
        <v>0</v>
      </c>
      <c r="N383" s="118"/>
      <c r="O383" s="115"/>
      <c r="P383" s="117"/>
      <c r="Q383" s="87"/>
      <c r="R383" s="87">
        <f t="shared" si="110"/>
        <v>0</v>
      </c>
      <c r="S383" s="87"/>
      <c r="T383" s="87"/>
      <c r="U383" s="87"/>
      <c r="V383" s="87">
        <f t="shared" si="111"/>
        <v>0</v>
      </c>
      <c r="W383" s="113">
        <f t="shared" si="108"/>
        <v>36.913096727263202</v>
      </c>
      <c r="X383" s="69">
        <f t="shared" si="112"/>
        <v>0</v>
      </c>
      <c r="Y383" s="70">
        <f t="shared" si="113"/>
        <v>0</v>
      </c>
      <c r="Z383" s="70">
        <f t="shared" si="114"/>
        <v>0</v>
      </c>
      <c r="AA383" s="70">
        <f t="shared" si="115"/>
        <v>0</v>
      </c>
      <c r="AB383" s="70">
        <f t="shared" si="116"/>
        <v>0</v>
      </c>
      <c r="AC383" s="70">
        <f t="shared" si="117"/>
        <v>0</v>
      </c>
      <c r="AD383" s="71">
        <f t="shared" si="118"/>
        <v>0</v>
      </c>
      <c r="AE383" s="49"/>
      <c r="AF383" s="21"/>
      <c r="AG383" s="69"/>
      <c r="AH383" s="70"/>
      <c r="AI383" s="70"/>
      <c r="AJ383" s="70"/>
      <c r="AK383" s="70"/>
      <c r="AL383" s="70"/>
      <c r="AM383" s="70"/>
      <c r="AN383" s="70" t="str">
        <f t="shared" si="119"/>
        <v>---</v>
      </c>
      <c r="AO383" s="70" t="str">
        <f t="shared" si="120"/>
        <v>---</v>
      </c>
      <c r="AP383" s="70" t="str">
        <f t="shared" si="121"/>
        <v>---</v>
      </c>
      <c r="AQ383" s="70" t="str">
        <f t="shared" si="122"/>
        <v>---</v>
      </c>
      <c r="AR383" s="70" t="str">
        <f t="shared" si="123"/>
        <v>---</v>
      </c>
      <c r="AS383" s="70" t="str">
        <f t="shared" si="124"/>
        <v>---</v>
      </c>
      <c r="AT383" s="71" t="str">
        <f t="shared" si="125"/>
        <v>---</v>
      </c>
    </row>
    <row r="384" spans="1:46" ht="30" customHeight="1" x14ac:dyDescent="0.3">
      <c r="A384" s="123">
        <f t="shared" si="109"/>
        <v>380</v>
      </c>
      <c r="B384" s="140">
        <f>INDEX('PEER GROUP'!B:B,MATCH($A384,'PEER GROUP'!$A:$A,0))</f>
        <v>0</v>
      </c>
      <c r="C384" s="83">
        <f>INDEX('PEER GROUP'!C:C,MATCH($A384,'PEER GROUP'!$A:$A,0))</f>
        <v>0</v>
      </c>
      <c r="D384" s="83">
        <f>INDEX('PEER GROUP'!D:D,MATCH($A384,'PEER GROUP'!$A:$A,0))</f>
        <v>0</v>
      </c>
      <c r="E384" s="83">
        <f>INDEX('PEER GROUP'!E:E,MATCH(A384,'PEER GROUP'!$A:$A,0))</f>
        <v>0</v>
      </c>
      <c r="F384" s="84">
        <f>INDEX('PEER GROUP'!F:F,MATCH($A384,'PEER GROUP'!$A:$A,0))</f>
        <v>0</v>
      </c>
      <c r="G384" s="84">
        <f>INDEX('PEER GROUP'!G:G,MATCH($A384,'PEER GROUP'!$A:$A,0))</f>
        <v>0</v>
      </c>
      <c r="H384" s="85"/>
      <c r="I384" s="85"/>
      <c r="J384" s="70">
        <f>INDEX('PEER GROUP'!K:K,MATCH($A384,'PEER GROUP'!$A:$A,0))</f>
        <v>0</v>
      </c>
      <c r="K384" s="70">
        <f>INDEX('PEER GROUP'!L:L,MATCH($A384,'PEER GROUP'!$A:$A,0))</f>
        <v>0</v>
      </c>
      <c r="L384" s="70">
        <f>INDEX('PEER GROUP'!M:M,MATCH($A384,'PEER GROUP'!$A:$A,0))</f>
        <v>0</v>
      </c>
      <c r="M384" s="86">
        <f>INDEX('PEER GROUP'!N:N,MATCH($A384,'PEER GROUP'!$A:$A,0))</f>
        <v>0</v>
      </c>
      <c r="N384" s="118"/>
      <c r="O384" s="115"/>
      <c r="P384" s="117"/>
      <c r="Q384" s="87"/>
      <c r="R384" s="87">
        <f t="shared" si="110"/>
        <v>0</v>
      </c>
      <c r="S384" s="87"/>
      <c r="T384" s="87"/>
      <c r="U384" s="87"/>
      <c r="V384" s="87">
        <f t="shared" si="111"/>
        <v>0</v>
      </c>
      <c r="W384" s="113">
        <f t="shared" si="108"/>
        <v>36.913096727263202</v>
      </c>
      <c r="X384" s="69">
        <f t="shared" si="112"/>
        <v>0</v>
      </c>
      <c r="Y384" s="70">
        <f t="shared" si="113"/>
        <v>0</v>
      </c>
      <c r="Z384" s="70">
        <f t="shared" si="114"/>
        <v>0</v>
      </c>
      <c r="AA384" s="70">
        <f t="shared" si="115"/>
        <v>0</v>
      </c>
      <c r="AB384" s="70">
        <f t="shared" si="116"/>
        <v>0</v>
      </c>
      <c r="AC384" s="70">
        <f t="shared" si="117"/>
        <v>0</v>
      </c>
      <c r="AD384" s="71">
        <f t="shared" si="118"/>
        <v>0</v>
      </c>
      <c r="AE384" s="49"/>
      <c r="AF384" s="21"/>
      <c r="AG384" s="69"/>
      <c r="AH384" s="70"/>
      <c r="AI384" s="70"/>
      <c r="AJ384" s="70"/>
      <c r="AK384" s="70"/>
      <c r="AL384" s="70"/>
      <c r="AM384" s="70"/>
      <c r="AN384" s="70" t="str">
        <f t="shared" si="119"/>
        <v>---</v>
      </c>
      <c r="AO384" s="70" t="str">
        <f t="shared" si="120"/>
        <v>---</v>
      </c>
      <c r="AP384" s="70" t="str">
        <f t="shared" si="121"/>
        <v>---</v>
      </c>
      <c r="AQ384" s="70" t="str">
        <f t="shared" si="122"/>
        <v>---</v>
      </c>
      <c r="AR384" s="70" t="str">
        <f t="shared" si="123"/>
        <v>---</v>
      </c>
      <c r="AS384" s="70" t="str">
        <f t="shared" si="124"/>
        <v>---</v>
      </c>
      <c r="AT384" s="71" t="str">
        <f t="shared" si="125"/>
        <v>---</v>
      </c>
    </row>
    <row r="385" spans="1:46" ht="30" customHeight="1" x14ac:dyDescent="0.3">
      <c r="A385" s="123">
        <f t="shared" si="109"/>
        <v>381</v>
      </c>
      <c r="B385" s="140">
        <f>INDEX('PEER GROUP'!B:B,MATCH($A385,'PEER GROUP'!$A:$A,0))</f>
        <v>0</v>
      </c>
      <c r="C385" s="83">
        <f>INDEX('PEER GROUP'!C:C,MATCH($A385,'PEER GROUP'!$A:$A,0))</f>
        <v>0</v>
      </c>
      <c r="D385" s="83">
        <f>INDEX('PEER GROUP'!D:D,MATCH($A385,'PEER GROUP'!$A:$A,0))</f>
        <v>0</v>
      </c>
      <c r="E385" s="83">
        <f>INDEX('PEER GROUP'!E:E,MATCH(A385,'PEER GROUP'!$A:$A,0))</f>
        <v>0</v>
      </c>
      <c r="F385" s="84">
        <f>INDEX('PEER GROUP'!F:F,MATCH($A385,'PEER GROUP'!$A:$A,0))</f>
        <v>0</v>
      </c>
      <c r="G385" s="84">
        <f>INDEX('PEER GROUP'!G:G,MATCH($A385,'PEER GROUP'!$A:$A,0))</f>
        <v>0</v>
      </c>
      <c r="H385" s="85"/>
      <c r="I385" s="85"/>
      <c r="J385" s="70">
        <f>INDEX('PEER GROUP'!K:K,MATCH($A385,'PEER GROUP'!$A:$A,0))</f>
        <v>0</v>
      </c>
      <c r="K385" s="70">
        <f>INDEX('PEER GROUP'!L:L,MATCH($A385,'PEER GROUP'!$A:$A,0))</f>
        <v>0</v>
      </c>
      <c r="L385" s="70">
        <f>INDEX('PEER GROUP'!M:M,MATCH($A385,'PEER GROUP'!$A:$A,0))</f>
        <v>0</v>
      </c>
      <c r="M385" s="86">
        <f>INDEX('PEER GROUP'!N:N,MATCH($A385,'PEER GROUP'!$A:$A,0))</f>
        <v>0</v>
      </c>
      <c r="N385" s="118"/>
      <c r="O385" s="115"/>
      <c r="P385" s="117"/>
      <c r="Q385" s="87"/>
      <c r="R385" s="87">
        <f t="shared" si="110"/>
        <v>0</v>
      </c>
      <c r="S385" s="87"/>
      <c r="T385" s="87"/>
      <c r="U385" s="87"/>
      <c r="V385" s="87">
        <f t="shared" si="111"/>
        <v>0</v>
      </c>
      <c r="W385" s="113">
        <f t="shared" si="108"/>
        <v>36.913096727263202</v>
      </c>
      <c r="X385" s="69">
        <f t="shared" si="112"/>
        <v>0</v>
      </c>
      <c r="Y385" s="70">
        <f t="shared" si="113"/>
        <v>0</v>
      </c>
      <c r="Z385" s="70">
        <f t="shared" si="114"/>
        <v>0</v>
      </c>
      <c r="AA385" s="70">
        <f t="shared" si="115"/>
        <v>0</v>
      </c>
      <c r="AB385" s="70">
        <f t="shared" si="116"/>
        <v>0</v>
      </c>
      <c r="AC385" s="70">
        <f t="shared" si="117"/>
        <v>0</v>
      </c>
      <c r="AD385" s="71">
        <f t="shared" si="118"/>
        <v>0</v>
      </c>
      <c r="AE385" s="49"/>
      <c r="AF385" s="21"/>
      <c r="AG385" s="69"/>
      <c r="AH385" s="70"/>
      <c r="AI385" s="70"/>
      <c r="AJ385" s="70"/>
      <c r="AK385" s="70"/>
      <c r="AL385" s="70"/>
      <c r="AM385" s="70"/>
      <c r="AN385" s="70" t="str">
        <f t="shared" si="119"/>
        <v>---</v>
      </c>
      <c r="AO385" s="70" t="str">
        <f t="shared" si="120"/>
        <v>---</v>
      </c>
      <c r="AP385" s="70" t="str">
        <f t="shared" si="121"/>
        <v>---</v>
      </c>
      <c r="AQ385" s="70" t="str">
        <f t="shared" si="122"/>
        <v>---</v>
      </c>
      <c r="AR385" s="70" t="str">
        <f t="shared" si="123"/>
        <v>---</v>
      </c>
      <c r="AS385" s="70" t="str">
        <f t="shared" si="124"/>
        <v>---</v>
      </c>
      <c r="AT385" s="71" t="str">
        <f t="shared" si="125"/>
        <v>---</v>
      </c>
    </row>
    <row r="386" spans="1:46" ht="30" customHeight="1" x14ac:dyDescent="0.3">
      <c r="A386" s="123">
        <f t="shared" si="109"/>
        <v>382</v>
      </c>
      <c r="B386" s="140">
        <f>INDEX('PEER GROUP'!B:B,MATCH($A386,'PEER GROUP'!$A:$A,0))</f>
        <v>0</v>
      </c>
      <c r="C386" s="83">
        <f>INDEX('PEER GROUP'!C:C,MATCH($A386,'PEER GROUP'!$A:$A,0))</f>
        <v>0</v>
      </c>
      <c r="D386" s="83">
        <f>INDEX('PEER GROUP'!D:D,MATCH($A386,'PEER GROUP'!$A:$A,0))</f>
        <v>0</v>
      </c>
      <c r="E386" s="83">
        <f>INDEX('PEER GROUP'!E:E,MATCH(A386,'PEER GROUP'!$A:$A,0))</f>
        <v>0</v>
      </c>
      <c r="F386" s="84">
        <f>INDEX('PEER GROUP'!F:F,MATCH($A386,'PEER GROUP'!$A:$A,0))</f>
        <v>0</v>
      </c>
      <c r="G386" s="84">
        <f>INDEX('PEER GROUP'!G:G,MATCH($A386,'PEER GROUP'!$A:$A,0))</f>
        <v>0</v>
      </c>
      <c r="H386" s="85"/>
      <c r="I386" s="85"/>
      <c r="J386" s="70">
        <f>INDEX('PEER GROUP'!K:K,MATCH($A386,'PEER GROUP'!$A:$A,0))</f>
        <v>0</v>
      </c>
      <c r="K386" s="70">
        <f>INDEX('PEER GROUP'!L:L,MATCH($A386,'PEER GROUP'!$A:$A,0))</f>
        <v>0</v>
      </c>
      <c r="L386" s="70">
        <f>INDEX('PEER GROUP'!M:M,MATCH($A386,'PEER GROUP'!$A:$A,0))</f>
        <v>0</v>
      </c>
      <c r="M386" s="86">
        <f>INDEX('PEER GROUP'!N:N,MATCH($A386,'PEER GROUP'!$A:$A,0))</f>
        <v>0</v>
      </c>
      <c r="N386" s="118"/>
      <c r="O386" s="115"/>
      <c r="P386" s="117"/>
      <c r="Q386" s="87"/>
      <c r="R386" s="87">
        <f t="shared" si="110"/>
        <v>0</v>
      </c>
      <c r="S386" s="87"/>
      <c r="T386" s="87"/>
      <c r="U386" s="87"/>
      <c r="V386" s="87">
        <f t="shared" si="111"/>
        <v>0</v>
      </c>
      <c r="W386" s="113">
        <f t="shared" si="108"/>
        <v>36.913096727263202</v>
      </c>
      <c r="X386" s="69">
        <f t="shared" si="112"/>
        <v>0</v>
      </c>
      <c r="Y386" s="70">
        <f t="shared" si="113"/>
        <v>0</v>
      </c>
      <c r="Z386" s="70">
        <f t="shared" si="114"/>
        <v>0</v>
      </c>
      <c r="AA386" s="70">
        <f t="shared" si="115"/>
        <v>0</v>
      </c>
      <c r="AB386" s="70">
        <f t="shared" si="116"/>
        <v>0</v>
      </c>
      <c r="AC386" s="70">
        <f t="shared" si="117"/>
        <v>0</v>
      </c>
      <c r="AD386" s="71">
        <f t="shared" si="118"/>
        <v>0</v>
      </c>
      <c r="AE386" s="49"/>
      <c r="AF386" s="21"/>
      <c r="AG386" s="69"/>
      <c r="AH386" s="70"/>
      <c r="AI386" s="70"/>
      <c r="AJ386" s="70"/>
      <c r="AK386" s="70"/>
      <c r="AL386" s="70"/>
      <c r="AM386" s="70"/>
      <c r="AN386" s="70" t="str">
        <f t="shared" si="119"/>
        <v>---</v>
      </c>
      <c r="AO386" s="70" t="str">
        <f t="shared" si="120"/>
        <v>---</v>
      </c>
      <c r="AP386" s="70" t="str">
        <f t="shared" si="121"/>
        <v>---</v>
      </c>
      <c r="AQ386" s="70" t="str">
        <f t="shared" si="122"/>
        <v>---</v>
      </c>
      <c r="AR386" s="70" t="str">
        <f t="shared" si="123"/>
        <v>---</v>
      </c>
      <c r="AS386" s="70" t="str">
        <f t="shared" si="124"/>
        <v>---</v>
      </c>
      <c r="AT386" s="71" t="str">
        <f t="shared" si="125"/>
        <v>---</v>
      </c>
    </row>
    <row r="387" spans="1:46" ht="30" customHeight="1" x14ac:dyDescent="0.3">
      <c r="A387" s="123">
        <f t="shared" si="109"/>
        <v>383</v>
      </c>
      <c r="B387" s="140">
        <f>INDEX('PEER GROUP'!B:B,MATCH($A387,'PEER GROUP'!$A:$A,0))</f>
        <v>0</v>
      </c>
      <c r="C387" s="83">
        <f>INDEX('PEER GROUP'!C:C,MATCH($A387,'PEER GROUP'!$A:$A,0))</f>
        <v>0</v>
      </c>
      <c r="D387" s="83">
        <f>INDEX('PEER GROUP'!D:D,MATCH($A387,'PEER GROUP'!$A:$A,0))</f>
        <v>0</v>
      </c>
      <c r="E387" s="83">
        <f>INDEX('PEER GROUP'!E:E,MATCH(A387,'PEER GROUP'!$A:$A,0))</f>
        <v>0</v>
      </c>
      <c r="F387" s="84">
        <f>INDEX('PEER GROUP'!F:F,MATCH($A387,'PEER GROUP'!$A:$A,0))</f>
        <v>0</v>
      </c>
      <c r="G387" s="84">
        <f>INDEX('PEER GROUP'!G:G,MATCH($A387,'PEER GROUP'!$A:$A,0))</f>
        <v>0</v>
      </c>
      <c r="H387" s="85"/>
      <c r="I387" s="85"/>
      <c r="J387" s="70">
        <f>INDEX('PEER GROUP'!K:K,MATCH($A387,'PEER GROUP'!$A:$A,0))</f>
        <v>0</v>
      </c>
      <c r="K387" s="70">
        <f>INDEX('PEER GROUP'!L:L,MATCH($A387,'PEER GROUP'!$A:$A,0))</f>
        <v>0</v>
      </c>
      <c r="L387" s="70">
        <f>INDEX('PEER GROUP'!M:M,MATCH($A387,'PEER GROUP'!$A:$A,0))</f>
        <v>0</v>
      </c>
      <c r="M387" s="86">
        <f>INDEX('PEER GROUP'!N:N,MATCH($A387,'PEER GROUP'!$A:$A,0))</f>
        <v>0</v>
      </c>
      <c r="N387" s="118"/>
      <c r="O387" s="115"/>
      <c r="P387" s="117"/>
      <c r="Q387" s="87"/>
      <c r="R387" s="87">
        <f t="shared" si="110"/>
        <v>0</v>
      </c>
      <c r="S387" s="87"/>
      <c r="T387" s="87"/>
      <c r="U387" s="87"/>
      <c r="V387" s="87">
        <f t="shared" si="111"/>
        <v>0</v>
      </c>
      <c r="W387" s="113">
        <f t="shared" si="108"/>
        <v>36.913096727263202</v>
      </c>
      <c r="X387" s="69">
        <f t="shared" si="112"/>
        <v>0</v>
      </c>
      <c r="Y387" s="70">
        <f t="shared" si="113"/>
        <v>0</v>
      </c>
      <c r="Z387" s="70">
        <f t="shared" si="114"/>
        <v>0</v>
      </c>
      <c r="AA387" s="70">
        <f t="shared" si="115"/>
        <v>0</v>
      </c>
      <c r="AB387" s="70">
        <f t="shared" si="116"/>
        <v>0</v>
      </c>
      <c r="AC387" s="70">
        <f t="shared" si="117"/>
        <v>0</v>
      </c>
      <c r="AD387" s="71">
        <f t="shared" si="118"/>
        <v>0</v>
      </c>
      <c r="AE387" s="49"/>
      <c r="AF387" s="21"/>
      <c r="AG387" s="69"/>
      <c r="AH387" s="70"/>
      <c r="AI387" s="70"/>
      <c r="AJ387" s="70"/>
      <c r="AK387" s="70"/>
      <c r="AL387" s="70"/>
      <c r="AM387" s="70"/>
      <c r="AN387" s="70" t="str">
        <f t="shared" si="119"/>
        <v>---</v>
      </c>
      <c r="AO387" s="70" t="str">
        <f t="shared" si="120"/>
        <v>---</v>
      </c>
      <c r="AP387" s="70" t="str">
        <f t="shared" si="121"/>
        <v>---</v>
      </c>
      <c r="AQ387" s="70" t="str">
        <f t="shared" si="122"/>
        <v>---</v>
      </c>
      <c r="AR387" s="70" t="str">
        <f t="shared" si="123"/>
        <v>---</v>
      </c>
      <c r="AS387" s="70" t="str">
        <f t="shared" si="124"/>
        <v>---</v>
      </c>
      <c r="AT387" s="71" t="str">
        <f t="shared" si="125"/>
        <v>---</v>
      </c>
    </row>
    <row r="388" spans="1:46" ht="30" customHeight="1" x14ac:dyDescent="0.3">
      <c r="A388" s="123">
        <f t="shared" si="109"/>
        <v>384</v>
      </c>
      <c r="B388" s="140">
        <f>INDEX('PEER GROUP'!B:B,MATCH($A388,'PEER GROUP'!$A:$A,0))</f>
        <v>0</v>
      </c>
      <c r="C388" s="83">
        <f>INDEX('PEER GROUP'!C:C,MATCH($A388,'PEER GROUP'!$A:$A,0))</f>
        <v>0</v>
      </c>
      <c r="D388" s="83">
        <f>INDEX('PEER GROUP'!D:D,MATCH($A388,'PEER GROUP'!$A:$A,0))</f>
        <v>0</v>
      </c>
      <c r="E388" s="83">
        <f>INDEX('PEER GROUP'!E:E,MATCH(A388,'PEER GROUP'!$A:$A,0))</f>
        <v>0</v>
      </c>
      <c r="F388" s="84">
        <f>INDEX('PEER GROUP'!F:F,MATCH($A388,'PEER GROUP'!$A:$A,0))</f>
        <v>0</v>
      </c>
      <c r="G388" s="84">
        <f>INDEX('PEER GROUP'!G:G,MATCH($A388,'PEER GROUP'!$A:$A,0))</f>
        <v>0</v>
      </c>
      <c r="H388" s="85"/>
      <c r="I388" s="85"/>
      <c r="J388" s="70">
        <f>INDEX('PEER GROUP'!K:K,MATCH($A388,'PEER GROUP'!$A:$A,0))</f>
        <v>0</v>
      </c>
      <c r="K388" s="70">
        <f>INDEX('PEER GROUP'!L:L,MATCH($A388,'PEER GROUP'!$A:$A,0))</f>
        <v>0</v>
      </c>
      <c r="L388" s="70">
        <f>INDEX('PEER GROUP'!M:M,MATCH($A388,'PEER GROUP'!$A:$A,0))</f>
        <v>0</v>
      </c>
      <c r="M388" s="86">
        <f>INDEX('PEER GROUP'!N:N,MATCH($A388,'PEER GROUP'!$A:$A,0))</f>
        <v>0</v>
      </c>
      <c r="N388" s="118"/>
      <c r="O388" s="115"/>
      <c r="P388" s="117"/>
      <c r="Q388" s="87"/>
      <c r="R388" s="87">
        <f t="shared" si="110"/>
        <v>0</v>
      </c>
      <c r="S388" s="87"/>
      <c r="T388" s="87"/>
      <c r="U388" s="87"/>
      <c r="V388" s="87">
        <f t="shared" si="111"/>
        <v>0</v>
      </c>
      <c r="W388" s="113">
        <f t="shared" si="108"/>
        <v>36.913096727263202</v>
      </c>
      <c r="X388" s="69">
        <f t="shared" si="112"/>
        <v>0</v>
      </c>
      <c r="Y388" s="70">
        <f t="shared" si="113"/>
        <v>0</v>
      </c>
      <c r="Z388" s="70">
        <f t="shared" si="114"/>
        <v>0</v>
      </c>
      <c r="AA388" s="70">
        <f t="shared" si="115"/>
        <v>0</v>
      </c>
      <c r="AB388" s="70">
        <f t="shared" si="116"/>
        <v>0</v>
      </c>
      <c r="AC388" s="70">
        <f t="shared" si="117"/>
        <v>0</v>
      </c>
      <c r="AD388" s="71">
        <f t="shared" si="118"/>
        <v>0</v>
      </c>
      <c r="AE388" s="49"/>
      <c r="AF388" s="21"/>
      <c r="AG388" s="69"/>
      <c r="AH388" s="70"/>
      <c r="AI388" s="70"/>
      <c r="AJ388" s="70"/>
      <c r="AK388" s="70"/>
      <c r="AL388" s="70"/>
      <c r="AM388" s="70"/>
      <c r="AN388" s="70" t="str">
        <f t="shared" si="119"/>
        <v>---</v>
      </c>
      <c r="AO388" s="70" t="str">
        <f t="shared" si="120"/>
        <v>---</v>
      </c>
      <c r="AP388" s="70" t="str">
        <f t="shared" si="121"/>
        <v>---</v>
      </c>
      <c r="AQ388" s="70" t="str">
        <f t="shared" si="122"/>
        <v>---</v>
      </c>
      <c r="AR388" s="70" t="str">
        <f t="shared" si="123"/>
        <v>---</v>
      </c>
      <c r="AS388" s="70" t="str">
        <f t="shared" si="124"/>
        <v>---</v>
      </c>
      <c r="AT388" s="71" t="str">
        <f t="shared" si="125"/>
        <v>---</v>
      </c>
    </row>
    <row r="389" spans="1:46" ht="30" customHeight="1" x14ac:dyDescent="0.3">
      <c r="A389" s="123">
        <f t="shared" si="109"/>
        <v>385</v>
      </c>
      <c r="B389" s="140">
        <f>INDEX('PEER GROUP'!B:B,MATCH($A389,'PEER GROUP'!$A:$A,0))</f>
        <v>0</v>
      </c>
      <c r="C389" s="83">
        <f>INDEX('PEER GROUP'!C:C,MATCH($A389,'PEER GROUP'!$A:$A,0))</f>
        <v>0</v>
      </c>
      <c r="D389" s="83">
        <f>INDEX('PEER GROUP'!D:D,MATCH($A389,'PEER GROUP'!$A:$A,0))</f>
        <v>0</v>
      </c>
      <c r="E389" s="83">
        <f>INDEX('PEER GROUP'!E:E,MATCH(A389,'PEER GROUP'!$A:$A,0))</f>
        <v>0</v>
      </c>
      <c r="F389" s="84">
        <f>INDEX('PEER GROUP'!F:F,MATCH($A389,'PEER GROUP'!$A:$A,0))</f>
        <v>0</v>
      </c>
      <c r="G389" s="84">
        <f>INDEX('PEER GROUP'!G:G,MATCH($A389,'PEER GROUP'!$A:$A,0))</f>
        <v>0</v>
      </c>
      <c r="H389" s="85"/>
      <c r="I389" s="85"/>
      <c r="J389" s="70">
        <f>INDEX('PEER GROUP'!K:K,MATCH($A389,'PEER GROUP'!$A:$A,0))</f>
        <v>0</v>
      </c>
      <c r="K389" s="70">
        <f>INDEX('PEER GROUP'!L:L,MATCH($A389,'PEER GROUP'!$A:$A,0))</f>
        <v>0</v>
      </c>
      <c r="L389" s="70">
        <f>INDEX('PEER GROUP'!M:M,MATCH($A389,'PEER GROUP'!$A:$A,0))</f>
        <v>0</v>
      </c>
      <c r="M389" s="86">
        <f>INDEX('PEER GROUP'!N:N,MATCH($A389,'PEER GROUP'!$A:$A,0))</f>
        <v>0</v>
      </c>
      <c r="N389" s="118"/>
      <c r="O389" s="115"/>
      <c r="P389" s="117"/>
      <c r="Q389" s="87"/>
      <c r="R389" s="87">
        <f t="shared" si="110"/>
        <v>0</v>
      </c>
      <c r="S389" s="87"/>
      <c r="T389" s="87"/>
      <c r="U389" s="87"/>
      <c r="V389" s="87">
        <f t="shared" si="111"/>
        <v>0</v>
      </c>
      <c r="W389" s="113">
        <f t="shared" si="108"/>
        <v>36.913096727263202</v>
      </c>
      <c r="X389" s="69">
        <f t="shared" si="112"/>
        <v>0</v>
      </c>
      <c r="Y389" s="70">
        <f t="shared" si="113"/>
        <v>0</v>
      </c>
      <c r="Z389" s="70">
        <f t="shared" si="114"/>
        <v>0</v>
      </c>
      <c r="AA389" s="70">
        <f t="shared" si="115"/>
        <v>0</v>
      </c>
      <c r="AB389" s="70">
        <f t="shared" si="116"/>
        <v>0</v>
      </c>
      <c r="AC389" s="70">
        <f t="shared" si="117"/>
        <v>0</v>
      </c>
      <c r="AD389" s="71">
        <f t="shared" si="118"/>
        <v>0</v>
      </c>
      <c r="AE389" s="49"/>
      <c r="AF389" s="21"/>
      <c r="AG389" s="69"/>
      <c r="AH389" s="70"/>
      <c r="AI389" s="70"/>
      <c r="AJ389" s="70"/>
      <c r="AK389" s="70"/>
      <c r="AL389" s="70"/>
      <c r="AM389" s="70"/>
      <c r="AN389" s="70" t="str">
        <f t="shared" si="119"/>
        <v>---</v>
      </c>
      <c r="AO389" s="70" t="str">
        <f t="shared" si="120"/>
        <v>---</v>
      </c>
      <c r="AP389" s="70" t="str">
        <f t="shared" si="121"/>
        <v>---</v>
      </c>
      <c r="AQ389" s="70" t="str">
        <f t="shared" si="122"/>
        <v>---</v>
      </c>
      <c r="AR389" s="70" t="str">
        <f t="shared" si="123"/>
        <v>---</v>
      </c>
      <c r="AS389" s="70" t="str">
        <f t="shared" si="124"/>
        <v>---</v>
      </c>
      <c r="AT389" s="71" t="str">
        <f t="shared" si="125"/>
        <v>---</v>
      </c>
    </row>
    <row r="390" spans="1:46" ht="30" customHeight="1" x14ac:dyDescent="0.3">
      <c r="A390" s="123">
        <f t="shared" si="109"/>
        <v>386</v>
      </c>
      <c r="B390" s="140">
        <f>INDEX('PEER GROUP'!B:B,MATCH($A390,'PEER GROUP'!$A:$A,0))</f>
        <v>0</v>
      </c>
      <c r="C390" s="83">
        <f>INDEX('PEER GROUP'!C:C,MATCH($A390,'PEER GROUP'!$A:$A,0))</f>
        <v>0</v>
      </c>
      <c r="D390" s="83">
        <f>INDEX('PEER GROUP'!D:D,MATCH($A390,'PEER GROUP'!$A:$A,0))</f>
        <v>0</v>
      </c>
      <c r="E390" s="83">
        <f>INDEX('PEER GROUP'!E:E,MATCH(A390,'PEER GROUP'!$A:$A,0))</f>
        <v>0</v>
      </c>
      <c r="F390" s="84">
        <f>INDEX('PEER GROUP'!F:F,MATCH($A390,'PEER GROUP'!$A:$A,0))</f>
        <v>0</v>
      </c>
      <c r="G390" s="84">
        <f>INDEX('PEER GROUP'!G:G,MATCH($A390,'PEER GROUP'!$A:$A,0))</f>
        <v>0</v>
      </c>
      <c r="H390" s="85"/>
      <c r="I390" s="85"/>
      <c r="J390" s="70">
        <f>INDEX('PEER GROUP'!K:K,MATCH($A390,'PEER GROUP'!$A:$A,0))</f>
        <v>0</v>
      </c>
      <c r="K390" s="70">
        <f>INDEX('PEER GROUP'!L:L,MATCH($A390,'PEER GROUP'!$A:$A,0))</f>
        <v>0</v>
      </c>
      <c r="L390" s="70">
        <f>INDEX('PEER GROUP'!M:M,MATCH($A390,'PEER GROUP'!$A:$A,0))</f>
        <v>0</v>
      </c>
      <c r="M390" s="86">
        <f>INDEX('PEER GROUP'!N:N,MATCH($A390,'PEER GROUP'!$A:$A,0))</f>
        <v>0</v>
      </c>
      <c r="N390" s="118"/>
      <c r="O390" s="115"/>
      <c r="P390" s="117"/>
      <c r="Q390" s="87"/>
      <c r="R390" s="87">
        <f t="shared" si="110"/>
        <v>0</v>
      </c>
      <c r="S390" s="87"/>
      <c r="T390" s="87"/>
      <c r="U390" s="87"/>
      <c r="V390" s="87">
        <f t="shared" si="111"/>
        <v>0</v>
      </c>
      <c r="W390" s="113">
        <f t="shared" si="108"/>
        <v>36.913096727263202</v>
      </c>
      <c r="X390" s="69">
        <f t="shared" si="112"/>
        <v>0</v>
      </c>
      <c r="Y390" s="70">
        <f t="shared" si="113"/>
        <v>0</v>
      </c>
      <c r="Z390" s="70">
        <f t="shared" si="114"/>
        <v>0</v>
      </c>
      <c r="AA390" s="70">
        <f t="shared" si="115"/>
        <v>0</v>
      </c>
      <c r="AB390" s="70">
        <f t="shared" si="116"/>
        <v>0</v>
      </c>
      <c r="AC390" s="70">
        <f t="shared" si="117"/>
        <v>0</v>
      </c>
      <c r="AD390" s="71">
        <f t="shared" si="118"/>
        <v>0</v>
      </c>
      <c r="AE390" s="49"/>
      <c r="AF390" s="21"/>
      <c r="AG390" s="69"/>
      <c r="AH390" s="70"/>
      <c r="AI390" s="70"/>
      <c r="AJ390" s="70"/>
      <c r="AK390" s="70"/>
      <c r="AL390" s="70"/>
      <c r="AM390" s="70"/>
      <c r="AN390" s="70" t="str">
        <f t="shared" si="119"/>
        <v>---</v>
      </c>
      <c r="AO390" s="70" t="str">
        <f t="shared" si="120"/>
        <v>---</v>
      </c>
      <c r="AP390" s="70" t="str">
        <f t="shared" si="121"/>
        <v>---</v>
      </c>
      <c r="AQ390" s="70" t="str">
        <f t="shared" si="122"/>
        <v>---</v>
      </c>
      <c r="AR390" s="70" t="str">
        <f t="shared" si="123"/>
        <v>---</v>
      </c>
      <c r="AS390" s="70" t="str">
        <f t="shared" si="124"/>
        <v>---</v>
      </c>
      <c r="AT390" s="71" t="str">
        <f t="shared" si="125"/>
        <v>---</v>
      </c>
    </row>
    <row r="391" spans="1:46" ht="30" customHeight="1" x14ac:dyDescent="0.3">
      <c r="A391" s="123">
        <f t="shared" si="109"/>
        <v>387</v>
      </c>
      <c r="B391" s="140">
        <f>INDEX('PEER GROUP'!B:B,MATCH($A391,'PEER GROUP'!$A:$A,0))</f>
        <v>0</v>
      </c>
      <c r="C391" s="83">
        <f>INDEX('PEER GROUP'!C:C,MATCH($A391,'PEER GROUP'!$A:$A,0))</f>
        <v>0</v>
      </c>
      <c r="D391" s="83">
        <f>INDEX('PEER GROUP'!D:D,MATCH($A391,'PEER GROUP'!$A:$A,0))</f>
        <v>0</v>
      </c>
      <c r="E391" s="83">
        <f>INDEX('PEER GROUP'!E:E,MATCH(A391,'PEER GROUP'!$A:$A,0))</f>
        <v>0</v>
      </c>
      <c r="F391" s="84">
        <f>INDEX('PEER GROUP'!F:F,MATCH($A391,'PEER GROUP'!$A:$A,0))</f>
        <v>0</v>
      </c>
      <c r="G391" s="84">
        <f>INDEX('PEER GROUP'!G:G,MATCH($A391,'PEER GROUP'!$A:$A,0))</f>
        <v>0</v>
      </c>
      <c r="H391" s="85"/>
      <c r="I391" s="85"/>
      <c r="J391" s="70">
        <f>INDEX('PEER GROUP'!K:K,MATCH($A391,'PEER GROUP'!$A:$A,0))</f>
        <v>0</v>
      </c>
      <c r="K391" s="70">
        <f>INDEX('PEER GROUP'!L:L,MATCH($A391,'PEER GROUP'!$A:$A,0))</f>
        <v>0</v>
      </c>
      <c r="L391" s="70">
        <f>INDEX('PEER GROUP'!M:M,MATCH($A391,'PEER GROUP'!$A:$A,0))</f>
        <v>0</v>
      </c>
      <c r="M391" s="86">
        <f>INDEX('PEER GROUP'!N:N,MATCH($A391,'PEER GROUP'!$A:$A,0))</f>
        <v>0</v>
      </c>
      <c r="N391" s="118"/>
      <c r="O391" s="115"/>
      <c r="P391" s="117"/>
      <c r="Q391" s="87"/>
      <c r="R391" s="87">
        <f t="shared" si="110"/>
        <v>0</v>
      </c>
      <c r="S391" s="87"/>
      <c r="T391" s="87"/>
      <c r="U391" s="87"/>
      <c r="V391" s="87">
        <f t="shared" si="111"/>
        <v>0</v>
      </c>
      <c r="W391" s="113">
        <f t="shared" si="108"/>
        <v>36.913096727263202</v>
      </c>
      <c r="X391" s="69">
        <f t="shared" si="112"/>
        <v>0</v>
      </c>
      <c r="Y391" s="70">
        <f t="shared" si="113"/>
        <v>0</v>
      </c>
      <c r="Z391" s="70">
        <f t="shared" si="114"/>
        <v>0</v>
      </c>
      <c r="AA391" s="70">
        <f t="shared" si="115"/>
        <v>0</v>
      </c>
      <c r="AB391" s="70">
        <f t="shared" si="116"/>
        <v>0</v>
      </c>
      <c r="AC391" s="70">
        <f t="shared" si="117"/>
        <v>0</v>
      </c>
      <c r="AD391" s="71">
        <f t="shared" si="118"/>
        <v>0</v>
      </c>
      <c r="AE391" s="49"/>
      <c r="AF391" s="21"/>
      <c r="AG391" s="69"/>
      <c r="AH391" s="70"/>
      <c r="AI391" s="70"/>
      <c r="AJ391" s="70"/>
      <c r="AK391" s="70"/>
      <c r="AL391" s="70"/>
      <c r="AM391" s="70"/>
      <c r="AN391" s="70" t="str">
        <f t="shared" si="119"/>
        <v>---</v>
      </c>
      <c r="AO391" s="70" t="str">
        <f t="shared" si="120"/>
        <v>---</v>
      </c>
      <c r="AP391" s="70" t="str">
        <f t="shared" si="121"/>
        <v>---</v>
      </c>
      <c r="AQ391" s="70" t="str">
        <f t="shared" si="122"/>
        <v>---</v>
      </c>
      <c r="AR391" s="70" t="str">
        <f t="shared" si="123"/>
        <v>---</v>
      </c>
      <c r="AS391" s="70" t="str">
        <f t="shared" si="124"/>
        <v>---</v>
      </c>
      <c r="AT391" s="71" t="str">
        <f t="shared" si="125"/>
        <v>---</v>
      </c>
    </row>
    <row r="392" spans="1:46" ht="30" customHeight="1" x14ac:dyDescent="0.3">
      <c r="A392" s="123">
        <f t="shared" si="109"/>
        <v>388</v>
      </c>
      <c r="B392" s="140">
        <f>INDEX('PEER GROUP'!B:B,MATCH($A392,'PEER GROUP'!$A:$A,0))</f>
        <v>0</v>
      </c>
      <c r="C392" s="83">
        <f>INDEX('PEER GROUP'!C:C,MATCH($A392,'PEER GROUP'!$A:$A,0))</f>
        <v>0</v>
      </c>
      <c r="D392" s="83">
        <f>INDEX('PEER GROUP'!D:D,MATCH($A392,'PEER GROUP'!$A:$A,0))</f>
        <v>0</v>
      </c>
      <c r="E392" s="83">
        <f>INDEX('PEER GROUP'!E:E,MATCH(A392,'PEER GROUP'!$A:$A,0))</f>
        <v>0</v>
      </c>
      <c r="F392" s="84">
        <f>INDEX('PEER GROUP'!F:F,MATCH($A392,'PEER GROUP'!$A:$A,0))</f>
        <v>0</v>
      </c>
      <c r="G392" s="84">
        <f>INDEX('PEER GROUP'!G:G,MATCH($A392,'PEER GROUP'!$A:$A,0))</f>
        <v>0</v>
      </c>
      <c r="H392" s="85"/>
      <c r="I392" s="85"/>
      <c r="J392" s="70">
        <f>INDEX('PEER GROUP'!K:K,MATCH($A392,'PEER GROUP'!$A:$A,0))</f>
        <v>0</v>
      </c>
      <c r="K392" s="70">
        <f>INDEX('PEER GROUP'!L:L,MATCH($A392,'PEER GROUP'!$A:$A,0))</f>
        <v>0</v>
      </c>
      <c r="L392" s="70">
        <f>INDEX('PEER GROUP'!M:M,MATCH($A392,'PEER GROUP'!$A:$A,0))</f>
        <v>0</v>
      </c>
      <c r="M392" s="86">
        <f>INDEX('PEER GROUP'!N:N,MATCH($A392,'PEER GROUP'!$A:$A,0))</f>
        <v>0</v>
      </c>
      <c r="N392" s="118"/>
      <c r="O392" s="115"/>
      <c r="P392" s="117"/>
      <c r="Q392" s="87"/>
      <c r="R392" s="87">
        <f t="shared" si="110"/>
        <v>0</v>
      </c>
      <c r="S392" s="87"/>
      <c r="T392" s="87"/>
      <c r="U392" s="87"/>
      <c r="V392" s="87">
        <f t="shared" si="111"/>
        <v>0</v>
      </c>
      <c r="W392" s="113">
        <f t="shared" si="108"/>
        <v>36.913096727263202</v>
      </c>
      <c r="X392" s="69">
        <f t="shared" si="112"/>
        <v>0</v>
      </c>
      <c r="Y392" s="70">
        <f t="shared" si="113"/>
        <v>0</v>
      </c>
      <c r="Z392" s="70">
        <f t="shared" si="114"/>
        <v>0</v>
      </c>
      <c r="AA392" s="70">
        <f t="shared" si="115"/>
        <v>0</v>
      </c>
      <c r="AB392" s="70">
        <f t="shared" si="116"/>
        <v>0</v>
      </c>
      <c r="AC392" s="70">
        <f t="shared" si="117"/>
        <v>0</v>
      </c>
      <c r="AD392" s="71">
        <f t="shared" si="118"/>
        <v>0</v>
      </c>
      <c r="AE392" s="49"/>
      <c r="AF392" s="21"/>
      <c r="AG392" s="69"/>
      <c r="AH392" s="70"/>
      <c r="AI392" s="70"/>
      <c r="AJ392" s="70"/>
      <c r="AK392" s="70"/>
      <c r="AL392" s="70"/>
      <c r="AM392" s="70"/>
      <c r="AN392" s="70" t="str">
        <f t="shared" si="119"/>
        <v>---</v>
      </c>
      <c r="AO392" s="70" t="str">
        <f t="shared" si="120"/>
        <v>---</v>
      </c>
      <c r="AP392" s="70" t="str">
        <f t="shared" si="121"/>
        <v>---</v>
      </c>
      <c r="AQ392" s="70" t="str">
        <f t="shared" si="122"/>
        <v>---</v>
      </c>
      <c r="AR392" s="70" t="str">
        <f t="shared" si="123"/>
        <v>---</v>
      </c>
      <c r="AS392" s="70" t="str">
        <f t="shared" si="124"/>
        <v>---</v>
      </c>
      <c r="AT392" s="71" t="str">
        <f t="shared" si="125"/>
        <v>---</v>
      </c>
    </row>
    <row r="393" spans="1:46" ht="30" customHeight="1" x14ac:dyDescent="0.3">
      <c r="A393" s="123">
        <f t="shared" si="109"/>
        <v>389</v>
      </c>
      <c r="B393" s="140">
        <f>INDEX('PEER GROUP'!B:B,MATCH($A393,'PEER GROUP'!$A:$A,0))</f>
        <v>0</v>
      </c>
      <c r="C393" s="83">
        <f>INDEX('PEER GROUP'!C:C,MATCH($A393,'PEER GROUP'!$A:$A,0))</f>
        <v>0</v>
      </c>
      <c r="D393" s="83">
        <f>INDEX('PEER GROUP'!D:D,MATCH($A393,'PEER GROUP'!$A:$A,0))</f>
        <v>0</v>
      </c>
      <c r="E393" s="83">
        <f>INDEX('PEER GROUP'!E:E,MATCH(A393,'PEER GROUP'!$A:$A,0))</f>
        <v>0</v>
      </c>
      <c r="F393" s="84">
        <f>INDEX('PEER GROUP'!F:F,MATCH($A393,'PEER GROUP'!$A:$A,0))</f>
        <v>0</v>
      </c>
      <c r="G393" s="84">
        <f>INDEX('PEER GROUP'!G:G,MATCH($A393,'PEER GROUP'!$A:$A,0))</f>
        <v>0</v>
      </c>
      <c r="H393" s="85"/>
      <c r="I393" s="85"/>
      <c r="J393" s="70">
        <f>INDEX('PEER GROUP'!K:K,MATCH($A393,'PEER GROUP'!$A:$A,0))</f>
        <v>0</v>
      </c>
      <c r="K393" s="70">
        <f>INDEX('PEER GROUP'!L:L,MATCH($A393,'PEER GROUP'!$A:$A,0))</f>
        <v>0</v>
      </c>
      <c r="L393" s="70">
        <f>INDEX('PEER GROUP'!M:M,MATCH($A393,'PEER GROUP'!$A:$A,0))</f>
        <v>0</v>
      </c>
      <c r="M393" s="86">
        <f>INDEX('PEER GROUP'!N:N,MATCH($A393,'PEER GROUP'!$A:$A,0))</f>
        <v>0</v>
      </c>
      <c r="N393" s="118"/>
      <c r="O393" s="115"/>
      <c r="P393" s="117"/>
      <c r="Q393" s="87"/>
      <c r="R393" s="87">
        <f t="shared" si="110"/>
        <v>0</v>
      </c>
      <c r="S393" s="87"/>
      <c r="T393" s="87"/>
      <c r="U393" s="87"/>
      <c r="V393" s="87">
        <f t="shared" si="111"/>
        <v>0</v>
      </c>
      <c r="W393" s="113">
        <f t="shared" si="108"/>
        <v>36.913096727263202</v>
      </c>
      <c r="X393" s="69">
        <f t="shared" si="112"/>
        <v>0</v>
      </c>
      <c r="Y393" s="70">
        <f t="shared" si="113"/>
        <v>0</v>
      </c>
      <c r="Z393" s="70">
        <f t="shared" si="114"/>
        <v>0</v>
      </c>
      <c r="AA393" s="70">
        <f t="shared" si="115"/>
        <v>0</v>
      </c>
      <c r="AB393" s="70">
        <f t="shared" si="116"/>
        <v>0</v>
      </c>
      <c r="AC393" s="70">
        <f t="shared" si="117"/>
        <v>0</v>
      </c>
      <c r="AD393" s="71">
        <f t="shared" si="118"/>
        <v>0</v>
      </c>
      <c r="AE393" s="49"/>
      <c r="AF393" s="21"/>
      <c r="AG393" s="69"/>
      <c r="AH393" s="70"/>
      <c r="AI393" s="70"/>
      <c r="AJ393" s="70"/>
      <c r="AK393" s="70"/>
      <c r="AL393" s="70"/>
      <c r="AM393" s="70"/>
      <c r="AN393" s="70" t="str">
        <f t="shared" si="119"/>
        <v>---</v>
      </c>
      <c r="AO393" s="70" t="str">
        <f t="shared" si="120"/>
        <v>---</v>
      </c>
      <c r="AP393" s="70" t="str">
        <f t="shared" si="121"/>
        <v>---</v>
      </c>
      <c r="AQ393" s="70" t="str">
        <f t="shared" si="122"/>
        <v>---</v>
      </c>
      <c r="AR393" s="70" t="str">
        <f t="shared" si="123"/>
        <v>---</v>
      </c>
      <c r="AS393" s="70" t="str">
        <f t="shared" si="124"/>
        <v>---</v>
      </c>
      <c r="AT393" s="71" t="str">
        <f t="shared" si="125"/>
        <v>---</v>
      </c>
    </row>
    <row r="394" spans="1:46" ht="30" customHeight="1" x14ac:dyDescent="0.3">
      <c r="A394" s="123">
        <f t="shared" si="109"/>
        <v>390</v>
      </c>
      <c r="B394" s="140">
        <f>INDEX('PEER GROUP'!B:B,MATCH($A394,'PEER GROUP'!$A:$A,0))</f>
        <v>0</v>
      </c>
      <c r="C394" s="83">
        <f>INDEX('PEER GROUP'!C:C,MATCH($A394,'PEER GROUP'!$A:$A,0))</f>
        <v>0</v>
      </c>
      <c r="D394" s="83">
        <f>INDEX('PEER GROUP'!D:D,MATCH($A394,'PEER GROUP'!$A:$A,0))</f>
        <v>0</v>
      </c>
      <c r="E394" s="83">
        <f>INDEX('PEER GROUP'!E:E,MATCH(A394,'PEER GROUP'!$A:$A,0))</f>
        <v>0</v>
      </c>
      <c r="F394" s="84">
        <f>INDEX('PEER GROUP'!F:F,MATCH($A394,'PEER GROUP'!$A:$A,0))</f>
        <v>0</v>
      </c>
      <c r="G394" s="84">
        <f>INDEX('PEER GROUP'!G:G,MATCH($A394,'PEER GROUP'!$A:$A,0))</f>
        <v>0</v>
      </c>
      <c r="H394" s="85"/>
      <c r="I394" s="85"/>
      <c r="J394" s="70">
        <f>INDEX('PEER GROUP'!K:K,MATCH($A394,'PEER GROUP'!$A:$A,0))</f>
        <v>0</v>
      </c>
      <c r="K394" s="70">
        <f>INDEX('PEER GROUP'!L:L,MATCH($A394,'PEER GROUP'!$A:$A,0))</f>
        <v>0</v>
      </c>
      <c r="L394" s="70">
        <f>INDEX('PEER GROUP'!M:M,MATCH($A394,'PEER GROUP'!$A:$A,0))</f>
        <v>0</v>
      </c>
      <c r="M394" s="86">
        <f>INDEX('PEER GROUP'!N:N,MATCH($A394,'PEER GROUP'!$A:$A,0))</f>
        <v>0</v>
      </c>
      <c r="N394" s="118"/>
      <c r="O394" s="115"/>
      <c r="P394" s="117"/>
      <c r="Q394" s="87"/>
      <c r="R394" s="87">
        <f t="shared" si="110"/>
        <v>0</v>
      </c>
      <c r="S394" s="87"/>
      <c r="T394" s="87"/>
      <c r="U394" s="87"/>
      <c r="V394" s="87">
        <f t="shared" si="111"/>
        <v>0</v>
      </c>
      <c r="W394" s="113">
        <f t="shared" si="108"/>
        <v>36.913096727263202</v>
      </c>
      <c r="X394" s="69">
        <f t="shared" si="112"/>
        <v>0</v>
      </c>
      <c r="Y394" s="70">
        <f t="shared" si="113"/>
        <v>0</v>
      </c>
      <c r="Z394" s="70">
        <f t="shared" si="114"/>
        <v>0</v>
      </c>
      <c r="AA394" s="70">
        <f t="shared" si="115"/>
        <v>0</v>
      </c>
      <c r="AB394" s="70">
        <f t="shared" si="116"/>
        <v>0</v>
      </c>
      <c r="AC394" s="70">
        <f t="shared" si="117"/>
        <v>0</v>
      </c>
      <c r="AD394" s="71">
        <f t="shared" si="118"/>
        <v>0</v>
      </c>
      <c r="AE394" s="49"/>
      <c r="AF394" s="21"/>
      <c r="AG394" s="69"/>
      <c r="AH394" s="70"/>
      <c r="AI394" s="70"/>
      <c r="AJ394" s="70"/>
      <c r="AK394" s="70"/>
      <c r="AL394" s="70"/>
      <c r="AM394" s="70"/>
      <c r="AN394" s="70" t="str">
        <f t="shared" si="119"/>
        <v>---</v>
      </c>
      <c r="AO394" s="70" t="str">
        <f t="shared" si="120"/>
        <v>---</v>
      </c>
      <c r="AP394" s="70" t="str">
        <f t="shared" si="121"/>
        <v>---</v>
      </c>
      <c r="AQ394" s="70" t="str">
        <f t="shared" si="122"/>
        <v>---</v>
      </c>
      <c r="AR394" s="70" t="str">
        <f t="shared" si="123"/>
        <v>---</v>
      </c>
      <c r="AS394" s="70" t="str">
        <f t="shared" si="124"/>
        <v>---</v>
      </c>
      <c r="AT394" s="71" t="str">
        <f t="shared" si="125"/>
        <v>---</v>
      </c>
    </row>
    <row r="395" spans="1:46" ht="30" customHeight="1" x14ac:dyDescent="0.3">
      <c r="A395" s="123">
        <f t="shared" si="109"/>
        <v>391</v>
      </c>
      <c r="B395" s="140">
        <f>INDEX('PEER GROUP'!B:B,MATCH($A395,'PEER GROUP'!$A:$A,0))</f>
        <v>0</v>
      </c>
      <c r="C395" s="83">
        <f>INDEX('PEER GROUP'!C:C,MATCH($A395,'PEER GROUP'!$A:$A,0))</f>
        <v>0</v>
      </c>
      <c r="D395" s="83">
        <f>INDEX('PEER GROUP'!D:D,MATCH($A395,'PEER GROUP'!$A:$A,0))</f>
        <v>0</v>
      </c>
      <c r="E395" s="83">
        <f>INDEX('PEER GROUP'!E:E,MATCH(A395,'PEER GROUP'!$A:$A,0))</f>
        <v>0</v>
      </c>
      <c r="F395" s="84">
        <f>INDEX('PEER GROUP'!F:F,MATCH($A395,'PEER GROUP'!$A:$A,0))</f>
        <v>0</v>
      </c>
      <c r="G395" s="84">
        <f>INDEX('PEER GROUP'!G:G,MATCH($A395,'PEER GROUP'!$A:$A,0))</f>
        <v>0</v>
      </c>
      <c r="H395" s="85"/>
      <c r="I395" s="85"/>
      <c r="J395" s="70">
        <f>INDEX('PEER GROUP'!K:K,MATCH($A395,'PEER GROUP'!$A:$A,0))</f>
        <v>0</v>
      </c>
      <c r="K395" s="70">
        <f>INDEX('PEER GROUP'!L:L,MATCH($A395,'PEER GROUP'!$A:$A,0))</f>
        <v>0</v>
      </c>
      <c r="L395" s="70">
        <f>INDEX('PEER GROUP'!M:M,MATCH($A395,'PEER GROUP'!$A:$A,0))</f>
        <v>0</v>
      </c>
      <c r="M395" s="86">
        <f>INDEX('PEER GROUP'!N:N,MATCH($A395,'PEER GROUP'!$A:$A,0))</f>
        <v>0</v>
      </c>
      <c r="N395" s="118"/>
      <c r="O395" s="115"/>
      <c r="P395" s="117"/>
      <c r="Q395" s="87"/>
      <c r="R395" s="87">
        <f t="shared" si="110"/>
        <v>0</v>
      </c>
      <c r="S395" s="87"/>
      <c r="T395" s="87"/>
      <c r="U395" s="87"/>
      <c r="V395" s="87">
        <f t="shared" si="111"/>
        <v>0</v>
      </c>
      <c r="W395" s="113">
        <f t="shared" si="108"/>
        <v>36.913096727263202</v>
      </c>
      <c r="X395" s="69">
        <f t="shared" si="112"/>
        <v>0</v>
      </c>
      <c r="Y395" s="70">
        <f t="shared" si="113"/>
        <v>0</v>
      </c>
      <c r="Z395" s="70">
        <f t="shared" si="114"/>
        <v>0</v>
      </c>
      <c r="AA395" s="70">
        <f t="shared" si="115"/>
        <v>0</v>
      </c>
      <c r="AB395" s="70">
        <f t="shared" si="116"/>
        <v>0</v>
      </c>
      <c r="AC395" s="70">
        <f t="shared" si="117"/>
        <v>0</v>
      </c>
      <c r="AD395" s="71">
        <f t="shared" si="118"/>
        <v>0</v>
      </c>
      <c r="AE395" s="49"/>
      <c r="AF395" s="21"/>
      <c r="AG395" s="69"/>
      <c r="AH395" s="70"/>
      <c r="AI395" s="70"/>
      <c r="AJ395" s="70"/>
      <c r="AK395" s="70"/>
      <c r="AL395" s="70"/>
      <c r="AM395" s="70"/>
      <c r="AN395" s="70" t="str">
        <f t="shared" si="119"/>
        <v>---</v>
      </c>
      <c r="AO395" s="70" t="str">
        <f t="shared" si="120"/>
        <v>---</v>
      </c>
      <c r="AP395" s="70" t="str">
        <f t="shared" si="121"/>
        <v>---</v>
      </c>
      <c r="AQ395" s="70" t="str">
        <f t="shared" si="122"/>
        <v>---</v>
      </c>
      <c r="AR395" s="70" t="str">
        <f t="shared" si="123"/>
        <v>---</v>
      </c>
      <c r="AS395" s="70" t="str">
        <f t="shared" si="124"/>
        <v>---</v>
      </c>
      <c r="AT395" s="71" t="str">
        <f t="shared" si="125"/>
        <v>---</v>
      </c>
    </row>
    <row r="396" spans="1:46" ht="30" customHeight="1" x14ac:dyDescent="0.3">
      <c r="A396" s="123">
        <f t="shared" si="109"/>
        <v>392</v>
      </c>
      <c r="B396" s="140">
        <f>INDEX('PEER GROUP'!B:B,MATCH($A396,'PEER GROUP'!$A:$A,0))</f>
        <v>0</v>
      </c>
      <c r="C396" s="83">
        <f>INDEX('PEER GROUP'!C:C,MATCH($A396,'PEER GROUP'!$A:$A,0))</f>
        <v>0</v>
      </c>
      <c r="D396" s="83">
        <f>INDEX('PEER GROUP'!D:D,MATCH($A396,'PEER GROUP'!$A:$A,0))</f>
        <v>0</v>
      </c>
      <c r="E396" s="83">
        <f>INDEX('PEER GROUP'!E:E,MATCH(A396,'PEER GROUP'!$A:$A,0))</f>
        <v>0</v>
      </c>
      <c r="F396" s="84">
        <f>INDEX('PEER GROUP'!F:F,MATCH($A396,'PEER GROUP'!$A:$A,0))</f>
        <v>0</v>
      </c>
      <c r="G396" s="84">
        <f>INDEX('PEER GROUP'!G:G,MATCH($A396,'PEER GROUP'!$A:$A,0))</f>
        <v>0</v>
      </c>
      <c r="H396" s="85"/>
      <c r="I396" s="85"/>
      <c r="J396" s="70">
        <f>INDEX('PEER GROUP'!K:K,MATCH($A396,'PEER GROUP'!$A:$A,0))</f>
        <v>0</v>
      </c>
      <c r="K396" s="70">
        <f>INDEX('PEER GROUP'!L:L,MATCH($A396,'PEER GROUP'!$A:$A,0))</f>
        <v>0</v>
      </c>
      <c r="L396" s="70">
        <f>INDEX('PEER GROUP'!M:M,MATCH($A396,'PEER GROUP'!$A:$A,0))</f>
        <v>0</v>
      </c>
      <c r="M396" s="86">
        <f>INDEX('PEER GROUP'!N:N,MATCH($A396,'PEER GROUP'!$A:$A,0))</f>
        <v>0</v>
      </c>
      <c r="N396" s="118"/>
      <c r="O396" s="115"/>
      <c r="P396" s="117"/>
      <c r="Q396" s="87"/>
      <c r="R396" s="87">
        <f t="shared" si="110"/>
        <v>0</v>
      </c>
      <c r="S396" s="87"/>
      <c r="T396" s="87"/>
      <c r="U396" s="87"/>
      <c r="V396" s="87">
        <f t="shared" si="111"/>
        <v>0</v>
      </c>
      <c r="W396" s="113">
        <f t="shared" si="108"/>
        <v>36.913096727263202</v>
      </c>
      <c r="X396" s="69">
        <f t="shared" si="112"/>
        <v>0</v>
      </c>
      <c r="Y396" s="70">
        <f t="shared" si="113"/>
        <v>0</v>
      </c>
      <c r="Z396" s="70">
        <f t="shared" si="114"/>
        <v>0</v>
      </c>
      <c r="AA396" s="70">
        <f t="shared" si="115"/>
        <v>0</v>
      </c>
      <c r="AB396" s="70">
        <f t="shared" si="116"/>
        <v>0</v>
      </c>
      <c r="AC396" s="70">
        <f t="shared" si="117"/>
        <v>0</v>
      </c>
      <c r="AD396" s="71">
        <f t="shared" si="118"/>
        <v>0</v>
      </c>
      <c r="AE396" s="49"/>
      <c r="AF396" s="21"/>
      <c r="AG396" s="69"/>
      <c r="AH396" s="70"/>
      <c r="AI396" s="70"/>
      <c r="AJ396" s="70"/>
      <c r="AK396" s="70"/>
      <c r="AL396" s="70"/>
      <c r="AM396" s="70"/>
      <c r="AN396" s="70" t="str">
        <f t="shared" si="119"/>
        <v>---</v>
      </c>
      <c r="AO396" s="70" t="str">
        <f t="shared" si="120"/>
        <v>---</v>
      </c>
      <c r="AP396" s="70" t="str">
        <f t="shared" si="121"/>
        <v>---</v>
      </c>
      <c r="AQ396" s="70" t="str">
        <f t="shared" si="122"/>
        <v>---</v>
      </c>
      <c r="AR396" s="70" t="str">
        <f t="shared" si="123"/>
        <v>---</v>
      </c>
      <c r="AS396" s="70" t="str">
        <f t="shared" si="124"/>
        <v>---</v>
      </c>
      <c r="AT396" s="71" t="str">
        <f t="shared" si="125"/>
        <v>---</v>
      </c>
    </row>
    <row r="397" spans="1:46" ht="30" customHeight="1" x14ac:dyDescent="0.3">
      <c r="A397" s="123">
        <f t="shared" si="109"/>
        <v>393</v>
      </c>
      <c r="B397" s="140">
        <f>INDEX('PEER GROUP'!B:B,MATCH($A397,'PEER GROUP'!$A:$A,0))</f>
        <v>0</v>
      </c>
      <c r="C397" s="83">
        <f>INDEX('PEER GROUP'!C:C,MATCH($A397,'PEER GROUP'!$A:$A,0))</f>
        <v>0</v>
      </c>
      <c r="D397" s="83">
        <f>INDEX('PEER GROUP'!D:D,MATCH($A397,'PEER GROUP'!$A:$A,0))</f>
        <v>0</v>
      </c>
      <c r="E397" s="83">
        <f>INDEX('PEER GROUP'!E:E,MATCH(A397,'PEER GROUP'!$A:$A,0))</f>
        <v>0</v>
      </c>
      <c r="F397" s="84">
        <f>INDEX('PEER GROUP'!F:F,MATCH($A397,'PEER GROUP'!$A:$A,0))</f>
        <v>0</v>
      </c>
      <c r="G397" s="84">
        <f>INDEX('PEER GROUP'!G:G,MATCH($A397,'PEER GROUP'!$A:$A,0))</f>
        <v>0</v>
      </c>
      <c r="H397" s="85"/>
      <c r="I397" s="85"/>
      <c r="J397" s="70">
        <f>INDEX('PEER GROUP'!K:K,MATCH($A397,'PEER GROUP'!$A:$A,0))</f>
        <v>0</v>
      </c>
      <c r="K397" s="70">
        <f>INDEX('PEER GROUP'!L:L,MATCH($A397,'PEER GROUP'!$A:$A,0))</f>
        <v>0</v>
      </c>
      <c r="L397" s="70">
        <f>INDEX('PEER GROUP'!M:M,MATCH($A397,'PEER GROUP'!$A:$A,0))</f>
        <v>0</v>
      </c>
      <c r="M397" s="86">
        <f>INDEX('PEER GROUP'!N:N,MATCH($A397,'PEER GROUP'!$A:$A,0))</f>
        <v>0</v>
      </c>
      <c r="N397" s="118"/>
      <c r="O397" s="115"/>
      <c r="P397" s="117"/>
      <c r="Q397" s="87"/>
      <c r="R397" s="87">
        <f t="shared" si="110"/>
        <v>0</v>
      </c>
      <c r="S397" s="87"/>
      <c r="T397" s="87"/>
      <c r="U397" s="87"/>
      <c r="V397" s="87">
        <f t="shared" si="111"/>
        <v>0</v>
      </c>
      <c r="W397" s="113">
        <f t="shared" si="108"/>
        <v>36.913096727263202</v>
      </c>
      <c r="X397" s="69">
        <f t="shared" si="112"/>
        <v>0</v>
      </c>
      <c r="Y397" s="70">
        <f t="shared" si="113"/>
        <v>0</v>
      </c>
      <c r="Z397" s="70">
        <f t="shared" si="114"/>
        <v>0</v>
      </c>
      <c r="AA397" s="70">
        <f t="shared" si="115"/>
        <v>0</v>
      </c>
      <c r="AB397" s="70">
        <f t="shared" si="116"/>
        <v>0</v>
      </c>
      <c r="AC397" s="70">
        <f t="shared" si="117"/>
        <v>0</v>
      </c>
      <c r="AD397" s="71">
        <f t="shared" si="118"/>
        <v>0</v>
      </c>
      <c r="AE397" s="49"/>
      <c r="AF397" s="21"/>
      <c r="AG397" s="69"/>
      <c r="AH397" s="70"/>
      <c r="AI397" s="70"/>
      <c r="AJ397" s="70"/>
      <c r="AK397" s="70"/>
      <c r="AL397" s="70"/>
      <c r="AM397" s="70"/>
      <c r="AN397" s="70" t="str">
        <f t="shared" si="119"/>
        <v>---</v>
      </c>
      <c r="AO397" s="70" t="str">
        <f t="shared" si="120"/>
        <v>---</v>
      </c>
      <c r="AP397" s="70" t="str">
        <f t="shared" si="121"/>
        <v>---</v>
      </c>
      <c r="AQ397" s="70" t="str">
        <f t="shared" si="122"/>
        <v>---</v>
      </c>
      <c r="AR397" s="70" t="str">
        <f t="shared" si="123"/>
        <v>---</v>
      </c>
      <c r="AS397" s="70" t="str">
        <f t="shared" si="124"/>
        <v>---</v>
      </c>
      <c r="AT397" s="71" t="str">
        <f t="shared" si="125"/>
        <v>---</v>
      </c>
    </row>
    <row r="398" spans="1:46" ht="30" customHeight="1" x14ac:dyDescent="0.3">
      <c r="A398" s="123">
        <f t="shared" si="109"/>
        <v>394</v>
      </c>
      <c r="B398" s="140">
        <f>INDEX('PEER GROUP'!B:B,MATCH($A398,'PEER GROUP'!$A:$A,0))</f>
        <v>0</v>
      </c>
      <c r="C398" s="83">
        <f>INDEX('PEER GROUP'!C:C,MATCH($A398,'PEER GROUP'!$A:$A,0))</f>
        <v>0</v>
      </c>
      <c r="D398" s="83">
        <f>INDEX('PEER GROUP'!D:D,MATCH($A398,'PEER GROUP'!$A:$A,0))</f>
        <v>0</v>
      </c>
      <c r="E398" s="83">
        <f>INDEX('PEER GROUP'!E:E,MATCH(A398,'PEER GROUP'!$A:$A,0))</f>
        <v>0</v>
      </c>
      <c r="F398" s="84">
        <f>INDEX('PEER GROUP'!F:F,MATCH($A398,'PEER GROUP'!$A:$A,0))</f>
        <v>0</v>
      </c>
      <c r="G398" s="84">
        <f>INDEX('PEER GROUP'!G:G,MATCH($A398,'PEER GROUP'!$A:$A,0))</f>
        <v>0</v>
      </c>
      <c r="H398" s="85"/>
      <c r="I398" s="85"/>
      <c r="J398" s="70">
        <f>INDEX('PEER GROUP'!K:K,MATCH($A398,'PEER GROUP'!$A:$A,0))</f>
        <v>0</v>
      </c>
      <c r="K398" s="70">
        <f>INDEX('PEER GROUP'!L:L,MATCH($A398,'PEER GROUP'!$A:$A,0))</f>
        <v>0</v>
      </c>
      <c r="L398" s="70">
        <f>INDEX('PEER GROUP'!M:M,MATCH($A398,'PEER GROUP'!$A:$A,0))</f>
        <v>0</v>
      </c>
      <c r="M398" s="86">
        <f>INDEX('PEER GROUP'!N:N,MATCH($A398,'PEER GROUP'!$A:$A,0))</f>
        <v>0</v>
      </c>
      <c r="N398" s="118"/>
      <c r="O398" s="115"/>
      <c r="P398" s="117"/>
      <c r="Q398" s="87"/>
      <c r="R398" s="87">
        <f t="shared" si="110"/>
        <v>0</v>
      </c>
      <c r="S398" s="87"/>
      <c r="T398" s="87"/>
      <c r="U398" s="87"/>
      <c r="V398" s="87">
        <f t="shared" si="111"/>
        <v>0</v>
      </c>
      <c r="W398" s="113">
        <f t="shared" si="108"/>
        <v>36.913096727263202</v>
      </c>
      <c r="X398" s="69">
        <f t="shared" si="112"/>
        <v>0</v>
      </c>
      <c r="Y398" s="70">
        <f t="shared" si="113"/>
        <v>0</v>
      </c>
      <c r="Z398" s="70">
        <f t="shared" si="114"/>
        <v>0</v>
      </c>
      <c r="AA398" s="70">
        <f t="shared" si="115"/>
        <v>0</v>
      </c>
      <c r="AB398" s="70">
        <f t="shared" si="116"/>
        <v>0</v>
      </c>
      <c r="AC398" s="70">
        <f t="shared" si="117"/>
        <v>0</v>
      </c>
      <c r="AD398" s="71">
        <f t="shared" si="118"/>
        <v>0</v>
      </c>
      <c r="AE398" s="49"/>
      <c r="AF398" s="21"/>
      <c r="AG398" s="69"/>
      <c r="AH398" s="70"/>
      <c r="AI398" s="70"/>
      <c r="AJ398" s="70"/>
      <c r="AK398" s="70"/>
      <c r="AL398" s="70"/>
      <c r="AM398" s="70"/>
      <c r="AN398" s="70" t="str">
        <f t="shared" si="119"/>
        <v>---</v>
      </c>
      <c r="AO398" s="70" t="str">
        <f t="shared" si="120"/>
        <v>---</v>
      </c>
      <c r="AP398" s="70" t="str">
        <f t="shared" si="121"/>
        <v>---</v>
      </c>
      <c r="AQ398" s="70" t="str">
        <f t="shared" si="122"/>
        <v>---</v>
      </c>
      <c r="AR398" s="70" t="str">
        <f t="shared" si="123"/>
        <v>---</v>
      </c>
      <c r="AS398" s="70" t="str">
        <f t="shared" si="124"/>
        <v>---</v>
      </c>
      <c r="AT398" s="71" t="str">
        <f t="shared" si="125"/>
        <v>---</v>
      </c>
    </row>
    <row r="399" spans="1:46" ht="30" customHeight="1" x14ac:dyDescent="0.3">
      <c r="A399" s="123">
        <f t="shared" si="109"/>
        <v>395</v>
      </c>
      <c r="B399" s="140">
        <f>INDEX('PEER GROUP'!B:B,MATCH($A399,'PEER GROUP'!$A:$A,0))</f>
        <v>0</v>
      </c>
      <c r="C399" s="83">
        <f>INDEX('PEER GROUP'!C:C,MATCH($A399,'PEER GROUP'!$A:$A,0))</f>
        <v>0</v>
      </c>
      <c r="D399" s="83">
        <f>INDEX('PEER GROUP'!D:D,MATCH($A399,'PEER GROUP'!$A:$A,0))</f>
        <v>0</v>
      </c>
      <c r="E399" s="83">
        <f>INDEX('PEER GROUP'!E:E,MATCH(A399,'PEER GROUP'!$A:$A,0))</f>
        <v>0</v>
      </c>
      <c r="F399" s="84">
        <f>INDEX('PEER GROUP'!F:F,MATCH($A399,'PEER GROUP'!$A:$A,0))</f>
        <v>0</v>
      </c>
      <c r="G399" s="84">
        <f>INDEX('PEER GROUP'!G:G,MATCH($A399,'PEER GROUP'!$A:$A,0))</f>
        <v>0</v>
      </c>
      <c r="H399" s="85"/>
      <c r="I399" s="85"/>
      <c r="J399" s="70">
        <f>INDEX('PEER GROUP'!K:K,MATCH($A399,'PEER GROUP'!$A:$A,0))</f>
        <v>0</v>
      </c>
      <c r="K399" s="70">
        <f>INDEX('PEER GROUP'!L:L,MATCH($A399,'PEER GROUP'!$A:$A,0))</f>
        <v>0</v>
      </c>
      <c r="L399" s="70">
        <f>INDEX('PEER GROUP'!M:M,MATCH($A399,'PEER GROUP'!$A:$A,0))</f>
        <v>0</v>
      </c>
      <c r="M399" s="86">
        <f>INDEX('PEER GROUP'!N:N,MATCH($A399,'PEER GROUP'!$A:$A,0))</f>
        <v>0</v>
      </c>
      <c r="N399" s="118"/>
      <c r="O399" s="115"/>
      <c r="P399" s="117"/>
      <c r="Q399" s="87"/>
      <c r="R399" s="87">
        <f t="shared" si="110"/>
        <v>0</v>
      </c>
      <c r="S399" s="87"/>
      <c r="T399" s="87"/>
      <c r="U399" s="87"/>
      <c r="V399" s="87">
        <f t="shared" si="111"/>
        <v>0</v>
      </c>
      <c r="W399" s="113">
        <f t="shared" si="108"/>
        <v>36.913096727263202</v>
      </c>
      <c r="X399" s="69">
        <f t="shared" si="112"/>
        <v>0</v>
      </c>
      <c r="Y399" s="70">
        <f t="shared" si="113"/>
        <v>0</v>
      </c>
      <c r="Z399" s="70">
        <f t="shared" si="114"/>
        <v>0</v>
      </c>
      <c r="AA399" s="70">
        <f t="shared" si="115"/>
        <v>0</v>
      </c>
      <c r="AB399" s="70">
        <f t="shared" si="116"/>
        <v>0</v>
      </c>
      <c r="AC399" s="70">
        <f t="shared" si="117"/>
        <v>0</v>
      </c>
      <c r="AD399" s="71">
        <f t="shared" si="118"/>
        <v>0</v>
      </c>
      <c r="AE399" s="49"/>
      <c r="AF399" s="21"/>
      <c r="AG399" s="69"/>
      <c r="AH399" s="70"/>
      <c r="AI399" s="70"/>
      <c r="AJ399" s="70"/>
      <c r="AK399" s="70"/>
      <c r="AL399" s="70"/>
      <c r="AM399" s="70"/>
      <c r="AN399" s="70" t="str">
        <f t="shared" si="119"/>
        <v>---</v>
      </c>
      <c r="AO399" s="70" t="str">
        <f t="shared" si="120"/>
        <v>---</v>
      </c>
      <c r="AP399" s="70" t="str">
        <f t="shared" si="121"/>
        <v>---</v>
      </c>
      <c r="AQ399" s="70" t="str">
        <f t="shared" si="122"/>
        <v>---</v>
      </c>
      <c r="AR399" s="70" t="str">
        <f t="shared" si="123"/>
        <v>---</v>
      </c>
      <c r="AS399" s="70" t="str">
        <f t="shared" si="124"/>
        <v>---</v>
      </c>
      <c r="AT399" s="71" t="str">
        <f t="shared" si="125"/>
        <v>---</v>
      </c>
    </row>
    <row r="400" spans="1:46" ht="30" customHeight="1" x14ac:dyDescent="0.3">
      <c r="A400" s="123">
        <f t="shared" si="109"/>
        <v>396</v>
      </c>
      <c r="B400" s="140">
        <f>INDEX('PEER GROUP'!B:B,MATCH($A400,'PEER GROUP'!$A:$A,0))</f>
        <v>0</v>
      </c>
      <c r="C400" s="83">
        <f>INDEX('PEER GROUP'!C:C,MATCH($A400,'PEER GROUP'!$A:$A,0))</f>
        <v>0</v>
      </c>
      <c r="D400" s="83">
        <f>INDEX('PEER GROUP'!D:D,MATCH($A400,'PEER GROUP'!$A:$A,0))</f>
        <v>0</v>
      </c>
      <c r="E400" s="83">
        <f>INDEX('PEER GROUP'!E:E,MATCH(A400,'PEER GROUP'!$A:$A,0))</f>
        <v>0</v>
      </c>
      <c r="F400" s="84">
        <f>INDEX('PEER GROUP'!F:F,MATCH($A400,'PEER GROUP'!$A:$A,0))</f>
        <v>0</v>
      </c>
      <c r="G400" s="84">
        <f>INDEX('PEER GROUP'!G:G,MATCH($A400,'PEER GROUP'!$A:$A,0))</f>
        <v>0</v>
      </c>
      <c r="H400" s="85"/>
      <c r="I400" s="85"/>
      <c r="J400" s="70">
        <f>INDEX('PEER GROUP'!K:K,MATCH($A400,'PEER GROUP'!$A:$A,0))</f>
        <v>0</v>
      </c>
      <c r="K400" s="70">
        <f>INDEX('PEER GROUP'!L:L,MATCH($A400,'PEER GROUP'!$A:$A,0))</f>
        <v>0</v>
      </c>
      <c r="L400" s="70">
        <f>INDEX('PEER GROUP'!M:M,MATCH($A400,'PEER GROUP'!$A:$A,0))</f>
        <v>0</v>
      </c>
      <c r="M400" s="86">
        <f>INDEX('PEER GROUP'!N:N,MATCH($A400,'PEER GROUP'!$A:$A,0))</f>
        <v>0</v>
      </c>
      <c r="N400" s="118"/>
      <c r="O400" s="115"/>
      <c r="P400" s="117"/>
      <c r="Q400" s="87"/>
      <c r="R400" s="87">
        <f t="shared" si="110"/>
        <v>0</v>
      </c>
      <c r="S400" s="87"/>
      <c r="T400" s="87"/>
      <c r="U400" s="87"/>
      <c r="V400" s="87">
        <f t="shared" si="111"/>
        <v>0</v>
      </c>
      <c r="W400" s="113">
        <f t="shared" si="108"/>
        <v>36.913096727263202</v>
      </c>
      <c r="X400" s="69">
        <f t="shared" si="112"/>
        <v>0</v>
      </c>
      <c r="Y400" s="70">
        <f t="shared" si="113"/>
        <v>0</v>
      </c>
      <c r="Z400" s="70">
        <f t="shared" si="114"/>
        <v>0</v>
      </c>
      <c r="AA400" s="70">
        <f t="shared" si="115"/>
        <v>0</v>
      </c>
      <c r="AB400" s="70">
        <f t="shared" si="116"/>
        <v>0</v>
      </c>
      <c r="AC400" s="70">
        <f t="shared" si="117"/>
        <v>0</v>
      </c>
      <c r="AD400" s="71">
        <f t="shared" si="118"/>
        <v>0</v>
      </c>
      <c r="AE400" s="49"/>
      <c r="AF400" s="21"/>
      <c r="AG400" s="69"/>
      <c r="AH400" s="70"/>
      <c r="AI400" s="70"/>
      <c r="AJ400" s="70"/>
      <c r="AK400" s="70"/>
      <c r="AL400" s="70"/>
      <c r="AM400" s="70"/>
      <c r="AN400" s="70" t="str">
        <f t="shared" si="119"/>
        <v>---</v>
      </c>
      <c r="AO400" s="70" t="str">
        <f t="shared" si="120"/>
        <v>---</v>
      </c>
      <c r="AP400" s="70" t="str">
        <f t="shared" si="121"/>
        <v>---</v>
      </c>
      <c r="AQ400" s="70" t="str">
        <f t="shared" si="122"/>
        <v>---</v>
      </c>
      <c r="AR400" s="70" t="str">
        <f t="shared" si="123"/>
        <v>---</v>
      </c>
      <c r="AS400" s="70" t="str">
        <f t="shared" si="124"/>
        <v>---</v>
      </c>
      <c r="AT400" s="71" t="str">
        <f t="shared" si="125"/>
        <v>---</v>
      </c>
    </row>
    <row r="401" spans="1:46" ht="30" customHeight="1" x14ac:dyDescent="0.3">
      <c r="A401" s="123">
        <f t="shared" si="109"/>
        <v>397</v>
      </c>
      <c r="B401" s="140">
        <f>INDEX('PEER GROUP'!B:B,MATCH($A401,'PEER GROUP'!$A:$A,0))</f>
        <v>0</v>
      </c>
      <c r="C401" s="83">
        <f>INDEX('PEER GROUP'!C:C,MATCH($A401,'PEER GROUP'!$A:$A,0))</f>
        <v>0</v>
      </c>
      <c r="D401" s="83">
        <f>INDEX('PEER GROUP'!D:D,MATCH($A401,'PEER GROUP'!$A:$A,0))</f>
        <v>0</v>
      </c>
      <c r="E401" s="83">
        <f>INDEX('PEER GROUP'!E:E,MATCH(A401,'PEER GROUP'!$A:$A,0))</f>
        <v>0</v>
      </c>
      <c r="F401" s="84">
        <f>INDEX('PEER GROUP'!F:F,MATCH($A401,'PEER GROUP'!$A:$A,0))</f>
        <v>0</v>
      </c>
      <c r="G401" s="84">
        <f>INDEX('PEER GROUP'!G:G,MATCH($A401,'PEER GROUP'!$A:$A,0))</f>
        <v>0</v>
      </c>
      <c r="H401" s="85"/>
      <c r="I401" s="85"/>
      <c r="J401" s="70">
        <f>INDEX('PEER GROUP'!K:K,MATCH($A401,'PEER GROUP'!$A:$A,0))</f>
        <v>0</v>
      </c>
      <c r="K401" s="70">
        <f>INDEX('PEER GROUP'!L:L,MATCH($A401,'PEER GROUP'!$A:$A,0))</f>
        <v>0</v>
      </c>
      <c r="L401" s="70">
        <f>INDEX('PEER GROUP'!M:M,MATCH($A401,'PEER GROUP'!$A:$A,0))</f>
        <v>0</v>
      </c>
      <c r="M401" s="86">
        <f>INDEX('PEER GROUP'!N:N,MATCH($A401,'PEER GROUP'!$A:$A,0))</f>
        <v>0</v>
      </c>
      <c r="N401" s="118"/>
      <c r="O401" s="115"/>
      <c r="P401" s="117"/>
      <c r="Q401" s="87"/>
      <c r="R401" s="87">
        <f t="shared" si="110"/>
        <v>0</v>
      </c>
      <c r="S401" s="87"/>
      <c r="T401" s="87"/>
      <c r="U401" s="87"/>
      <c r="V401" s="87">
        <f t="shared" si="111"/>
        <v>0</v>
      </c>
      <c r="W401" s="113">
        <f t="shared" si="108"/>
        <v>36.913096727263202</v>
      </c>
      <c r="X401" s="69">
        <f t="shared" si="112"/>
        <v>0</v>
      </c>
      <c r="Y401" s="70">
        <f t="shared" si="113"/>
        <v>0</v>
      </c>
      <c r="Z401" s="70">
        <f t="shared" si="114"/>
        <v>0</v>
      </c>
      <c r="AA401" s="70">
        <f t="shared" si="115"/>
        <v>0</v>
      </c>
      <c r="AB401" s="70">
        <f t="shared" si="116"/>
        <v>0</v>
      </c>
      <c r="AC401" s="70">
        <f t="shared" si="117"/>
        <v>0</v>
      </c>
      <c r="AD401" s="71">
        <f t="shared" si="118"/>
        <v>0</v>
      </c>
      <c r="AE401" s="49"/>
      <c r="AF401" s="21"/>
      <c r="AG401" s="69"/>
      <c r="AH401" s="70"/>
      <c r="AI401" s="70"/>
      <c r="AJ401" s="70"/>
      <c r="AK401" s="70"/>
      <c r="AL401" s="70"/>
      <c r="AM401" s="70"/>
      <c r="AN401" s="70" t="str">
        <f t="shared" si="119"/>
        <v>---</v>
      </c>
      <c r="AO401" s="70" t="str">
        <f t="shared" si="120"/>
        <v>---</v>
      </c>
      <c r="AP401" s="70" t="str">
        <f t="shared" si="121"/>
        <v>---</v>
      </c>
      <c r="AQ401" s="70" t="str">
        <f t="shared" si="122"/>
        <v>---</v>
      </c>
      <c r="AR401" s="70" t="str">
        <f t="shared" si="123"/>
        <v>---</v>
      </c>
      <c r="AS401" s="70" t="str">
        <f t="shared" si="124"/>
        <v>---</v>
      </c>
      <c r="AT401" s="71" t="str">
        <f t="shared" si="125"/>
        <v>---</v>
      </c>
    </row>
    <row r="402" spans="1:46" ht="30" customHeight="1" x14ac:dyDescent="0.3">
      <c r="A402" s="123">
        <f t="shared" si="109"/>
        <v>398</v>
      </c>
      <c r="B402" s="140">
        <f>INDEX('PEER GROUP'!B:B,MATCH($A402,'PEER GROUP'!$A:$A,0))</f>
        <v>0</v>
      </c>
      <c r="C402" s="83">
        <f>INDEX('PEER GROUP'!C:C,MATCH($A402,'PEER GROUP'!$A:$A,0))</f>
        <v>0</v>
      </c>
      <c r="D402" s="83">
        <f>INDEX('PEER GROUP'!D:D,MATCH($A402,'PEER GROUP'!$A:$A,0))</f>
        <v>0</v>
      </c>
      <c r="E402" s="83">
        <f>INDEX('PEER GROUP'!E:E,MATCH(A402,'PEER GROUP'!$A:$A,0))</f>
        <v>0</v>
      </c>
      <c r="F402" s="84">
        <f>INDEX('PEER GROUP'!F:F,MATCH($A402,'PEER GROUP'!$A:$A,0))</f>
        <v>0</v>
      </c>
      <c r="G402" s="84">
        <f>INDEX('PEER GROUP'!G:G,MATCH($A402,'PEER GROUP'!$A:$A,0))</f>
        <v>0</v>
      </c>
      <c r="H402" s="85"/>
      <c r="I402" s="85"/>
      <c r="J402" s="70">
        <f>INDEX('PEER GROUP'!K:K,MATCH($A402,'PEER GROUP'!$A:$A,0))</f>
        <v>0</v>
      </c>
      <c r="K402" s="70">
        <f>INDEX('PEER GROUP'!L:L,MATCH($A402,'PEER GROUP'!$A:$A,0))</f>
        <v>0</v>
      </c>
      <c r="L402" s="70">
        <f>INDEX('PEER GROUP'!M:M,MATCH($A402,'PEER GROUP'!$A:$A,0))</f>
        <v>0</v>
      </c>
      <c r="M402" s="86">
        <f>INDEX('PEER GROUP'!N:N,MATCH($A402,'PEER GROUP'!$A:$A,0))</f>
        <v>0</v>
      </c>
      <c r="N402" s="118"/>
      <c r="O402" s="115"/>
      <c r="P402" s="117"/>
      <c r="Q402" s="87"/>
      <c r="R402" s="87">
        <f t="shared" si="110"/>
        <v>0</v>
      </c>
      <c r="S402" s="87"/>
      <c r="T402" s="87"/>
      <c r="U402" s="87"/>
      <c r="V402" s="87">
        <f t="shared" si="111"/>
        <v>0</v>
      </c>
      <c r="W402" s="113">
        <f t="shared" si="108"/>
        <v>36.913096727263202</v>
      </c>
      <c r="X402" s="69">
        <f t="shared" si="112"/>
        <v>0</v>
      </c>
      <c r="Y402" s="70">
        <f t="shared" si="113"/>
        <v>0</v>
      </c>
      <c r="Z402" s="70">
        <f t="shared" si="114"/>
        <v>0</v>
      </c>
      <c r="AA402" s="70">
        <f t="shared" si="115"/>
        <v>0</v>
      </c>
      <c r="AB402" s="70">
        <f t="shared" si="116"/>
        <v>0</v>
      </c>
      <c r="AC402" s="70">
        <f t="shared" si="117"/>
        <v>0</v>
      </c>
      <c r="AD402" s="71">
        <f t="shared" si="118"/>
        <v>0</v>
      </c>
      <c r="AE402" s="49"/>
      <c r="AF402" s="21"/>
      <c r="AG402" s="69"/>
      <c r="AH402" s="70"/>
      <c r="AI402" s="70"/>
      <c r="AJ402" s="70"/>
      <c r="AK402" s="70"/>
      <c r="AL402" s="70"/>
      <c r="AM402" s="70"/>
      <c r="AN402" s="70" t="str">
        <f t="shared" si="119"/>
        <v>---</v>
      </c>
      <c r="AO402" s="70" t="str">
        <f t="shared" si="120"/>
        <v>---</v>
      </c>
      <c r="AP402" s="70" t="str">
        <f t="shared" si="121"/>
        <v>---</v>
      </c>
      <c r="AQ402" s="70" t="str">
        <f t="shared" si="122"/>
        <v>---</v>
      </c>
      <c r="AR402" s="70" t="str">
        <f t="shared" si="123"/>
        <v>---</v>
      </c>
      <c r="AS402" s="70" t="str">
        <f t="shared" si="124"/>
        <v>---</v>
      </c>
      <c r="AT402" s="71" t="str">
        <f t="shared" si="125"/>
        <v>---</v>
      </c>
    </row>
    <row r="403" spans="1:46" ht="30" customHeight="1" x14ac:dyDescent="0.3">
      <c r="A403" s="123">
        <f t="shared" si="109"/>
        <v>399</v>
      </c>
      <c r="B403" s="140">
        <f>INDEX('PEER GROUP'!B:B,MATCH($A403,'PEER GROUP'!$A:$A,0))</f>
        <v>0</v>
      </c>
      <c r="C403" s="83">
        <f>INDEX('PEER GROUP'!C:C,MATCH($A403,'PEER GROUP'!$A:$A,0))</f>
        <v>0</v>
      </c>
      <c r="D403" s="83">
        <f>INDEX('PEER GROUP'!D:D,MATCH($A403,'PEER GROUP'!$A:$A,0))</f>
        <v>0</v>
      </c>
      <c r="E403" s="83">
        <f>INDEX('PEER GROUP'!E:E,MATCH(A403,'PEER GROUP'!$A:$A,0))</f>
        <v>0</v>
      </c>
      <c r="F403" s="84">
        <f>INDEX('PEER GROUP'!F:F,MATCH($A403,'PEER GROUP'!$A:$A,0))</f>
        <v>0</v>
      </c>
      <c r="G403" s="84">
        <f>INDEX('PEER GROUP'!G:G,MATCH($A403,'PEER GROUP'!$A:$A,0))</f>
        <v>0</v>
      </c>
      <c r="H403" s="85"/>
      <c r="I403" s="85"/>
      <c r="J403" s="70">
        <f>INDEX('PEER GROUP'!K:K,MATCH($A403,'PEER GROUP'!$A:$A,0))</f>
        <v>0</v>
      </c>
      <c r="K403" s="70">
        <f>INDEX('PEER GROUP'!L:L,MATCH($A403,'PEER GROUP'!$A:$A,0))</f>
        <v>0</v>
      </c>
      <c r="L403" s="70">
        <f>INDEX('PEER GROUP'!M:M,MATCH($A403,'PEER GROUP'!$A:$A,0))</f>
        <v>0</v>
      </c>
      <c r="M403" s="86">
        <f>INDEX('PEER GROUP'!N:N,MATCH($A403,'PEER GROUP'!$A:$A,0))</f>
        <v>0</v>
      </c>
      <c r="N403" s="118"/>
      <c r="O403" s="115"/>
      <c r="P403" s="117"/>
      <c r="Q403" s="87"/>
      <c r="R403" s="87">
        <f t="shared" si="110"/>
        <v>0</v>
      </c>
      <c r="S403" s="87"/>
      <c r="T403" s="87"/>
      <c r="U403" s="87"/>
      <c r="V403" s="87">
        <f t="shared" si="111"/>
        <v>0</v>
      </c>
      <c r="W403" s="113">
        <f t="shared" si="108"/>
        <v>36.913096727263202</v>
      </c>
      <c r="X403" s="69">
        <f t="shared" si="112"/>
        <v>0</v>
      </c>
      <c r="Y403" s="70">
        <f t="shared" si="113"/>
        <v>0</v>
      </c>
      <c r="Z403" s="70">
        <f t="shared" si="114"/>
        <v>0</v>
      </c>
      <c r="AA403" s="70">
        <f t="shared" si="115"/>
        <v>0</v>
      </c>
      <c r="AB403" s="70">
        <f t="shared" si="116"/>
        <v>0</v>
      </c>
      <c r="AC403" s="70">
        <f t="shared" si="117"/>
        <v>0</v>
      </c>
      <c r="AD403" s="71">
        <f t="shared" si="118"/>
        <v>0</v>
      </c>
      <c r="AE403" s="49"/>
      <c r="AF403" s="21"/>
      <c r="AG403" s="69"/>
      <c r="AH403" s="70"/>
      <c r="AI403" s="70"/>
      <c r="AJ403" s="70"/>
      <c r="AK403" s="70"/>
      <c r="AL403" s="70"/>
      <c r="AM403" s="70"/>
      <c r="AN403" s="70" t="str">
        <f t="shared" si="119"/>
        <v>---</v>
      </c>
      <c r="AO403" s="70" t="str">
        <f t="shared" si="120"/>
        <v>---</v>
      </c>
      <c r="AP403" s="70" t="str">
        <f t="shared" si="121"/>
        <v>---</v>
      </c>
      <c r="AQ403" s="70" t="str">
        <f t="shared" si="122"/>
        <v>---</v>
      </c>
      <c r="AR403" s="70" t="str">
        <f t="shared" si="123"/>
        <v>---</v>
      </c>
      <c r="AS403" s="70" t="str">
        <f t="shared" si="124"/>
        <v>---</v>
      </c>
      <c r="AT403" s="71" t="str">
        <f t="shared" si="125"/>
        <v>---</v>
      </c>
    </row>
    <row r="404" spans="1:46" ht="30" customHeight="1" x14ac:dyDescent="0.3">
      <c r="A404" s="123">
        <f t="shared" si="109"/>
        <v>400</v>
      </c>
      <c r="B404" s="140">
        <f>INDEX('PEER GROUP'!B:B,MATCH($A404,'PEER GROUP'!$A:$A,0))</f>
        <v>0</v>
      </c>
      <c r="C404" s="83">
        <f>INDEX('PEER GROUP'!C:C,MATCH($A404,'PEER GROUP'!$A:$A,0))</f>
        <v>0</v>
      </c>
      <c r="D404" s="83">
        <f>INDEX('PEER GROUP'!D:D,MATCH($A404,'PEER GROUP'!$A:$A,0))</f>
        <v>0</v>
      </c>
      <c r="E404" s="83">
        <f>INDEX('PEER GROUP'!E:E,MATCH(A404,'PEER GROUP'!$A:$A,0))</f>
        <v>0</v>
      </c>
      <c r="F404" s="84">
        <f>INDEX('PEER GROUP'!F:F,MATCH($A404,'PEER GROUP'!$A:$A,0))</f>
        <v>0</v>
      </c>
      <c r="G404" s="84">
        <f>INDEX('PEER GROUP'!G:G,MATCH($A404,'PEER GROUP'!$A:$A,0))</f>
        <v>0</v>
      </c>
      <c r="H404" s="85"/>
      <c r="I404" s="85"/>
      <c r="J404" s="70">
        <f>INDEX('PEER GROUP'!K:K,MATCH($A404,'PEER GROUP'!$A:$A,0))</f>
        <v>0</v>
      </c>
      <c r="K404" s="70">
        <f>INDEX('PEER GROUP'!L:L,MATCH($A404,'PEER GROUP'!$A:$A,0))</f>
        <v>0</v>
      </c>
      <c r="L404" s="70">
        <f>INDEX('PEER GROUP'!M:M,MATCH($A404,'PEER GROUP'!$A:$A,0))</f>
        <v>0</v>
      </c>
      <c r="M404" s="86">
        <f>INDEX('PEER GROUP'!N:N,MATCH($A404,'PEER GROUP'!$A:$A,0))</f>
        <v>0</v>
      </c>
      <c r="N404" s="118"/>
      <c r="O404" s="115"/>
      <c r="P404" s="117"/>
      <c r="Q404" s="87"/>
      <c r="R404" s="87">
        <f t="shared" si="110"/>
        <v>0</v>
      </c>
      <c r="S404" s="87"/>
      <c r="T404" s="87"/>
      <c r="U404" s="87"/>
      <c r="V404" s="87">
        <f t="shared" si="111"/>
        <v>0</v>
      </c>
      <c r="W404" s="113">
        <f t="shared" si="108"/>
        <v>36.913096727263202</v>
      </c>
      <c r="X404" s="69">
        <f t="shared" si="112"/>
        <v>0</v>
      </c>
      <c r="Y404" s="70">
        <f t="shared" si="113"/>
        <v>0</v>
      </c>
      <c r="Z404" s="70">
        <f t="shared" si="114"/>
        <v>0</v>
      </c>
      <c r="AA404" s="70">
        <f t="shared" si="115"/>
        <v>0</v>
      </c>
      <c r="AB404" s="70">
        <f t="shared" si="116"/>
        <v>0</v>
      </c>
      <c r="AC404" s="70">
        <f t="shared" si="117"/>
        <v>0</v>
      </c>
      <c r="AD404" s="71">
        <f t="shared" si="118"/>
        <v>0</v>
      </c>
      <c r="AE404" s="49"/>
      <c r="AF404" s="21"/>
      <c r="AG404" s="69"/>
      <c r="AH404" s="70"/>
      <c r="AI404" s="70"/>
      <c r="AJ404" s="70"/>
      <c r="AK404" s="70"/>
      <c r="AL404" s="70"/>
      <c r="AM404" s="70"/>
      <c r="AN404" s="70" t="str">
        <f t="shared" si="119"/>
        <v>---</v>
      </c>
      <c r="AO404" s="70" t="str">
        <f t="shared" si="120"/>
        <v>---</v>
      </c>
      <c r="AP404" s="70" t="str">
        <f t="shared" si="121"/>
        <v>---</v>
      </c>
      <c r="AQ404" s="70" t="str">
        <f t="shared" si="122"/>
        <v>---</v>
      </c>
      <c r="AR404" s="70" t="str">
        <f t="shared" si="123"/>
        <v>---</v>
      </c>
      <c r="AS404" s="70" t="str">
        <f t="shared" si="124"/>
        <v>---</v>
      </c>
      <c r="AT404" s="71" t="str">
        <f t="shared" si="125"/>
        <v>---</v>
      </c>
    </row>
    <row r="405" spans="1:46" ht="30" customHeight="1" x14ac:dyDescent="0.3">
      <c r="A405" s="123">
        <f t="shared" si="109"/>
        <v>401</v>
      </c>
      <c r="B405" s="140">
        <f>INDEX('PEER GROUP'!B:B,MATCH($A405,'PEER GROUP'!$A:$A,0))</f>
        <v>0</v>
      </c>
      <c r="C405" s="83">
        <f>INDEX('PEER GROUP'!C:C,MATCH($A405,'PEER GROUP'!$A:$A,0))</f>
        <v>0</v>
      </c>
      <c r="D405" s="83">
        <f>INDEX('PEER GROUP'!D:D,MATCH($A405,'PEER GROUP'!$A:$A,0))</f>
        <v>0</v>
      </c>
      <c r="E405" s="83">
        <f>INDEX('PEER GROUP'!E:E,MATCH(A405,'PEER GROUP'!$A:$A,0))</f>
        <v>0</v>
      </c>
      <c r="F405" s="84">
        <f>INDEX('PEER GROUP'!F:F,MATCH($A405,'PEER GROUP'!$A:$A,0))</f>
        <v>0</v>
      </c>
      <c r="G405" s="84">
        <f>INDEX('PEER GROUP'!G:G,MATCH($A405,'PEER GROUP'!$A:$A,0))</f>
        <v>0</v>
      </c>
      <c r="H405" s="85"/>
      <c r="I405" s="85"/>
      <c r="J405" s="70">
        <f>INDEX('PEER GROUP'!K:K,MATCH($A405,'PEER GROUP'!$A:$A,0))</f>
        <v>0</v>
      </c>
      <c r="K405" s="70">
        <f>INDEX('PEER GROUP'!L:L,MATCH($A405,'PEER GROUP'!$A:$A,0))</f>
        <v>0</v>
      </c>
      <c r="L405" s="70">
        <f>INDEX('PEER GROUP'!M:M,MATCH($A405,'PEER GROUP'!$A:$A,0))</f>
        <v>0</v>
      </c>
      <c r="M405" s="86">
        <f>INDEX('PEER GROUP'!N:N,MATCH($A405,'PEER GROUP'!$A:$A,0))</f>
        <v>0</v>
      </c>
      <c r="N405" s="118"/>
      <c r="O405" s="115"/>
      <c r="P405" s="117"/>
      <c r="Q405" s="87"/>
      <c r="R405" s="87">
        <f t="shared" si="110"/>
        <v>0</v>
      </c>
      <c r="S405" s="87"/>
      <c r="T405" s="87"/>
      <c r="U405" s="87"/>
      <c r="V405" s="87">
        <f t="shared" si="111"/>
        <v>0</v>
      </c>
      <c r="W405" s="113">
        <f t="shared" si="108"/>
        <v>36.913096727263202</v>
      </c>
      <c r="X405" s="69">
        <f t="shared" si="112"/>
        <v>0</v>
      </c>
      <c r="Y405" s="70">
        <f t="shared" si="113"/>
        <v>0</v>
      </c>
      <c r="Z405" s="70">
        <f t="shared" si="114"/>
        <v>0</v>
      </c>
      <c r="AA405" s="70">
        <f t="shared" si="115"/>
        <v>0</v>
      </c>
      <c r="AB405" s="70">
        <f t="shared" si="116"/>
        <v>0</v>
      </c>
      <c r="AC405" s="70">
        <f t="shared" si="117"/>
        <v>0</v>
      </c>
      <c r="AD405" s="71">
        <f t="shared" si="118"/>
        <v>0</v>
      </c>
      <c r="AE405" s="49"/>
      <c r="AF405" s="21"/>
      <c r="AG405" s="69"/>
      <c r="AH405" s="70"/>
      <c r="AI405" s="70"/>
      <c r="AJ405" s="70"/>
      <c r="AK405" s="70"/>
      <c r="AL405" s="70"/>
      <c r="AM405" s="70"/>
      <c r="AN405" s="70" t="str">
        <f t="shared" si="119"/>
        <v>---</v>
      </c>
      <c r="AO405" s="70" t="str">
        <f t="shared" si="120"/>
        <v>---</v>
      </c>
      <c r="AP405" s="70" t="str">
        <f t="shared" si="121"/>
        <v>---</v>
      </c>
      <c r="AQ405" s="70" t="str">
        <f t="shared" si="122"/>
        <v>---</v>
      </c>
      <c r="AR405" s="70" t="str">
        <f t="shared" si="123"/>
        <v>---</v>
      </c>
      <c r="AS405" s="70" t="str">
        <f t="shared" si="124"/>
        <v>---</v>
      </c>
      <c r="AT405" s="71" t="str">
        <f t="shared" si="125"/>
        <v>---</v>
      </c>
    </row>
    <row r="406" spans="1:46" ht="30" customHeight="1" x14ac:dyDescent="0.3">
      <c r="A406" s="123">
        <f t="shared" si="109"/>
        <v>402</v>
      </c>
      <c r="B406" s="140">
        <f>INDEX('PEER GROUP'!B:B,MATCH($A406,'PEER GROUP'!$A:$A,0))</f>
        <v>0</v>
      </c>
      <c r="C406" s="83">
        <f>INDEX('PEER GROUP'!C:C,MATCH($A406,'PEER GROUP'!$A:$A,0))</f>
        <v>0</v>
      </c>
      <c r="D406" s="83">
        <f>INDEX('PEER GROUP'!D:D,MATCH($A406,'PEER GROUP'!$A:$A,0))</f>
        <v>0</v>
      </c>
      <c r="E406" s="83">
        <f>INDEX('PEER GROUP'!E:E,MATCH(A406,'PEER GROUP'!$A:$A,0))</f>
        <v>0</v>
      </c>
      <c r="F406" s="84">
        <f>INDEX('PEER GROUP'!F:F,MATCH($A406,'PEER GROUP'!$A:$A,0))</f>
        <v>0</v>
      </c>
      <c r="G406" s="84">
        <f>INDEX('PEER GROUP'!G:G,MATCH($A406,'PEER GROUP'!$A:$A,0))</f>
        <v>0</v>
      </c>
      <c r="H406" s="85"/>
      <c r="I406" s="85"/>
      <c r="J406" s="70">
        <f>INDEX('PEER GROUP'!K:K,MATCH($A406,'PEER GROUP'!$A:$A,0))</f>
        <v>0</v>
      </c>
      <c r="K406" s="70">
        <f>INDEX('PEER GROUP'!L:L,MATCH($A406,'PEER GROUP'!$A:$A,0))</f>
        <v>0</v>
      </c>
      <c r="L406" s="70">
        <f>INDEX('PEER GROUP'!M:M,MATCH($A406,'PEER GROUP'!$A:$A,0))</f>
        <v>0</v>
      </c>
      <c r="M406" s="86">
        <f>INDEX('PEER GROUP'!N:N,MATCH($A406,'PEER GROUP'!$A:$A,0))</f>
        <v>0</v>
      </c>
      <c r="N406" s="118"/>
      <c r="O406" s="115"/>
      <c r="P406" s="117"/>
      <c r="Q406" s="87"/>
      <c r="R406" s="87">
        <f t="shared" si="110"/>
        <v>0</v>
      </c>
      <c r="S406" s="87"/>
      <c r="T406" s="87"/>
      <c r="U406" s="87"/>
      <c r="V406" s="87">
        <f t="shared" si="111"/>
        <v>0</v>
      </c>
      <c r="W406" s="113">
        <f t="shared" si="108"/>
        <v>36.913096727263202</v>
      </c>
      <c r="X406" s="69">
        <f t="shared" si="112"/>
        <v>0</v>
      </c>
      <c r="Y406" s="70">
        <f t="shared" si="113"/>
        <v>0</v>
      </c>
      <c r="Z406" s="70">
        <f t="shared" si="114"/>
        <v>0</v>
      </c>
      <c r="AA406" s="70">
        <f t="shared" si="115"/>
        <v>0</v>
      </c>
      <c r="AB406" s="70">
        <f t="shared" si="116"/>
        <v>0</v>
      </c>
      <c r="AC406" s="70">
        <f t="shared" si="117"/>
        <v>0</v>
      </c>
      <c r="AD406" s="71">
        <f t="shared" si="118"/>
        <v>0</v>
      </c>
      <c r="AE406" s="49"/>
      <c r="AF406" s="21"/>
      <c r="AG406" s="69"/>
      <c r="AH406" s="70"/>
      <c r="AI406" s="70"/>
      <c r="AJ406" s="70"/>
      <c r="AK406" s="70"/>
      <c r="AL406" s="70"/>
      <c r="AM406" s="70"/>
      <c r="AN406" s="70" t="str">
        <f t="shared" si="119"/>
        <v>---</v>
      </c>
      <c r="AO406" s="70" t="str">
        <f t="shared" si="120"/>
        <v>---</v>
      </c>
      <c r="AP406" s="70" t="str">
        <f t="shared" si="121"/>
        <v>---</v>
      </c>
      <c r="AQ406" s="70" t="str">
        <f t="shared" si="122"/>
        <v>---</v>
      </c>
      <c r="AR406" s="70" t="str">
        <f t="shared" si="123"/>
        <v>---</v>
      </c>
      <c r="AS406" s="70" t="str">
        <f t="shared" si="124"/>
        <v>---</v>
      </c>
      <c r="AT406" s="71" t="str">
        <f t="shared" si="125"/>
        <v>---</v>
      </c>
    </row>
    <row r="407" spans="1:46" ht="30" customHeight="1" x14ac:dyDescent="0.3">
      <c r="A407" s="123">
        <f t="shared" si="109"/>
        <v>403</v>
      </c>
      <c r="B407" s="140">
        <f>INDEX('PEER GROUP'!B:B,MATCH($A407,'PEER GROUP'!$A:$A,0))</f>
        <v>0</v>
      </c>
      <c r="C407" s="83">
        <f>INDEX('PEER GROUP'!C:C,MATCH($A407,'PEER GROUP'!$A:$A,0))</f>
        <v>0</v>
      </c>
      <c r="D407" s="83">
        <f>INDEX('PEER GROUP'!D:D,MATCH($A407,'PEER GROUP'!$A:$A,0))</f>
        <v>0</v>
      </c>
      <c r="E407" s="83">
        <f>INDEX('PEER GROUP'!E:E,MATCH(A407,'PEER GROUP'!$A:$A,0))</f>
        <v>0</v>
      </c>
      <c r="F407" s="84">
        <f>INDEX('PEER GROUP'!F:F,MATCH($A407,'PEER GROUP'!$A:$A,0))</f>
        <v>0</v>
      </c>
      <c r="G407" s="84">
        <f>INDEX('PEER GROUP'!G:G,MATCH($A407,'PEER GROUP'!$A:$A,0))</f>
        <v>0</v>
      </c>
      <c r="H407" s="85"/>
      <c r="I407" s="85"/>
      <c r="J407" s="70">
        <f>INDEX('PEER GROUP'!K:K,MATCH($A407,'PEER GROUP'!$A:$A,0))</f>
        <v>0</v>
      </c>
      <c r="K407" s="70">
        <f>INDEX('PEER GROUP'!L:L,MATCH($A407,'PEER GROUP'!$A:$A,0))</f>
        <v>0</v>
      </c>
      <c r="L407" s="70">
        <f>INDEX('PEER GROUP'!M:M,MATCH($A407,'PEER GROUP'!$A:$A,0))</f>
        <v>0</v>
      </c>
      <c r="M407" s="86">
        <f>INDEX('PEER GROUP'!N:N,MATCH($A407,'PEER GROUP'!$A:$A,0))</f>
        <v>0</v>
      </c>
      <c r="N407" s="118"/>
      <c r="O407" s="115"/>
      <c r="P407" s="117"/>
      <c r="Q407" s="87"/>
      <c r="R407" s="87">
        <f t="shared" si="110"/>
        <v>0</v>
      </c>
      <c r="S407" s="87"/>
      <c r="T407" s="87"/>
      <c r="U407" s="87"/>
      <c r="V407" s="87">
        <f t="shared" si="111"/>
        <v>0</v>
      </c>
      <c r="W407" s="113">
        <f t="shared" si="108"/>
        <v>36.913096727263202</v>
      </c>
      <c r="X407" s="69">
        <f t="shared" si="112"/>
        <v>0</v>
      </c>
      <c r="Y407" s="70">
        <f t="shared" si="113"/>
        <v>0</v>
      </c>
      <c r="Z407" s="70">
        <f t="shared" si="114"/>
        <v>0</v>
      </c>
      <c r="AA407" s="70">
        <f t="shared" si="115"/>
        <v>0</v>
      </c>
      <c r="AB407" s="70">
        <f t="shared" si="116"/>
        <v>0</v>
      </c>
      <c r="AC407" s="70">
        <f t="shared" si="117"/>
        <v>0</v>
      </c>
      <c r="AD407" s="71">
        <f t="shared" si="118"/>
        <v>0</v>
      </c>
      <c r="AE407" s="49"/>
      <c r="AF407" s="21"/>
      <c r="AG407" s="69"/>
      <c r="AH407" s="70"/>
      <c r="AI407" s="70"/>
      <c r="AJ407" s="70"/>
      <c r="AK407" s="70"/>
      <c r="AL407" s="70"/>
      <c r="AM407" s="70"/>
      <c r="AN407" s="70" t="str">
        <f t="shared" si="119"/>
        <v>---</v>
      </c>
      <c r="AO407" s="70" t="str">
        <f t="shared" si="120"/>
        <v>---</v>
      </c>
      <c r="AP407" s="70" t="str">
        <f t="shared" si="121"/>
        <v>---</v>
      </c>
      <c r="AQ407" s="70" t="str">
        <f t="shared" si="122"/>
        <v>---</v>
      </c>
      <c r="AR407" s="70" t="str">
        <f t="shared" si="123"/>
        <v>---</v>
      </c>
      <c r="AS407" s="70" t="str">
        <f t="shared" si="124"/>
        <v>---</v>
      </c>
      <c r="AT407" s="71" t="str">
        <f t="shared" si="125"/>
        <v>---</v>
      </c>
    </row>
    <row r="408" spans="1:46" ht="30" customHeight="1" x14ac:dyDescent="0.3">
      <c r="A408" s="123">
        <f t="shared" si="109"/>
        <v>404</v>
      </c>
      <c r="B408" s="140">
        <f>INDEX('PEER GROUP'!B:B,MATCH($A408,'PEER GROUP'!$A:$A,0))</f>
        <v>0</v>
      </c>
      <c r="C408" s="83">
        <f>INDEX('PEER GROUP'!C:C,MATCH($A408,'PEER GROUP'!$A:$A,0))</f>
        <v>0</v>
      </c>
      <c r="D408" s="83">
        <f>INDEX('PEER GROUP'!D:D,MATCH($A408,'PEER GROUP'!$A:$A,0))</f>
        <v>0</v>
      </c>
      <c r="E408" s="83">
        <f>INDEX('PEER GROUP'!E:E,MATCH(A408,'PEER GROUP'!$A:$A,0))</f>
        <v>0</v>
      </c>
      <c r="F408" s="84">
        <f>INDEX('PEER GROUP'!F:F,MATCH($A408,'PEER GROUP'!$A:$A,0))</f>
        <v>0</v>
      </c>
      <c r="G408" s="84">
        <f>INDEX('PEER GROUP'!G:G,MATCH($A408,'PEER GROUP'!$A:$A,0))</f>
        <v>0</v>
      </c>
      <c r="H408" s="85"/>
      <c r="I408" s="85"/>
      <c r="J408" s="70">
        <f>INDEX('PEER GROUP'!K:K,MATCH($A408,'PEER GROUP'!$A:$A,0))</f>
        <v>0</v>
      </c>
      <c r="K408" s="70">
        <f>INDEX('PEER GROUP'!L:L,MATCH($A408,'PEER GROUP'!$A:$A,0))</f>
        <v>0</v>
      </c>
      <c r="L408" s="70">
        <f>INDEX('PEER GROUP'!M:M,MATCH($A408,'PEER GROUP'!$A:$A,0))</f>
        <v>0</v>
      </c>
      <c r="M408" s="86">
        <f>INDEX('PEER GROUP'!N:N,MATCH($A408,'PEER GROUP'!$A:$A,0))</f>
        <v>0</v>
      </c>
      <c r="N408" s="118"/>
      <c r="O408" s="115"/>
      <c r="P408" s="117"/>
      <c r="Q408" s="87"/>
      <c r="R408" s="87">
        <f t="shared" si="110"/>
        <v>0</v>
      </c>
      <c r="S408" s="87"/>
      <c r="T408" s="87"/>
      <c r="U408" s="87"/>
      <c r="V408" s="87">
        <f t="shared" si="111"/>
        <v>0</v>
      </c>
      <c r="W408" s="113">
        <f t="shared" si="108"/>
        <v>36.913096727263202</v>
      </c>
      <c r="X408" s="69">
        <f t="shared" si="112"/>
        <v>0</v>
      </c>
      <c r="Y408" s="70">
        <f t="shared" si="113"/>
        <v>0</v>
      </c>
      <c r="Z408" s="70">
        <f t="shared" si="114"/>
        <v>0</v>
      </c>
      <c r="AA408" s="70">
        <f t="shared" si="115"/>
        <v>0</v>
      </c>
      <c r="AB408" s="70">
        <f t="shared" si="116"/>
        <v>0</v>
      </c>
      <c r="AC408" s="70">
        <f t="shared" si="117"/>
        <v>0</v>
      </c>
      <c r="AD408" s="71">
        <f t="shared" si="118"/>
        <v>0</v>
      </c>
      <c r="AE408" s="49"/>
      <c r="AF408" s="21"/>
      <c r="AG408" s="69"/>
      <c r="AH408" s="70"/>
      <c r="AI408" s="70"/>
      <c r="AJ408" s="70"/>
      <c r="AK408" s="70"/>
      <c r="AL408" s="70"/>
      <c r="AM408" s="70"/>
      <c r="AN408" s="70" t="str">
        <f t="shared" si="119"/>
        <v>---</v>
      </c>
      <c r="AO408" s="70" t="str">
        <f t="shared" si="120"/>
        <v>---</v>
      </c>
      <c r="AP408" s="70" t="str">
        <f t="shared" si="121"/>
        <v>---</v>
      </c>
      <c r="AQ408" s="70" t="str">
        <f t="shared" si="122"/>
        <v>---</v>
      </c>
      <c r="AR408" s="70" t="str">
        <f t="shared" si="123"/>
        <v>---</v>
      </c>
      <c r="AS408" s="70" t="str">
        <f t="shared" si="124"/>
        <v>---</v>
      </c>
      <c r="AT408" s="71" t="str">
        <f t="shared" si="125"/>
        <v>---</v>
      </c>
    </row>
    <row r="409" spans="1:46" ht="30" customHeight="1" x14ac:dyDescent="0.3">
      <c r="A409" s="123">
        <f t="shared" si="109"/>
        <v>405</v>
      </c>
      <c r="B409" s="140">
        <f>INDEX('PEER GROUP'!B:B,MATCH($A409,'PEER GROUP'!$A:$A,0))</f>
        <v>0</v>
      </c>
      <c r="C409" s="83">
        <f>INDEX('PEER GROUP'!C:C,MATCH($A409,'PEER GROUP'!$A:$A,0))</f>
        <v>0</v>
      </c>
      <c r="D409" s="83">
        <f>INDEX('PEER GROUP'!D:D,MATCH($A409,'PEER GROUP'!$A:$A,0))</f>
        <v>0</v>
      </c>
      <c r="E409" s="83">
        <f>INDEX('PEER GROUP'!E:E,MATCH(A409,'PEER GROUP'!$A:$A,0))</f>
        <v>0</v>
      </c>
      <c r="F409" s="84">
        <f>INDEX('PEER GROUP'!F:F,MATCH($A409,'PEER GROUP'!$A:$A,0))</f>
        <v>0</v>
      </c>
      <c r="G409" s="84">
        <f>INDEX('PEER GROUP'!G:G,MATCH($A409,'PEER GROUP'!$A:$A,0))</f>
        <v>0</v>
      </c>
      <c r="H409" s="85"/>
      <c r="I409" s="85"/>
      <c r="J409" s="70">
        <f>INDEX('PEER GROUP'!K:K,MATCH($A409,'PEER GROUP'!$A:$A,0))</f>
        <v>0</v>
      </c>
      <c r="K409" s="70">
        <f>INDEX('PEER GROUP'!L:L,MATCH($A409,'PEER GROUP'!$A:$A,0))</f>
        <v>0</v>
      </c>
      <c r="L409" s="70">
        <f>INDEX('PEER GROUP'!M:M,MATCH($A409,'PEER GROUP'!$A:$A,0))</f>
        <v>0</v>
      </c>
      <c r="M409" s="86">
        <f>INDEX('PEER GROUP'!N:N,MATCH($A409,'PEER GROUP'!$A:$A,0))</f>
        <v>0</v>
      </c>
      <c r="N409" s="118"/>
      <c r="O409" s="115"/>
      <c r="P409" s="117"/>
      <c r="Q409" s="87"/>
      <c r="R409" s="87">
        <f t="shared" si="110"/>
        <v>0</v>
      </c>
      <c r="S409" s="87"/>
      <c r="T409" s="87"/>
      <c r="U409" s="87"/>
      <c r="V409" s="87">
        <f t="shared" si="111"/>
        <v>0</v>
      </c>
      <c r="W409" s="113">
        <f t="shared" si="108"/>
        <v>36.913096727263202</v>
      </c>
      <c r="X409" s="69">
        <f t="shared" si="112"/>
        <v>0</v>
      </c>
      <c r="Y409" s="70">
        <f t="shared" si="113"/>
        <v>0</v>
      </c>
      <c r="Z409" s="70">
        <f t="shared" si="114"/>
        <v>0</v>
      </c>
      <c r="AA409" s="70">
        <f t="shared" si="115"/>
        <v>0</v>
      </c>
      <c r="AB409" s="70">
        <f t="shared" si="116"/>
        <v>0</v>
      </c>
      <c r="AC409" s="70">
        <f t="shared" si="117"/>
        <v>0</v>
      </c>
      <c r="AD409" s="71">
        <f t="shared" si="118"/>
        <v>0</v>
      </c>
      <c r="AE409" s="49"/>
      <c r="AF409" s="21"/>
      <c r="AG409" s="69"/>
      <c r="AH409" s="70"/>
      <c r="AI409" s="70"/>
      <c r="AJ409" s="70"/>
      <c r="AK409" s="70"/>
      <c r="AL409" s="70"/>
      <c r="AM409" s="70"/>
      <c r="AN409" s="70" t="str">
        <f t="shared" si="119"/>
        <v>---</v>
      </c>
      <c r="AO409" s="70" t="str">
        <f t="shared" si="120"/>
        <v>---</v>
      </c>
      <c r="AP409" s="70" t="str">
        <f t="shared" si="121"/>
        <v>---</v>
      </c>
      <c r="AQ409" s="70" t="str">
        <f t="shared" si="122"/>
        <v>---</v>
      </c>
      <c r="AR409" s="70" t="str">
        <f t="shared" si="123"/>
        <v>---</v>
      </c>
      <c r="AS409" s="70" t="str">
        <f t="shared" si="124"/>
        <v>---</v>
      </c>
      <c r="AT409" s="71" t="str">
        <f t="shared" si="125"/>
        <v>---</v>
      </c>
    </row>
    <row r="410" spans="1:46" ht="30" customHeight="1" x14ac:dyDescent="0.3">
      <c r="A410" s="123">
        <f t="shared" si="109"/>
        <v>406</v>
      </c>
      <c r="B410" s="140">
        <f>INDEX('PEER GROUP'!B:B,MATCH($A410,'PEER GROUP'!$A:$A,0))</f>
        <v>0</v>
      </c>
      <c r="C410" s="83">
        <f>INDEX('PEER GROUP'!C:C,MATCH($A410,'PEER GROUP'!$A:$A,0))</f>
        <v>0</v>
      </c>
      <c r="D410" s="83">
        <f>INDEX('PEER GROUP'!D:D,MATCH($A410,'PEER GROUP'!$A:$A,0))</f>
        <v>0</v>
      </c>
      <c r="E410" s="83">
        <f>INDEX('PEER GROUP'!E:E,MATCH(A410,'PEER GROUP'!$A:$A,0))</f>
        <v>0</v>
      </c>
      <c r="F410" s="84">
        <f>INDEX('PEER GROUP'!F:F,MATCH($A410,'PEER GROUP'!$A:$A,0))</f>
        <v>0</v>
      </c>
      <c r="G410" s="84">
        <f>INDEX('PEER GROUP'!G:G,MATCH($A410,'PEER GROUP'!$A:$A,0))</f>
        <v>0</v>
      </c>
      <c r="H410" s="85"/>
      <c r="I410" s="85"/>
      <c r="J410" s="70">
        <f>INDEX('PEER GROUP'!K:K,MATCH($A410,'PEER GROUP'!$A:$A,0))</f>
        <v>0</v>
      </c>
      <c r="K410" s="70">
        <f>INDEX('PEER GROUP'!L:L,MATCH($A410,'PEER GROUP'!$A:$A,0))</f>
        <v>0</v>
      </c>
      <c r="L410" s="70">
        <f>INDEX('PEER GROUP'!M:M,MATCH($A410,'PEER GROUP'!$A:$A,0))</f>
        <v>0</v>
      </c>
      <c r="M410" s="86">
        <f>INDEX('PEER GROUP'!N:N,MATCH($A410,'PEER GROUP'!$A:$A,0))</f>
        <v>0</v>
      </c>
      <c r="N410" s="118"/>
      <c r="O410" s="115"/>
      <c r="P410" s="117"/>
      <c r="Q410" s="87"/>
      <c r="R410" s="87">
        <f t="shared" si="110"/>
        <v>0</v>
      </c>
      <c r="S410" s="87"/>
      <c r="T410" s="87"/>
      <c r="U410" s="87"/>
      <c r="V410" s="87">
        <f t="shared" si="111"/>
        <v>0</v>
      </c>
      <c r="W410" s="113">
        <f t="shared" si="108"/>
        <v>36.913096727263202</v>
      </c>
      <c r="X410" s="69">
        <f t="shared" si="112"/>
        <v>0</v>
      </c>
      <c r="Y410" s="70">
        <f t="shared" si="113"/>
        <v>0</v>
      </c>
      <c r="Z410" s="70">
        <f t="shared" si="114"/>
        <v>0</v>
      </c>
      <c r="AA410" s="70">
        <f t="shared" si="115"/>
        <v>0</v>
      </c>
      <c r="AB410" s="70">
        <f t="shared" si="116"/>
        <v>0</v>
      </c>
      <c r="AC410" s="70">
        <f t="shared" si="117"/>
        <v>0</v>
      </c>
      <c r="AD410" s="71">
        <f t="shared" si="118"/>
        <v>0</v>
      </c>
      <c r="AE410" s="49"/>
      <c r="AF410" s="21"/>
      <c r="AG410" s="69"/>
      <c r="AH410" s="70"/>
      <c r="AI410" s="70"/>
      <c r="AJ410" s="70"/>
      <c r="AK410" s="70"/>
      <c r="AL410" s="70"/>
      <c r="AM410" s="70"/>
      <c r="AN410" s="70" t="str">
        <f t="shared" si="119"/>
        <v>---</v>
      </c>
      <c r="AO410" s="70" t="str">
        <f t="shared" si="120"/>
        <v>---</v>
      </c>
      <c r="AP410" s="70" t="str">
        <f t="shared" si="121"/>
        <v>---</v>
      </c>
      <c r="AQ410" s="70" t="str">
        <f t="shared" si="122"/>
        <v>---</v>
      </c>
      <c r="AR410" s="70" t="str">
        <f t="shared" si="123"/>
        <v>---</v>
      </c>
      <c r="AS410" s="70" t="str">
        <f t="shared" si="124"/>
        <v>---</v>
      </c>
      <c r="AT410" s="71" t="str">
        <f t="shared" si="125"/>
        <v>---</v>
      </c>
    </row>
    <row r="411" spans="1:46" ht="30" customHeight="1" x14ac:dyDescent="0.3">
      <c r="A411" s="123">
        <f t="shared" si="109"/>
        <v>407</v>
      </c>
      <c r="B411" s="140">
        <f>INDEX('PEER GROUP'!B:B,MATCH($A411,'PEER GROUP'!$A:$A,0))</f>
        <v>0</v>
      </c>
      <c r="C411" s="83">
        <f>INDEX('PEER GROUP'!C:C,MATCH($A411,'PEER GROUP'!$A:$A,0))</f>
        <v>0</v>
      </c>
      <c r="D411" s="83">
        <f>INDEX('PEER GROUP'!D:D,MATCH($A411,'PEER GROUP'!$A:$A,0))</f>
        <v>0</v>
      </c>
      <c r="E411" s="83">
        <f>INDEX('PEER GROUP'!E:E,MATCH(A411,'PEER GROUP'!$A:$A,0))</f>
        <v>0</v>
      </c>
      <c r="F411" s="84">
        <f>INDEX('PEER GROUP'!F:F,MATCH($A411,'PEER GROUP'!$A:$A,0))</f>
        <v>0</v>
      </c>
      <c r="G411" s="84">
        <f>INDEX('PEER GROUP'!G:G,MATCH($A411,'PEER GROUP'!$A:$A,0))</f>
        <v>0</v>
      </c>
      <c r="H411" s="85"/>
      <c r="I411" s="85"/>
      <c r="J411" s="70">
        <f>INDEX('PEER GROUP'!K:K,MATCH($A411,'PEER GROUP'!$A:$A,0))</f>
        <v>0</v>
      </c>
      <c r="K411" s="70">
        <f>INDEX('PEER GROUP'!L:L,MATCH($A411,'PEER GROUP'!$A:$A,0))</f>
        <v>0</v>
      </c>
      <c r="L411" s="70">
        <f>INDEX('PEER GROUP'!M:M,MATCH($A411,'PEER GROUP'!$A:$A,0))</f>
        <v>0</v>
      </c>
      <c r="M411" s="86">
        <f>INDEX('PEER GROUP'!N:N,MATCH($A411,'PEER GROUP'!$A:$A,0))</f>
        <v>0</v>
      </c>
      <c r="N411" s="118"/>
      <c r="O411" s="115"/>
      <c r="P411" s="117"/>
      <c r="Q411" s="87"/>
      <c r="R411" s="87">
        <f t="shared" si="110"/>
        <v>0</v>
      </c>
      <c r="S411" s="87"/>
      <c r="T411" s="87"/>
      <c r="U411" s="87"/>
      <c r="V411" s="87">
        <f t="shared" si="111"/>
        <v>0</v>
      </c>
      <c r="W411" s="113">
        <f t="shared" si="108"/>
        <v>36.913096727263202</v>
      </c>
      <c r="X411" s="69">
        <f t="shared" si="112"/>
        <v>0</v>
      </c>
      <c r="Y411" s="70">
        <f t="shared" si="113"/>
        <v>0</v>
      </c>
      <c r="Z411" s="70">
        <f t="shared" si="114"/>
        <v>0</v>
      </c>
      <c r="AA411" s="70">
        <f t="shared" si="115"/>
        <v>0</v>
      </c>
      <c r="AB411" s="70">
        <f t="shared" si="116"/>
        <v>0</v>
      </c>
      <c r="AC411" s="70">
        <f t="shared" si="117"/>
        <v>0</v>
      </c>
      <c r="AD411" s="71">
        <f t="shared" si="118"/>
        <v>0</v>
      </c>
      <c r="AE411" s="49"/>
      <c r="AF411" s="21"/>
      <c r="AG411" s="69"/>
      <c r="AH411" s="70"/>
      <c r="AI411" s="70"/>
      <c r="AJ411" s="70"/>
      <c r="AK411" s="70"/>
      <c r="AL411" s="70"/>
      <c r="AM411" s="70"/>
      <c r="AN411" s="70" t="str">
        <f t="shared" si="119"/>
        <v>---</v>
      </c>
      <c r="AO411" s="70" t="str">
        <f t="shared" si="120"/>
        <v>---</v>
      </c>
      <c r="AP411" s="70" t="str">
        <f t="shared" si="121"/>
        <v>---</v>
      </c>
      <c r="AQ411" s="70" t="str">
        <f t="shared" si="122"/>
        <v>---</v>
      </c>
      <c r="AR411" s="70" t="str">
        <f t="shared" si="123"/>
        <v>---</v>
      </c>
      <c r="AS411" s="70" t="str">
        <f t="shared" si="124"/>
        <v>---</v>
      </c>
      <c r="AT411" s="71" t="str">
        <f t="shared" si="125"/>
        <v>---</v>
      </c>
    </row>
    <row r="412" spans="1:46" ht="30" customHeight="1" x14ac:dyDescent="0.3">
      <c r="A412" s="123">
        <f t="shared" si="109"/>
        <v>408</v>
      </c>
      <c r="B412" s="140">
        <f>INDEX('PEER GROUP'!B:B,MATCH($A412,'PEER GROUP'!$A:$A,0))</f>
        <v>0</v>
      </c>
      <c r="C412" s="83">
        <f>INDEX('PEER GROUP'!C:C,MATCH($A412,'PEER GROUP'!$A:$A,0))</f>
        <v>0</v>
      </c>
      <c r="D412" s="83">
        <f>INDEX('PEER GROUP'!D:D,MATCH($A412,'PEER GROUP'!$A:$A,0))</f>
        <v>0</v>
      </c>
      <c r="E412" s="83">
        <f>INDEX('PEER GROUP'!E:E,MATCH(A412,'PEER GROUP'!$A:$A,0))</f>
        <v>0</v>
      </c>
      <c r="F412" s="84">
        <f>INDEX('PEER GROUP'!F:F,MATCH($A412,'PEER GROUP'!$A:$A,0))</f>
        <v>0</v>
      </c>
      <c r="G412" s="84">
        <f>INDEX('PEER GROUP'!G:G,MATCH($A412,'PEER GROUP'!$A:$A,0))</f>
        <v>0</v>
      </c>
      <c r="H412" s="85"/>
      <c r="I412" s="85"/>
      <c r="J412" s="70">
        <f>INDEX('PEER GROUP'!K:K,MATCH($A412,'PEER GROUP'!$A:$A,0))</f>
        <v>0</v>
      </c>
      <c r="K412" s="70">
        <f>INDEX('PEER GROUP'!L:L,MATCH($A412,'PEER GROUP'!$A:$A,0))</f>
        <v>0</v>
      </c>
      <c r="L412" s="70">
        <f>INDEX('PEER GROUP'!M:M,MATCH($A412,'PEER GROUP'!$A:$A,0))</f>
        <v>0</v>
      </c>
      <c r="M412" s="86">
        <f>INDEX('PEER GROUP'!N:N,MATCH($A412,'PEER GROUP'!$A:$A,0))</f>
        <v>0</v>
      </c>
      <c r="N412" s="118"/>
      <c r="O412" s="115"/>
      <c r="P412" s="117"/>
      <c r="Q412" s="87"/>
      <c r="R412" s="87">
        <f t="shared" si="110"/>
        <v>0</v>
      </c>
      <c r="S412" s="87"/>
      <c r="T412" s="87"/>
      <c r="U412" s="87"/>
      <c r="V412" s="87">
        <f t="shared" si="111"/>
        <v>0</v>
      </c>
      <c r="W412" s="113">
        <f t="shared" si="108"/>
        <v>36.913096727263202</v>
      </c>
      <c r="X412" s="69">
        <f t="shared" si="112"/>
        <v>0</v>
      </c>
      <c r="Y412" s="70">
        <f t="shared" si="113"/>
        <v>0</v>
      </c>
      <c r="Z412" s="70">
        <f t="shared" si="114"/>
        <v>0</v>
      </c>
      <c r="AA412" s="70">
        <f t="shared" si="115"/>
        <v>0</v>
      </c>
      <c r="AB412" s="70">
        <f t="shared" si="116"/>
        <v>0</v>
      </c>
      <c r="AC412" s="70">
        <f t="shared" si="117"/>
        <v>0</v>
      </c>
      <c r="AD412" s="71">
        <f t="shared" si="118"/>
        <v>0</v>
      </c>
      <c r="AE412" s="49"/>
      <c r="AF412" s="21"/>
      <c r="AG412" s="69"/>
      <c r="AH412" s="70"/>
      <c r="AI412" s="70"/>
      <c r="AJ412" s="70"/>
      <c r="AK412" s="70"/>
      <c r="AL412" s="70"/>
      <c r="AM412" s="70"/>
      <c r="AN412" s="70" t="str">
        <f t="shared" si="119"/>
        <v>---</v>
      </c>
      <c r="AO412" s="70" t="str">
        <f t="shared" si="120"/>
        <v>---</v>
      </c>
      <c r="AP412" s="70" t="str">
        <f t="shared" si="121"/>
        <v>---</v>
      </c>
      <c r="AQ412" s="70" t="str">
        <f t="shared" si="122"/>
        <v>---</v>
      </c>
      <c r="AR412" s="70" t="str">
        <f t="shared" si="123"/>
        <v>---</v>
      </c>
      <c r="AS412" s="70" t="str">
        <f t="shared" si="124"/>
        <v>---</v>
      </c>
      <c r="AT412" s="71" t="str">
        <f t="shared" si="125"/>
        <v>---</v>
      </c>
    </row>
    <row r="413" spans="1:46" ht="30" customHeight="1" x14ac:dyDescent="0.3">
      <c r="A413" s="123">
        <f t="shared" si="109"/>
        <v>409</v>
      </c>
      <c r="B413" s="140">
        <f>INDEX('PEER GROUP'!B:B,MATCH($A413,'PEER GROUP'!$A:$A,0))</f>
        <v>0</v>
      </c>
      <c r="C413" s="83">
        <f>INDEX('PEER GROUP'!C:C,MATCH($A413,'PEER GROUP'!$A:$A,0))</f>
        <v>0</v>
      </c>
      <c r="D413" s="83">
        <f>INDEX('PEER GROUP'!D:D,MATCH($A413,'PEER GROUP'!$A:$A,0))</f>
        <v>0</v>
      </c>
      <c r="E413" s="83">
        <f>INDEX('PEER GROUP'!E:E,MATCH(A413,'PEER GROUP'!$A:$A,0))</f>
        <v>0</v>
      </c>
      <c r="F413" s="84">
        <f>INDEX('PEER GROUP'!F:F,MATCH($A413,'PEER GROUP'!$A:$A,0))</f>
        <v>0</v>
      </c>
      <c r="G413" s="84">
        <f>INDEX('PEER GROUP'!G:G,MATCH($A413,'PEER GROUP'!$A:$A,0))</f>
        <v>0</v>
      </c>
      <c r="H413" s="85"/>
      <c r="I413" s="85"/>
      <c r="J413" s="70">
        <f>INDEX('PEER GROUP'!K:K,MATCH($A413,'PEER GROUP'!$A:$A,0))</f>
        <v>0</v>
      </c>
      <c r="K413" s="70">
        <f>INDEX('PEER GROUP'!L:L,MATCH($A413,'PEER GROUP'!$A:$A,0))</f>
        <v>0</v>
      </c>
      <c r="L413" s="70">
        <f>INDEX('PEER GROUP'!M:M,MATCH($A413,'PEER GROUP'!$A:$A,0))</f>
        <v>0</v>
      </c>
      <c r="M413" s="86">
        <f>INDEX('PEER GROUP'!N:N,MATCH($A413,'PEER GROUP'!$A:$A,0))</f>
        <v>0</v>
      </c>
      <c r="N413" s="118"/>
      <c r="O413" s="115"/>
      <c r="P413" s="117"/>
      <c r="Q413" s="87"/>
      <c r="R413" s="87">
        <f t="shared" si="110"/>
        <v>0</v>
      </c>
      <c r="S413" s="87"/>
      <c r="T413" s="87"/>
      <c r="U413" s="87"/>
      <c r="V413" s="87">
        <f t="shared" si="111"/>
        <v>0</v>
      </c>
      <c r="W413" s="113">
        <f t="shared" si="108"/>
        <v>36.913096727263202</v>
      </c>
      <c r="X413" s="69">
        <f t="shared" si="112"/>
        <v>0</v>
      </c>
      <c r="Y413" s="70">
        <f t="shared" si="113"/>
        <v>0</v>
      </c>
      <c r="Z413" s="70">
        <f t="shared" si="114"/>
        <v>0</v>
      </c>
      <c r="AA413" s="70">
        <f t="shared" si="115"/>
        <v>0</v>
      </c>
      <c r="AB413" s="70">
        <f t="shared" si="116"/>
        <v>0</v>
      </c>
      <c r="AC413" s="70">
        <f t="shared" si="117"/>
        <v>0</v>
      </c>
      <c r="AD413" s="71">
        <f t="shared" si="118"/>
        <v>0</v>
      </c>
      <c r="AE413" s="49"/>
      <c r="AF413" s="21"/>
      <c r="AG413" s="69"/>
      <c r="AH413" s="70"/>
      <c r="AI413" s="70"/>
      <c r="AJ413" s="70"/>
      <c r="AK413" s="70"/>
      <c r="AL413" s="70"/>
      <c r="AM413" s="70"/>
      <c r="AN413" s="70" t="str">
        <f t="shared" si="119"/>
        <v>---</v>
      </c>
      <c r="AO413" s="70" t="str">
        <f t="shared" si="120"/>
        <v>---</v>
      </c>
      <c r="AP413" s="70" t="str">
        <f t="shared" si="121"/>
        <v>---</v>
      </c>
      <c r="AQ413" s="70" t="str">
        <f t="shared" si="122"/>
        <v>---</v>
      </c>
      <c r="AR413" s="70" t="str">
        <f t="shared" si="123"/>
        <v>---</v>
      </c>
      <c r="AS413" s="70" t="str">
        <f t="shared" si="124"/>
        <v>---</v>
      </c>
      <c r="AT413" s="71" t="str">
        <f t="shared" si="125"/>
        <v>---</v>
      </c>
    </row>
    <row r="414" spans="1:46" ht="30" customHeight="1" x14ac:dyDescent="0.3">
      <c r="A414" s="123">
        <f t="shared" si="109"/>
        <v>410</v>
      </c>
      <c r="B414" s="140">
        <f>INDEX('PEER GROUP'!B:B,MATCH($A414,'PEER GROUP'!$A:$A,0))</f>
        <v>0</v>
      </c>
      <c r="C414" s="83">
        <f>INDEX('PEER GROUP'!C:C,MATCH($A414,'PEER GROUP'!$A:$A,0))</f>
        <v>0</v>
      </c>
      <c r="D414" s="83">
        <f>INDEX('PEER GROUP'!D:D,MATCH($A414,'PEER GROUP'!$A:$A,0))</f>
        <v>0</v>
      </c>
      <c r="E414" s="83">
        <f>INDEX('PEER GROUP'!E:E,MATCH(A414,'PEER GROUP'!$A:$A,0))</f>
        <v>0</v>
      </c>
      <c r="F414" s="84">
        <f>INDEX('PEER GROUP'!F:F,MATCH($A414,'PEER GROUP'!$A:$A,0))</f>
        <v>0</v>
      </c>
      <c r="G414" s="84">
        <f>INDEX('PEER GROUP'!G:G,MATCH($A414,'PEER GROUP'!$A:$A,0))</f>
        <v>0</v>
      </c>
      <c r="H414" s="85"/>
      <c r="I414" s="85"/>
      <c r="J414" s="70">
        <f>INDEX('PEER GROUP'!K:K,MATCH($A414,'PEER GROUP'!$A:$A,0))</f>
        <v>0</v>
      </c>
      <c r="K414" s="70">
        <f>INDEX('PEER GROUP'!L:L,MATCH($A414,'PEER GROUP'!$A:$A,0))</f>
        <v>0</v>
      </c>
      <c r="L414" s="70">
        <f>INDEX('PEER GROUP'!M:M,MATCH($A414,'PEER GROUP'!$A:$A,0))</f>
        <v>0</v>
      </c>
      <c r="M414" s="86">
        <f>INDEX('PEER GROUP'!N:N,MATCH($A414,'PEER GROUP'!$A:$A,0))</f>
        <v>0</v>
      </c>
      <c r="N414" s="118"/>
      <c r="O414" s="115"/>
      <c r="P414" s="117"/>
      <c r="Q414" s="87"/>
      <c r="R414" s="87">
        <f t="shared" si="110"/>
        <v>0</v>
      </c>
      <c r="S414" s="87"/>
      <c r="T414" s="87"/>
      <c r="U414" s="87"/>
      <c r="V414" s="87">
        <f t="shared" si="111"/>
        <v>0</v>
      </c>
      <c r="W414" s="113">
        <f t="shared" si="108"/>
        <v>36.913096727263202</v>
      </c>
      <c r="X414" s="69">
        <f t="shared" si="112"/>
        <v>0</v>
      </c>
      <c r="Y414" s="70">
        <f t="shared" si="113"/>
        <v>0</v>
      </c>
      <c r="Z414" s="70">
        <f t="shared" si="114"/>
        <v>0</v>
      </c>
      <c r="AA414" s="70">
        <f t="shared" si="115"/>
        <v>0</v>
      </c>
      <c r="AB414" s="70">
        <f t="shared" si="116"/>
        <v>0</v>
      </c>
      <c r="AC414" s="70">
        <f t="shared" si="117"/>
        <v>0</v>
      </c>
      <c r="AD414" s="71">
        <f t="shared" si="118"/>
        <v>0</v>
      </c>
      <c r="AE414" s="49"/>
      <c r="AF414" s="21"/>
      <c r="AG414" s="69"/>
      <c r="AH414" s="70"/>
      <c r="AI414" s="70"/>
      <c r="AJ414" s="70"/>
      <c r="AK414" s="70"/>
      <c r="AL414" s="70"/>
      <c r="AM414" s="70"/>
      <c r="AN414" s="70" t="str">
        <f t="shared" si="119"/>
        <v>---</v>
      </c>
      <c r="AO414" s="70" t="str">
        <f t="shared" si="120"/>
        <v>---</v>
      </c>
      <c r="AP414" s="70" t="str">
        <f t="shared" si="121"/>
        <v>---</v>
      </c>
      <c r="AQ414" s="70" t="str">
        <f t="shared" si="122"/>
        <v>---</v>
      </c>
      <c r="AR414" s="70" t="str">
        <f t="shared" si="123"/>
        <v>---</v>
      </c>
      <c r="AS414" s="70" t="str">
        <f t="shared" si="124"/>
        <v>---</v>
      </c>
      <c r="AT414" s="71" t="str">
        <f t="shared" si="125"/>
        <v>---</v>
      </c>
    </row>
    <row r="415" spans="1:46" ht="30" customHeight="1" x14ac:dyDescent="0.3">
      <c r="A415" s="123">
        <f t="shared" si="109"/>
        <v>411</v>
      </c>
      <c r="B415" s="140">
        <f>INDEX('PEER GROUP'!B:B,MATCH($A415,'PEER GROUP'!$A:$A,0))</f>
        <v>0</v>
      </c>
      <c r="C415" s="83">
        <f>INDEX('PEER GROUP'!C:C,MATCH($A415,'PEER GROUP'!$A:$A,0))</f>
        <v>0</v>
      </c>
      <c r="D415" s="83">
        <f>INDEX('PEER GROUP'!D:D,MATCH($A415,'PEER GROUP'!$A:$A,0))</f>
        <v>0</v>
      </c>
      <c r="E415" s="83">
        <f>INDEX('PEER GROUP'!E:E,MATCH(A415,'PEER GROUP'!$A:$A,0))</f>
        <v>0</v>
      </c>
      <c r="F415" s="84">
        <f>INDEX('PEER GROUP'!F:F,MATCH($A415,'PEER GROUP'!$A:$A,0))</f>
        <v>0</v>
      </c>
      <c r="G415" s="84">
        <f>INDEX('PEER GROUP'!G:G,MATCH($A415,'PEER GROUP'!$A:$A,0))</f>
        <v>0</v>
      </c>
      <c r="H415" s="85"/>
      <c r="I415" s="85"/>
      <c r="J415" s="70">
        <f>INDEX('PEER GROUP'!K:K,MATCH($A415,'PEER GROUP'!$A:$A,0))</f>
        <v>0</v>
      </c>
      <c r="K415" s="70">
        <f>INDEX('PEER GROUP'!L:L,MATCH($A415,'PEER GROUP'!$A:$A,0))</f>
        <v>0</v>
      </c>
      <c r="L415" s="70">
        <f>INDEX('PEER GROUP'!M:M,MATCH($A415,'PEER GROUP'!$A:$A,0))</f>
        <v>0</v>
      </c>
      <c r="M415" s="86">
        <f>INDEX('PEER GROUP'!N:N,MATCH($A415,'PEER GROUP'!$A:$A,0))</f>
        <v>0</v>
      </c>
      <c r="N415" s="118"/>
      <c r="O415" s="115"/>
      <c r="P415" s="117"/>
      <c r="Q415" s="87"/>
      <c r="R415" s="87">
        <f t="shared" si="110"/>
        <v>0</v>
      </c>
      <c r="S415" s="87"/>
      <c r="T415" s="87"/>
      <c r="U415" s="87"/>
      <c r="V415" s="87">
        <f t="shared" si="111"/>
        <v>0</v>
      </c>
      <c r="W415" s="113">
        <f t="shared" si="108"/>
        <v>36.913096727263202</v>
      </c>
      <c r="X415" s="69">
        <f t="shared" si="112"/>
        <v>0</v>
      </c>
      <c r="Y415" s="70">
        <f t="shared" si="113"/>
        <v>0</v>
      </c>
      <c r="Z415" s="70">
        <f t="shared" si="114"/>
        <v>0</v>
      </c>
      <c r="AA415" s="70">
        <f t="shared" si="115"/>
        <v>0</v>
      </c>
      <c r="AB415" s="70">
        <f t="shared" si="116"/>
        <v>0</v>
      </c>
      <c r="AC415" s="70">
        <f t="shared" si="117"/>
        <v>0</v>
      </c>
      <c r="AD415" s="71">
        <f t="shared" si="118"/>
        <v>0</v>
      </c>
      <c r="AE415" s="49"/>
      <c r="AF415" s="21"/>
      <c r="AG415" s="69"/>
      <c r="AH415" s="70"/>
      <c r="AI415" s="70"/>
      <c r="AJ415" s="70"/>
      <c r="AK415" s="70"/>
      <c r="AL415" s="70"/>
      <c r="AM415" s="70"/>
      <c r="AN415" s="70" t="str">
        <f t="shared" si="119"/>
        <v>---</v>
      </c>
      <c r="AO415" s="70" t="str">
        <f t="shared" si="120"/>
        <v>---</v>
      </c>
      <c r="AP415" s="70" t="str">
        <f t="shared" si="121"/>
        <v>---</v>
      </c>
      <c r="AQ415" s="70" t="str">
        <f t="shared" si="122"/>
        <v>---</v>
      </c>
      <c r="AR415" s="70" t="str">
        <f t="shared" si="123"/>
        <v>---</v>
      </c>
      <c r="AS415" s="70" t="str">
        <f t="shared" si="124"/>
        <v>---</v>
      </c>
      <c r="AT415" s="71" t="str">
        <f t="shared" si="125"/>
        <v>---</v>
      </c>
    </row>
    <row r="416" spans="1:46" ht="30" customHeight="1" x14ac:dyDescent="0.3">
      <c r="A416" s="123">
        <f t="shared" si="109"/>
        <v>412</v>
      </c>
      <c r="B416" s="140">
        <f>INDEX('PEER GROUP'!B:B,MATCH($A416,'PEER GROUP'!$A:$A,0))</f>
        <v>0</v>
      </c>
      <c r="C416" s="83">
        <f>INDEX('PEER GROUP'!C:C,MATCH($A416,'PEER GROUP'!$A:$A,0))</f>
        <v>0</v>
      </c>
      <c r="D416" s="83">
        <f>INDEX('PEER GROUP'!D:D,MATCH($A416,'PEER GROUP'!$A:$A,0))</f>
        <v>0</v>
      </c>
      <c r="E416" s="83">
        <f>INDEX('PEER GROUP'!E:E,MATCH(A416,'PEER GROUP'!$A:$A,0))</f>
        <v>0</v>
      </c>
      <c r="F416" s="84">
        <f>INDEX('PEER GROUP'!F:F,MATCH($A416,'PEER GROUP'!$A:$A,0))</f>
        <v>0</v>
      </c>
      <c r="G416" s="84">
        <f>INDEX('PEER GROUP'!G:G,MATCH($A416,'PEER GROUP'!$A:$A,0))</f>
        <v>0</v>
      </c>
      <c r="H416" s="85"/>
      <c r="I416" s="85"/>
      <c r="J416" s="70">
        <f>INDEX('PEER GROUP'!K:K,MATCH($A416,'PEER GROUP'!$A:$A,0))</f>
        <v>0</v>
      </c>
      <c r="K416" s="70">
        <f>INDEX('PEER GROUP'!L:L,MATCH($A416,'PEER GROUP'!$A:$A,0))</f>
        <v>0</v>
      </c>
      <c r="L416" s="70">
        <f>INDEX('PEER GROUP'!M:M,MATCH($A416,'PEER GROUP'!$A:$A,0))</f>
        <v>0</v>
      </c>
      <c r="M416" s="86">
        <f>INDEX('PEER GROUP'!N:N,MATCH($A416,'PEER GROUP'!$A:$A,0))</f>
        <v>0</v>
      </c>
      <c r="N416" s="118"/>
      <c r="O416" s="115"/>
      <c r="P416" s="117"/>
      <c r="Q416" s="87"/>
      <c r="R416" s="87">
        <f t="shared" si="110"/>
        <v>0</v>
      </c>
      <c r="S416" s="87"/>
      <c r="T416" s="87"/>
      <c r="U416" s="87"/>
      <c r="V416" s="87">
        <f t="shared" si="111"/>
        <v>0</v>
      </c>
      <c r="W416" s="113">
        <f t="shared" si="108"/>
        <v>36.913096727263202</v>
      </c>
      <c r="X416" s="69">
        <f t="shared" si="112"/>
        <v>0</v>
      </c>
      <c r="Y416" s="70">
        <f t="shared" si="113"/>
        <v>0</v>
      </c>
      <c r="Z416" s="70">
        <f t="shared" si="114"/>
        <v>0</v>
      </c>
      <c r="AA416" s="70">
        <f t="shared" si="115"/>
        <v>0</v>
      </c>
      <c r="AB416" s="70">
        <f t="shared" si="116"/>
        <v>0</v>
      </c>
      <c r="AC416" s="70">
        <f t="shared" si="117"/>
        <v>0</v>
      </c>
      <c r="AD416" s="71">
        <f t="shared" si="118"/>
        <v>0</v>
      </c>
      <c r="AE416" s="49"/>
      <c r="AF416" s="21"/>
      <c r="AG416" s="69"/>
      <c r="AH416" s="70"/>
      <c r="AI416" s="70"/>
      <c r="AJ416" s="70"/>
      <c r="AK416" s="70"/>
      <c r="AL416" s="70"/>
      <c r="AM416" s="70"/>
      <c r="AN416" s="70" t="str">
        <f t="shared" si="119"/>
        <v>---</v>
      </c>
      <c r="AO416" s="70" t="str">
        <f t="shared" si="120"/>
        <v>---</v>
      </c>
      <c r="AP416" s="70" t="str">
        <f t="shared" si="121"/>
        <v>---</v>
      </c>
      <c r="AQ416" s="70" t="str">
        <f t="shared" si="122"/>
        <v>---</v>
      </c>
      <c r="AR416" s="70" t="str">
        <f t="shared" si="123"/>
        <v>---</v>
      </c>
      <c r="AS416" s="70" t="str">
        <f t="shared" si="124"/>
        <v>---</v>
      </c>
      <c r="AT416" s="71" t="str">
        <f t="shared" si="125"/>
        <v>---</v>
      </c>
    </row>
    <row r="417" spans="1:46" ht="30" customHeight="1" x14ac:dyDescent="0.3">
      <c r="A417" s="123">
        <f t="shared" si="109"/>
        <v>413</v>
      </c>
      <c r="B417" s="140">
        <f>INDEX('PEER GROUP'!B:B,MATCH($A417,'PEER GROUP'!$A:$A,0))</f>
        <v>0</v>
      </c>
      <c r="C417" s="83">
        <f>INDEX('PEER GROUP'!C:C,MATCH($A417,'PEER GROUP'!$A:$A,0))</f>
        <v>0</v>
      </c>
      <c r="D417" s="83">
        <f>INDEX('PEER GROUP'!D:D,MATCH($A417,'PEER GROUP'!$A:$A,0))</f>
        <v>0</v>
      </c>
      <c r="E417" s="83">
        <f>INDEX('PEER GROUP'!E:E,MATCH(A417,'PEER GROUP'!$A:$A,0))</f>
        <v>0</v>
      </c>
      <c r="F417" s="84">
        <f>INDEX('PEER GROUP'!F:F,MATCH($A417,'PEER GROUP'!$A:$A,0))</f>
        <v>0</v>
      </c>
      <c r="G417" s="84">
        <f>INDEX('PEER GROUP'!G:G,MATCH($A417,'PEER GROUP'!$A:$A,0))</f>
        <v>0</v>
      </c>
      <c r="H417" s="85"/>
      <c r="I417" s="85"/>
      <c r="J417" s="70">
        <f>INDEX('PEER GROUP'!K:K,MATCH($A417,'PEER GROUP'!$A:$A,0))</f>
        <v>0</v>
      </c>
      <c r="K417" s="70">
        <f>INDEX('PEER GROUP'!L:L,MATCH($A417,'PEER GROUP'!$A:$A,0))</f>
        <v>0</v>
      </c>
      <c r="L417" s="70">
        <f>INDEX('PEER GROUP'!M:M,MATCH($A417,'PEER GROUP'!$A:$A,0))</f>
        <v>0</v>
      </c>
      <c r="M417" s="86">
        <f>INDEX('PEER GROUP'!N:N,MATCH($A417,'PEER GROUP'!$A:$A,0))</f>
        <v>0</v>
      </c>
      <c r="N417" s="118"/>
      <c r="O417" s="115"/>
      <c r="P417" s="117"/>
      <c r="Q417" s="87"/>
      <c r="R417" s="87">
        <f t="shared" si="110"/>
        <v>0</v>
      </c>
      <c r="S417" s="87"/>
      <c r="T417" s="87"/>
      <c r="U417" s="87"/>
      <c r="V417" s="87">
        <f t="shared" si="111"/>
        <v>0</v>
      </c>
      <c r="W417" s="113">
        <f t="shared" si="108"/>
        <v>36.913096727263202</v>
      </c>
      <c r="X417" s="69">
        <f t="shared" si="112"/>
        <v>0</v>
      </c>
      <c r="Y417" s="70">
        <f t="shared" si="113"/>
        <v>0</v>
      </c>
      <c r="Z417" s="70">
        <f t="shared" si="114"/>
        <v>0</v>
      </c>
      <c r="AA417" s="70">
        <f t="shared" si="115"/>
        <v>0</v>
      </c>
      <c r="AB417" s="70">
        <f t="shared" si="116"/>
        <v>0</v>
      </c>
      <c r="AC417" s="70">
        <f t="shared" si="117"/>
        <v>0</v>
      </c>
      <c r="AD417" s="71">
        <f t="shared" si="118"/>
        <v>0</v>
      </c>
      <c r="AE417" s="49"/>
      <c r="AF417" s="21"/>
      <c r="AG417" s="69"/>
      <c r="AH417" s="70"/>
      <c r="AI417" s="70"/>
      <c r="AJ417" s="70"/>
      <c r="AK417" s="70"/>
      <c r="AL417" s="70"/>
      <c r="AM417" s="70"/>
      <c r="AN417" s="70" t="str">
        <f t="shared" si="119"/>
        <v>---</v>
      </c>
      <c r="AO417" s="70" t="str">
        <f t="shared" si="120"/>
        <v>---</v>
      </c>
      <c r="AP417" s="70" t="str">
        <f t="shared" si="121"/>
        <v>---</v>
      </c>
      <c r="AQ417" s="70" t="str">
        <f t="shared" si="122"/>
        <v>---</v>
      </c>
      <c r="AR417" s="70" t="str">
        <f t="shared" si="123"/>
        <v>---</v>
      </c>
      <c r="AS417" s="70" t="str">
        <f t="shared" si="124"/>
        <v>---</v>
      </c>
      <c r="AT417" s="71" t="str">
        <f t="shared" si="125"/>
        <v>---</v>
      </c>
    </row>
    <row r="418" spans="1:46" ht="30" customHeight="1" x14ac:dyDescent="0.3">
      <c r="A418" s="123">
        <f t="shared" si="109"/>
        <v>414</v>
      </c>
      <c r="B418" s="140">
        <f>INDEX('PEER GROUP'!B:B,MATCH($A418,'PEER GROUP'!$A:$A,0))</f>
        <v>0</v>
      </c>
      <c r="C418" s="83">
        <f>INDEX('PEER GROUP'!C:C,MATCH($A418,'PEER GROUP'!$A:$A,0))</f>
        <v>0</v>
      </c>
      <c r="D418" s="83">
        <f>INDEX('PEER GROUP'!D:D,MATCH($A418,'PEER GROUP'!$A:$A,0))</f>
        <v>0</v>
      </c>
      <c r="E418" s="83">
        <f>INDEX('PEER GROUP'!E:E,MATCH(A418,'PEER GROUP'!$A:$A,0))</f>
        <v>0</v>
      </c>
      <c r="F418" s="84">
        <f>INDEX('PEER GROUP'!F:F,MATCH($A418,'PEER GROUP'!$A:$A,0))</f>
        <v>0</v>
      </c>
      <c r="G418" s="84">
        <f>INDEX('PEER GROUP'!G:G,MATCH($A418,'PEER GROUP'!$A:$A,0))</f>
        <v>0</v>
      </c>
      <c r="H418" s="85"/>
      <c r="I418" s="85"/>
      <c r="J418" s="70">
        <f>INDEX('PEER GROUP'!K:K,MATCH($A418,'PEER GROUP'!$A:$A,0))</f>
        <v>0</v>
      </c>
      <c r="K418" s="70">
        <f>INDEX('PEER GROUP'!L:L,MATCH($A418,'PEER GROUP'!$A:$A,0))</f>
        <v>0</v>
      </c>
      <c r="L418" s="70">
        <f>INDEX('PEER GROUP'!M:M,MATCH($A418,'PEER GROUP'!$A:$A,0))</f>
        <v>0</v>
      </c>
      <c r="M418" s="86">
        <f>INDEX('PEER GROUP'!N:N,MATCH($A418,'PEER GROUP'!$A:$A,0))</f>
        <v>0</v>
      </c>
      <c r="N418" s="118"/>
      <c r="O418" s="115"/>
      <c r="P418" s="117"/>
      <c r="Q418" s="87"/>
      <c r="R418" s="87">
        <f t="shared" si="110"/>
        <v>0</v>
      </c>
      <c r="S418" s="87"/>
      <c r="T418" s="87"/>
      <c r="U418" s="87"/>
      <c r="V418" s="87">
        <f t="shared" si="111"/>
        <v>0</v>
      </c>
      <c r="W418" s="113">
        <f t="shared" si="108"/>
        <v>36.913096727263202</v>
      </c>
      <c r="X418" s="69">
        <f t="shared" si="112"/>
        <v>0</v>
      </c>
      <c r="Y418" s="70">
        <f t="shared" si="113"/>
        <v>0</v>
      </c>
      <c r="Z418" s="70">
        <f t="shared" si="114"/>
        <v>0</v>
      </c>
      <c r="AA418" s="70">
        <f t="shared" si="115"/>
        <v>0</v>
      </c>
      <c r="AB418" s="70">
        <f t="shared" si="116"/>
        <v>0</v>
      </c>
      <c r="AC418" s="70">
        <f t="shared" si="117"/>
        <v>0</v>
      </c>
      <c r="AD418" s="71">
        <f t="shared" si="118"/>
        <v>0</v>
      </c>
      <c r="AE418" s="49"/>
      <c r="AF418" s="21"/>
      <c r="AG418" s="69"/>
      <c r="AH418" s="70"/>
      <c r="AI418" s="70"/>
      <c r="AJ418" s="70"/>
      <c r="AK418" s="70"/>
      <c r="AL418" s="70"/>
      <c r="AM418" s="70"/>
      <c r="AN418" s="70" t="str">
        <f t="shared" si="119"/>
        <v>---</v>
      </c>
      <c r="AO418" s="70" t="str">
        <f t="shared" si="120"/>
        <v>---</v>
      </c>
      <c r="AP418" s="70" t="str">
        <f t="shared" si="121"/>
        <v>---</v>
      </c>
      <c r="AQ418" s="70" t="str">
        <f t="shared" si="122"/>
        <v>---</v>
      </c>
      <c r="AR418" s="70" t="str">
        <f t="shared" si="123"/>
        <v>---</v>
      </c>
      <c r="AS418" s="70" t="str">
        <f t="shared" si="124"/>
        <v>---</v>
      </c>
      <c r="AT418" s="71" t="str">
        <f t="shared" si="125"/>
        <v>---</v>
      </c>
    </row>
    <row r="419" spans="1:46" ht="30" customHeight="1" x14ac:dyDescent="0.3">
      <c r="A419" s="123">
        <f t="shared" si="109"/>
        <v>415</v>
      </c>
      <c r="B419" s="140">
        <f>INDEX('PEER GROUP'!B:B,MATCH($A419,'PEER GROUP'!$A:$A,0))</f>
        <v>0</v>
      </c>
      <c r="C419" s="83">
        <f>INDEX('PEER GROUP'!C:C,MATCH($A419,'PEER GROUP'!$A:$A,0))</f>
        <v>0</v>
      </c>
      <c r="D419" s="83">
        <f>INDEX('PEER GROUP'!D:D,MATCH($A419,'PEER GROUP'!$A:$A,0))</f>
        <v>0</v>
      </c>
      <c r="E419" s="83">
        <f>INDEX('PEER GROUP'!E:E,MATCH(A419,'PEER GROUP'!$A:$A,0))</f>
        <v>0</v>
      </c>
      <c r="F419" s="84">
        <f>INDEX('PEER GROUP'!F:F,MATCH($A419,'PEER GROUP'!$A:$A,0))</f>
        <v>0</v>
      </c>
      <c r="G419" s="84">
        <f>INDEX('PEER GROUP'!G:G,MATCH($A419,'PEER GROUP'!$A:$A,0))</f>
        <v>0</v>
      </c>
      <c r="H419" s="85"/>
      <c r="I419" s="85"/>
      <c r="J419" s="70">
        <f>INDEX('PEER GROUP'!K:K,MATCH($A419,'PEER GROUP'!$A:$A,0))</f>
        <v>0</v>
      </c>
      <c r="K419" s="70">
        <f>INDEX('PEER GROUP'!L:L,MATCH($A419,'PEER GROUP'!$A:$A,0))</f>
        <v>0</v>
      </c>
      <c r="L419" s="70">
        <f>INDEX('PEER GROUP'!M:M,MATCH($A419,'PEER GROUP'!$A:$A,0))</f>
        <v>0</v>
      </c>
      <c r="M419" s="86">
        <f>INDEX('PEER GROUP'!N:N,MATCH($A419,'PEER GROUP'!$A:$A,0))</f>
        <v>0</v>
      </c>
      <c r="N419" s="118"/>
      <c r="O419" s="115"/>
      <c r="P419" s="117"/>
      <c r="Q419" s="87"/>
      <c r="R419" s="87">
        <f t="shared" si="110"/>
        <v>0</v>
      </c>
      <c r="S419" s="87"/>
      <c r="T419" s="87"/>
      <c r="U419" s="87"/>
      <c r="V419" s="87">
        <f t="shared" si="111"/>
        <v>0</v>
      </c>
      <c r="W419" s="113">
        <f t="shared" ref="W419:W482" si="126">IF(DataEffDate&gt;DATE(2022,1,1),
IF(E419&lt;DATE(2022,1,1),
(1+UpdateFactor)^(IF(E419&lt;DataEffDate,1,-1)*YEARFRAC(E419,DATE(2022,1,1),1))+(1+UpdateFactor_TEMP)^(IF(DATE(2022,1,1)&lt;DataEffDate,1,-1)*YEARFRAC(DATE(2022,1,1),DataEffDate,1))-1,
(1+UpdateFactor_TEMP)^(IF(E419&lt;DataEffDate,1,-1)*YEARFRAC(E419,DataEffDate,1))),
(1+UpdateFactor)^(IF(E419&lt;DataEffDate,1,-1)*YEARFRAC(E419,DataEffDate,1)))</f>
        <v>36.913096727263202</v>
      </c>
      <c r="X419" s="69">
        <f t="shared" si="112"/>
        <v>0</v>
      </c>
      <c r="Y419" s="70">
        <f t="shared" si="113"/>
        <v>0</v>
      </c>
      <c r="Z419" s="70">
        <f t="shared" si="114"/>
        <v>0</v>
      </c>
      <c r="AA419" s="70">
        <f t="shared" si="115"/>
        <v>0</v>
      </c>
      <c r="AB419" s="70">
        <f t="shared" si="116"/>
        <v>0</v>
      </c>
      <c r="AC419" s="70">
        <f t="shared" si="117"/>
        <v>0</v>
      </c>
      <c r="AD419" s="71">
        <f t="shared" si="118"/>
        <v>0</v>
      </c>
      <c r="AE419" s="49"/>
      <c r="AF419" s="21"/>
      <c r="AG419" s="69"/>
      <c r="AH419" s="70"/>
      <c r="AI419" s="70"/>
      <c r="AJ419" s="70"/>
      <c r="AK419" s="70"/>
      <c r="AL419" s="70"/>
      <c r="AM419" s="70"/>
      <c r="AN419" s="70" t="str">
        <f t="shared" si="119"/>
        <v>---</v>
      </c>
      <c r="AO419" s="70" t="str">
        <f t="shared" si="120"/>
        <v>---</v>
      </c>
      <c r="AP419" s="70" t="str">
        <f t="shared" si="121"/>
        <v>---</v>
      </c>
      <c r="AQ419" s="70" t="str">
        <f t="shared" si="122"/>
        <v>---</v>
      </c>
      <c r="AR419" s="70" t="str">
        <f t="shared" si="123"/>
        <v>---</v>
      </c>
      <c r="AS419" s="70" t="str">
        <f t="shared" si="124"/>
        <v>---</v>
      </c>
      <c r="AT419" s="71" t="str">
        <f t="shared" si="125"/>
        <v>---</v>
      </c>
    </row>
    <row r="420" spans="1:46" ht="30" customHeight="1" x14ac:dyDescent="0.3">
      <c r="A420" s="123">
        <f t="shared" ref="A420:A483" si="127">A419+1</f>
        <v>416</v>
      </c>
      <c r="B420" s="140">
        <f>INDEX('PEER GROUP'!B:B,MATCH($A420,'PEER GROUP'!$A:$A,0))</f>
        <v>0</v>
      </c>
      <c r="C420" s="83">
        <f>INDEX('PEER GROUP'!C:C,MATCH($A420,'PEER GROUP'!$A:$A,0))</f>
        <v>0</v>
      </c>
      <c r="D420" s="83">
        <f>INDEX('PEER GROUP'!D:D,MATCH($A420,'PEER GROUP'!$A:$A,0))</f>
        <v>0</v>
      </c>
      <c r="E420" s="83">
        <f>INDEX('PEER GROUP'!E:E,MATCH(A420,'PEER GROUP'!$A:$A,0))</f>
        <v>0</v>
      </c>
      <c r="F420" s="84">
        <f>INDEX('PEER GROUP'!F:F,MATCH($A420,'PEER GROUP'!$A:$A,0))</f>
        <v>0</v>
      </c>
      <c r="G420" s="84">
        <f>INDEX('PEER GROUP'!G:G,MATCH($A420,'PEER GROUP'!$A:$A,0))</f>
        <v>0</v>
      </c>
      <c r="H420" s="85"/>
      <c r="I420" s="85"/>
      <c r="J420" s="70">
        <f>INDEX('PEER GROUP'!K:K,MATCH($A420,'PEER GROUP'!$A:$A,0))</f>
        <v>0</v>
      </c>
      <c r="K420" s="70">
        <f>INDEX('PEER GROUP'!L:L,MATCH($A420,'PEER GROUP'!$A:$A,0))</f>
        <v>0</v>
      </c>
      <c r="L420" s="70">
        <f>INDEX('PEER GROUP'!M:M,MATCH($A420,'PEER GROUP'!$A:$A,0))</f>
        <v>0</v>
      </c>
      <c r="M420" s="86">
        <f>INDEX('PEER GROUP'!N:N,MATCH($A420,'PEER GROUP'!$A:$A,0))</f>
        <v>0</v>
      </c>
      <c r="N420" s="118"/>
      <c r="O420" s="115"/>
      <c r="P420" s="117"/>
      <c r="Q420" s="87"/>
      <c r="R420" s="87">
        <f t="shared" ref="R420:R483" si="128">SUM(P420:Q420)</f>
        <v>0</v>
      </c>
      <c r="S420" s="87"/>
      <c r="T420" s="87"/>
      <c r="U420" s="87"/>
      <c r="V420" s="87">
        <f t="shared" ref="V420:V483" si="129">SUM(R420:U420)</f>
        <v>0</v>
      </c>
      <c r="W420" s="113">
        <f t="shared" si="126"/>
        <v>36.913096727263202</v>
      </c>
      <c r="X420" s="69">
        <f t="shared" ref="X420:X483" si="130">P420*$W420</f>
        <v>0</v>
      </c>
      <c r="Y420" s="70">
        <f t="shared" ref="Y420:Y483" si="131">Q420*$W420</f>
        <v>0</v>
      </c>
      <c r="Z420" s="70">
        <f t="shared" ref="Z420:Z483" si="132">SUM(X420:Y420)</f>
        <v>0</v>
      </c>
      <c r="AA420" s="70">
        <f t="shared" ref="AA420:AA483" si="133">S420*$W420</f>
        <v>0</v>
      </c>
      <c r="AB420" s="70">
        <f t="shared" ref="AB420:AB483" si="134">T420*$W420</f>
        <v>0</v>
      </c>
      <c r="AC420" s="70">
        <f t="shared" ref="AC420:AC483" si="135">U420*$W420</f>
        <v>0</v>
      </c>
      <c r="AD420" s="71">
        <f t="shared" ref="AD420:AD483" si="136">SUM(Z420:AC420)</f>
        <v>0</v>
      </c>
      <c r="AE420" s="49"/>
      <c r="AF420" s="21"/>
      <c r="AG420" s="69"/>
      <c r="AH420" s="70"/>
      <c r="AI420" s="70"/>
      <c r="AJ420" s="70"/>
      <c r="AK420" s="70"/>
      <c r="AL420" s="70"/>
      <c r="AM420" s="70"/>
      <c r="AN420" s="70" t="str">
        <f t="shared" ref="AN420:AN483" si="137">IFERROR(P420/AG420-1,"---")</f>
        <v>---</v>
      </c>
      <c r="AO420" s="70" t="str">
        <f t="shared" ref="AO420:AO483" si="138">IFERROR(Q420/AH420-1,"---")</f>
        <v>---</v>
      </c>
      <c r="AP420" s="70" t="str">
        <f t="shared" ref="AP420:AP483" si="139">IFERROR(R420/AI420-1,"---")</f>
        <v>---</v>
      </c>
      <c r="AQ420" s="70" t="str">
        <f t="shared" ref="AQ420:AQ483" si="140">IFERROR(S420/AJ420-1,"---")</f>
        <v>---</v>
      </c>
      <c r="AR420" s="70" t="str">
        <f t="shared" ref="AR420:AR483" si="141">IFERROR(T420/AK420-1,"---")</f>
        <v>---</v>
      </c>
      <c r="AS420" s="70" t="str">
        <f t="shared" ref="AS420:AS483" si="142">IFERROR(U420/AL420-1,"---")</f>
        <v>---</v>
      </c>
      <c r="AT420" s="71" t="str">
        <f t="shared" ref="AT420:AT483" si="143">IFERROR(V420/AM420-1,"---")</f>
        <v>---</v>
      </c>
    </row>
    <row r="421" spans="1:46" ht="30" customHeight="1" x14ac:dyDescent="0.3">
      <c r="A421" s="123">
        <f t="shared" si="127"/>
        <v>417</v>
      </c>
      <c r="B421" s="140">
        <f>INDEX('PEER GROUP'!B:B,MATCH($A421,'PEER GROUP'!$A:$A,0))</f>
        <v>0</v>
      </c>
      <c r="C421" s="83">
        <f>INDEX('PEER GROUP'!C:C,MATCH($A421,'PEER GROUP'!$A:$A,0))</f>
        <v>0</v>
      </c>
      <c r="D421" s="83">
        <f>INDEX('PEER GROUP'!D:D,MATCH($A421,'PEER GROUP'!$A:$A,0))</f>
        <v>0</v>
      </c>
      <c r="E421" s="83">
        <f>INDEX('PEER GROUP'!E:E,MATCH(A421,'PEER GROUP'!$A:$A,0))</f>
        <v>0</v>
      </c>
      <c r="F421" s="84">
        <f>INDEX('PEER GROUP'!F:F,MATCH($A421,'PEER GROUP'!$A:$A,0))</f>
        <v>0</v>
      </c>
      <c r="G421" s="84">
        <f>INDEX('PEER GROUP'!G:G,MATCH($A421,'PEER GROUP'!$A:$A,0))</f>
        <v>0</v>
      </c>
      <c r="H421" s="85"/>
      <c r="I421" s="85"/>
      <c r="J421" s="70">
        <f>INDEX('PEER GROUP'!K:K,MATCH($A421,'PEER GROUP'!$A:$A,0))</f>
        <v>0</v>
      </c>
      <c r="K421" s="70">
        <f>INDEX('PEER GROUP'!L:L,MATCH($A421,'PEER GROUP'!$A:$A,0))</f>
        <v>0</v>
      </c>
      <c r="L421" s="70">
        <f>INDEX('PEER GROUP'!M:M,MATCH($A421,'PEER GROUP'!$A:$A,0))</f>
        <v>0</v>
      </c>
      <c r="M421" s="86">
        <f>INDEX('PEER GROUP'!N:N,MATCH($A421,'PEER GROUP'!$A:$A,0))</f>
        <v>0</v>
      </c>
      <c r="N421" s="118"/>
      <c r="O421" s="115"/>
      <c r="P421" s="117"/>
      <c r="Q421" s="87"/>
      <c r="R421" s="87">
        <f t="shared" si="128"/>
        <v>0</v>
      </c>
      <c r="S421" s="87"/>
      <c r="T421" s="87"/>
      <c r="U421" s="87"/>
      <c r="V421" s="87">
        <f t="shared" si="129"/>
        <v>0</v>
      </c>
      <c r="W421" s="113">
        <f t="shared" si="126"/>
        <v>36.913096727263202</v>
      </c>
      <c r="X421" s="69">
        <f t="shared" si="130"/>
        <v>0</v>
      </c>
      <c r="Y421" s="70">
        <f t="shared" si="131"/>
        <v>0</v>
      </c>
      <c r="Z421" s="70">
        <f t="shared" si="132"/>
        <v>0</v>
      </c>
      <c r="AA421" s="70">
        <f t="shared" si="133"/>
        <v>0</v>
      </c>
      <c r="AB421" s="70">
        <f t="shared" si="134"/>
        <v>0</v>
      </c>
      <c r="AC421" s="70">
        <f t="shared" si="135"/>
        <v>0</v>
      </c>
      <c r="AD421" s="71">
        <f t="shared" si="136"/>
        <v>0</v>
      </c>
      <c r="AE421" s="49"/>
      <c r="AF421" s="21"/>
      <c r="AG421" s="69"/>
      <c r="AH421" s="70"/>
      <c r="AI421" s="70"/>
      <c r="AJ421" s="70"/>
      <c r="AK421" s="70"/>
      <c r="AL421" s="70"/>
      <c r="AM421" s="70"/>
      <c r="AN421" s="70" t="str">
        <f t="shared" si="137"/>
        <v>---</v>
      </c>
      <c r="AO421" s="70" t="str">
        <f t="shared" si="138"/>
        <v>---</v>
      </c>
      <c r="AP421" s="70" t="str">
        <f t="shared" si="139"/>
        <v>---</v>
      </c>
      <c r="AQ421" s="70" t="str">
        <f t="shared" si="140"/>
        <v>---</v>
      </c>
      <c r="AR421" s="70" t="str">
        <f t="shared" si="141"/>
        <v>---</v>
      </c>
      <c r="AS421" s="70" t="str">
        <f t="shared" si="142"/>
        <v>---</v>
      </c>
      <c r="AT421" s="71" t="str">
        <f t="shared" si="143"/>
        <v>---</v>
      </c>
    </row>
    <row r="422" spans="1:46" ht="30" customHeight="1" x14ac:dyDescent="0.3">
      <c r="A422" s="123">
        <f t="shared" si="127"/>
        <v>418</v>
      </c>
      <c r="B422" s="140">
        <f>INDEX('PEER GROUP'!B:B,MATCH($A422,'PEER GROUP'!$A:$A,0))</f>
        <v>0</v>
      </c>
      <c r="C422" s="83">
        <f>INDEX('PEER GROUP'!C:C,MATCH($A422,'PEER GROUP'!$A:$A,0))</f>
        <v>0</v>
      </c>
      <c r="D422" s="83">
        <f>INDEX('PEER GROUP'!D:D,MATCH($A422,'PEER GROUP'!$A:$A,0))</f>
        <v>0</v>
      </c>
      <c r="E422" s="83">
        <f>INDEX('PEER GROUP'!E:E,MATCH(A422,'PEER GROUP'!$A:$A,0))</f>
        <v>0</v>
      </c>
      <c r="F422" s="84">
        <f>INDEX('PEER GROUP'!F:F,MATCH($A422,'PEER GROUP'!$A:$A,0))</f>
        <v>0</v>
      </c>
      <c r="G422" s="84">
        <f>INDEX('PEER GROUP'!G:G,MATCH($A422,'PEER GROUP'!$A:$A,0))</f>
        <v>0</v>
      </c>
      <c r="H422" s="85"/>
      <c r="I422" s="85"/>
      <c r="J422" s="70">
        <f>INDEX('PEER GROUP'!K:K,MATCH($A422,'PEER GROUP'!$A:$A,0))</f>
        <v>0</v>
      </c>
      <c r="K422" s="70">
        <f>INDEX('PEER GROUP'!L:L,MATCH($A422,'PEER GROUP'!$A:$A,0))</f>
        <v>0</v>
      </c>
      <c r="L422" s="70">
        <f>INDEX('PEER GROUP'!M:M,MATCH($A422,'PEER GROUP'!$A:$A,0))</f>
        <v>0</v>
      </c>
      <c r="M422" s="86">
        <f>INDEX('PEER GROUP'!N:N,MATCH($A422,'PEER GROUP'!$A:$A,0))</f>
        <v>0</v>
      </c>
      <c r="N422" s="118"/>
      <c r="O422" s="115"/>
      <c r="P422" s="117"/>
      <c r="Q422" s="87"/>
      <c r="R422" s="87">
        <f t="shared" si="128"/>
        <v>0</v>
      </c>
      <c r="S422" s="87"/>
      <c r="T422" s="87"/>
      <c r="U422" s="87"/>
      <c r="V422" s="87">
        <f t="shared" si="129"/>
        <v>0</v>
      </c>
      <c r="W422" s="113">
        <f t="shared" si="126"/>
        <v>36.913096727263202</v>
      </c>
      <c r="X422" s="69">
        <f t="shared" si="130"/>
        <v>0</v>
      </c>
      <c r="Y422" s="70">
        <f t="shared" si="131"/>
        <v>0</v>
      </c>
      <c r="Z422" s="70">
        <f t="shared" si="132"/>
        <v>0</v>
      </c>
      <c r="AA422" s="70">
        <f t="shared" si="133"/>
        <v>0</v>
      </c>
      <c r="AB422" s="70">
        <f t="shared" si="134"/>
        <v>0</v>
      </c>
      <c r="AC422" s="70">
        <f t="shared" si="135"/>
        <v>0</v>
      </c>
      <c r="AD422" s="71">
        <f t="shared" si="136"/>
        <v>0</v>
      </c>
      <c r="AE422" s="49"/>
      <c r="AF422" s="21"/>
      <c r="AG422" s="69"/>
      <c r="AH422" s="70"/>
      <c r="AI422" s="70"/>
      <c r="AJ422" s="70"/>
      <c r="AK422" s="70"/>
      <c r="AL422" s="70"/>
      <c r="AM422" s="70"/>
      <c r="AN422" s="70" t="str">
        <f t="shared" si="137"/>
        <v>---</v>
      </c>
      <c r="AO422" s="70" t="str">
        <f t="shared" si="138"/>
        <v>---</v>
      </c>
      <c r="AP422" s="70" t="str">
        <f t="shared" si="139"/>
        <v>---</v>
      </c>
      <c r="AQ422" s="70" t="str">
        <f t="shared" si="140"/>
        <v>---</v>
      </c>
      <c r="AR422" s="70" t="str">
        <f t="shared" si="141"/>
        <v>---</v>
      </c>
      <c r="AS422" s="70" t="str">
        <f t="shared" si="142"/>
        <v>---</v>
      </c>
      <c r="AT422" s="71" t="str">
        <f t="shared" si="143"/>
        <v>---</v>
      </c>
    </row>
    <row r="423" spans="1:46" ht="30" customHeight="1" x14ac:dyDescent="0.3">
      <c r="A423" s="123">
        <f t="shared" si="127"/>
        <v>419</v>
      </c>
      <c r="B423" s="140">
        <f>INDEX('PEER GROUP'!B:B,MATCH($A423,'PEER GROUP'!$A:$A,0))</f>
        <v>0</v>
      </c>
      <c r="C423" s="83">
        <f>INDEX('PEER GROUP'!C:C,MATCH($A423,'PEER GROUP'!$A:$A,0))</f>
        <v>0</v>
      </c>
      <c r="D423" s="83">
        <f>INDEX('PEER GROUP'!D:D,MATCH($A423,'PEER GROUP'!$A:$A,0))</f>
        <v>0</v>
      </c>
      <c r="E423" s="83">
        <f>INDEX('PEER GROUP'!E:E,MATCH(A423,'PEER GROUP'!$A:$A,0))</f>
        <v>0</v>
      </c>
      <c r="F423" s="84">
        <f>INDEX('PEER GROUP'!F:F,MATCH($A423,'PEER GROUP'!$A:$A,0))</f>
        <v>0</v>
      </c>
      <c r="G423" s="84">
        <f>INDEX('PEER GROUP'!G:G,MATCH($A423,'PEER GROUP'!$A:$A,0))</f>
        <v>0</v>
      </c>
      <c r="H423" s="85"/>
      <c r="I423" s="85"/>
      <c r="J423" s="70">
        <f>INDEX('PEER GROUP'!K:K,MATCH($A423,'PEER GROUP'!$A:$A,0))</f>
        <v>0</v>
      </c>
      <c r="K423" s="70">
        <f>INDEX('PEER GROUP'!L:L,MATCH($A423,'PEER GROUP'!$A:$A,0))</f>
        <v>0</v>
      </c>
      <c r="L423" s="70">
        <f>INDEX('PEER GROUP'!M:M,MATCH($A423,'PEER GROUP'!$A:$A,0))</f>
        <v>0</v>
      </c>
      <c r="M423" s="86">
        <f>INDEX('PEER GROUP'!N:N,MATCH($A423,'PEER GROUP'!$A:$A,0))</f>
        <v>0</v>
      </c>
      <c r="N423" s="118"/>
      <c r="O423" s="115"/>
      <c r="P423" s="117"/>
      <c r="Q423" s="87"/>
      <c r="R423" s="87">
        <f t="shared" si="128"/>
        <v>0</v>
      </c>
      <c r="S423" s="87"/>
      <c r="T423" s="87"/>
      <c r="U423" s="87"/>
      <c r="V423" s="87">
        <f t="shared" si="129"/>
        <v>0</v>
      </c>
      <c r="W423" s="113">
        <f t="shared" si="126"/>
        <v>36.913096727263202</v>
      </c>
      <c r="X423" s="69">
        <f t="shared" si="130"/>
        <v>0</v>
      </c>
      <c r="Y423" s="70">
        <f t="shared" si="131"/>
        <v>0</v>
      </c>
      <c r="Z423" s="70">
        <f t="shared" si="132"/>
        <v>0</v>
      </c>
      <c r="AA423" s="70">
        <f t="shared" si="133"/>
        <v>0</v>
      </c>
      <c r="AB423" s="70">
        <f t="shared" si="134"/>
        <v>0</v>
      </c>
      <c r="AC423" s="70">
        <f t="shared" si="135"/>
        <v>0</v>
      </c>
      <c r="AD423" s="71">
        <f t="shared" si="136"/>
        <v>0</v>
      </c>
      <c r="AE423" s="49"/>
      <c r="AF423" s="21"/>
      <c r="AG423" s="69"/>
      <c r="AH423" s="70"/>
      <c r="AI423" s="70"/>
      <c r="AJ423" s="70"/>
      <c r="AK423" s="70"/>
      <c r="AL423" s="70"/>
      <c r="AM423" s="70"/>
      <c r="AN423" s="70" t="str">
        <f t="shared" si="137"/>
        <v>---</v>
      </c>
      <c r="AO423" s="70" t="str">
        <f t="shared" si="138"/>
        <v>---</v>
      </c>
      <c r="AP423" s="70" t="str">
        <f t="shared" si="139"/>
        <v>---</v>
      </c>
      <c r="AQ423" s="70" t="str">
        <f t="shared" si="140"/>
        <v>---</v>
      </c>
      <c r="AR423" s="70" t="str">
        <f t="shared" si="141"/>
        <v>---</v>
      </c>
      <c r="AS423" s="70" t="str">
        <f t="shared" si="142"/>
        <v>---</v>
      </c>
      <c r="AT423" s="71" t="str">
        <f t="shared" si="143"/>
        <v>---</v>
      </c>
    </row>
    <row r="424" spans="1:46" ht="30" customHeight="1" x14ac:dyDescent="0.3">
      <c r="A424" s="123">
        <f t="shared" si="127"/>
        <v>420</v>
      </c>
      <c r="B424" s="140">
        <f>INDEX('PEER GROUP'!B:B,MATCH($A424,'PEER GROUP'!$A:$A,0))</f>
        <v>0</v>
      </c>
      <c r="C424" s="83">
        <f>INDEX('PEER GROUP'!C:C,MATCH($A424,'PEER GROUP'!$A:$A,0))</f>
        <v>0</v>
      </c>
      <c r="D424" s="83">
        <f>INDEX('PEER GROUP'!D:D,MATCH($A424,'PEER GROUP'!$A:$A,0))</f>
        <v>0</v>
      </c>
      <c r="E424" s="83">
        <f>INDEX('PEER GROUP'!E:E,MATCH(A424,'PEER GROUP'!$A:$A,0))</f>
        <v>0</v>
      </c>
      <c r="F424" s="84">
        <f>INDEX('PEER GROUP'!F:F,MATCH($A424,'PEER GROUP'!$A:$A,0))</f>
        <v>0</v>
      </c>
      <c r="G424" s="84">
        <f>INDEX('PEER GROUP'!G:G,MATCH($A424,'PEER GROUP'!$A:$A,0))</f>
        <v>0</v>
      </c>
      <c r="H424" s="85"/>
      <c r="I424" s="85"/>
      <c r="J424" s="70">
        <f>INDEX('PEER GROUP'!K:K,MATCH($A424,'PEER GROUP'!$A:$A,0))</f>
        <v>0</v>
      </c>
      <c r="K424" s="70">
        <f>INDEX('PEER GROUP'!L:L,MATCH($A424,'PEER GROUP'!$A:$A,0))</f>
        <v>0</v>
      </c>
      <c r="L424" s="70">
        <f>INDEX('PEER GROUP'!M:M,MATCH($A424,'PEER GROUP'!$A:$A,0))</f>
        <v>0</v>
      </c>
      <c r="M424" s="86">
        <f>INDEX('PEER GROUP'!N:N,MATCH($A424,'PEER GROUP'!$A:$A,0))</f>
        <v>0</v>
      </c>
      <c r="N424" s="118"/>
      <c r="O424" s="115"/>
      <c r="P424" s="117"/>
      <c r="Q424" s="87"/>
      <c r="R424" s="87">
        <f t="shared" si="128"/>
        <v>0</v>
      </c>
      <c r="S424" s="87"/>
      <c r="T424" s="87"/>
      <c r="U424" s="87"/>
      <c r="V424" s="87">
        <f t="shared" si="129"/>
        <v>0</v>
      </c>
      <c r="W424" s="113">
        <f t="shared" si="126"/>
        <v>36.913096727263202</v>
      </c>
      <c r="X424" s="69">
        <f t="shared" si="130"/>
        <v>0</v>
      </c>
      <c r="Y424" s="70">
        <f t="shared" si="131"/>
        <v>0</v>
      </c>
      <c r="Z424" s="70">
        <f t="shared" si="132"/>
        <v>0</v>
      </c>
      <c r="AA424" s="70">
        <f t="shared" si="133"/>
        <v>0</v>
      </c>
      <c r="AB424" s="70">
        <f t="shared" si="134"/>
        <v>0</v>
      </c>
      <c r="AC424" s="70">
        <f t="shared" si="135"/>
        <v>0</v>
      </c>
      <c r="AD424" s="71">
        <f t="shared" si="136"/>
        <v>0</v>
      </c>
      <c r="AE424" s="49"/>
      <c r="AF424" s="21"/>
      <c r="AG424" s="69"/>
      <c r="AH424" s="70"/>
      <c r="AI424" s="70"/>
      <c r="AJ424" s="70"/>
      <c r="AK424" s="70"/>
      <c r="AL424" s="70"/>
      <c r="AM424" s="70"/>
      <c r="AN424" s="70" t="str">
        <f t="shared" si="137"/>
        <v>---</v>
      </c>
      <c r="AO424" s="70" t="str">
        <f t="shared" si="138"/>
        <v>---</v>
      </c>
      <c r="AP424" s="70" t="str">
        <f t="shared" si="139"/>
        <v>---</v>
      </c>
      <c r="AQ424" s="70" t="str">
        <f t="shared" si="140"/>
        <v>---</v>
      </c>
      <c r="AR424" s="70" t="str">
        <f t="shared" si="141"/>
        <v>---</v>
      </c>
      <c r="AS424" s="70" t="str">
        <f t="shared" si="142"/>
        <v>---</v>
      </c>
      <c r="AT424" s="71" t="str">
        <f t="shared" si="143"/>
        <v>---</v>
      </c>
    </row>
    <row r="425" spans="1:46" ht="30" customHeight="1" x14ac:dyDescent="0.3">
      <c r="A425" s="123">
        <f t="shared" si="127"/>
        <v>421</v>
      </c>
      <c r="B425" s="140">
        <f>INDEX('PEER GROUP'!B:B,MATCH($A425,'PEER GROUP'!$A:$A,0))</f>
        <v>0</v>
      </c>
      <c r="C425" s="83">
        <f>INDEX('PEER GROUP'!C:C,MATCH($A425,'PEER GROUP'!$A:$A,0))</f>
        <v>0</v>
      </c>
      <c r="D425" s="83">
        <f>INDEX('PEER GROUP'!D:D,MATCH($A425,'PEER GROUP'!$A:$A,0))</f>
        <v>0</v>
      </c>
      <c r="E425" s="83">
        <f>INDEX('PEER GROUP'!E:E,MATCH(A425,'PEER GROUP'!$A:$A,0))</f>
        <v>0</v>
      </c>
      <c r="F425" s="84">
        <f>INDEX('PEER GROUP'!F:F,MATCH($A425,'PEER GROUP'!$A:$A,0))</f>
        <v>0</v>
      </c>
      <c r="G425" s="84">
        <f>INDEX('PEER GROUP'!G:G,MATCH($A425,'PEER GROUP'!$A:$A,0))</f>
        <v>0</v>
      </c>
      <c r="H425" s="85"/>
      <c r="I425" s="85"/>
      <c r="J425" s="70">
        <f>INDEX('PEER GROUP'!K:K,MATCH($A425,'PEER GROUP'!$A:$A,0))</f>
        <v>0</v>
      </c>
      <c r="K425" s="70">
        <f>INDEX('PEER GROUP'!L:L,MATCH($A425,'PEER GROUP'!$A:$A,0))</f>
        <v>0</v>
      </c>
      <c r="L425" s="70">
        <f>INDEX('PEER GROUP'!M:M,MATCH($A425,'PEER GROUP'!$A:$A,0))</f>
        <v>0</v>
      </c>
      <c r="M425" s="86">
        <f>INDEX('PEER GROUP'!N:N,MATCH($A425,'PEER GROUP'!$A:$A,0))</f>
        <v>0</v>
      </c>
      <c r="N425" s="118"/>
      <c r="O425" s="115"/>
      <c r="P425" s="117"/>
      <c r="Q425" s="87"/>
      <c r="R425" s="87">
        <f t="shared" si="128"/>
        <v>0</v>
      </c>
      <c r="S425" s="87"/>
      <c r="T425" s="87"/>
      <c r="U425" s="87"/>
      <c r="V425" s="87">
        <f t="shared" si="129"/>
        <v>0</v>
      </c>
      <c r="W425" s="113">
        <f t="shared" si="126"/>
        <v>36.913096727263202</v>
      </c>
      <c r="X425" s="69">
        <f t="shared" si="130"/>
        <v>0</v>
      </c>
      <c r="Y425" s="70">
        <f t="shared" si="131"/>
        <v>0</v>
      </c>
      <c r="Z425" s="70">
        <f t="shared" si="132"/>
        <v>0</v>
      </c>
      <c r="AA425" s="70">
        <f t="shared" si="133"/>
        <v>0</v>
      </c>
      <c r="AB425" s="70">
        <f t="shared" si="134"/>
        <v>0</v>
      </c>
      <c r="AC425" s="70">
        <f t="shared" si="135"/>
        <v>0</v>
      </c>
      <c r="AD425" s="71">
        <f t="shared" si="136"/>
        <v>0</v>
      </c>
      <c r="AE425" s="49"/>
      <c r="AF425" s="21"/>
      <c r="AG425" s="69"/>
      <c r="AH425" s="70"/>
      <c r="AI425" s="70"/>
      <c r="AJ425" s="70"/>
      <c r="AK425" s="70"/>
      <c r="AL425" s="70"/>
      <c r="AM425" s="70"/>
      <c r="AN425" s="70" t="str">
        <f t="shared" si="137"/>
        <v>---</v>
      </c>
      <c r="AO425" s="70" t="str">
        <f t="shared" si="138"/>
        <v>---</v>
      </c>
      <c r="AP425" s="70" t="str">
        <f t="shared" si="139"/>
        <v>---</v>
      </c>
      <c r="AQ425" s="70" t="str">
        <f t="shared" si="140"/>
        <v>---</v>
      </c>
      <c r="AR425" s="70" t="str">
        <f t="shared" si="141"/>
        <v>---</v>
      </c>
      <c r="AS425" s="70" t="str">
        <f t="shared" si="142"/>
        <v>---</v>
      </c>
      <c r="AT425" s="71" t="str">
        <f t="shared" si="143"/>
        <v>---</v>
      </c>
    </row>
    <row r="426" spans="1:46" ht="30" customHeight="1" x14ac:dyDescent="0.3">
      <c r="A426" s="123">
        <f t="shared" si="127"/>
        <v>422</v>
      </c>
      <c r="B426" s="140">
        <f>INDEX('PEER GROUP'!B:B,MATCH($A426,'PEER GROUP'!$A:$A,0))</f>
        <v>0</v>
      </c>
      <c r="C426" s="83">
        <f>INDEX('PEER GROUP'!C:C,MATCH($A426,'PEER GROUP'!$A:$A,0))</f>
        <v>0</v>
      </c>
      <c r="D426" s="83">
        <f>INDEX('PEER GROUP'!D:D,MATCH($A426,'PEER GROUP'!$A:$A,0))</f>
        <v>0</v>
      </c>
      <c r="E426" s="83">
        <f>INDEX('PEER GROUP'!E:E,MATCH(A426,'PEER GROUP'!$A:$A,0))</f>
        <v>0</v>
      </c>
      <c r="F426" s="84">
        <f>INDEX('PEER GROUP'!F:F,MATCH($A426,'PEER GROUP'!$A:$A,0))</f>
        <v>0</v>
      </c>
      <c r="G426" s="84">
        <f>INDEX('PEER GROUP'!G:G,MATCH($A426,'PEER GROUP'!$A:$A,0))</f>
        <v>0</v>
      </c>
      <c r="H426" s="85"/>
      <c r="I426" s="85"/>
      <c r="J426" s="70">
        <f>INDEX('PEER GROUP'!K:K,MATCH($A426,'PEER GROUP'!$A:$A,0))</f>
        <v>0</v>
      </c>
      <c r="K426" s="70">
        <f>INDEX('PEER GROUP'!L:L,MATCH($A426,'PEER GROUP'!$A:$A,0))</f>
        <v>0</v>
      </c>
      <c r="L426" s="70">
        <f>INDEX('PEER GROUP'!M:M,MATCH($A426,'PEER GROUP'!$A:$A,0))</f>
        <v>0</v>
      </c>
      <c r="M426" s="86">
        <f>INDEX('PEER GROUP'!N:N,MATCH($A426,'PEER GROUP'!$A:$A,0))</f>
        <v>0</v>
      </c>
      <c r="N426" s="118"/>
      <c r="O426" s="115"/>
      <c r="P426" s="117"/>
      <c r="Q426" s="87"/>
      <c r="R426" s="87">
        <f t="shared" si="128"/>
        <v>0</v>
      </c>
      <c r="S426" s="87"/>
      <c r="T426" s="87"/>
      <c r="U426" s="87"/>
      <c r="V426" s="87">
        <f t="shared" si="129"/>
        <v>0</v>
      </c>
      <c r="W426" s="113">
        <f t="shared" si="126"/>
        <v>36.913096727263202</v>
      </c>
      <c r="X426" s="69">
        <f t="shared" si="130"/>
        <v>0</v>
      </c>
      <c r="Y426" s="70">
        <f t="shared" si="131"/>
        <v>0</v>
      </c>
      <c r="Z426" s="70">
        <f t="shared" si="132"/>
        <v>0</v>
      </c>
      <c r="AA426" s="70">
        <f t="shared" si="133"/>
        <v>0</v>
      </c>
      <c r="AB426" s="70">
        <f t="shared" si="134"/>
        <v>0</v>
      </c>
      <c r="AC426" s="70">
        <f t="shared" si="135"/>
        <v>0</v>
      </c>
      <c r="AD426" s="71">
        <f t="shared" si="136"/>
        <v>0</v>
      </c>
      <c r="AE426" s="49"/>
      <c r="AF426" s="21"/>
      <c r="AG426" s="69"/>
      <c r="AH426" s="70"/>
      <c r="AI426" s="70"/>
      <c r="AJ426" s="70"/>
      <c r="AK426" s="70"/>
      <c r="AL426" s="70"/>
      <c r="AM426" s="70"/>
      <c r="AN426" s="70" t="str">
        <f t="shared" si="137"/>
        <v>---</v>
      </c>
      <c r="AO426" s="70" t="str">
        <f t="shared" si="138"/>
        <v>---</v>
      </c>
      <c r="AP426" s="70" t="str">
        <f t="shared" si="139"/>
        <v>---</v>
      </c>
      <c r="AQ426" s="70" t="str">
        <f t="shared" si="140"/>
        <v>---</v>
      </c>
      <c r="AR426" s="70" t="str">
        <f t="shared" si="141"/>
        <v>---</v>
      </c>
      <c r="AS426" s="70" t="str">
        <f t="shared" si="142"/>
        <v>---</v>
      </c>
      <c r="AT426" s="71" t="str">
        <f t="shared" si="143"/>
        <v>---</v>
      </c>
    </row>
    <row r="427" spans="1:46" ht="30" customHeight="1" x14ac:dyDescent="0.3">
      <c r="A427" s="123">
        <f t="shared" si="127"/>
        <v>423</v>
      </c>
      <c r="B427" s="140">
        <f>INDEX('PEER GROUP'!B:B,MATCH($A427,'PEER GROUP'!$A:$A,0))</f>
        <v>0</v>
      </c>
      <c r="C427" s="83">
        <f>INDEX('PEER GROUP'!C:C,MATCH($A427,'PEER GROUP'!$A:$A,0))</f>
        <v>0</v>
      </c>
      <c r="D427" s="83">
        <f>INDEX('PEER GROUP'!D:D,MATCH($A427,'PEER GROUP'!$A:$A,0))</f>
        <v>0</v>
      </c>
      <c r="E427" s="83">
        <f>INDEX('PEER GROUP'!E:E,MATCH(A427,'PEER GROUP'!$A:$A,0))</f>
        <v>0</v>
      </c>
      <c r="F427" s="84">
        <f>INDEX('PEER GROUP'!F:F,MATCH($A427,'PEER GROUP'!$A:$A,0))</f>
        <v>0</v>
      </c>
      <c r="G427" s="84">
        <f>INDEX('PEER GROUP'!G:G,MATCH($A427,'PEER GROUP'!$A:$A,0))</f>
        <v>0</v>
      </c>
      <c r="H427" s="85"/>
      <c r="I427" s="85"/>
      <c r="J427" s="70">
        <f>INDEX('PEER GROUP'!K:K,MATCH($A427,'PEER GROUP'!$A:$A,0))</f>
        <v>0</v>
      </c>
      <c r="K427" s="70">
        <f>INDEX('PEER GROUP'!L:L,MATCH($A427,'PEER GROUP'!$A:$A,0))</f>
        <v>0</v>
      </c>
      <c r="L427" s="70">
        <f>INDEX('PEER GROUP'!M:M,MATCH($A427,'PEER GROUP'!$A:$A,0))</f>
        <v>0</v>
      </c>
      <c r="M427" s="86">
        <f>INDEX('PEER GROUP'!N:N,MATCH($A427,'PEER GROUP'!$A:$A,0))</f>
        <v>0</v>
      </c>
      <c r="N427" s="118"/>
      <c r="O427" s="115"/>
      <c r="P427" s="117"/>
      <c r="Q427" s="87"/>
      <c r="R427" s="87">
        <f t="shared" si="128"/>
        <v>0</v>
      </c>
      <c r="S427" s="87"/>
      <c r="T427" s="87"/>
      <c r="U427" s="87"/>
      <c r="V427" s="87">
        <f t="shared" si="129"/>
        <v>0</v>
      </c>
      <c r="W427" s="113">
        <f t="shared" si="126"/>
        <v>36.913096727263202</v>
      </c>
      <c r="X427" s="69">
        <f t="shared" si="130"/>
        <v>0</v>
      </c>
      <c r="Y427" s="70">
        <f t="shared" si="131"/>
        <v>0</v>
      </c>
      <c r="Z427" s="70">
        <f t="shared" si="132"/>
        <v>0</v>
      </c>
      <c r="AA427" s="70">
        <f t="shared" si="133"/>
        <v>0</v>
      </c>
      <c r="AB427" s="70">
        <f t="shared" si="134"/>
        <v>0</v>
      </c>
      <c r="AC427" s="70">
        <f t="shared" si="135"/>
        <v>0</v>
      </c>
      <c r="AD427" s="71">
        <f t="shared" si="136"/>
        <v>0</v>
      </c>
      <c r="AE427" s="49"/>
      <c r="AF427" s="21"/>
      <c r="AG427" s="69"/>
      <c r="AH427" s="70"/>
      <c r="AI427" s="70"/>
      <c r="AJ427" s="70"/>
      <c r="AK427" s="70"/>
      <c r="AL427" s="70"/>
      <c r="AM427" s="70"/>
      <c r="AN427" s="70" t="str">
        <f t="shared" si="137"/>
        <v>---</v>
      </c>
      <c r="AO427" s="70" t="str">
        <f t="shared" si="138"/>
        <v>---</v>
      </c>
      <c r="AP427" s="70" t="str">
        <f t="shared" si="139"/>
        <v>---</v>
      </c>
      <c r="AQ427" s="70" t="str">
        <f t="shared" si="140"/>
        <v>---</v>
      </c>
      <c r="AR427" s="70" t="str">
        <f t="shared" si="141"/>
        <v>---</v>
      </c>
      <c r="AS427" s="70" t="str">
        <f t="shared" si="142"/>
        <v>---</v>
      </c>
      <c r="AT427" s="71" t="str">
        <f t="shared" si="143"/>
        <v>---</v>
      </c>
    </row>
    <row r="428" spans="1:46" ht="30" customHeight="1" x14ac:dyDescent="0.3">
      <c r="A428" s="123">
        <f t="shared" si="127"/>
        <v>424</v>
      </c>
      <c r="B428" s="140">
        <f>INDEX('PEER GROUP'!B:B,MATCH($A428,'PEER GROUP'!$A:$A,0))</f>
        <v>0</v>
      </c>
      <c r="C428" s="83">
        <f>INDEX('PEER GROUP'!C:C,MATCH($A428,'PEER GROUP'!$A:$A,0))</f>
        <v>0</v>
      </c>
      <c r="D428" s="83">
        <f>INDEX('PEER GROUP'!D:D,MATCH($A428,'PEER GROUP'!$A:$A,0))</f>
        <v>0</v>
      </c>
      <c r="E428" s="83">
        <f>INDEX('PEER GROUP'!E:E,MATCH(A428,'PEER GROUP'!$A:$A,0))</f>
        <v>0</v>
      </c>
      <c r="F428" s="84">
        <f>INDEX('PEER GROUP'!F:F,MATCH($A428,'PEER GROUP'!$A:$A,0))</f>
        <v>0</v>
      </c>
      <c r="G428" s="84">
        <f>INDEX('PEER GROUP'!G:G,MATCH($A428,'PEER GROUP'!$A:$A,0))</f>
        <v>0</v>
      </c>
      <c r="H428" s="85"/>
      <c r="I428" s="85"/>
      <c r="J428" s="70">
        <f>INDEX('PEER GROUP'!K:K,MATCH($A428,'PEER GROUP'!$A:$A,0))</f>
        <v>0</v>
      </c>
      <c r="K428" s="70">
        <f>INDEX('PEER GROUP'!L:L,MATCH($A428,'PEER GROUP'!$A:$A,0))</f>
        <v>0</v>
      </c>
      <c r="L428" s="70">
        <f>INDEX('PEER GROUP'!M:M,MATCH($A428,'PEER GROUP'!$A:$A,0))</f>
        <v>0</v>
      </c>
      <c r="M428" s="86">
        <f>INDEX('PEER GROUP'!N:N,MATCH($A428,'PEER GROUP'!$A:$A,0))</f>
        <v>0</v>
      </c>
      <c r="N428" s="118"/>
      <c r="O428" s="115"/>
      <c r="P428" s="117"/>
      <c r="Q428" s="87"/>
      <c r="R428" s="87">
        <f t="shared" si="128"/>
        <v>0</v>
      </c>
      <c r="S428" s="87"/>
      <c r="T428" s="87"/>
      <c r="U428" s="87"/>
      <c r="V428" s="87">
        <f t="shared" si="129"/>
        <v>0</v>
      </c>
      <c r="W428" s="113">
        <f t="shared" si="126"/>
        <v>36.913096727263202</v>
      </c>
      <c r="X428" s="69">
        <f t="shared" si="130"/>
        <v>0</v>
      </c>
      <c r="Y428" s="70">
        <f t="shared" si="131"/>
        <v>0</v>
      </c>
      <c r="Z428" s="70">
        <f t="shared" si="132"/>
        <v>0</v>
      </c>
      <c r="AA428" s="70">
        <f t="shared" si="133"/>
        <v>0</v>
      </c>
      <c r="AB428" s="70">
        <f t="shared" si="134"/>
        <v>0</v>
      </c>
      <c r="AC428" s="70">
        <f t="shared" si="135"/>
        <v>0</v>
      </c>
      <c r="AD428" s="71">
        <f t="shared" si="136"/>
        <v>0</v>
      </c>
      <c r="AE428" s="49"/>
      <c r="AF428" s="21"/>
      <c r="AG428" s="69"/>
      <c r="AH428" s="70"/>
      <c r="AI428" s="70"/>
      <c r="AJ428" s="70"/>
      <c r="AK428" s="70"/>
      <c r="AL428" s="70"/>
      <c r="AM428" s="70"/>
      <c r="AN428" s="70" t="str">
        <f t="shared" si="137"/>
        <v>---</v>
      </c>
      <c r="AO428" s="70" t="str">
        <f t="shared" si="138"/>
        <v>---</v>
      </c>
      <c r="AP428" s="70" t="str">
        <f t="shared" si="139"/>
        <v>---</v>
      </c>
      <c r="AQ428" s="70" t="str">
        <f t="shared" si="140"/>
        <v>---</v>
      </c>
      <c r="AR428" s="70" t="str">
        <f t="shared" si="141"/>
        <v>---</v>
      </c>
      <c r="AS428" s="70" t="str">
        <f t="shared" si="142"/>
        <v>---</v>
      </c>
      <c r="AT428" s="71" t="str">
        <f t="shared" si="143"/>
        <v>---</v>
      </c>
    </row>
    <row r="429" spans="1:46" ht="30" customHeight="1" x14ac:dyDescent="0.3">
      <c r="A429" s="123">
        <f t="shared" si="127"/>
        <v>425</v>
      </c>
      <c r="B429" s="140">
        <f>INDEX('PEER GROUP'!B:B,MATCH($A429,'PEER GROUP'!$A:$A,0))</f>
        <v>0</v>
      </c>
      <c r="C429" s="83">
        <f>INDEX('PEER GROUP'!C:C,MATCH($A429,'PEER GROUP'!$A:$A,0))</f>
        <v>0</v>
      </c>
      <c r="D429" s="83">
        <f>INDEX('PEER GROUP'!D:D,MATCH($A429,'PEER GROUP'!$A:$A,0))</f>
        <v>0</v>
      </c>
      <c r="E429" s="83">
        <f>INDEX('PEER GROUP'!E:E,MATCH(A429,'PEER GROUP'!$A:$A,0))</f>
        <v>0</v>
      </c>
      <c r="F429" s="84">
        <f>INDEX('PEER GROUP'!F:F,MATCH($A429,'PEER GROUP'!$A:$A,0))</f>
        <v>0</v>
      </c>
      <c r="G429" s="84">
        <f>INDEX('PEER GROUP'!G:G,MATCH($A429,'PEER GROUP'!$A:$A,0))</f>
        <v>0</v>
      </c>
      <c r="H429" s="85"/>
      <c r="I429" s="85"/>
      <c r="J429" s="70">
        <f>INDEX('PEER GROUP'!K:K,MATCH($A429,'PEER GROUP'!$A:$A,0))</f>
        <v>0</v>
      </c>
      <c r="K429" s="70">
        <f>INDEX('PEER GROUP'!L:L,MATCH($A429,'PEER GROUP'!$A:$A,0))</f>
        <v>0</v>
      </c>
      <c r="L429" s="70">
        <f>INDEX('PEER GROUP'!M:M,MATCH($A429,'PEER GROUP'!$A:$A,0))</f>
        <v>0</v>
      </c>
      <c r="M429" s="86">
        <f>INDEX('PEER GROUP'!N:N,MATCH($A429,'PEER GROUP'!$A:$A,0))</f>
        <v>0</v>
      </c>
      <c r="N429" s="118"/>
      <c r="O429" s="115"/>
      <c r="P429" s="117"/>
      <c r="Q429" s="87"/>
      <c r="R429" s="87">
        <f t="shared" si="128"/>
        <v>0</v>
      </c>
      <c r="S429" s="87"/>
      <c r="T429" s="87"/>
      <c r="U429" s="87"/>
      <c r="V429" s="87">
        <f t="shared" si="129"/>
        <v>0</v>
      </c>
      <c r="W429" s="113">
        <f t="shared" si="126"/>
        <v>36.913096727263202</v>
      </c>
      <c r="X429" s="69">
        <f t="shared" si="130"/>
        <v>0</v>
      </c>
      <c r="Y429" s="70">
        <f t="shared" si="131"/>
        <v>0</v>
      </c>
      <c r="Z429" s="70">
        <f t="shared" si="132"/>
        <v>0</v>
      </c>
      <c r="AA429" s="70">
        <f t="shared" si="133"/>
        <v>0</v>
      </c>
      <c r="AB429" s="70">
        <f t="shared" si="134"/>
        <v>0</v>
      </c>
      <c r="AC429" s="70">
        <f t="shared" si="135"/>
        <v>0</v>
      </c>
      <c r="AD429" s="71">
        <f t="shared" si="136"/>
        <v>0</v>
      </c>
      <c r="AE429" s="49"/>
      <c r="AF429" s="21"/>
      <c r="AG429" s="69"/>
      <c r="AH429" s="70"/>
      <c r="AI429" s="70"/>
      <c r="AJ429" s="70"/>
      <c r="AK429" s="70"/>
      <c r="AL429" s="70"/>
      <c r="AM429" s="70"/>
      <c r="AN429" s="70" t="str">
        <f t="shared" si="137"/>
        <v>---</v>
      </c>
      <c r="AO429" s="70" t="str">
        <f t="shared" si="138"/>
        <v>---</v>
      </c>
      <c r="AP429" s="70" t="str">
        <f t="shared" si="139"/>
        <v>---</v>
      </c>
      <c r="AQ429" s="70" t="str">
        <f t="shared" si="140"/>
        <v>---</v>
      </c>
      <c r="AR429" s="70" t="str">
        <f t="shared" si="141"/>
        <v>---</v>
      </c>
      <c r="AS429" s="70" t="str">
        <f t="shared" si="142"/>
        <v>---</v>
      </c>
      <c r="AT429" s="71" t="str">
        <f t="shared" si="143"/>
        <v>---</v>
      </c>
    </row>
    <row r="430" spans="1:46" ht="30" customHeight="1" x14ac:dyDescent="0.3">
      <c r="A430" s="123">
        <f t="shared" si="127"/>
        <v>426</v>
      </c>
      <c r="B430" s="140">
        <f>INDEX('PEER GROUP'!B:B,MATCH($A430,'PEER GROUP'!$A:$A,0))</f>
        <v>0</v>
      </c>
      <c r="C430" s="83">
        <f>INDEX('PEER GROUP'!C:C,MATCH($A430,'PEER GROUP'!$A:$A,0))</f>
        <v>0</v>
      </c>
      <c r="D430" s="83">
        <f>INDEX('PEER GROUP'!D:D,MATCH($A430,'PEER GROUP'!$A:$A,0))</f>
        <v>0</v>
      </c>
      <c r="E430" s="83">
        <f>INDEX('PEER GROUP'!E:E,MATCH(A430,'PEER GROUP'!$A:$A,0))</f>
        <v>0</v>
      </c>
      <c r="F430" s="84">
        <f>INDEX('PEER GROUP'!F:F,MATCH($A430,'PEER GROUP'!$A:$A,0))</f>
        <v>0</v>
      </c>
      <c r="G430" s="84">
        <f>INDEX('PEER GROUP'!G:G,MATCH($A430,'PEER GROUP'!$A:$A,0))</f>
        <v>0</v>
      </c>
      <c r="H430" s="85"/>
      <c r="I430" s="85"/>
      <c r="J430" s="70">
        <f>INDEX('PEER GROUP'!K:K,MATCH($A430,'PEER GROUP'!$A:$A,0))</f>
        <v>0</v>
      </c>
      <c r="K430" s="70">
        <f>INDEX('PEER GROUP'!L:L,MATCH($A430,'PEER GROUP'!$A:$A,0))</f>
        <v>0</v>
      </c>
      <c r="L430" s="70">
        <f>INDEX('PEER GROUP'!M:M,MATCH($A430,'PEER GROUP'!$A:$A,0))</f>
        <v>0</v>
      </c>
      <c r="M430" s="86">
        <f>INDEX('PEER GROUP'!N:N,MATCH($A430,'PEER GROUP'!$A:$A,0))</f>
        <v>0</v>
      </c>
      <c r="N430" s="118"/>
      <c r="O430" s="115"/>
      <c r="P430" s="117"/>
      <c r="Q430" s="87"/>
      <c r="R430" s="87">
        <f t="shared" si="128"/>
        <v>0</v>
      </c>
      <c r="S430" s="87"/>
      <c r="T430" s="87"/>
      <c r="U430" s="87"/>
      <c r="V430" s="87">
        <f t="shared" si="129"/>
        <v>0</v>
      </c>
      <c r="W430" s="113">
        <f t="shared" si="126"/>
        <v>36.913096727263202</v>
      </c>
      <c r="X430" s="69">
        <f t="shared" si="130"/>
        <v>0</v>
      </c>
      <c r="Y430" s="70">
        <f t="shared" si="131"/>
        <v>0</v>
      </c>
      <c r="Z430" s="70">
        <f t="shared" si="132"/>
        <v>0</v>
      </c>
      <c r="AA430" s="70">
        <f t="shared" si="133"/>
        <v>0</v>
      </c>
      <c r="AB430" s="70">
        <f t="shared" si="134"/>
        <v>0</v>
      </c>
      <c r="AC430" s="70">
        <f t="shared" si="135"/>
        <v>0</v>
      </c>
      <c r="AD430" s="71">
        <f t="shared" si="136"/>
        <v>0</v>
      </c>
      <c r="AE430" s="49"/>
      <c r="AF430" s="21"/>
      <c r="AG430" s="69"/>
      <c r="AH430" s="70"/>
      <c r="AI430" s="70"/>
      <c r="AJ430" s="70"/>
      <c r="AK430" s="70"/>
      <c r="AL430" s="70"/>
      <c r="AM430" s="70"/>
      <c r="AN430" s="70" t="str">
        <f t="shared" si="137"/>
        <v>---</v>
      </c>
      <c r="AO430" s="70" t="str">
        <f t="shared" si="138"/>
        <v>---</v>
      </c>
      <c r="AP430" s="70" t="str">
        <f t="shared" si="139"/>
        <v>---</v>
      </c>
      <c r="AQ430" s="70" t="str">
        <f t="shared" si="140"/>
        <v>---</v>
      </c>
      <c r="AR430" s="70" t="str">
        <f t="shared" si="141"/>
        <v>---</v>
      </c>
      <c r="AS430" s="70" t="str">
        <f t="shared" si="142"/>
        <v>---</v>
      </c>
      <c r="AT430" s="71" t="str">
        <f t="shared" si="143"/>
        <v>---</v>
      </c>
    </row>
    <row r="431" spans="1:46" ht="30" customHeight="1" x14ac:dyDescent="0.3">
      <c r="A431" s="123">
        <f t="shared" si="127"/>
        <v>427</v>
      </c>
      <c r="B431" s="140">
        <f>INDEX('PEER GROUP'!B:B,MATCH($A431,'PEER GROUP'!$A:$A,0))</f>
        <v>0</v>
      </c>
      <c r="C431" s="83">
        <f>INDEX('PEER GROUP'!C:C,MATCH($A431,'PEER GROUP'!$A:$A,0))</f>
        <v>0</v>
      </c>
      <c r="D431" s="83">
        <f>INDEX('PEER GROUP'!D:D,MATCH($A431,'PEER GROUP'!$A:$A,0))</f>
        <v>0</v>
      </c>
      <c r="E431" s="83">
        <f>INDEX('PEER GROUP'!E:E,MATCH(A431,'PEER GROUP'!$A:$A,0))</f>
        <v>0</v>
      </c>
      <c r="F431" s="84">
        <f>INDEX('PEER GROUP'!F:F,MATCH($A431,'PEER GROUP'!$A:$A,0))</f>
        <v>0</v>
      </c>
      <c r="G431" s="84">
        <f>INDEX('PEER GROUP'!G:G,MATCH($A431,'PEER GROUP'!$A:$A,0))</f>
        <v>0</v>
      </c>
      <c r="H431" s="85"/>
      <c r="I431" s="85"/>
      <c r="J431" s="70">
        <f>INDEX('PEER GROUP'!K:K,MATCH($A431,'PEER GROUP'!$A:$A,0))</f>
        <v>0</v>
      </c>
      <c r="K431" s="70">
        <f>INDEX('PEER GROUP'!L:L,MATCH($A431,'PEER GROUP'!$A:$A,0))</f>
        <v>0</v>
      </c>
      <c r="L431" s="70">
        <f>INDEX('PEER GROUP'!M:M,MATCH($A431,'PEER GROUP'!$A:$A,0))</f>
        <v>0</v>
      </c>
      <c r="M431" s="86">
        <f>INDEX('PEER GROUP'!N:N,MATCH($A431,'PEER GROUP'!$A:$A,0))</f>
        <v>0</v>
      </c>
      <c r="N431" s="118"/>
      <c r="O431" s="115"/>
      <c r="P431" s="117"/>
      <c r="Q431" s="87"/>
      <c r="R431" s="87">
        <f t="shared" si="128"/>
        <v>0</v>
      </c>
      <c r="S431" s="87"/>
      <c r="T431" s="87"/>
      <c r="U431" s="87"/>
      <c r="V431" s="87">
        <f t="shared" si="129"/>
        <v>0</v>
      </c>
      <c r="W431" s="113">
        <f t="shared" si="126"/>
        <v>36.913096727263202</v>
      </c>
      <c r="X431" s="69">
        <f t="shared" si="130"/>
        <v>0</v>
      </c>
      <c r="Y431" s="70">
        <f t="shared" si="131"/>
        <v>0</v>
      </c>
      <c r="Z431" s="70">
        <f t="shared" si="132"/>
        <v>0</v>
      </c>
      <c r="AA431" s="70">
        <f t="shared" si="133"/>
        <v>0</v>
      </c>
      <c r="AB431" s="70">
        <f t="shared" si="134"/>
        <v>0</v>
      </c>
      <c r="AC431" s="70">
        <f t="shared" si="135"/>
        <v>0</v>
      </c>
      <c r="AD431" s="71">
        <f t="shared" si="136"/>
        <v>0</v>
      </c>
      <c r="AE431" s="49"/>
      <c r="AF431" s="21"/>
      <c r="AG431" s="69"/>
      <c r="AH431" s="70"/>
      <c r="AI431" s="70"/>
      <c r="AJ431" s="70"/>
      <c r="AK431" s="70"/>
      <c r="AL431" s="70"/>
      <c r="AM431" s="70"/>
      <c r="AN431" s="70" t="str">
        <f t="shared" si="137"/>
        <v>---</v>
      </c>
      <c r="AO431" s="70" t="str">
        <f t="shared" si="138"/>
        <v>---</v>
      </c>
      <c r="AP431" s="70" t="str">
        <f t="shared" si="139"/>
        <v>---</v>
      </c>
      <c r="AQ431" s="70" t="str">
        <f t="shared" si="140"/>
        <v>---</v>
      </c>
      <c r="AR431" s="70" t="str">
        <f t="shared" si="141"/>
        <v>---</v>
      </c>
      <c r="AS431" s="70" t="str">
        <f t="shared" si="142"/>
        <v>---</v>
      </c>
      <c r="AT431" s="71" t="str">
        <f t="shared" si="143"/>
        <v>---</v>
      </c>
    </row>
    <row r="432" spans="1:46" ht="30" customHeight="1" x14ac:dyDescent="0.3">
      <c r="A432" s="123">
        <f t="shared" si="127"/>
        <v>428</v>
      </c>
      <c r="B432" s="140">
        <f>INDEX('PEER GROUP'!B:B,MATCH($A432,'PEER GROUP'!$A:$A,0))</f>
        <v>0</v>
      </c>
      <c r="C432" s="83">
        <f>INDEX('PEER GROUP'!C:C,MATCH($A432,'PEER GROUP'!$A:$A,0))</f>
        <v>0</v>
      </c>
      <c r="D432" s="83">
        <f>INDEX('PEER GROUP'!D:D,MATCH($A432,'PEER GROUP'!$A:$A,0))</f>
        <v>0</v>
      </c>
      <c r="E432" s="83">
        <f>INDEX('PEER GROUP'!E:E,MATCH(A432,'PEER GROUP'!$A:$A,0))</f>
        <v>0</v>
      </c>
      <c r="F432" s="84">
        <f>INDEX('PEER GROUP'!F:F,MATCH($A432,'PEER GROUP'!$A:$A,0))</f>
        <v>0</v>
      </c>
      <c r="G432" s="84">
        <f>INDEX('PEER GROUP'!G:G,MATCH($A432,'PEER GROUP'!$A:$A,0))</f>
        <v>0</v>
      </c>
      <c r="H432" s="85"/>
      <c r="I432" s="85"/>
      <c r="J432" s="70">
        <f>INDEX('PEER GROUP'!K:K,MATCH($A432,'PEER GROUP'!$A:$A,0))</f>
        <v>0</v>
      </c>
      <c r="K432" s="70">
        <f>INDEX('PEER GROUP'!L:L,MATCH($A432,'PEER GROUP'!$A:$A,0))</f>
        <v>0</v>
      </c>
      <c r="L432" s="70">
        <f>INDEX('PEER GROUP'!M:M,MATCH($A432,'PEER GROUP'!$A:$A,0))</f>
        <v>0</v>
      </c>
      <c r="M432" s="86">
        <f>INDEX('PEER GROUP'!N:N,MATCH($A432,'PEER GROUP'!$A:$A,0))</f>
        <v>0</v>
      </c>
      <c r="N432" s="118"/>
      <c r="O432" s="115"/>
      <c r="P432" s="117"/>
      <c r="Q432" s="87"/>
      <c r="R432" s="87">
        <f t="shared" si="128"/>
        <v>0</v>
      </c>
      <c r="S432" s="87"/>
      <c r="T432" s="87"/>
      <c r="U432" s="87"/>
      <c r="V432" s="87">
        <f t="shared" si="129"/>
        <v>0</v>
      </c>
      <c r="W432" s="113">
        <f t="shared" si="126"/>
        <v>36.913096727263202</v>
      </c>
      <c r="X432" s="69">
        <f t="shared" si="130"/>
        <v>0</v>
      </c>
      <c r="Y432" s="70">
        <f t="shared" si="131"/>
        <v>0</v>
      </c>
      <c r="Z432" s="70">
        <f t="shared" si="132"/>
        <v>0</v>
      </c>
      <c r="AA432" s="70">
        <f t="shared" si="133"/>
        <v>0</v>
      </c>
      <c r="AB432" s="70">
        <f t="shared" si="134"/>
        <v>0</v>
      </c>
      <c r="AC432" s="70">
        <f t="shared" si="135"/>
        <v>0</v>
      </c>
      <c r="AD432" s="71">
        <f t="shared" si="136"/>
        <v>0</v>
      </c>
      <c r="AE432" s="49"/>
      <c r="AF432" s="21"/>
      <c r="AG432" s="69"/>
      <c r="AH432" s="70"/>
      <c r="AI432" s="70"/>
      <c r="AJ432" s="70"/>
      <c r="AK432" s="70"/>
      <c r="AL432" s="70"/>
      <c r="AM432" s="70"/>
      <c r="AN432" s="70" t="str">
        <f t="shared" si="137"/>
        <v>---</v>
      </c>
      <c r="AO432" s="70" t="str">
        <f t="shared" si="138"/>
        <v>---</v>
      </c>
      <c r="AP432" s="70" t="str">
        <f t="shared" si="139"/>
        <v>---</v>
      </c>
      <c r="AQ432" s="70" t="str">
        <f t="shared" si="140"/>
        <v>---</v>
      </c>
      <c r="AR432" s="70" t="str">
        <f t="shared" si="141"/>
        <v>---</v>
      </c>
      <c r="AS432" s="70" t="str">
        <f t="shared" si="142"/>
        <v>---</v>
      </c>
      <c r="AT432" s="71" t="str">
        <f t="shared" si="143"/>
        <v>---</v>
      </c>
    </row>
    <row r="433" spans="1:46" ht="30" customHeight="1" x14ac:dyDescent="0.3">
      <c r="A433" s="123">
        <f t="shared" si="127"/>
        <v>429</v>
      </c>
      <c r="B433" s="140">
        <f>INDEX('PEER GROUP'!B:B,MATCH($A433,'PEER GROUP'!$A:$A,0))</f>
        <v>0</v>
      </c>
      <c r="C433" s="83">
        <f>INDEX('PEER GROUP'!C:C,MATCH($A433,'PEER GROUP'!$A:$A,0))</f>
        <v>0</v>
      </c>
      <c r="D433" s="83">
        <f>INDEX('PEER GROUP'!D:D,MATCH($A433,'PEER GROUP'!$A:$A,0))</f>
        <v>0</v>
      </c>
      <c r="E433" s="83">
        <f>INDEX('PEER GROUP'!E:E,MATCH(A433,'PEER GROUP'!$A:$A,0))</f>
        <v>0</v>
      </c>
      <c r="F433" s="84">
        <f>INDEX('PEER GROUP'!F:F,MATCH($A433,'PEER GROUP'!$A:$A,0))</f>
        <v>0</v>
      </c>
      <c r="G433" s="84">
        <f>INDEX('PEER GROUP'!G:G,MATCH($A433,'PEER GROUP'!$A:$A,0))</f>
        <v>0</v>
      </c>
      <c r="H433" s="85"/>
      <c r="I433" s="85"/>
      <c r="J433" s="70">
        <f>INDEX('PEER GROUP'!K:K,MATCH($A433,'PEER GROUP'!$A:$A,0))</f>
        <v>0</v>
      </c>
      <c r="K433" s="70">
        <f>INDEX('PEER GROUP'!L:L,MATCH($A433,'PEER GROUP'!$A:$A,0))</f>
        <v>0</v>
      </c>
      <c r="L433" s="70">
        <f>INDEX('PEER GROUP'!M:M,MATCH($A433,'PEER GROUP'!$A:$A,0))</f>
        <v>0</v>
      </c>
      <c r="M433" s="86">
        <f>INDEX('PEER GROUP'!N:N,MATCH($A433,'PEER GROUP'!$A:$A,0))</f>
        <v>0</v>
      </c>
      <c r="N433" s="118"/>
      <c r="O433" s="115"/>
      <c r="P433" s="117"/>
      <c r="Q433" s="87"/>
      <c r="R433" s="87">
        <f t="shared" si="128"/>
        <v>0</v>
      </c>
      <c r="S433" s="87"/>
      <c r="T433" s="87"/>
      <c r="U433" s="87"/>
      <c r="V433" s="87">
        <f t="shared" si="129"/>
        <v>0</v>
      </c>
      <c r="W433" s="113">
        <f t="shared" si="126"/>
        <v>36.913096727263202</v>
      </c>
      <c r="X433" s="69">
        <f t="shared" si="130"/>
        <v>0</v>
      </c>
      <c r="Y433" s="70">
        <f t="shared" si="131"/>
        <v>0</v>
      </c>
      <c r="Z433" s="70">
        <f t="shared" si="132"/>
        <v>0</v>
      </c>
      <c r="AA433" s="70">
        <f t="shared" si="133"/>
        <v>0</v>
      </c>
      <c r="AB433" s="70">
        <f t="shared" si="134"/>
        <v>0</v>
      </c>
      <c r="AC433" s="70">
        <f t="shared" si="135"/>
        <v>0</v>
      </c>
      <c r="AD433" s="71">
        <f t="shared" si="136"/>
        <v>0</v>
      </c>
      <c r="AE433" s="49"/>
      <c r="AF433" s="21"/>
      <c r="AG433" s="69"/>
      <c r="AH433" s="70"/>
      <c r="AI433" s="70"/>
      <c r="AJ433" s="70"/>
      <c r="AK433" s="70"/>
      <c r="AL433" s="70"/>
      <c r="AM433" s="70"/>
      <c r="AN433" s="70" t="str">
        <f t="shared" si="137"/>
        <v>---</v>
      </c>
      <c r="AO433" s="70" t="str">
        <f t="shared" si="138"/>
        <v>---</v>
      </c>
      <c r="AP433" s="70" t="str">
        <f t="shared" si="139"/>
        <v>---</v>
      </c>
      <c r="AQ433" s="70" t="str">
        <f t="shared" si="140"/>
        <v>---</v>
      </c>
      <c r="AR433" s="70" t="str">
        <f t="shared" si="141"/>
        <v>---</v>
      </c>
      <c r="AS433" s="70" t="str">
        <f t="shared" si="142"/>
        <v>---</v>
      </c>
      <c r="AT433" s="71" t="str">
        <f t="shared" si="143"/>
        <v>---</v>
      </c>
    </row>
    <row r="434" spans="1:46" ht="30" customHeight="1" x14ac:dyDescent="0.3">
      <c r="A434" s="123">
        <f t="shared" si="127"/>
        <v>430</v>
      </c>
      <c r="B434" s="140">
        <f>INDEX('PEER GROUP'!B:B,MATCH($A434,'PEER GROUP'!$A:$A,0))</f>
        <v>0</v>
      </c>
      <c r="C434" s="83">
        <f>INDEX('PEER GROUP'!C:C,MATCH($A434,'PEER GROUP'!$A:$A,0))</f>
        <v>0</v>
      </c>
      <c r="D434" s="83">
        <f>INDEX('PEER GROUP'!D:D,MATCH($A434,'PEER GROUP'!$A:$A,0))</f>
        <v>0</v>
      </c>
      <c r="E434" s="83">
        <f>INDEX('PEER GROUP'!E:E,MATCH(A434,'PEER GROUP'!$A:$A,0))</f>
        <v>0</v>
      </c>
      <c r="F434" s="84">
        <f>INDEX('PEER GROUP'!F:F,MATCH($A434,'PEER GROUP'!$A:$A,0))</f>
        <v>0</v>
      </c>
      <c r="G434" s="84">
        <f>INDEX('PEER GROUP'!G:G,MATCH($A434,'PEER GROUP'!$A:$A,0))</f>
        <v>0</v>
      </c>
      <c r="H434" s="85"/>
      <c r="I434" s="85"/>
      <c r="J434" s="70">
        <f>INDEX('PEER GROUP'!K:K,MATCH($A434,'PEER GROUP'!$A:$A,0))</f>
        <v>0</v>
      </c>
      <c r="K434" s="70">
        <f>INDEX('PEER GROUP'!L:L,MATCH($A434,'PEER GROUP'!$A:$A,0))</f>
        <v>0</v>
      </c>
      <c r="L434" s="70">
        <f>INDEX('PEER GROUP'!M:M,MATCH($A434,'PEER GROUP'!$A:$A,0))</f>
        <v>0</v>
      </c>
      <c r="M434" s="86">
        <f>INDEX('PEER GROUP'!N:N,MATCH($A434,'PEER GROUP'!$A:$A,0))</f>
        <v>0</v>
      </c>
      <c r="N434" s="118"/>
      <c r="O434" s="115"/>
      <c r="P434" s="117"/>
      <c r="Q434" s="87"/>
      <c r="R434" s="87">
        <f t="shared" si="128"/>
        <v>0</v>
      </c>
      <c r="S434" s="87"/>
      <c r="T434" s="87"/>
      <c r="U434" s="87"/>
      <c r="V434" s="87">
        <f t="shared" si="129"/>
        <v>0</v>
      </c>
      <c r="W434" s="113">
        <f t="shared" si="126"/>
        <v>36.913096727263202</v>
      </c>
      <c r="X434" s="69">
        <f t="shared" si="130"/>
        <v>0</v>
      </c>
      <c r="Y434" s="70">
        <f t="shared" si="131"/>
        <v>0</v>
      </c>
      <c r="Z434" s="70">
        <f t="shared" si="132"/>
        <v>0</v>
      </c>
      <c r="AA434" s="70">
        <f t="shared" si="133"/>
        <v>0</v>
      </c>
      <c r="AB434" s="70">
        <f t="shared" si="134"/>
        <v>0</v>
      </c>
      <c r="AC434" s="70">
        <f t="shared" si="135"/>
        <v>0</v>
      </c>
      <c r="AD434" s="71">
        <f t="shared" si="136"/>
        <v>0</v>
      </c>
      <c r="AE434" s="49"/>
      <c r="AF434" s="21"/>
      <c r="AG434" s="69"/>
      <c r="AH434" s="70"/>
      <c r="AI434" s="70"/>
      <c r="AJ434" s="70"/>
      <c r="AK434" s="70"/>
      <c r="AL434" s="70"/>
      <c r="AM434" s="70"/>
      <c r="AN434" s="70" t="str">
        <f t="shared" si="137"/>
        <v>---</v>
      </c>
      <c r="AO434" s="70" t="str">
        <f t="shared" si="138"/>
        <v>---</v>
      </c>
      <c r="AP434" s="70" t="str">
        <f t="shared" si="139"/>
        <v>---</v>
      </c>
      <c r="AQ434" s="70" t="str">
        <f t="shared" si="140"/>
        <v>---</v>
      </c>
      <c r="AR434" s="70" t="str">
        <f t="shared" si="141"/>
        <v>---</v>
      </c>
      <c r="AS434" s="70" t="str">
        <f t="shared" si="142"/>
        <v>---</v>
      </c>
      <c r="AT434" s="71" t="str">
        <f t="shared" si="143"/>
        <v>---</v>
      </c>
    </row>
    <row r="435" spans="1:46" ht="30" customHeight="1" x14ac:dyDescent="0.3">
      <c r="A435" s="123">
        <f t="shared" si="127"/>
        <v>431</v>
      </c>
      <c r="B435" s="140">
        <f>INDEX('PEER GROUP'!B:B,MATCH($A435,'PEER GROUP'!$A:$A,0))</f>
        <v>0</v>
      </c>
      <c r="C435" s="83">
        <f>INDEX('PEER GROUP'!C:C,MATCH($A435,'PEER GROUP'!$A:$A,0))</f>
        <v>0</v>
      </c>
      <c r="D435" s="83">
        <f>INDEX('PEER GROUP'!D:D,MATCH($A435,'PEER GROUP'!$A:$A,0))</f>
        <v>0</v>
      </c>
      <c r="E435" s="83">
        <f>INDEX('PEER GROUP'!E:E,MATCH(A435,'PEER GROUP'!$A:$A,0))</f>
        <v>0</v>
      </c>
      <c r="F435" s="84">
        <f>INDEX('PEER GROUP'!F:F,MATCH($A435,'PEER GROUP'!$A:$A,0))</f>
        <v>0</v>
      </c>
      <c r="G435" s="84">
        <f>INDEX('PEER GROUP'!G:G,MATCH($A435,'PEER GROUP'!$A:$A,0))</f>
        <v>0</v>
      </c>
      <c r="H435" s="85"/>
      <c r="I435" s="85"/>
      <c r="J435" s="70">
        <f>INDEX('PEER GROUP'!K:K,MATCH($A435,'PEER GROUP'!$A:$A,0))</f>
        <v>0</v>
      </c>
      <c r="K435" s="70">
        <f>INDEX('PEER GROUP'!L:L,MATCH($A435,'PEER GROUP'!$A:$A,0))</f>
        <v>0</v>
      </c>
      <c r="L435" s="70">
        <f>INDEX('PEER GROUP'!M:M,MATCH($A435,'PEER GROUP'!$A:$A,0))</f>
        <v>0</v>
      </c>
      <c r="M435" s="86">
        <f>INDEX('PEER GROUP'!N:N,MATCH($A435,'PEER GROUP'!$A:$A,0))</f>
        <v>0</v>
      </c>
      <c r="N435" s="118"/>
      <c r="O435" s="115"/>
      <c r="P435" s="117"/>
      <c r="Q435" s="87"/>
      <c r="R435" s="87">
        <f t="shared" si="128"/>
        <v>0</v>
      </c>
      <c r="S435" s="87"/>
      <c r="T435" s="87"/>
      <c r="U435" s="87"/>
      <c r="V435" s="87">
        <f t="shared" si="129"/>
        <v>0</v>
      </c>
      <c r="W435" s="113">
        <f t="shared" si="126"/>
        <v>36.913096727263202</v>
      </c>
      <c r="X435" s="69">
        <f t="shared" si="130"/>
        <v>0</v>
      </c>
      <c r="Y435" s="70">
        <f t="shared" si="131"/>
        <v>0</v>
      </c>
      <c r="Z435" s="70">
        <f t="shared" si="132"/>
        <v>0</v>
      </c>
      <c r="AA435" s="70">
        <f t="shared" si="133"/>
        <v>0</v>
      </c>
      <c r="AB435" s="70">
        <f t="shared" si="134"/>
        <v>0</v>
      </c>
      <c r="AC435" s="70">
        <f t="shared" si="135"/>
        <v>0</v>
      </c>
      <c r="AD435" s="71">
        <f t="shared" si="136"/>
        <v>0</v>
      </c>
      <c r="AE435" s="49"/>
      <c r="AF435" s="21"/>
      <c r="AG435" s="69"/>
      <c r="AH435" s="70"/>
      <c r="AI435" s="70"/>
      <c r="AJ435" s="70"/>
      <c r="AK435" s="70"/>
      <c r="AL435" s="70"/>
      <c r="AM435" s="70"/>
      <c r="AN435" s="70" t="str">
        <f t="shared" si="137"/>
        <v>---</v>
      </c>
      <c r="AO435" s="70" t="str">
        <f t="shared" si="138"/>
        <v>---</v>
      </c>
      <c r="AP435" s="70" t="str">
        <f t="shared" si="139"/>
        <v>---</v>
      </c>
      <c r="AQ435" s="70" t="str">
        <f t="shared" si="140"/>
        <v>---</v>
      </c>
      <c r="AR435" s="70" t="str">
        <f t="shared" si="141"/>
        <v>---</v>
      </c>
      <c r="AS435" s="70" t="str">
        <f t="shared" si="142"/>
        <v>---</v>
      </c>
      <c r="AT435" s="71" t="str">
        <f t="shared" si="143"/>
        <v>---</v>
      </c>
    </row>
    <row r="436" spans="1:46" ht="30" customHeight="1" x14ac:dyDescent="0.3">
      <c r="A436" s="123">
        <f t="shared" si="127"/>
        <v>432</v>
      </c>
      <c r="B436" s="140">
        <f>INDEX('PEER GROUP'!B:B,MATCH($A436,'PEER GROUP'!$A:$A,0))</f>
        <v>0</v>
      </c>
      <c r="C436" s="83">
        <f>INDEX('PEER GROUP'!C:C,MATCH($A436,'PEER GROUP'!$A:$A,0))</f>
        <v>0</v>
      </c>
      <c r="D436" s="83">
        <f>INDEX('PEER GROUP'!D:D,MATCH($A436,'PEER GROUP'!$A:$A,0))</f>
        <v>0</v>
      </c>
      <c r="E436" s="83">
        <f>INDEX('PEER GROUP'!E:E,MATCH(A436,'PEER GROUP'!$A:$A,0))</f>
        <v>0</v>
      </c>
      <c r="F436" s="84">
        <f>INDEX('PEER GROUP'!F:F,MATCH($A436,'PEER GROUP'!$A:$A,0))</f>
        <v>0</v>
      </c>
      <c r="G436" s="84">
        <f>INDEX('PEER GROUP'!G:G,MATCH($A436,'PEER GROUP'!$A:$A,0))</f>
        <v>0</v>
      </c>
      <c r="H436" s="85"/>
      <c r="I436" s="85"/>
      <c r="J436" s="70">
        <f>INDEX('PEER GROUP'!K:K,MATCH($A436,'PEER GROUP'!$A:$A,0))</f>
        <v>0</v>
      </c>
      <c r="K436" s="70">
        <f>INDEX('PEER GROUP'!L:L,MATCH($A436,'PEER GROUP'!$A:$A,0))</f>
        <v>0</v>
      </c>
      <c r="L436" s="70">
        <f>INDEX('PEER GROUP'!M:M,MATCH($A436,'PEER GROUP'!$A:$A,0))</f>
        <v>0</v>
      </c>
      <c r="M436" s="86">
        <f>INDEX('PEER GROUP'!N:N,MATCH($A436,'PEER GROUP'!$A:$A,0))</f>
        <v>0</v>
      </c>
      <c r="N436" s="118"/>
      <c r="O436" s="115"/>
      <c r="P436" s="117"/>
      <c r="Q436" s="87"/>
      <c r="R436" s="87">
        <f t="shared" si="128"/>
        <v>0</v>
      </c>
      <c r="S436" s="87"/>
      <c r="T436" s="87"/>
      <c r="U436" s="87"/>
      <c r="V436" s="87">
        <f t="shared" si="129"/>
        <v>0</v>
      </c>
      <c r="W436" s="113">
        <f t="shared" si="126"/>
        <v>36.913096727263202</v>
      </c>
      <c r="X436" s="69">
        <f t="shared" si="130"/>
        <v>0</v>
      </c>
      <c r="Y436" s="70">
        <f t="shared" si="131"/>
        <v>0</v>
      </c>
      <c r="Z436" s="70">
        <f t="shared" si="132"/>
        <v>0</v>
      </c>
      <c r="AA436" s="70">
        <f t="shared" si="133"/>
        <v>0</v>
      </c>
      <c r="AB436" s="70">
        <f t="shared" si="134"/>
        <v>0</v>
      </c>
      <c r="AC436" s="70">
        <f t="shared" si="135"/>
        <v>0</v>
      </c>
      <c r="AD436" s="71">
        <f t="shared" si="136"/>
        <v>0</v>
      </c>
      <c r="AE436" s="49"/>
      <c r="AF436" s="21"/>
      <c r="AG436" s="69"/>
      <c r="AH436" s="70"/>
      <c r="AI436" s="70"/>
      <c r="AJ436" s="70"/>
      <c r="AK436" s="70"/>
      <c r="AL436" s="70"/>
      <c r="AM436" s="70"/>
      <c r="AN436" s="70" t="str">
        <f t="shared" si="137"/>
        <v>---</v>
      </c>
      <c r="AO436" s="70" t="str">
        <f t="shared" si="138"/>
        <v>---</v>
      </c>
      <c r="AP436" s="70" t="str">
        <f t="shared" si="139"/>
        <v>---</v>
      </c>
      <c r="AQ436" s="70" t="str">
        <f t="shared" si="140"/>
        <v>---</v>
      </c>
      <c r="AR436" s="70" t="str">
        <f t="shared" si="141"/>
        <v>---</v>
      </c>
      <c r="AS436" s="70" t="str">
        <f t="shared" si="142"/>
        <v>---</v>
      </c>
      <c r="AT436" s="71" t="str">
        <f t="shared" si="143"/>
        <v>---</v>
      </c>
    </row>
    <row r="437" spans="1:46" ht="30" customHeight="1" x14ac:dyDescent="0.3">
      <c r="A437" s="123">
        <f t="shared" si="127"/>
        <v>433</v>
      </c>
      <c r="B437" s="140">
        <f>INDEX('PEER GROUP'!B:B,MATCH($A437,'PEER GROUP'!$A:$A,0))</f>
        <v>0</v>
      </c>
      <c r="C437" s="83">
        <f>INDEX('PEER GROUP'!C:C,MATCH($A437,'PEER GROUP'!$A:$A,0))</f>
        <v>0</v>
      </c>
      <c r="D437" s="83">
        <f>INDEX('PEER GROUP'!D:D,MATCH($A437,'PEER GROUP'!$A:$A,0))</f>
        <v>0</v>
      </c>
      <c r="E437" s="83">
        <f>INDEX('PEER GROUP'!E:E,MATCH(A437,'PEER GROUP'!$A:$A,0))</f>
        <v>0</v>
      </c>
      <c r="F437" s="84">
        <f>INDEX('PEER GROUP'!F:F,MATCH($A437,'PEER GROUP'!$A:$A,0))</f>
        <v>0</v>
      </c>
      <c r="G437" s="84">
        <f>INDEX('PEER GROUP'!G:G,MATCH($A437,'PEER GROUP'!$A:$A,0))</f>
        <v>0</v>
      </c>
      <c r="H437" s="85"/>
      <c r="I437" s="85"/>
      <c r="J437" s="70">
        <f>INDEX('PEER GROUP'!K:K,MATCH($A437,'PEER GROUP'!$A:$A,0))</f>
        <v>0</v>
      </c>
      <c r="K437" s="70">
        <f>INDEX('PEER GROUP'!L:L,MATCH($A437,'PEER GROUP'!$A:$A,0))</f>
        <v>0</v>
      </c>
      <c r="L437" s="70">
        <f>INDEX('PEER GROUP'!M:M,MATCH($A437,'PEER GROUP'!$A:$A,0))</f>
        <v>0</v>
      </c>
      <c r="M437" s="86">
        <f>INDEX('PEER GROUP'!N:N,MATCH($A437,'PEER GROUP'!$A:$A,0))</f>
        <v>0</v>
      </c>
      <c r="N437" s="118"/>
      <c r="O437" s="115"/>
      <c r="P437" s="117"/>
      <c r="Q437" s="87"/>
      <c r="R437" s="87">
        <f t="shared" si="128"/>
        <v>0</v>
      </c>
      <c r="S437" s="87"/>
      <c r="T437" s="87"/>
      <c r="U437" s="87"/>
      <c r="V437" s="87">
        <f t="shared" si="129"/>
        <v>0</v>
      </c>
      <c r="W437" s="113">
        <f t="shared" si="126"/>
        <v>36.913096727263202</v>
      </c>
      <c r="X437" s="69">
        <f t="shared" si="130"/>
        <v>0</v>
      </c>
      <c r="Y437" s="70">
        <f t="shared" si="131"/>
        <v>0</v>
      </c>
      <c r="Z437" s="70">
        <f t="shared" si="132"/>
        <v>0</v>
      </c>
      <c r="AA437" s="70">
        <f t="shared" si="133"/>
        <v>0</v>
      </c>
      <c r="AB437" s="70">
        <f t="shared" si="134"/>
        <v>0</v>
      </c>
      <c r="AC437" s="70">
        <f t="shared" si="135"/>
        <v>0</v>
      </c>
      <c r="AD437" s="71">
        <f t="shared" si="136"/>
        <v>0</v>
      </c>
      <c r="AE437" s="49"/>
      <c r="AF437" s="21"/>
      <c r="AG437" s="69"/>
      <c r="AH437" s="70"/>
      <c r="AI437" s="70"/>
      <c r="AJ437" s="70"/>
      <c r="AK437" s="70"/>
      <c r="AL437" s="70"/>
      <c r="AM437" s="70"/>
      <c r="AN437" s="70" t="str">
        <f t="shared" si="137"/>
        <v>---</v>
      </c>
      <c r="AO437" s="70" t="str">
        <f t="shared" si="138"/>
        <v>---</v>
      </c>
      <c r="AP437" s="70" t="str">
        <f t="shared" si="139"/>
        <v>---</v>
      </c>
      <c r="AQ437" s="70" t="str">
        <f t="shared" si="140"/>
        <v>---</v>
      </c>
      <c r="AR437" s="70" t="str">
        <f t="shared" si="141"/>
        <v>---</v>
      </c>
      <c r="AS437" s="70" t="str">
        <f t="shared" si="142"/>
        <v>---</v>
      </c>
      <c r="AT437" s="71" t="str">
        <f t="shared" si="143"/>
        <v>---</v>
      </c>
    </row>
    <row r="438" spans="1:46" ht="30" customHeight="1" x14ac:dyDescent="0.3">
      <c r="A438" s="123">
        <f t="shared" si="127"/>
        <v>434</v>
      </c>
      <c r="B438" s="140">
        <f>INDEX('PEER GROUP'!B:B,MATCH($A438,'PEER GROUP'!$A:$A,0))</f>
        <v>0</v>
      </c>
      <c r="C438" s="83">
        <f>INDEX('PEER GROUP'!C:C,MATCH($A438,'PEER GROUP'!$A:$A,0))</f>
        <v>0</v>
      </c>
      <c r="D438" s="83">
        <f>INDEX('PEER GROUP'!D:D,MATCH($A438,'PEER GROUP'!$A:$A,0))</f>
        <v>0</v>
      </c>
      <c r="E438" s="83">
        <f>INDEX('PEER GROUP'!E:E,MATCH(A438,'PEER GROUP'!$A:$A,0))</f>
        <v>0</v>
      </c>
      <c r="F438" s="84">
        <f>INDEX('PEER GROUP'!F:F,MATCH($A438,'PEER GROUP'!$A:$A,0))</f>
        <v>0</v>
      </c>
      <c r="G438" s="84">
        <f>INDEX('PEER GROUP'!G:G,MATCH($A438,'PEER GROUP'!$A:$A,0))</f>
        <v>0</v>
      </c>
      <c r="H438" s="85"/>
      <c r="I438" s="85"/>
      <c r="J438" s="70">
        <f>INDEX('PEER GROUP'!K:K,MATCH($A438,'PEER GROUP'!$A:$A,0))</f>
        <v>0</v>
      </c>
      <c r="K438" s="70">
        <f>INDEX('PEER GROUP'!L:L,MATCH($A438,'PEER GROUP'!$A:$A,0))</f>
        <v>0</v>
      </c>
      <c r="L438" s="70">
        <f>INDEX('PEER GROUP'!M:M,MATCH($A438,'PEER GROUP'!$A:$A,0))</f>
        <v>0</v>
      </c>
      <c r="M438" s="86">
        <f>INDEX('PEER GROUP'!N:N,MATCH($A438,'PEER GROUP'!$A:$A,0))</f>
        <v>0</v>
      </c>
      <c r="N438" s="118"/>
      <c r="O438" s="115"/>
      <c r="P438" s="117"/>
      <c r="Q438" s="87"/>
      <c r="R438" s="87">
        <f t="shared" si="128"/>
        <v>0</v>
      </c>
      <c r="S438" s="87"/>
      <c r="T438" s="87"/>
      <c r="U438" s="87"/>
      <c r="V438" s="87">
        <f t="shared" si="129"/>
        <v>0</v>
      </c>
      <c r="W438" s="113">
        <f t="shared" si="126"/>
        <v>36.913096727263202</v>
      </c>
      <c r="X438" s="69">
        <f t="shared" si="130"/>
        <v>0</v>
      </c>
      <c r="Y438" s="70">
        <f t="shared" si="131"/>
        <v>0</v>
      </c>
      <c r="Z438" s="70">
        <f t="shared" si="132"/>
        <v>0</v>
      </c>
      <c r="AA438" s="70">
        <f t="shared" si="133"/>
        <v>0</v>
      </c>
      <c r="AB438" s="70">
        <f t="shared" si="134"/>
        <v>0</v>
      </c>
      <c r="AC438" s="70">
        <f t="shared" si="135"/>
        <v>0</v>
      </c>
      <c r="AD438" s="71">
        <f t="shared" si="136"/>
        <v>0</v>
      </c>
      <c r="AE438" s="49"/>
      <c r="AF438" s="21"/>
      <c r="AG438" s="69"/>
      <c r="AH438" s="70"/>
      <c r="AI438" s="70"/>
      <c r="AJ438" s="70"/>
      <c r="AK438" s="70"/>
      <c r="AL438" s="70"/>
      <c r="AM438" s="70"/>
      <c r="AN438" s="70" t="str">
        <f t="shared" si="137"/>
        <v>---</v>
      </c>
      <c r="AO438" s="70" t="str">
        <f t="shared" si="138"/>
        <v>---</v>
      </c>
      <c r="AP438" s="70" t="str">
        <f t="shared" si="139"/>
        <v>---</v>
      </c>
      <c r="AQ438" s="70" t="str">
        <f t="shared" si="140"/>
        <v>---</v>
      </c>
      <c r="AR438" s="70" t="str">
        <f t="shared" si="141"/>
        <v>---</v>
      </c>
      <c r="AS438" s="70" t="str">
        <f t="shared" si="142"/>
        <v>---</v>
      </c>
      <c r="AT438" s="71" t="str">
        <f t="shared" si="143"/>
        <v>---</v>
      </c>
    </row>
    <row r="439" spans="1:46" ht="30" customHeight="1" x14ac:dyDescent="0.3">
      <c r="A439" s="123">
        <f t="shared" si="127"/>
        <v>435</v>
      </c>
      <c r="B439" s="140">
        <f>INDEX('PEER GROUP'!B:B,MATCH($A439,'PEER GROUP'!$A:$A,0))</f>
        <v>0</v>
      </c>
      <c r="C439" s="83">
        <f>INDEX('PEER GROUP'!C:C,MATCH($A439,'PEER GROUP'!$A:$A,0))</f>
        <v>0</v>
      </c>
      <c r="D439" s="83">
        <f>INDEX('PEER GROUP'!D:D,MATCH($A439,'PEER GROUP'!$A:$A,0))</f>
        <v>0</v>
      </c>
      <c r="E439" s="83">
        <f>INDEX('PEER GROUP'!E:E,MATCH(A439,'PEER GROUP'!$A:$A,0))</f>
        <v>0</v>
      </c>
      <c r="F439" s="84">
        <f>INDEX('PEER GROUP'!F:F,MATCH($A439,'PEER GROUP'!$A:$A,0))</f>
        <v>0</v>
      </c>
      <c r="G439" s="84">
        <f>INDEX('PEER GROUP'!G:G,MATCH($A439,'PEER GROUP'!$A:$A,0))</f>
        <v>0</v>
      </c>
      <c r="H439" s="85"/>
      <c r="I439" s="85"/>
      <c r="J439" s="70">
        <f>INDEX('PEER GROUP'!K:K,MATCH($A439,'PEER GROUP'!$A:$A,0))</f>
        <v>0</v>
      </c>
      <c r="K439" s="70">
        <f>INDEX('PEER GROUP'!L:L,MATCH($A439,'PEER GROUP'!$A:$A,0))</f>
        <v>0</v>
      </c>
      <c r="L439" s="70">
        <f>INDEX('PEER GROUP'!M:M,MATCH($A439,'PEER GROUP'!$A:$A,0))</f>
        <v>0</v>
      </c>
      <c r="M439" s="86">
        <f>INDEX('PEER GROUP'!N:N,MATCH($A439,'PEER GROUP'!$A:$A,0))</f>
        <v>0</v>
      </c>
      <c r="N439" s="118"/>
      <c r="O439" s="115"/>
      <c r="P439" s="117"/>
      <c r="Q439" s="87"/>
      <c r="R439" s="87">
        <f t="shared" si="128"/>
        <v>0</v>
      </c>
      <c r="S439" s="87"/>
      <c r="T439" s="87"/>
      <c r="U439" s="87"/>
      <c r="V439" s="87">
        <f t="shared" si="129"/>
        <v>0</v>
      </c>
      <c r="W439" s="113">
        <f t="shared" si="126"/>
        <v>36.913096727263202</v>
      </c>
      <c r="X439" s="69">
        <f t="shared" si="130"/>
        <v>0</v>
      </c>
      <c r="Y439" s="70">
        <f t="shared" si="131"/>
        <v>0</v>
      </c>
      <c r="Z439" s="70">
        <f t="shared" si="132"/>
        <v>0</v>
      </c>
      <c r="AA439" s="70">
        <f t="shared" si="133"/>
        <v>0</v>
      </c>
      <c r="AB439" s="70">
        <f t="shared" si="134"/>
        <v>0</v>
      </c>
      <c r="AC439" s="70">
        <f t="shared" si="135"/>
        <v>0</v>
      </c>
      <c r="AD439" s="71">
        <f t="shared" si="136"/>
        <v>0</v>
      </c>
      <c r="AE439" s="49"/>
      <c r="AF439" s="21"/>
      <c r="AG439" s="69"/>
      <c r="AH439" s="70"/>
      <c r="AI439" s="70"/>
      <c r="AJ439" s="70"/>
      <c r="AK439" s="70"/>
      <c r="AL439" s="70"/>
      <c r="AM439" s="70"/>
      <c r="AN439" s="70" t="str">
        <f t="shared" si="137"/>
        <v>---</v>
      </c>
      <c r="AO439" s="70" t="str">
        <f t="shared" si="138"/>
        <v>---</v>
      </c>
      <c r="AP439" s="70" t="str">
        <f t="shared" si="139"/>
        <v>---</v>
      </c>
      <c r="AQ439" s="70" t="str">
        <f t="shared" si="140"/>
        <v>---</v>
      </c>
      <c r="AR439" s="70" t="str">
        <f t="shared" si="141"/>
        <v>---</v>
      </c>
      <c r="AS439" s="70" t="str">
        <f t="shared" si="142"/>
        <v>---</v>
      </c>
      <c r="AT439" s="71" t="str">
        <f t="shared" si="143"/>
        <v>---</v>
      </c>
    </row>
    <row r="440" spans="1:46" ht="30" customHeight="1" x14ac:dyDescent="0.3">
      <c r="A440" s="123">
        <f t="shared" si="127"/>
        <v>436</v>
      </c>
      <c r="B440" s="140">
        <f>INDEX('PEER GROUP'!B:B,MATCH($A440,'PEER GROUP'!$A:$A,0))</f>
        <v>0</v>
      </c>
      <c r="C440" s="83">
        <f>INDEX('PEER GROUP'!C:C,MATCH($A440,'PEER GROUP'!$A:$A,0))</f>
        <v>0</v>
      </c>
      <c r="D440" s="83">
        <f>INDEX('PEER GROUP'!D:D,MATCH($A440,'PEER GROUP'!$A:$A,0))</f>
        <v>0</v>
      </c>
      <c r="E440" s="83">
        <f>INDEX('PEER GROUP'!E:E,MATCH(A440,'PEER GROUP'!$A:$A,0))</f>
        <v>0</v>
      </c>
      <c r="F440" s="84">
        <f>INDEX('PEER GROUP'!F:F,MATCH($A440,'PEER GROUP'!$A:$A,0))</f>
        <v>0</v>
      </c>
      <c r="G440" s="84">
        <f>INDEX('PEER GROUP'!G:G,MATCH($A440,'PEER GROUP'!$A:$A,0))</f>
        <v>0</v>
      </c>
      <c r="H440" s="85"/>
      <c r="I440" s="85"/>
      <c r="J440" s="70">
        <f>INDEX('PEER GROUP'!K:K,MATCH($A440,'PEER GROUP'!$A:$A,0))</f>
        <v>0</v>
      </c>
      <c r="K440" s="70">
        <f>INDEX('PEER GROUP'!L:L,MATCH($A440,'PEER GROUP'!$A:$A,0))</f>
        <v>0</v>
      </c>
      <c r="L440" s="70">
        <f>INDEX('PEER GROUP'!M:M,MATCH($A440,'PEER GROUP'!$A:$A,0))</f>
        <v>0</v>
      </c>
      <c r="M440" s="86">
        <f>INDEX('PEER GROUP'!N:N,MATCH($A440,'PEER GROUP'!$A:$A,0))</f>
        <v>0</v>
      </c>
      <c r="N440" s="118"/>
      <c r="O440" s="115"/>
      <c r="P440" s="117"/>
      <c r="Q440" s="87"/>
      <c r="R440" s="87">
        <f t="shared" si="128"/>
        <v>0</v>
      </c>
      <c r="S440" s="87"/>
      <c r="T440" s="87"/>
      <c r="U440" s="87"/>
      <c r="V440" s="87">
        <f t="shared" si="129"/>
        <v>0</v>
      </c>
      <c r="W440" s="113">
        <f t="shared" si="126"/>
        <v>36.913096727263202</v>
      </c>
      <c r="X440" s="69">
        <f t="shared" si="130"/>
        <v>0</v>
      </c>
      <c r="Y440" s="70">
        <f t="shared" si="131"/>
        <v>0</v>
      </c>
      <c r="Z440" s="70">
        <f t="shared" si="132"/>
        <v>0</v>
      </c>
      <c r="AA440" s="70">
        <f t="shared" si="133"/>
        <v>0</v>
      </c>
      <c r="AB440" s="70">
        <f t="shared" si="134"/>
        <v>0</v>
      </c>
      <c r="AC440" s="70">
        <f t="shared" si="135"/>
        <v>0</v>
      </c>
      <c r="AD440" s="71">
        <f t="shared" si="136"/>
        <v>0</v>
      </c>
      <c r="AE440" s="49"/>
      <c r="AF440" s="21"/>
      <c r="AG440" s="69"/>
      <c r="AH440" s="70"/>
      <c r="AI440" s="70"/>
      <c r="AJ440" s="70"/>
      <c r="AK440" s="70"/>
      <c r="AL440" s="70"/>
      <c r="AM440" s="70"/>
      <c r="AN440" s="70" t="str">
        <f t="shared" si="137"/>
        <v>---</v>
      </c>
      <c r="AO440" s="70" t="str">
        <f t="shared" si="138"/>
        <v>---</v>
      </c>
      <c r="AP440" s="70" t="str">
        <f t="shared" si="139"/>
        <v>---</v>
      </c>
      <c r="AQ440" s="70" t="str">
        <f t="shared" si="140"/>
        <v>---</v>
      </c>
      <c r="AR440" s="70" t="str">
        <f t="shared" si="141"/>
        <v>---</v>
      </c>
      <c r="AS440" s="70" t="str">
        <f t="shared" si="142"/>
        <v>---</v>
      </c>
      <c r="AT440" s="71" t="str">
        <f t="shared" si="143"/>
        <v>---</v>
      </c>
    </row>
    <row r="441" spans="1:46" ht="30" customHeight="1" x14ac:dyDescent="0.3">
      <c r="A441" s="123">
        <f t="shared" si="127"/>
        <v>437</v>
      </c>
      <c r="B441" s="140">
        <f>INDEX('PEER GROUP'!B:B,MATCH($A441,'PEER GROUP'!$A:$A,0))</f>
        <v>0</v>
      </c>
      <c r="C441" s="83">
        <f>INDEX('PEER GROUP'!C:C,MATCH($A441,'PEER GROUP'!$A:$A,0))</f>
        <v>0</v>
      </c>
      <c r="D441" s="83">
        <f>INDEX('PEER GROUP'!D:D,MATCH($A441,'PEER GROUP'!$A:$A,0))</f>
        <v>0</v>
      </c>
      <c r="E441" s="83">
        <f>INDEX('PEER GROUP'!E:E,MATCH(A441,'PEER GROUP'!$A:$A,0))</f>
        <v>0</v>
      </c>
      <c r="F441" s="84">
        <f>INDEX('PEER GROUP'!F:F,MATCH($A441,'PEER GROUP'!$A:$A,0))</f>
        <v>0</v>
      </c>
      <c r="G441" s="84">
        <f>INDEX('PEER GROUP'!G:G,MATCH($A441,'PEER GROUP'!$A:$A,0))</f>
        <v>0</v>
      </c>
      <c r="H441" s="85"/>
      <c r="I441" s="85"/>
      <c r="J441" s="70">
        <f>INDEX('PEER GROUP'!K:K,MATCH($A441,'PEER GROUP'!$A:$A,0))</f>
        <v>0</v>
      </c>
      <c r="K441" s="70">
        <f>INDEX('PEER GROUP'!L:L,MATCH($A441,'PEER GROUP'!$A:$A,0))</f>
        <v>0</v>
      </c>
      <c r="L441" s="70">
        <f>INDEX('PEER GROUP'!M:M,MATCH($A441,'PEER GROUP'!$A:$A,0))</f>
        <v>0</v>
      </c>
      <c r="M441" s="86">
        <f>INDEX('PEER GROUP'!N:N,MATCH($A441,'PEER GROUP'!$A:$A,0))</f>
        <v>0</v>
      </c>
      <c r="N441" s="118"/>
      <c r="O441" s="115"/>
      <c r="P441" s="117"/>
      <c r="Q441" s="87"/>
      <c r="R441" s="87">
        <f t="shared" si="128"/>
        <v>0</v>
      </c>
      <c r="S441" s="87"/>
      <c r="T441" s="87"/>
      <c r="U441" s="87"/>
      <c r="V441" s="87">
        <f t="shared" si="129"/>
        <v>0</v>
      </c>
      <c r="W441" s="113">
        <f t="shared" si="126"/>
        <v>36.913096727263202</v>
      </c>
      <c r="X441" s="69">
        <f t="shared" si="130"/>
        <v>0</v>
      </c>
      <c r="Y441" s="70">
        <f t="shared" si="131"/>
        <v>0</v>
      </c>
      <c r="Z441" s="70">
        <f t="shared" si="132"/>
        <v>0</v>
      </c>
      <c r="AA441" s="70">
        <f t="shared" si="133"/>
        <v>0</v>
      </c>
      <c r="AB441" s="70">
        <f t="shared" si="134"/>
        <v>0</v>
      </c>
      <c r="AC441" s="70">
        <f t="shared" si="135"/>
        <v>0</v>
      </c>
      <c r="AD441" s="71">
        <f t="shared" si="136"/>
        <v>0</v>
      </c>
      <c r="AE441" s="49"/>
      <c r="AF441" s="21"/>
      <c r="AG441" s="69"/>
      <c r="AH441" s="70"/>
      <c r="AI441" s="70"/>
      <c r="AJ441" s="70"/>
      <c r="AK441" s="70"/>
      <c r="AL441" s="70"/>
      <c r="AM441" s="70"/>
      <c r="AN441" s="70" t="str">
        <f t="shared" si="137"/>
        <v>---</v>
      </c>
      <c r="AO441" s="70" t="str">
        <f t="shared" si="138"/>
        <v>---</v>
      </c>
      <c r="AP441" s="70" t="str">
        <f t="shared" si="139"/>
        <v>---</v>
      </c>
      <c r="AQ441" s="70" t="str">
        <f t="shared" si="140"/>
        <v>---</v>
      </c>
      <c r="AR441" s="70" t="str">
        <f t="shared" si="141"/>
        <v>---</v>
      </c>
      <c r="AS441" s="70" t="str">
        <f t="shared" si="142"/>
        <v>---</v>
      </c>
      <c r="AT441" s="71" t="str">
        <f t="shared" si="143"/>
        <v>---</v>
      </c>
    </row>
    <row r="442" spans="1:46" ht="30" customHeight="1" x14ac:dyDescent="0.3">
      <c r="A442" s="123">
        <f t="shared" si="127"/>
        <v>438</v>
      </c>
      <c r="B442" s="140">
        <f>INDEX('PEER GROUP'!B:B,MATCH($A442,'PEER GROUP'!$A:$A,0))</f>
        <v>0</v>
      </c>
      <c r="C442" s="83">
        <f>INDEX('PEER GROUP'!C:C,MATCH($A442,'PEER GROUP'!$A:$A,0))</f>
        <v>0</v>
      </c>
      <c r="D442" s="83">
        <f>INDEX('PEER GROUP'!D:D,MATCH($A442,'PEER GROUP'!$A:$A,0))</f>
        <v>0</v>
      </c>
      <c r="E442" s="83">
        <f>INDEX('PEER GROUP'!E:E,MATCH(A442,'PEER GROUP'!$A:$A,0))</f>
        <v>0</v>
      </c>
      <c r="F442" s="84">
        <f>INDEX('PEER GROUP'!F:F,MATCH($A442,'PEER GROUP'!$A:$A,0))</f>
        <v>0</v>
      </c>
      <c r="G442" s="84">
        <f>INDEX('PEER GROUP'!G:G,MATCH($A442,'PEER GROUP'!$A:$A,0))</f>
        <v>0</v>
      </c>
      <c r="H442" s="85"/>
      <c r="I442" s="85"/>
      <c r="J442" s="70">
        <f>INDEX('PEER GROUP'!K:K,MATCH($A442,'PEER GROUP'!$A:$A,0))</f>
        <v>0</v>
      </c>
      <c r="K442" s="70">
        <f>INDEX('PEER GROUP'!L:L,MATCH($A442,'PEER GROUP'!$A:$A,0))</f>
        <v>0</v>
      </c>
      <c r="L442" s="70">
        <f>INDEX('PEER GROUP'!M:M,MATCH($A442,'PEER GROUP'!$A:$A,0))</f>
        <v>0</v>
      </c>
      <c r="M442" s="86">
        <f>INDEX('PEER GROUP'!N:N,MATCH($A442,'PEER GROUP'!$A:$A,0))</f>
        <v>0</v>
      </c>
      <c r="N442" s="118"/>
      <c r="O442" s="115"/>
      <c r="P442" s="117"/>
      <c r="Q442" s="87"/>
      <c r="R442" s="87">
        <f t="shared" si="128"/>
        <v>0</v>
      </c>
      <c r="S442" s="87"/>
      <c r="T442" s="87"/>
      <c r="U442" s="87"/>
      <c r="V442" s="87">
        <f t="shared" si="129"/>
        <v>0</v>
      </c>
      <c r="W442" s="113">
        <f t="shared" si="126"/>
        <v>36.913096727263202</v>
      </c>
      <c r="X442" s="69">
        <f t="shared" si="130"/>
        <v>0</v>
      </c>
      <c r="Y442" s="70">
        <f t="shared" si="131"/>
        <v>0</v>
      </c>
      <c r="Z442" s="70">
        <f t="shared" si="132"/>
        <v>0</v>
      </c>
      <c r="AA442" s="70">
        <f t="shared" si="133"/>
        <v>0</v>
      </c>
      <c r="AB442" s="70">
        <f t="shared" si="134"/>
        <v>0</v>
      </c>
      <c r="AC442" s="70">
        <f t="shared" si="135"/>
        <v>0</v>
      </c>
      <c r="AD442" s="71">
        <f t="shared" si="136"/>
        <v>0</v>
      </c>
      <c r="AE442" s="49"/>
      <c r="AF442" s="21"/>
      <c r="AG442" s="69"/>
      <c r="AH442" s="70"/>
      <c r="AI442" s="70"/>
      <c r="AJ442" s="70"/>
      <c r="AK442" s="70"/>
      <c r="AL442" s="70"/>
      <c r="AM442" s="70"/>
      <c r="AN442" s="70" t="str">
        <f t="shared" si="137"/>
        <v>---</v>
      </c>
      <c r="AO442" s="70" t="str">
        <f t="shared" si="138"/>
        <v>---</v>
      </c>
      <c r="AP442" s="70" t="str">
        <f t="shared" si="139"/>
        <v>---</v>
      </c>
      <c r="AQ442" s="70" t="str">
        <f t="shared" si="140"/>
        <v>---</v>
      </c>
      <c r="AR442" s="70" t="str">
        <f t="shared" si="141"/>
        <v>---</v>
      </c>
      <c r="AS442" s="70" t="str">
        <f t="shared" si="142"/>
        <v>---</v>
      </c>
      <c r="AT442" s="71" t="str">
        <f t="shared" si="143"/>
        <v>---</v>
      </c>
    </row>
    <row r="443" spans="1:46" ht="30" customHeight="1" x14ac:dyDescent="0.3">
      <c r="A443" s="123">
        <f t="shared" si="127"/>
        <v>439</v>
      </c>
      <c r="B443" s="140">
        <f>INDEX('PEER GROUP'!B:B,MATCH($A443,'PEER GROUP'!$A:$A,0))</f>
        <v>0</v>
      </c>
      <c r="C443" s="83">
        <f>INDEX('PEER GROUP'!C:C,MATCH($A443,'PEER GROUP'!$A:$A,0))</f>
        <v>0</v>
      </c>
      <c r="D443" s="83">
        <f>INDEX('PEER GROUP'!D:D,MATCH($A443,'PEER GROUP'!$A:$A,0))</f>
        <v>0</v>
      </c>
      <c r="E443" s="83">
        <f>INDEX('PEER GROUP'!E:E,MATCH(A443,'PEER GROUP'!$A:$A,0))</f>
        <v>0</v>
      </c>
      <c r="F443" s="84">
        <f>INDEX('PEER GROUP'!F:F,MATCH($A443,'PEER GROUP'!$A:$A,0))</f>
        <v>0</v>
      </c>
      <c r="G443" s="84">
        <f>INDEX('PEER GROUP'!G:G,MATCH($A443,'PEER GROUP'!$A:$A,0))</f>
        <v>0</v>
      </c>
      <c r="H443" s="85"/>
      <c r="I443" s="85"/>
      <c r="J443" s="70">
        <f>INDEX('PEER GROUP'!K:K,MATCH($A443,'PEER GROUP'!$A:$A,0))</f>
        <v>0</v>
      </c>
      <c r="K443" s="70">
        <f>INDEX('PEER GROUP'!L:L,MATCH($A443,'PEER GROUP'!$A:$A,0))</f>
        <v>0</v>
      </c>
      <c r="L443" s="70">
        <f>INDEX('PEER GROUP'!M:M,MATCH($A443,'PEER GROUP'!$A:$A,0))</f>
        <v>0</v>
      </c>
      <c r="M443" s="86">
        <f>INDEX('PEER GROUP'!N:N,MATCH($A443,'PEER GROUP'!$A:$A,0))</f>
        <v>0</v>
      </c>
      <c r="N443" s="118"/>
      <c r="O443" s="115"/>
      <c r="P443" s="117"/>
      <c r="Q443" s="87"/>
      <c r="R443" s="87">
        <f t="shared" si="128"/>
        <v>0</v>
      </c>
      <c r="S443" s="87"/>
      <c r="T443" s="87"/>
      <c r="U443" s="87"/>
      <c r="V443" s="87">
        <f t="shared" si="129"/>
        <v>0</v>
      </c>
      <c r="W443" s="113">
        <f t="shared" si="126"/>
        <v>36.913096727263202</v>
      </c>
      <c r="X443" s="69">
        <f t="shared" si="130"/>
        <v>0</v>
      </c>
      <c r="Y443" s="70">
        <f t="shared" si="131"/>
        <v>0</v>
      </c>
      <c r="Z443" s="70">
        <f t="shared" si="132"/>
        <v>0</v>
      </c>
      <c r="AA443" s="70">
        <f t="shared" si="133"/>
        <v>0</v>
      </c>
      <c r="AB443" s="70">
        <f t="shared" si="134"/>
        <v>0</v>
      </c>
      <c r="AC443" s="70">
        <f t="shared" si="135"/>
        <v>0</v>
      </c>
      <c r="AD443" s="71">
        <f t="shared" si="136"/>
        <v>0</v>
      </c>
      <c r="AE443" s="49"/>
      <c r="AF443" s="21"/>
      <c r="AG443" s="69"/>
      <c r="AH443" s="70"/>
      <c r="AI443" s="70"/>
      <c r="AJ443" s="70"/>
      <c r="AK443" s="70"/>
      <c r="AL443" s="70"/>
      <c r="AM443" s="70"/>
      <c r="AN443" s="70" t="str">
        <f t="shared" si="137"/>
        <v>---</v>
      </c>
      <c r="AO443" s="70" t="str">
        <f t="shared" si="138"/>
        <v>---</v>
      </c>
      <c r="AP443" s="70" t="str">
        <f t="shared" si="139"/>
        <v>---</v>
      </c>
      <c r="AQ443" s="70" t="str">
        <f t="shared" si="140"/>
        <v>---</v>
      </c>
      <c r="AR443" s="70" t="str">
        <f t="shared" si="141"/>
        <v>---</v>
      </c>
      <c r="AS443" s="70" t="str">
        <f t="shared" si="142"/>
        <v>---</v>
      </c>
      <c r="AT443" s="71" t="str">
        <f t="shared" si="143"/>
        <v>---</v>
      </c>
    </row>
    <row r="444" spans="1:46" ht="30" customHeight="1" x14ac:dyDescent="0.3">
      <c r="A444" s="123">
        <f t="shared" si="127"/>
        <v>440</v>
      </c>
      <c r="B444" s="140">
        <f>INDEX('PEER GROUP'!B:B,MATCH($A444,'PEER GROUP'!$A:$A,0))</f>
        <v>0</v>
      </c>
      <c r="C444" s="83">
        <f>INDEX('PEER GROUP'!C:C,MATCH($A444,'PEER GROUP'!$A:$A,0))</f>
        <v>0</v>
      </c>
      <c r="D444" s="83">
        <f>INDEX('PEER GROUP'!D:D,MATCH($A444,'PEER GROUP'!$A:$A,0))</f>
        <v>0</v>
      </c>
      <c r="E444" s="83">
        <f>INDEX('PEER GROUP'!E:E,MATCH(A444,'PEER GROUP'!$A:$A,0))</f>
        <v>0</v>
      </c>
      <c r="F444" s="84">
        <f>INDEX('PEER GROUP'!F:F,MATCH($A444,'PEER GROUP'!$A:$A,0))</f>
        <v>0</v>
      </c>
      <c r="G444" s="84">
        <f>INDEX('PEER GROUP'!G:G,MATCH($A444,'PEER GROUP'!$A:$A,0))</f>
        <v>0</v>
      </c>
      <c r="H444" s="85"/>
      <c r="I444" s="85"/>
      <c r="J444" s="70">
        <f>INDEX('PEER GROUP'!K:K,MATCH($A444,'PEER GROUP'!$A:$A,0))</f>
        <v>0</v>
      </c>
      <c r="K444" s="70">
        <f>INDEX('PEER GROUP'!L:L,MATCH($A444,'PEER GROUP'!$A:$A,0))</f>
        <v>0</v>
      </c>
      <c r="L444" s="70">
        <f>INDEX('PEER GROUP'!M:M,MATCH($A444,'PEER GROUP'!$A:$A,0))</f>
        <v>0</v>
      </c>
      <c r="M444" s="86">
        <f>INDEX('PEER GROUP'!N:N,MATCH($A444,'PEER GROUP'!$A:$A,0))</f>
        <v>0</v>
      </c>
      <c r="N444" s="118"/>
      <c r="O444" s="115"/>
      <c r="P444" s="117"/>
      <c r="Q444" s="87"/>
      <c r="R444" s="87">
        <f t="shared" si="128"/>
        <v>0</v>
      </c>
      <c r="S444" s="87"/>
      <c r="T444" s="87"/>
      <c r="U444" s="87"/>
      <c r="V444" s="87">
        <f t="shared" si="129"/>
        <v>0</v>
      </c>
      <c r="W444" s="113">
        <f t="shared" si="126"/>
        <v>36.913096727263202</v>
      </c>
      <c r="X444" s="69">
        <f t="shared" si="130"/>
        <v>0</v>
      </c>
      <c r="Y444" s="70">
        <f t="shared" si="131"/>
        <v>0</v>
      </c>
      <c r="Z444" s="70">
        <f t="shared" si="132"/>
        <v>0</v>
      </c>
      <c r="AA444" s="70">
        <f t="shared" si="133"/>
        <v>0</v>
      </c>
      <c r="AB444" s="70">
        <f t="shared" si="134"/>
        <v>0</v>
      </c>
      <c r="AC444" s="70">
        <f t="shared" si="135"/>
        <v>0</v>
      </c>
      <c r="AD444" s="71">
        <f t="shared" si="136"/>
        <v>0</v>
      </c>
      <c r="AE444" s="49"/>
      <c r="AF444" s="21"/>
      <c r="AG444" s="69"/>
      <c r="AH444" s="70"/>
      <c r="AI444" s="70"/>
      <c r="AJ444" s="70"/>
      <c r="AK444" s="70"/>
      <c r="AL444" s="70"/>
      <c r="AM444" s="70"/>
      <c r="AN444" s="70" t="str">
        <f t="shared" si="137"/>
        <v>---</v>
      </c>
      <c r="AO444" s="70" t="str">
        <f t="shared" si="138"/>
        <v>---</v>
      </c>
      <c r="AP444" s="70" t="str">
        <f t="shared" si="139"/>
        <v>---</v>
      </c>
      <c r="AQ444" s="70" t="str">
        <f t="shared" si="140"/>
        <v>---</v>
      </c>
      <c r="AR444" s="70" t="str">
        <f t="shared" si="141"/>
        <v>---</v>
      </c>
      <c r="AS444" s="70" t="str">
        <f t="shared" si="142"/>
        <v>---</v>
      </c>
      <c r="AT444" s="71" t="str">
        <f t="shared" si="143"/>
        <v>---</v>
      </c>
    </row>
    <row r="445" spans="1:46" ht="30" customHeight="1" x14ac:dyDescent="0.3">
      <c r="A445" s="123">
        <f t="shared" si="127"/>
        <v>441</v>
      </c>
      <c r="B445" s="140">
        <f>INDEX('PEER GROUP'!B:B,MATCH($A445,'PEER GROUP'!$A:$A,0))</f>
        <v>0</v>
      </c>
      <c r="C445" s="83">
        <f>INDEX('PEER GROUP'!C:C,MATCH($A445,'PEER GROUP'!$A:$A,0))</f>
        <v>0</v>
      </c>
      <c r="D445" s="83">
        <f>INDEX('PEER GROUP'!D:D,MATCH($A445,'PEER GROUP'!$A:$A,0))</f>
        <v>0</v>
      </c>
      <c r="E445" s="83">
        <f>INDEX('PEER GROUP'!E:E,MATCH(A445,'PEER GROUP'!$A:$A,0))</f>
        <v>0</v>
      </c>
      <c r="F445" s="84">
        <f>INDEX('PEER GROUP'!F:F,MATCH($A445,'PEER GROUP'!$A:$A,0))</f>
        <v>0</v>
      </c>
      <c r="G445" s="84">
        <f>INDEX('PEER GROUP'!G:G,MATCH($A445,'PEER GROUP'!$A:$A,0))</f>
        <v>0</v>
      </c>
      <c r="H445" s="85"/>
      <c r="I445" s="85"/>
      <c r="J445" s="70">
        <f>INDEX('PEER GROUP'!K:K,MATCH($A445,'PEER GROUP'!$A:$A,0))</f>
        <v>0</v>
      </c>
      <c r="K445" s="70">
        <f>INDEX('PEER GROUP'!L:L,MATCH($A445,'PEER GROUP'!$A:$A,0))</f>
        <v>0</v>
      </c>
      <c r="L445" s="70">
        <f>INDEX('PEER GROUP'!M:M,MATCH($A445,'PEER GROUP'!$A:$A,0))</f>
        <v>0</v>
      </c>
      <c r="M445" s="86">
        <f>INDEX('PEER GROUP'!N:N,MATCH($A445,'PEER GROUP'!$A:$A,0))</f>
        <v>0</v>
      </c>
      <c r="N445" s="118"/>
      <c r="O445" s="115"/>
      <c r="P445" s="117"/>
      <c r="Q445" s="87"/>
      <c r="R445" s="87">
        <f t="shared" si="128"/>
        <v>0</v>
      </c>
      <c r="S445" s="87"/>
      <c r="T445" s="87"/>
      <c r="U445" s="87"/>
      <c r="V445" s="87">
        <f t="shared" si="129"/>
        <v>0</v>
      </c>
      <c r="W445" s="113">
        <f t="shared" si="126"/>
        <v>36.913096727263202</v>
      </c>
      <c r="X445" s="69">
        <f t="shared" si="130"/>
        <v>0</v>
      </c>
      <c r="Y445" s="70">
        <f t="shared" si="131"/>
        <v>0</v>
      </c>
      <c r="Z445" s="70">
        <f t="shared" si="132"/>
        <v>0</v>
      </c>
      <c r="AA445" s="70">
        <f t="shared" si="133"/>
        <v>0</v>
      </c>
      <c r="AB445" s="70">
        <f t="shared" si="134"/>
        <v>0</v>
      </c>
      <c r="AC445" s="70">
        <f t="shared" si="135"/>
        <v>0</v>
      </c>
      <c r="AD445" s="71">
        <f t="shared" si="136"/>
        <v>0</v>
      </c>
      <c r="AE445" s="49"/>
      <c r="AF445" s="21"/>
      <c r="AG445" s="69"/>
      <c r="AH445" s="70"/>
      <c r="AI445" s="70"/>
      <c r="AJ445" s="70"/>
      <c r="AK445" s="70"/>
      <c r="AL445" s="70"/>
      <c r="AM445" s="70"/>
      <c r="AN445" s="70" t="str">
        <f t="shared" si="137"/>
        <v>---</v>
      </c>
      <c r="AO445" s="70" t="str">
        <f t="shared" si="138"/>
        <v>---</v>
      </c>
      <c r="AP445" s="70" t="str">
        <f t="shared" si="139"/>
        <v>---</v>
      </c>
      <c r="AQ445" s="70" t="str">
        <f t="shared" si="140"/>
        <v>---</v>
      </c>
      <c r="AR445" s="70" t="str">
        <f t="shared" si="141"/>
        <v>---</v>
      </c>
      <c r="AS445" s="70" t="str">
        <f t="shared" si="142"/>
        <v>---</v>
      </c>
      <c r="AT445" s="71" t="str">
        <f t="shared" si="143"/>
        <v>---</v>
      </c>
    </row>
    <row r="446" spans="1:46" ht="30" customHeight="1" x14ac:dyDescent="0.3">
      <c r="A446" s="123">
        <f t="shared" si="127"/>
        <v>442</v>
      </c>
      <c r="B446" s="140">
        <f>INDEX('PEER GROUP'!B:B,MATCH($A446,'PEER GROUP'!$A:$A,0))</f>
        <v>0</v>
      </c>
      <c r="C446" s="83">
        <f>INDEX('PEER GROUP'!C:C,MATCH($A446,'PEER GROUP'!$A:$A,0))</f>
        <v>0</v>
      </c>
      <c r="D446" s="83">
        <f>INDEX('PEER GROUP'!D:D,MATCH($A446,'PEER GROUP'!$A:$A,0))</f>
        <v>0</v>
      </c>
      <c r="E446" s="83">
        <f>INDEX('PEER GROUP'!E:E,MATCH(A446,'PEER GROUP'!$A:$A,0))</f>
        <v>0</v>
      </c>
      <c r="F446" s="84">
        <f>INDEX('PEER GROUP'!F:F,MATCH($A446,'PEER GROUP'!$A:$A,0))</f>
        <v>0</v>
      </c>
      <c r="G446" s="84">
        <f>INDEX('PEER GROUP'!G:G,MATCH($A446,'PEER GROUP'!$A:$A,0))</f>
        <v>0</v>
      </c>
      <c r="H446" s="85"/>
      <c r="I446" s="85"/>
      <c r="J446" s="70">
        <f>INDEX('PEER GROUP'!K:K,MATCH($A446,'PEER GROUP'!$A:$A,0))</f>
        <v>0</v>
      </c>
      <c r="K446" s="70">
        <f>INDEX('PEER GROUP'!L:L,MATCH($A446,'PEER GROUP'!$A:$A,0))</f>
        <v>0</v>
      </c>
      <c r="L446" s="70">
        <f>INDEX('PEER GROUP'!M:M,MATCH($A446,'PEER GROUP'!$A:$A,0))</f>
        <v>0</v>
      </c>
      <c r="M446" s="86">
        <f>INDEX('PEER GROUP'!N:N,MATCH($A446,'PEER GROUP'!$A:$A,0))</f>
        <v>0</v>
      </c>
      <c r="N446" s="118"/>
      <c r="O446" s="115"/>
      <c r="P446" s="117"/>
      <c r="Q446" s="87"/>
      <c r="R446" s="87">
        <f t="shared" si="128"/>
        <v>0</v>
      </c>
      <c r="S446" s="87"/>
      <c r="T446" s="87"/>
      <c r="U446" s="87"/>
      <c r="V446" s="87">
        <f t="shared" si="129"/>
        <v>0</v>
      </c>
      <c r="W446" s="113">
        <f t="shared" si="126"/>
        <v>36.913096727263202</v>
      </c>
      <c r="X446" s="69">
        <f t="shared" si="130"/>
        <v>0</v>
      </c>
      <c r="Y446" s="70">
        <f t="shared" si="131"/>
        <v>0</v>
      </c>
      <c r="Z446" s="70">
        <f t="shared" si="132"/>
        <v>0</v>
      </c>
      <c r="AA446" s="70">
        <f t="shared" si="133"/>
        <v>0</v>
      </c>
      <c r="AB446" s="70">
        <f t="shared" si="134"/>
        <v>0</v>
      </c>
      <c r="AC446" s="70">
        <f t="shared" si="135"/>
        <v>0</v>
      </c>
      <c r="AD446" s="71">
        <f t="shared" si="136"/>
        <v>0</v>
      </c>
      <c r="AE446" s="49"/>
      <c r="AF446" s="21"/>
      <c r="AG446" s="69"/>
      <c r="AH446" s="70"/>
      <c r="AI446" s="70"/>
      <c r="AJ446" s="70"/>
      <c r="AK446" s="70"/>
      <c r="AL446" s="70"/>
      <c r="AM446" s="70"/>
      <c r="AN446" s="70" t="str">
        <f t="shared" si="137"/>
        <v>---</v>
      </c>
      <c r="AO446" s="70" t="str">
        <f t="shared" si="138"/>
        <v>---</v>
      </c>
      <c r="AP446" s="70" t="str">
        <f t="shared" si="139"/>
        <v>---</v>
      </c>
      <c r="AQ446" s="70" t="str">
        <f t="shared" si="140"/>
        <v>---</v>
      </c>
      <c r="AR446" s="70" t="str">
        <f t="shared" si="141"/>
        <v>---</v>
      </c>
      <c r="AS446" s="70" t="str">
        <f t="shared" si="142"/>
        <v>---</v>
      </c>
      <c r="AT446" s="71" t="str">
        <f t="shared" si="143"/>
        <v>---</v>
      </c>
    </row>
    <row r="447" spans="1:46" ht="30" customHeight="1" x14ac:dyDescent="0.3">
      <c r="A447" s="123">
        <f t="shared" si="127"/>
        <v>443</v>
      </c>
      <c r="B447" s="140">
        <f>INDEX('PEER GROUP'!B:B,MATCH($A447,'PEER GROUP'!$A:$A,0))</f>
        <v>0</v>
      </c>
      <c r="C447" s="83">
        <f>INDEX('PEER GROUP'!C:C,MATCH($A447,'PEER GROUP'!$A:$A,0))</f>
        <v>0</v>
      </c>
      <c r="D447" s="83">
        <f>INDEX('PEER GROUP'!D:D,MATCH($A447,'PEER GROUP'!$A:$A,0))</f>
        <v>0</v>
      </c>
      <c r="E447" s="83">
        <f>INDEX('PEER GROUP'!E:E,MATCH(A447,'PEER GROUP'!$A:$A,0))</f>
        <v>0</v>
      </c>
      <c r="F447" s="84">
        <f>INDEX('PEER GROUP'!F:F,MATCH($A447,'PEER GROUP'!$A:$A,0))</f>
        <v>0</v>
      </c>
      <c r="G447" s="84">
        <f>INDEX('PEER GROUP'!G:G,MATCH($A447,'PEER GROUP'!$A:$A,0))</f>
        <v>0</v>
      </c>
      <c r="H447" s="85"/>
      <c r="I447" s="85"/>
      <c r="J447" s="70">
        <f>INDEX('PEER GROUP'!K:K,MATCH($A447,'PEER GROUP'!$A:$A,0))</f>
        <v>0</v>
      </c>
      <c r="K447" s="70">
        <f>INDEX('PEER GROUP'!L:L,MATCH($A447,'PEER GROUP'!$A:$A,0))</f>
        <v>0</v>
      </c>
      <c r="L447" s="70">
        <f>INDEX('PEER GROUP'!M:M,MATCH($A447,'PEER GROUP'!$A:$A,0))</f>
        <v>0</v>
      </c>
      <c r="M447" s="86">
        <f>INDEX('PEER GROUP'!N:N,MATCH($A447,'PEER GROUP'!$A:$A,0))</f>
        <v>0</v>
      </c>
      <c r="N447" s="118"/>
      <c r="O447" s="115"/>
      <c r="P447" s="117"/>
      <c r="Q447" s="87"/>
      <c r="R447" s="87">
        <f t="shared" si="128"/>
        <v>0</v>
      </c>
      <c r="S447" s="87"/>
      <c r="T447" s="87"/>
      <c r="U447" s="87"/>
      <c r="V447" s="87">
        <f t="shared" si="129"/>
        <v>0</v>
      </c>
      <c r="W447" s="113">
        <f t="shared" si="126"/>
        <v>36.913096727263202</v>
      </c>
      <c r="X447" s="69">
        <f t="shared" si="130"/>
        <v>0</v>
      </c>
      <c r="Y447" s="70">
        <f t="shared" si="131"/>
        <v>0</v>
      </c>
      <c r="Z447" s="70">
        <f t="shared" si="132"/>
        <v>0</v>
      </c>
      <c r="AA447" s="70">
        <f t="shared" si="133"/>
        <v>0</v>
      </c>
      <c r="AB447" s="70">
        <f t="shared" si="134"/>
        <v>0</v>
      </c>
      <c r="AC447" s="70">
        <f t="shared" si="135"/>
        <v>0</v>
      </c>
      <c r="AD447" s="71">
        <f t="shared" si="136"/>
        <v>0</v>
      </c>
      <c r="AE447" s="49"/>
      <c r="AF447" s="21"/>
      <c r="AG447" s="69"/>
      <c r="AH447" s="70"/>
      <c r="AI447" s="70"/>
      <c r="AJ447" s="70"/>
      <c r="AK447" s="70"/>
      <c r="AL447" s="70"/>
      <c r="AM447" s="70"/>
      <c r="AN447" s="70" t="str">
        <f t="shared" si="137"/>
        <v>---</v>
      </c>
      <c r="AO447" s="70" t="str">
        <f t="shared" si="138"/>
        <v>---</v>
      </c>
      <c r="AP447" s="70" t="str">
        <f t="shared" si="139"/>
        <v>---</v>
      </c>
      <c r="AQ447" s="70" t="str">
        <f t="shared" si="140"/>
        <v>---</v>
      </c>
      <c r="AR447" s="70" t="str">
        <f t="shared" si="141"/>
        <v>---</v>
      </c>
      <c r="AS447" s="70" t="str">
        <f t="shared" si="142"/>
        <v>---</v>
      </c>
      <c r="AT447" s="71" t="str">
        <f t="shared" si="143"/>
        <v>---</v>
      </c>
    </row>
    <row r="448" spans="1:46" ht="30" customHeight="1" x14ac:dyDescent="0.3">
      <c r="A448" s="123">
        <f t="shared" si="127"/>
        <v>444</v>
      </c>
      <c r="B448" s="140">
        <f>INDEX('PEER GROUP'!B:B,MATCH($A448,'PEER GROUP'!$A:$A,0))</f>
        <v>0</v>
      </c>
      <c r="C448" s="83">
        <f>INDEX('PEER GROUP'!C:C,MATCH($A448,'PEER GROUP'!$A:$A,0))</f>
        <v>0</v>
      </c>
      <c r="D448" s="83">
        <f>INDEX('PEER GROUP'!D:D,MATCH($A448,'PEER GROUP'!$A:$A,0))</f>
        <v>0</v>
      </c>
      <c r="E448" s="83">
        <f>INDEX('PEER GROUP'!E:E,MATCH(A448,'PEER GROUP'!$A:$A,0))</f>
        <v>0</v>
      </c>
      <c r="F448" s="84">
        <f>INDEX('PEER GROUP'!F:F,MATCH($A448,'PEER GROUP'!$A:$A,0))</f>
        <v>0</v>
      </c>
      <c r="G448" s="84">
        <f>INDEX('PEER GROUP'!G:G,MATCH($A448,'PEER GROUP'!$A:$A,0))</f>
        <v>0</v>
      </c>
      <c r="H448" s="85"/>
      <c r="I448" s="85"/>
      <c r="J448" s="70">
        <f>INDEX('PEER GROUP'!K:K,MATCH($A448,'PEER GROUP'!$A:$A,0))</f>
        <v>0</v>
      </c>
      <c r="K448" s="70">
        <f>INDEX('PEER GROUP'!L:L,MATCH($A448,'PEER GROUP'!$A:$A,0))</f>
        <v>0</v>
      </c>
      <c r="L448" s="70">
        <f>INDEX('PEER GROUP'!M:M,MATCH($A448,'PEER GROUP'!$A:$A,0))</f>
        <v>0</v>
      </c>
      <c r="M448" s="86">
        <f>INDEX('PEER GROUP'!N:N,MATCH($A448,'PEER GROUP'!$A:$A,0))</f>
        <v>0</v>
      </c>
      <c r="N448" s="118"/>
      <c r="O448" s="115"/>
      <c r="P448" s="117"/>
      <c r="Q448" s="87"/>
      <c r="R448" s="87">
        <f t="shared" si="128"/>
        <v>0</v>
      </c>
      <c r="S448" s="87"/>
      <c r="T448" s="87"/>
      <c r="U448" s="87"/>
      <c r="V448" s="87">
        <f t="shared" si="129"/>
        <v>0</v>
      </c>
      <c r="W448" s="113">
        <f t="shared" si="126"/>
        <v>36.913096727263202</v>
      </c>
      <c r="X448" s="69">
        <f t="shared" si="130"/>
        <v>0</v>
      </c>
      <c r="Y448" s="70">
        <f t="shared" si="131"/>
        <v>0</v>
      </c>
      <c r="Z448" s="70">
        <f t="shared" si="132"/>
        <v>0</v>
      </c>
      <c r="AA448" s="70">
        <f t="shared" si="133"/>
        <v>0</v>
      </c>
      <c r="AB448" s="70">
        <f t="shared" si="134"/>
        <v>0</v>
      </c>
      <c r="AC448" s="70">
        <f t="shared" si="135"/>
        <v>0</v>
      </c>
      <c r="AD448" s="71">
        <f t="shared" si="136"/>
        <v>0</v>
      </c>
      <c r="AE448" s="49"/>
      <c r="AF448" s="21"/>
      <c r="AG448" s="69"/>
      <c r="AH448" s="70"/>
      <c r="AI448" s="70"/>
      <c r="AJ448" s="70"/>
      <c r="AK448" s="70"/>
      <c r="AL448" s="70"/>
      <c r="AM448" s="70"/>
      <c r="AN448" s="70" t="str">
        <f t="shared" si="137"/>
        <v>---</v>
      </c>
      <c r="AO448" s="70" t="str">
        <f t="shared" si="138"/>
        <v>---</v>
      </c>
      <c r="AP448" s="70" t="str">
        <f t="shared" si="139"/>
        <v>---</v>
      </c>
      <c r="AQ448" s="70" t="str">
        <f t="shared" si="140"/>
        <v>---</v>
      </c>
      <c r="AR448" s="70" t="str">
        <f t="shared" si="141"/>
        <v>---</v>
      </c>
      <c r="AS448" s="70" t="str">
        <f t="shared" si="142"/>
        <v>---</v>
      </c>
      <c r="AT448" s="71" t="str">
        <f t="shared" si="143"/>
        <v>---</v>
      </c>
    </row>
    <row r="449" spans="1:46" ht="30" customHeight="1" x14ac:dyDescent="0.3">
      <c r="A449" s="123">
        <f t="shared" si="127"/>
        <v>445</v>
      </c>
      <c r="B449" s="140">
        <f>INDEX('PEER GROUP'!B:B,MATCH($A449,'PEER GROUP'!$A:$A,0))</f>
        <v>0</v>
      </c>
      <c r="C449" s="83">
        <f>INDEX('PEER GROUP'!C:C,MATCH($A449,'PEER GROUP'!$A:$A,0))</f>
        <v>0</v>
      </c>
      <c r="D449" s="83">
        <f>INDEX('PEER GROUP'!D:D,MATCH($A449,'PEER GROUP'!$A:$A,0))</f>
        <v>0</v>
      </c>
      <c r="E449" s="83">
        <f>INDEX('PEER GROUP'!E:E,MATCH(A449,'PEER GROUP'!$A:$A,0))</f>
        <v>0</v>
      </c>
      <c r="F449" s="84">
        <f>INDEX('PEER GROUP'!F:F,MATCH($A449,'PEER GROUP'!$A:$A,0))</f>
        <v>0</v>
      </c>
      <c r="G449" s="84">
        <f>INDEX('PEER GROUP'!G:G,MATCH($A449,'PEER GROUP'!$A:$A,0))</f>
        <v>0</v>
      </c>
      <c r="H449" s="85"/>
      <c r="I449" s="85"/>
      <c r="J449" s="70">
        <f>INDEX('PEER GROUP'!K:K,MATCH($A449,'PEER GROUP'!$A:$A,0))</f>
        <v>0</v>
      </c>
      <c r="K449" s="70">
        <f>INDEX('PEER GROUP'!L:L,MATCH($A449,'PEER GROUP'!$A:$A,0))</f>
        <v>0</v>
      </c>
      <c r="L449" s="70">
        <f>INDEX('PEER GROUP'!M:M,MATCH($A449,'PEER GROUP'!$A:$A,0))</f>
        <v>0</v>
      </c>
      <c r="M449" s="86">
        <f>INDEX('PEER GROUP'!N:N,MATCH($A449,'PEER GROUP'!$A:$A,0))</f>
        <v>0</v>
      </c>
      <c r="N449" s="118"/>
      <c r="O449" s="115"/>
      <c r="P449" s="117"/>
      <c r="Q449" s="87"/>
      <c r="R449" s="87">
        <f t="shared" si="128"/>
        <v>0</v>
      </c>
      <c r="S449" s="87"/>
      <c r="T449" s="87"/>
      <c r="U449" s="87"/>
      <c r="V449" s="87">
        <f t="shared" si="129"/>
        <v>0</v>
      </c>
      <c r="W449" s="113">
        <f t="shared" si="126"/>
        <v>36.913096727263202</v>
      </c>
      <c r="X449" s="69">
        <f t="shared" si="130"/>
        <v>0</v>
      </c>
      <c r="Y449" s="70">
        <f t="shared" si="131"/>
        <v>0</v>
      </c>
      <c r="Z449" s="70">
        <f t="shared" si="132"/>
        <v>0</v>
      </c>
      <c r="AA449" s="70">
        <f t="shared" si="133"/>
        <v>0</v>
      </c>
      <c r="AB449" s="70">
        <f t="shared" si="134"/>
        <v>0</v>
      </c>
      <c r="AC449" s="70">
        <f t="shared" si="135"/>
        <v>0</v>
      </c>
      <c r="AD449" s="71">
        <f t="shared" si="136"/>
        <v>0</v>
      </c>
      <c r="AE449" s="49"/>
      <c r="AF449" s="21"/>
      <c r="AG449" s="69"/>
      <c r="AH449" s="70"/>
      <c r="AI449" s="70"/>
      <c r="AJ449" s="70"/>
      <c r="AK449" s="70"/>
      <c r="AL449" s="70"/>
      <c r="AM449" s="70"/>
      <c r="AN449" s="70" t="str">
        <f t="shared" si="137"/>
        <v>---</v>
      </c>
      <c r="AO449" s="70" t="str">
        <f t="shared" si="138"/>
        <v>---</v>
      </c>
      <c r="AP449" s="70" t="str">
        <f t="shared" si="139"/>
        <v>---</v>
      </c>
      <c r="AQ449" s="70" t="str">
        <f t="shared" si="140"/>
        <v>---</v>
      </c>
      <c r="AR449" s="70" t="str">
        <f t="shared" si="141"/>
        <v>---</v>
      </c>
      <c r="AS449" s="70" t="str">
        <f t="shared" si="142"/>
        <v>---</v>
      </c>
      <c r="AT449" s="71" t="str">
        <f t="shared" si="143"/>
        <v>---</v>
      </c>
    </row>
    <row r="450" spans="1:46" ht="30" customHeight="1" x14ac:dyDescent="0.3">
      <c r="A450" s="123">
        <f t="shared" si="127"/>
        <v>446</v>
      </c>
      <c r="B450" s="140">
        <f>INDEX('PEER GROUP'!B:B,MATCH($A450,'PEER GROUP'!$A:$A,0))</f>
        <v>0</v>
      </c>
      <c r="C450" s="83">
        <f>INDEX('PEER GROUP'!C:C,MATCH($A450,'PEER GROUP'!$A:$A,0))</f>
        <v>0</v>
      </c>
      <c r="D450" s="83">
        <f>INDEX('PEER GROUP'!D:D,MATCH($A450,'PEER GROUP'!$A:$A,0))</f>
        <v>0</v>
      </c>
      <c r="E450" s="83">
        <f>INDEX('PEER GROUP'!E:E,MATCH(A450,'PEER GROUP'!$A:$A,0))</f>
        <v>0</v>
      </c>
      <c r="F450" s="84">
        <f>INDEX('PEER GROUP'!F:F,MATCH($A450,'PEER GROUP'!$A:$A,0))</f>
        <v>0</v>
      </c>
      <c r="G450" s="84">
        <f>INDEX('PEER GROUP'!G:G,MATCH($A450,'PEER GROUP'!$A:$A,0))</f>
        <v>0</v>
      </c>
      <c r="H450" s="85"/>
      <c r="I450" s="85"/>
      <c r="J450" s="70">
        <f>INDEX('PEER GROUP'!K:K,MATCH($A450,'PEER GROUP'!$A:$A,0))</f>
        <v>0</v>
      </c>
      <c r="K450" s="70">
        <f>INDEX('PEER GROUP'!L:L,MATCH($A450,'PEER GROUP'!$A:$A,0))</f>
        <v>0</v>
      </c>
      <c r="L450" s="70">
        <f>INDEX('PEER GROUP'!M:M,MATCH($A450,'PEER GROUP'!$A:$A,0))</f>
        <v>0</v>
      </c>
      <c r="M450" s="86">
        <f>INDEX('PEER GROUP'!N:N,MATCH($A450,'PEER GROUP'!$A:$A,0))</f>
        <v>0</v>
      </c>
      <c r="N450" s="118"/>
      <c r="O450" s="115"/>
      <c r="P450" s="117"/>
      <c r="Q450" s="87"/>
      <c r="R450" s="87">
        <f t="shared" si="128"/>
        <v>0</v>
      </c>
      <c r="S450" s="87"/>
      <c r="T450" s="87"/>
      <c r="U450" s="87"/>
      <c r="V450" s="87">
        <f t="shared" si="129"/>
        <v>0</v>
      </c>
      <c r="W450" s="113">
        <f t="shared" si="126"/>
        <v>36.913096727263202</v>
      </c>
      <c r="X450" s="69">
        <f t="shared" si="130"/>
        <v>0</v>
      </c>
      <c r="Y450" s="70">
        <f t="shared" si="131"/>
        <v>0</v>
      </c>
      <c r="Z450" s="70">
        <f t="shared" si="132"/>
        <v>0</v>
      </c>
      <c r="AA450" s="70">
        <f t="shared" si="133"/>
        <v>0</v>
      </c>
      <c r="AB450" s="70">
        <f t="shared" si="134"/>
        <v>0</v>
      </c>
      <c r="AC450" s="70">
        <f t="shared" si="135"/>
        <v>0</v>
      </c>
      <c r="AD450" s="71">
        <f t="shared" si="136"/>
        <v>0</v>
      </c>
      <c r="AE450" s="49"/>
      <c r="AF450" s="21"/>
      <c r="AG450" s="69"/>
      <c r="AH450" s="70"/>
      <c r="AI450" s="70"/>
      <c r="AJ450" s="70"/>
      <c r="AK450" s="70"/>
      <c r="AL450" s="70"/>
      <c r="AM450" s="70"/>
      <c r="AN450" s="70" t="str">
        <f t="shared" si="137"/>
        <v>---</v>
      </c>
      <c r="AO450" s="70" t="str">
        <f t="shared" si="138"/>
        <v>---</v>
      </c>
      <c r="AP450" s="70" t="str">
        <f t="shared" si="139"/>
        <v>---</v>
      </c>
      <c r="AQ450" s="70" t="str">
        <f t="shared" si="140"/>
        <v>---</v>
      </c>
      <c r="AR450" s="70" t="str">
        <f t="shared" si="141"/>
        <v>---</v>
      </c>
      <c r="AS450" s="70" t="str">
        <f t="shared" si="142"/>
        <v>---</v>
      </c>
      <c r="AT450" s="71" t="str">
        <f t="shared" si="143"/>
        <v>---</v>
      </c>
    </row>
    <row r="451" spans="1:46" ht="30" customHeight="1" x14ac:dyDescent="0.3">
      <c r="A451" s="123">
        <f t="shared" si="127"/>
        <v>447</v>
      </c>
      <c r="B451" s="140">
        <f>INDEX('PEER GROUP'!B:B,MATCH($A451,'PEER GROUP'!$A:$A,0))</f>
        <v>0</v>
      </c>
      <c r="C451" s="83">
        <f>INDEX('PEER GROUP'!C:C,MATCH($A451,'PEER GROUP'!$A:$A,0))</f>
        <v>0</v>
      </c>
      <c r="D451" s="83">
        <f>INDEX('PEER GROUP'!D:D,MATCH($A451,'PEER GROUP'!$A:$A,0))</f>
        <v>0</v>
      </c>
      <c r="E451" s="83">
        <f>INDEX('PEER GROUP'!E:E,MATCH(A451,'PEER GROUP'!$A:$A,0))</f>
        <v>0</v>
      </c>
      <c r="F451" s="84">
        <f>INDEX('PEER GROUP'!F:F,MATCH($A451,'PEER GROUP'!$A:$A,0))</f>
        <v>0</v>
      </c>
      <c r="G451" s="84">
        <f>INDEX('PEER GROUP'!G:G,MATCH($A451,'PEER GROUP'!$A:$A,0))</f>
        <v>0</v>
      </c>
      <c r="H451" s="85"/>
      <c r="I451" s="85"/>
      <c r="J451" s="70">
        <f>INDEX('PEER GROUP'!K:K,MATCH($A451,'PEER GROUP'!$A:$A,0))</f>
        <v>0</v>
      </c>
      <c r="K451" s="70">
        <f>INDEX('PEER GROUP'!L:L,MATCH($A451,'PEER GROUP'!$A:$A,0))</f>
        <v>0</v>
      </c>
      <c r="L451" s="70">
        <f>INDEX('PEER GROUP'!M:M,MATCH($A451,'PEER GROUP'!$A:$A,0))</f>
        <v>0</v>
      </c>
      <c r="M451" s="86">
        <f>INDEX('PEER GROUP'!N:N,MATCH($A451,'PEER GROUP'!$A:$A,0))</f>
        <v>0</v>
      </c>
      <c r="N451" s="118"/>
      <c r="O451" s="115"/>
      <c r="P451" s="117"/>
      <c r="Q451" s="87"/>
      <c r="R451" s="87">
        <f t="shared" si="128"/>
        <v>0</v>
      </c>
      <c r="S451" s="87"/>
      <c r="T451" s="87"/>
      <c r="U451" s="87"/>
      <c r="V451" s="87">
        <f t="shared" si="129"/>
        <v>0</v>
      </c>
      <c r="W451" s="113">
        <f t="shared" si="126"/>
        <v>36.913096727263202</v>
      </c>
      <c r="X451" s="69">
        <f t="shared" si="130"/>
        <v>0</v>
      </c>
      <c r="Y451" s="70">
        <f t="shared" si="131"/>
        <v>0</v>
      </c>
      <c r="Z451" s="70">
        <f t="shared" si="132"/>
        <v>0</v>
      </c>
      <c r="AA451" s="70">
        <f t="shared" si="133"/>
        <v>0</v>
      </c>
      <c r="AB451" s="70">
        <f t="shared" si="134"/>
        <v>0</v>
      </c>
      <c r="AC451" s="70">
        <f t="shared" si="135"/>
        <v>0</v>
      </c>
      <c r="AD451" s="71">
        <f t="shared" si="136"/>
        <v>0</v>
      </c>
      <c r="AE451" s="49"/>
      <c r="AF451" s="21"/>
      <c r="AG451" s="69"/>
      <c r="AH451" s="70"/>
      <c r="AI451" s="70"/>
      <c r="AJ451" s="70"/>
      <c r="AK451" s="70"/>
      <c r="AL451" s="70"/>
      <c r="AM451" s="70"/>
      <c r="AN451" s="70" t="str">
        <f t="shared" si="137"/>
        <v>---</v>
      </c>
      <c r="AO451" s="70" t="str">
        <f t="shared" si="138"/>
        <v>---</v>
      </c>
      <c r="AP451" s="70" t="str">
        <f t="shared" si="139"/>
        <v>---</v>
      </c>
      <c r="AQ451" s="70" t="str">
        <f t="shared" si="140"/>
        <v>---</v>
      </c>
      <c r="AR451" s="70" t="str">
        <f t="shared" si="141"/>
        <v>---</v>
      </c>
      <c r="AS451" s="70" t="str">
        <f t="shared" si="142"/>
        <v>---</v>
      </c>
      <c r="AT451" s="71" t="str">
        <f t="shared" si="143"/>
        <v>---</v>
      </c>
    </row>
    <row r="452" spans="1:46" ht="30" customHeight="1" x14ac:dyDescent="0.3">
      <c r="A452" s="123">
        <f t="shared" si="127"/>
        <v>448</v>
      </c>
      <c r="B452" s="140">
        <f>INDEX('PEER GROUP'!B:B,MATCH($A452,'PEER GROUP'!$A:$A,0))</f>
        <v>0</v>
      </c>
      <c r="C452" s="83">
        <f>INDEX('PEER GROUP'!C:C,MATCH($A452,'PEER GROUP'!$A:$A,0))</f>
        <v>0</v>
      </c>
      <c r="D452" s="83">
        <f>INDEX('PEER GROUP'!D:D,MATCH($A452,'PEER GROUP'!$A:$A,0))</f>
        <v>0</v>
      </c>
      <c r="E452" s="83">
        <f>INDEX('PEER GROUP'!E:E,MATCH(A452,'PEER GROUP'!$A:$A,0))</f>
        <v>0</v>
      </c>
      <c r="F452" s="84">
        <f>INDEX('PEER GROUP'!F:F,MATCH($A452,'PEER GROUP'!$A:$A,0))</f>
        <v>0</v>
      </c>
      <c r="G452" s="84">
        <f>INDEX('PEER GROUP'!G:G,MATCH($A452,'PEER GROUP'!$A:$A,0))</f>
        <v>0</v>
      </c>
      <c r="H452" s="85"/>
      <c r="I452" s="85"/>
      <c r="J452" s="70">
        <f>INDEX('PEER GROUP'!K:K,MATCH($A452,'PEER GROUP'!$A:$A,0))</f>
        <v>0</v>
      </c>
      <c r="K452" s="70">
        <f>INDEX('PEER GROUP'!L:L,MATCH($A452,'PEER GROUP'!$A:$A,0))</f>
        <v>0</v>
      </c>
      <c r="L452" s="70">
        <f>INDEX('PEER GROUP'!M:M,MATCH($A452,'PEER GROUP'!$A:$A,0))</f>
        <v>0</v>
      </c>
      <c r="M452" s="86">
        <f>INDEX('PEER GROUP'!N:N,MATCH($A452,'PEER GROUP'!$A:$A,0))</f>
        <v>0</v>
      </c>
      <c r="N452" s="118"/>
      <c r="O452" s="115"/>
      <c r="P452" s="117"/>
      <c r="Q452" s="87"/>
      <c r="R452" s="87">
        <f t="shared" si="128"/>
        <v>0</v>
      </c>
      <c r="S452" s="87"/>
      <c r="T452" s="87"/>
      <c r="U452" s="87"/>
      <c r="V452" s="87">
        <f t="shared" si="129"/>
        <v>0</v>
      </c>
      <c r="W452" s="113">
        <f t="shared" si="126"/>
        <v>36.913096727263202</v>
      </c>
      <c r="X452" s="69">
        <f t="shared" si="130"/>
        <v>0</v>
      </c>
      <c r="Y452" s="70">
        <f t="shared" si="131"/>
        <v>0</v>
      </c>
      <c r="Z452" s="70">
        <f t="shared" si="132"/>
        <v>0</v>
      </c>
      <c r="AA452" s="70">
        <f t="shared" si="133"/>
        <v>0</v>
      </c>
      <c r="AB452" s="70">
        <f t="shared" si="134"/>
        <v>0</v>
      </c>
      <c r="AC452" s="70">
        <f t="shared" si="135"/>
        <v>0</v>
      </c>
      <c r="AD452" s="71">
        <f t="shared" si="136"/>
        <v>0</v>
      </c>
      <c r="AE452" s="49"/>
      <c r="AF452" s="21"/>
      <c r="AG452" s="69"/>
      <c r="AH452" s="70"/>
      <c r="AI452" s="70"/>
      <c r="AJ452" s="70"/>
      <c r="AK452" s="70"/>
      <c r="AL452" s="70"/>
      <c r="AM452" s="70"/>
      <c r="AN452" s="70" t="str">
        <f t="shared" si="137"/>
        <v>---</v>
      </c>
      <c r="AO452" s="70" t="str">
        <f t="shared" si="138"/>
        <v>---</v>
      </c>
      <c r="AP452" s="70" t="str">
        <f t="shared" si="139"/>
        <v>---</v>
      </c>
      <c r="AQ452" s="70" t="str">
        <f t="shared" si="140"/>
        <v>---</v>
      </c>
      <c r="AR452" s="70" t="str">
        <f t="shared" si="141"/>
        <v>---</v>
      </c>
      <c r="AS452" s="70" t="str">
        <f t="shared" si="142"/>
        <v>---</v>
      </c>
      <c r="AT452" s="71" t="str">
        <f t="shared" si="143"/>
        <v>---</v>
      </c>
    </row>
    <row r="453" spans="1:46" ht="30" customHeight="1" x14ac:dyDescent="0.3">
      <c r="A453" s="123">
        <f t="shared" si="127"/>
        <v>449</v>
      </c>
      <c r="B453" s="140">
        <f>INDEX('PEER GROUP'!B:B,MATCH($A453,'PEER GROUP'!$A:$A,0))</f>
        <v>0</v>
      </c>
      <c r="C453" s="83">
        <f>INDEX('PEER GROUP'!C:C,MATCH($A453,'PEER GROUP'!$A:$A,0))</f>
        <v>0</v>
      </c>
      <c r="D453" s="83">
        <f>INDEX('PEER GROUP'!D:D,MATCH($A453,'PEER GROUP'!$A:$A,0))</f>
        <v>0</v>
      </c>
      <c r="E453" s="83">
        <f>INDEX('PEER GROUP'!E:E,MATCH(A453,'PEER GROUP'!$A:$A,0))</f>
        <v>0</v>
      </c>
      <c r="F453" s="84">
        <f>INDEX('PEER GROUP'!F:F,MATCH($A453,'PEER GROUP'!$A:$A,0))</f>
        <v>0</v>
      </c>
      <c r="G453" s="84">
        <f>INDEX('PEER GROUP'!G:G,MATCH($A453,'PEER GROUP'!$A:$A,0))</f>
        <v>0</v>
      </c>
      <c r="H453" s="85"/>
      <c r="I453" s="85"/>
      <c r="J453" s="70">
        <f>INDEX('PEER GROUP'!K:K,MATCH($A453,'PEER GROUP'!$A:$A,0))</f>
        <v>0</v>
      </c>
      <c r="K453" s="70">
        <f>INDEX('PEER GROUP'!L:L,MATCH($A453,'PEER GROUP'!$A:$A,0))</f>
        <v>0</v>
      </c>
      <c r="L453" s="70">
        <f>INDEX('PEER GROUP'!M:M,MATCH($A453,'PEER GROUP'!$A:$A,0))</f>
        <v>0</v>
      </c>
      <c r="M453" s="86">
        <f>INDEX('PEER GROUP'!N:N,MATCH($A453,'PEER GROUP'!$A:$A,0))</f>
        <v>0</v>
      </c>
      <c r="N453" s="118"/>
      <c r="O453" s="115"/>
      <c r="P453" s="117"/>
      <c r="Q453" s="87"/>
      <c r="R453" s="87">
        <f t="shared" si="128"/>
        <v>0</v>
      </c>
      <c r="S453" s="87"/>
      <c r="T453" s="87"/>
      <c r="U453" s="87"/>
      <c r="V453" s="87">
        <f t="shared" si="129"/>
        <v>0</v>
      </c>
      <c r="W453" s="113">
        <f t="shared" si="126"/>
        <v>36.913096727263202</v>
      </c>
      <c r="X453" s="69">
        <f t="shared" si="130"/>
        <v>0</v>
      </c>
      <c r="Y453" s="70">
        <f t="shared" si="131"/>
        <v>0</v>
      </c>
      <c r="Z453" s="70">
        <f t="shared" si="132"/>
        <v>0</v>
      </c>
      <c r="AA453" s="70">
        <f t="shared" si="133"/>
        <v>0</v>
      </c>
      <c r="AB453" s="70">
        <f t="shared" si="134"/>
        <v>0</v>
      </c>
      <c r="AC453" s="70">
        <f t="shared" si="135"/>
        <v>0</v>
      </c>
      <c r="AD453" s="71">
        <f t="shared" si="136"/>
        <v>0</v>
      </c>
      <c r="AE453" s="49"/>
      <c r="AF453" s="21"/>
      <c r="AG453" s="69"/>
      <c r="AH453" s="70"/>
      <c r="AI453" s="70"/>
      <c r="AJ453" s="70"/>
      <c r="AK453" s="70"/>
      <c r="AL453" s="70"/>
      <c r="AM453" s="70"/>
      <c r="AN453" s="70" t="str">
        <f t="shared" si="137"/>
        <v>---</v>
      </c>
      <c r="AO453" s="70" t="str">
        <f t="shared" si="138"/>
        <v>---</v>
      </c>
      <c r="AP453" s="70" t="str">
        <f t="shared" si="139"/>
        <v>---</v>
      </c>
      <c r="AQ453" s="70" t="str">
        <f t="shared" si="140"/>
        <v>---</v>
      </c>
      <c r="AR453" s="70" t="str">
        <f t="shared" si="141"/>
        <v>---</v>
      </c>
      <c r="AS453" s="70" t="str">
        <f t="shared" si="142"/>
        <v>---</v>
      </c>
      <c r="AT453" s="71" t="str">
        <f t="shared" si="143"/>
        <v>---</v>
      </c>
    </row>
    <row r="454" spans="1:46" ht="30" customHeight="1" x14ac:dyDescent="0.3">
      <c r="A454" s="123">
        <f t="shared" si="127"/>
        <v>450</v>
      </c>
      <c r="B454" s="140">
        <f>INDEX('PEER GROUP'!B:B,MATCH($A454,'PEER GROUP'!$A:$A,0))</f>
        <v>0</v>
      </c>
      <c r="C454" s="83">
        <f>INDEX('PEER GROUP'!C:C,MATCH($A454,'PEER GROUP'!$A:$A,0))</f>
        <v>0</v>
      </c>
      <c r="D454" s="83">
        <f>INDEX('PEER GROUP'!D:D,MATCH($A454,'PEER GROUP'!$A:$A,0))</f>
        <v>0</v>
      </c>
      <c r="E454" s="83">
        <f>INDEX('PEER GROUP'!E:E,MATCH(A454,'PEER GROUP'!$A:$A,0))</f>
        <v>0</v>
      </c>
      <c r="F454" s="84">
        <f>INDEX('PEER GROUP'!F:F,MATCH($A454,'PEER GROUP'!$A:$A,0))</f>
        <v>0</v>
      </c>
      <c r="G454" s="84">
        <f>INDEX('PEER GROUP'!G:G,MATCH($A454,'PEER GROUP'!$A:$A,0))</f>
        <v>0</v>
      </c>
      <c r="H454" s="85"/>
      <c r="I454" s="85"/>
      <c r="J454" s="70">
        <f>INDEX('PEER GROUP'!K:K,MATCH($A454,'PEER GROUP'!$A:$A,0))</f>
        <v>0</v>
      </c>
      <c r="K454" s="70">
        <f>INDEX('PEER GROUP'!L:L,MATCH($A454,'PEER GROUP'!$A:$A,0))</f>
        <v>0</v>
      </c>
      <c r="L454" s="70">
        <f>INDEX('PEER GROUP'!M:M,MATCH($A454,'PEER GROUP'!$A:$A,0))</f>
        <v>0</v>
      </c>
      <c r="M454" s="86">
        <f>INDEX('PEER GROUP'!N:N,MATCH($A454,'PEER GROUP'!$A:$A,0))</f>
        <v>0</v>
      </c>
      <c r="N454" s="118"/>
      <c r="O454" s="115"/>
      <c r="P454" s="117"/>
      <c r="Q454" s="87"/>
      <c r="R454" s="87">
        <f t="shared" si="128"/>
        <v>0</v>
      </c>
      <c r="S454" s="87"/>
      <c r="T454" s="87"/>
      <c r="U454" s="87"/>
      <c r="V454" s="87">
        <f t="shared" si="129"/>
        <v>0</v>
      </c>
      <c r="W454" s="113">
        <f t="shared" si="126"/>
        <v>36.913096727263202</v>
      </c>
      <c r="X454" s="69">
        <f t="shared" si="130"/>
        <v>0</v>
      </c>
      <c r="Y454" s="70">
        <f t="shared" si="131"/>
        <v>0</v>
      </c>
      <c r="Z454" s="70">
        <f t="shared" si="132"/>
        <v>0</v>
      </c>
      <c r="AA454" s="70">
        <f t="shared" si="133"/>
        <v>0</v>
      </c>
      <c r="AB454" s="70">
        <f t="shared" si="134"/>
        <v>0</v>
      </c>
      <c r="AC454" s="70">
        <f t="shared" si="135"/>
        <v>0</v>
      </c>
      <c r="AD454" s="71">
        <f t="shared" si="136"/>
        <v>0</v>
      </c>
      <c r="AE454" s="49"/>
      <c r="AF454" s="21"/>
      <c r="AG454" s="69"/>
      <c r="AH454" s="70"/>
      <c r="AI454" s="70"/>
      <c r="AJ454" s="70"/>
      <c r="AK454" s="70"/>
      <c r="AL454" s="70"/>
      <c r="AM454" s="70"/>
      <c r="AN454" s="70" t="str">
        <f t="shared" si="137"/>
        <v>---</v>
      </c>
      <c r="AO454" s="70" t="str">
        <f t="shared" si="138"/>
        <v>---</v>
      </c>
      <c r="AP454" s="70" t="str">
        <f t="shared" si="139"/>
        <v>---</v>
      </c>
      <c r="AQ454" s="70" t="str">
        <f t="shared" si="140"/>
        <v>---</v>
      </c>
      <c r="AR454" s="70" t="str">
        <f t="shared" si="141"/>
        <v>---</v>
      </c>
      <c r="AS454" s="70" t="str">
        <f t="shared" si="142"/>
        <v>---</v>
      </c>
      <c r="AT454" s="71" t="str">
        <f t="shared" si="143"/>
        <v>---</v>
      </c>
    </row>
    <row r="455" spans="1:46" ht="30" customHeight="1" x14ac:dyDescent="0.3">
      <c r="A455" s="123">
        <f t="shared" si="127"/>
        <v>451</v>
      </c>
      <c r="B455" s="140">
        <f>INDEX('PEER GROUP'!B:B,MATCH($A455,'PEER GROUP'!$A:$A,0))</f>
        <v>0</v>
      </c>
      <c r="C455" s="83">
        <f>INDEX('PEER GROUP'!C:C,MATCH($A455,'PEER GROUP'!$A:$A,0))</f>
        <v>0</v>
      </c>
      <c r="D455" s="83">
        <f>INDEX('PEER GROUP'!D:D,MATCH($A455,'PEER GROUP'!$A:$A,0))</f>
        <v>0</v>
      </c>
      <c r="E455" s="83">
        <f>INDEX('PEER GROUP'!E:E,MATCH(A455,'PEER GROUP'!$A:$A,0))</f>
        <v>0</v>
      </c>
      <c r="F455" s="84">
        <f>INDEX('PEER GROUP'!F:F,MATCH($A455,'PEER GROUP'!$A:$A,0))</f>
        <v>0</v>
      </c>
      <c r="G455" s="84">
        <f>INDEX('PEER GROUP'!G:G,MATCH($A455,'PEER GROUP'!$A:$A,0))</f>
        <v>0</v>
      </c>
      <c r="H455" s="85"/>
      <c r="I455" s="85"/>
      <c r="J455" s="70">
        <f>INDEX('PEER GROUP'!K:K,MATCH($A455,'PEER GROUP'!$A:$A,0))</f>
        <v>0</v>
      </c>
      <c r="K455" s="70">
        <f>INDEX('PEER GROUP'!L:L,MATCH($A455,'PEER GROUP'!$A:$A,0))</f>
        <v>0</v>
      </c>
      <c r="L455" s="70">
        <f>INDEX('PEER GROUP'!M:M,MATCH($A455,'PEER GROUP'!$A:$A,0))</f>
        <v>0</v>
      </c>
      <c r="M455" s="86">
        <f>INDEX('PEER GROUP'!N:N,MATCH($A455,'PEER GROUP'!$A:$A,0))</f>
        <v>0</v>
      </c>
      <c r="N455" s="118"/>
      <c r="O455" s="115"/>
      <c r="P455" s="117"/>
      <c r="Q455" s="87"/>
      <c r="R455" s="87">
        <f t="shared" si="128"/>
        <v>0</v>
      </c>
      <c r="S455" s="87"/>
      <c r="T455" s="87"/>
      <c r="U455" s="87"/>
      <c r="V455" s="87">
        <f t="shared" si="129"/>
        <v>0</v>
      </c>
      <c r="W455" s="113">
        <f t="shared" si="126"/>
        <v>36.913096727263202</v>
      </c>
      <c r="X455" s="69">
        <f t="shared" si="130"/>
        <v>0</v>
      </c>
      <c r="Y455" s="70">
        <f t="shared" si="131"/>
        <v>0</v>
      </c>
      <c r="Z455" s="70">
        <f t="shared" si="132"/>
        <v>0</v>
      </c>
      <c r="AA455" s="70">
        <f t="shared" si="133"/>
        <v>0</v>
      </c>
      <c r="AB455" s="70">
        <f t="shared" si="134"/>
        <v>0</v>
      </c>
      <c r="AC455" s="70">
        <f t="shared" si="135"/>
        <v>0</v>
      </c>
      <c r="AD455" s="71">
        <f t="shared" si="136"/>
        <v>0</v>
      </c>
      <c r="AE455" s="49"/>
      <c r="AF455" s="21"/>
      <c r="AG455" s="69"/>
      <c r="AH455" s="70"/>
      <c r="AI455" s="70"/>
      <c r="AJ455" s="70"/>
      <c r="AK455" s="70"/>
      <c r="AL455" s="70"/>
      <c r="AM455" s="70"/>
      <c r="AN455" s="70" t="str">
        <f t="shared" si="137"/>
        <v>---</v>
      </c>
      <c r="AO455" s="70" t="str">
        <f t="shared" si="138"/>
        <v>---</v>
      </c>
      <c r="AP455" s="70" t="str">
        <f t="shared" si="139"/>
        <v>---</v>
      </c>
      <c r="AQ455" s="70" t="str">
        <f t="shared" si="140"/>
        <v>---</v>
      </c>
      <c r="AR455" s="70" t="str">
        <f t="shared" si="141"/>
        <v>---</v>
      </c>
      <c r="AS455" s="70" t="str">
        <f t="shared" si="142"/>
        <v>---</v>
      </c>
      <c r="AT455" s="71" t="str">
        <f t="shared" si="143"/>
        <v>---</v>
      </c>
    </row>
    <row r="456" spans="1:46" ht="30" customHeight="1" x14ac:dyDescent="0.3">
      <c r="A456" s="123">
        <f t="shared" si="127"/>
        <v>452</v>
      </c>
      <c r="B456" s="140">
        <f>INDEX('PEER GROUP'!B:B,MATCH($A456,'PEER GROUP'!$A:$A,0))</f>
        <v>0</v>
      </c>
      <c r="C456" s="83">
        <f>INDEX('PEER GROUP'!C:C,MATCH($A456,'PEER GROUP'!$A:$A,0))</f>
        <v>0</v>
      </c>
      <c r="D456" s="83">
        <f>INDEX('PEER GROUP'!D:D,MATCH($A456,'PEER GROUP'!$A:$A,0))</f>
        <v>0</v>
      </c>
      <c r="E456" s="83">
        <f>INDEX('PEER GROUP'!E:E,MATCH(A456,'PEER GROUP'!$A:$A,0))</f>
        <v>0</v>
      </c>
      <c r="F456" s="84">
        <f>INDEX('PEER GROUP'!F:F,MATCH($A456,'PEER GROUP'!$A:$A,0))</f>
        <v>0</v>
      </c>
      <c r="G456" s="84">
        <f>INDEX('PEER GROUP'!G:G,MATCH($A456,'PEER GROUP'!$A:$A,0))</f>
        <v>0</v>
      </c>
      <c r="H456" s="85"/>
      <c r="I456" s="85"/>
      <c r="J456" s="70">
        <f>INDEX('PEER GROUP'!K:K,MATCH($A456,'PEER GROUP'!$A:$A,0))</f>
        <v>0</v>
      </c>
      <c r="K456" s="70">
        <f>INDEX('PEER GROUP'!L:L,MATCH($A456,'PEER GROUP'!$A:$A,0))</f>
        <v>0</v>
      </c>
      <c r="L456" s="70">
        <f>INDEX('PEER GROUP'!M:M,MATCH($A456,'PEER GROUP'!$A:$A,0))</f>
        <v>0</v>
      </c>
      <c r="M456" s="86">
        <f>INDEX('PEER GROUP'!N:N,MATCH($A456,'PEER GROUP'!$A:$A,0))</f>
        <v>0</v>
      </c>
      <c r="N456" s="118"/>
      <c r="O456" s="115"/>
      <c r="P456" s="117"/>
      <c r="Q456" s="87"/>
      <c r="R456" s="87">
        <f t="shared" si="128"/>
        <v>0</v>
      </c>
      <c r="S456" s="87"/>
      <c r="T456" s="87"/>
      <c r="U456" s="87"/>
      <c r="V456" s="87">
        <f t="shared" si="129"/>
        <v>0</v>
      </c>
      <c r="W456" s="113">
        <f t="shared" si="126"/>
        <v>36.913096727263202</v>
      </c>
      <c r="X456" s="69">
        <f t="shared" si="130"/>
        <v>0</v>
      </c>
      <c r="Y456" s="70">
        <f t="shared" si="131"/>
        <v>0</v>
      </c>
      <c r="Z456" s="70">
        <f t="shared" si="132"/>
        <v>0</v>
      </c>
      <c r="AA456" s="70">
        <f t="shared" si="133"/>
        <v>0</v>
      </c>
      <c r="AB456" s="70">
        <f t="shared" si="134"/>
        <v>0</v>
      </c>
      <c r="AC456" s="70">
        <f t="shared" si="135"/>
        <v>0</v>
      </c>
      <c r="AD456" s="71">
        <f t="shared" si="136"/>
        <v>0</v>
      </c>
      <c r="AE456" s="49"/>
      <c r="AF456" s="21"/>
      <c r="AG456" s="69"/>
      <c r="AH456" s="70"/>
      <c r="AI456" s="70"/>
      <c r="AJ456" s="70"/>
      <c r="AK456" s="70"/>
      <c r="AL456" s="70"/>
      <c r="AM456" s="70"/>
      <c r="AN456" s="70" t="str">
        <f t="shared" si="137"/>
        <v>---</v>
      </c>
      <c r="AO456" s="70" t="str">
        <f t="shared" si="138"/>
        <v>---</v>
      </c>
      <c r="AP456" s="70" t="str">
        <f t="shared" si="139"/>
        <v>---</v>
      </c>
      <c r="AQ456" s="70" t="str">
        <f t="shared" si="140"/>
        <v>---</v>
      </c>
      <c r="AR456" s="70" t="str">
        <f t="shared" si="141"/>
        <v>---</v>
      </c>
      <c r="AS456" s="70" t="str">
        <f t="shared" si="142"/>
        <v>---</v>
      </c>
      <c r="AT456" s="71" t="str">
        <f t="shared" si="143"/>
        <v>---</v>
      </c>
    </row>
    <row r="457" spans="1:46" ht="30" customHeight="1" x14ac:dyDescent="0.3">
      <c r="A457" s="123">
        <f t="shared" si="127"/>
        <v>453</v>
      </c>
      <c r="B457" s="140">
        <f>INDEX('PEER GROUP'!B:B,MATCH($A457,'PEER GROUP'!$A:$A,0))</f>
        <v>0</v>
      </c>
      <c r="C457" s="83">
        <f>INDEX('PEER GROUP'!C:C,MATCH($A457,'PEER GROUP'!$A:$A,0))</f>
        <v>0</v>
      </c>
      <c r="D457" s="83">
        <f>INDEX('PEER GROUP'!D:D,MATCH($A457,'PEER GROUP'!$A:$A,0))</f>
        <v>0</v>
      </c>
      <c r="E457" s="83">
        <f>INDEX('PEER GROUP'!E:E,MATCH(A457,'PEER GROUP'!$A:$A,0))</f>
        <v>0</v>
      </c>
      <c r="F457" s="84">
        <f>INDEX('PEER GROUP'!F:F,MATCH($A457,'PEER GROUP'!$A:$A,0))</f>
        <v>0</v>
      </c>
      <c r="G457" s="84">
        <f>INDEX('PEER GROUP'!G:G,MATCH($A457,'PEER GROUP'!$A:$A,0))</f>
        <v>0</v>
      </c>
      <c r="H457" s="85"/>
      <c r="I457" s="85"/>
      <c r="J457" s="70">
        <f>INDEX('PEER GROUP'!K:K,MATCH($A457,'PEER GROUP'!$A:$A,0))</f>
        <v>0</v>
      </c>
      <c r="K457" s="70">
        <f>INDEX('PEER GROUP'!L:L,MATCH($A457,'PEER GROUP'!$A:$A,0))</f>
        <v>0</v>
      </c>
      <c r="L457" s="70">
        <f>INDEX('PEER GROUP'!M:M,MATCH($A457,'PEER GROUP'!$A:$A,0))</f>
        <v>0</v>
      </c>
      <c r="M457" s="86">
        <f>INDEX('PEER GROUP'!N:N,MATCH($A457,'PEER GROUP'!$A:$A,0))</f>
        <v>0</v>
      </c>
      <c r="N457" s="118"/>
      <c r="O457" s="115"/>
      <c r="P457" s="117"/>
      <c r="Q457" s="87"/>
      <c r="R457" s="87">
        <f t="shared" si="128"/>
        <v>0</v>
      </c>
      <c r="S457" s="87"/>
      <c r="T457" s="87"/>
      <c r="U457" s="87"/>
      <c r="V457" s="87">
        <f t="shared" si="129"/>
        <v>0</v>
      </c>
      <c r="W457" s="113">
        <f t="shared" si="126"/>
        <v>36.913096727263202</v>
      </c>
      <c r="X457" s="69">
        <f t="shared" si="130"/>
        <v>0</v>
      </c>
      <c r="Y457" s="70">
        <f t="shared" si="131"/>
        <v>0</v>
      </c>
      <c r="Z457" s="70">
        <f t="shared" si="132"/>
        <v>0</v>
      </c>
      <c r="AA457" s="70">
        <f t="shared" si="133"/>
        <v>0</v>
      </c>
      <c r="AB457" s="70">
        <f t="shared" si="134"/>
        <v>0</v>
      </c>
      <c r="AC457" s="70">
        <f t="shared" si="135"/>
        <v>0</v>
      </c>
      <c r="AD457" s="71">
        <f t="shared" si="136"/>
        <v>0</v>
      </c>
      <c r="AE457" s="49"/>
      <c r="AF457" s="21"/>
      <c r="AG457" s="69"/>
      <c r="AH457" s="70"/>
      <c r="AI457" s="70"/>
      <c r="AJ457" s="70"/>
      <c r="AK457" s="70"/>
      <c r="AL457" s="70"/>
      <c r="AM457" s="70"/>
      <c r="AN457" s="70" t="str">
        <f t="shared" si="137"/>
        <v>---</v>
      </c>
      <c r="AO457" s="70" t="str">
        <f t="shared" si="138"/>
        <v>---</v>
      </c>
      <c r="AP457" s="70" t="str">
        <f t="shared" si="139"/>
        <v>---</v>
      </c>
      <c r="AQ457" s="70" t="str">
        <f t="shared" si="140"/>
        <v>---</v>
      </c>
      <c r="AR457" s="70" t="str">
        <f t="shared" si="141"/>
        <v>---</v>
      </c>
      <c r="AS457" s="70" t="str">
        <f t="shared" si="142"/>
        <v>---</v>
      </c>
      <c r="AT457" s="71" t="str">
        <f t="shared" si="143"/>
        <v>---</v>
      </c>
    </row>
    <row r="458" spans="1:46" ht="30" customHeight="1" x14ac:dyDescent="0.3">
      <c r="A458" s="123">
        <f t="shared" si="127"/>
        <v>454</v>
      </c>
      <c r="B458" s="140">
        <f>INDEX('PEER GROUP'!B:B,MATCH($A458,'PEER GROUP'!$A:$A,0))</f>
        <v>0</v>
      </c>
      <c r="C458" s="83">
        <f>INDEX('PEER GROUP'!C:C,MATCH($A458,'PEER GROUP'!$A:$A,0))</f>
        <v>0</v>
      </c>
      <c r="D458" s="83">
        <f>INDEX('PEER GROUP'!D:D,MATCH($A458,'PEER GROUP'!$A:$A,0))</f>
        <v>0</v>
      </c>
      <c r="E458" s="83">
        <f>INDEX('PEER GROUP'!E:E,MATCH(A458,'PEER GROUP'!$A:$A,0))</f>
        <v>0</v>
      </c>
      <c r="F458" s="84">
        <f>INDEX('PEER GROUP'!F:F,MATCH($A458,'PEER GROUP'!$A:$A,0))</f>
        <v>0</v>
      </c>
      <c r="G458" s="84">
        <f>INDEX('PEER GROUP'!G:G,MATCH($A458,'PEER GROUP'!$A:$A,0))</f>
        <v>0</v>
      </c>
      <c r="H458" s="85"/>
      <c r="I458" s="85"/>
      <c r="J458" s="70">
        <f>INDEX('PEER GROUP'!K:K,MATCH($A458,'PEER GROUP'!$A:$A,0))</f>
        <v>0</v>
      </c>
      <c r="K458" s="70">
        <f>INDEX('PEER GROUP'!L:L,MATCH($A458,'PEER GROUP'!$A:$A,0))</f>
        <v>0</v>
      </c>
      <c r="L458" s="70">
        <f>INDEX('PEER GROUP'!M:M,MATCH($A458,'PEER GROUP'!$A:$A,0))</f>
        <v>0</v>
      </c>
      <c r="M458" s="86">
        <f>INDEX('PEER GROUP'!N:N,MATCH($A458,'PEER GROUP'!$A:$A,0))</f>
        <v>0</v>
      </c>
      <c r="N458" s="118"/>
      <c r="O458" s="115"/>
      <c r="P458" s="117"/>
      <c r="Q458" s="87"/>
      <c r="R458" s="87">
        <f t="shared" si="128"/>
        <v>0</v>
      </c>
      <c r="S458" s="87"/>
      <c r="T458" s="87"/>
      <c r="U458" s="87"/>
      <c r="V458" s="87">
        <f t="shared" si="129"/>
        <v>0</v>
      </c>
      <c r="W458" s="113">
        <f t="shared" si="126"/>
        <v>36.913096727263202</v>
      </c>
      <c r="X458" s="69">
        <f t="shared" si="130"/>
        <v>0</v>
      </c>
      <c r="Y458" s="70">
        <f t="shared" si="131"/>
        <v>0</v>
      </c>
      <c r="Z458" s="70">
        <f t="shared" si="132"/>
        <v>0</v>
      </c>
      <c r="AA458" s="70">
        <f t="shared" si="133"/>
        <v>0</v>
      </c>
      <c r="AB458" s="70">
        <f t="shared" si="134"/>
        <v>0</v>
      </c>
      <c r="AC458" s="70">
        <f t="shared" si="135"/>
        <v>0</v>
      </c>
      <c r="AD458" s="71">
        <f t="shared" si="136"/>
        <v>0</v>
      </c>
      <c r="AE458" s="49"/>
      <c r="AF458" s="21"/>
      <c r="AG458" s="69"/>
      <c r="AH458" s="70"/>
      <c r="AI458" s="70"/>
      <c r="AJ458" s="70"/>
      <c r="AK458" s="70"/>
      <c r="AL458" s="70"/>
      <c r="AM458" s="70"/>
      <c r="AN458" s="70" t="str">
        <f t="shared" si="137"/>
        <v>---</v>
      </c>
      <c r="AO458" s="70" t="str">
        <f t="shared" si="138"/>
        <v>---</v>
      </c>
      <c r="AP458" s="70" t="str">
        <f t="shared" si="139"/>
        <v>---</v>
      </c>
      <c r="AQ458" s="70" t="str">
        <f t="shared" si="140"/>
        <v>---</v>
      </c>
      <c r="AR458" s="70" t="str">
        <f t="shared" si="141"/>
        <v>---</v>
      </c>
      <c r="AS458" s="70" t="str">
        <f t="shared" si="142"/>
        <v>---</v>
      </c>
      <c r="AT458" s="71" t="str">
        <f t="shared" si="143"/>
        <v>---</v>
      </c>
    </row>
    <row r="459" spans="1:46" ht="30" customHeight="1" x14ac:dyDescent="0.3">
      <c r="A459" s="123">
        <f t="shared" si="127"/>
        <v>455</v>
      </c>
      <c r="B459" s="140">
        <f>INDEX('PEER GROUP'!B:B,MATCH($A459,'PEER GROUP'!$A:$A,0))</f>
        <v>0</v>
      </c>
      <c r="C459" s="83">
        <f>INDEX('PEER GROUP'!C:C,MATCH($A459,'PEER GROUP'!$A:$A,0))</f>
        <v>0</v>
      </c>
      <c r="D459" s="83">
        <f>INDEX('PEER GROUP'!D:D,MATCH($A459,'PEER GROUP'!$A:$A,0))</f>
        <v>0</v>
      </c>
      <c r="E459" s="83">
        <f>INDEX('PEER GROUP'!E:E,MATCH(A459,'PEER GROUP'!$A:$A,0))</f>
        <v>0</v>
      </c>
      <c r="F459" s="84">
        <f>INDEX('PEER GROUP'!F:F,MATCH($A459,'PEER GROUP'!$A:$A,0))</f>
        <v>0</v>
      </c>
      <c r="G459" s="84">
        <f>INDEX('PEER GROUP'!G:G,MATCH($A459,'PEER GROUP'!$A:$A,0))</f>
        <v>0</v>
      </c>
      <c r="H459" s="85"/>
      <c r="I459" s="85"/>
      <c r="J459" s="70">
        <f>INDEX('PEER GROUP'!K:K,MATCH($A459,'PEER GROUP'!$A:$A,0))</f>
        <v>0</v>
      </c>
      <c r="K459" s="70">
        <f>INDEX('PEER GROUP'!L:L,MATCH($A459,'PEER GROUP'!$A:$A,0))</f>
        <v>0</v>
      </c>
      <c r="L459" s="70">
        <f>INDEX('PEER GROUP'!M:M,MATCH($A459,'PEER GROUP'!$A:$A,0))</f>
        <v>0</v>
      </c>
      <c r="M459" s="86">
        <f>INDEX('PEER GROUP'!N:N,MATCH($A459,'PEER GROUP'!$A:$A,0))</f>
        <v>0</v>
      </c>
      <c r="N459" s="118"/>
      <c r="O459" s="115"/>
      <c r="P459" s="117"/>
      <c r="Q459" s="87"/>
      <c r="R459" s="87">
        <f t="shared" si="128"/>
        <v>0</v>
      </c>
      <c r="S459" s="87"/>
      <c r="T459" s="87"/>
      <c r="U459" s="87"/>
      <c r="V459" s="87">
        <f t="shared" si="129"/>
        <v>0</v>
      </c>
      <c r="W459" s="113">
        <f t="shared" si="126"/>
        <v>36.913096727263202</v>
      </c>
      <c r="X459" s="69">
        <f t="shared" si="130"/>
        <v>0</v>
      </c>
      <c r="Y459" s="70">
        <f t="shared" si="131"/>
        <v>0</v>
      </c>
      <c r="Z459" s="70">
        <f t="shared" si="132"/>
        <v>0</v>
      </c>
      <c r="AA459" s="70">
        <f t="shared" si="133"/>
        <v>0</v>
      </c>
      <c r="AB459" s="70">
        <f t="shared" si="134"/>
        <v>0</v>
      </c>
      <c r="AC459" s="70">
        <f t="shared" si="135"/>
        <v>0</v>
      </c>
      <c r="AD459" s="71">
        <f t="shared" si="136"/>
        <v>0</v>
      </c>
      <c r="AE459" s="49"/>
      <c r="AF459" s="21"/>
      <c r="AG459" s="69"/>
      <c r="AH459" s="70"/>
      <c r="AI459" s="70"/>
      <c r="AJ459" s="70"/>
      <c r="AK459" s="70"/>
      <c r="AL459" s="70"/>
      <c r="AM459" s="70"/>
      <c r="AN459" s="70" t="str">
        <f t="shared" si="137"/>
        <v>---</v>
      </c>
      <c r="AO459" s="70" t="str">
        <f t="shared" si="138"/>
        <v>---</v>
      </c>
      <c r="AP459" s="70" t="str">
        <f t="shared" si="139"/>
        <v>---</v>
      </c>
      <c r="AQ459" s="70" t="str">
        <f t="shared" si="140"/>
        <v>---</v>
      </c>
      <c r="AR459" s="70" t="str">
        <f t="shared" si="141"/>
        <v>---</v>
      </c>
      <c r="AS459" s="70" t="str">
        <f t="shared" si="142"/>
        <v>---</v>
      </c>
      <c r="AT459" s="71" t="str">
        <f t="shared" si="143"/>
        <v>---</v>
      </c>
    </row>
    <row r="460" spans="1:46" ht="30" customHeight="1" x14ac:dyDescent="0.3">
      <c r="A460" s="123">
        <f t="shared" si="127"/>
        <v>456</v>
      </c>
      <c r="B460" s="140">
        <f>INDEX('PEER GROUP'!B:B,MATCH($A460,'PEER GROUP'!$A:$A,0))</f>
        <v>0</v>
      </c>
      <c r="C460" s="83">
        <f>INDEX('PEER GROUP'!C:C,MATCH($A460,'PEER GROUP'!$A:$A,0))</f>
        <v>0</v>
      </c>
      <c r="D460" s="83">
        <f>INDEX('PEER GROUP'!D:D,MATCH($A460,'PEER GROUP'!$A:$A,0))</f>
        <v>0</v>
      </c>
      <c r="E460" s="83">
        <f>INDEX('PEER GROUP'!E:E,MATCH(A460,'PEER GROUP'!$A:$A,0))</f>
        <v>0</v>
      </c>
      <c r="F460" s="84">
        <f>INDEX('PEER GROUP'!F:F,MATCH($A460,'PEER GROUP'!$A:$A,0))</f>
        <v>0</v>
      </c>
      <c r="G460" s="84">
        <f>INDEX('PEER GROUP'!G:G,MATCH($A460,'PEER GROUP'!$A:$A,0))</f>
        <v>0</v>
      </c>
      <c r="H460" s="85"/>
      <c r="I460" s="85"/>
      <c r="J460" s="70">
        <f>INDEX('PEER GROUP'!K:K,MATCH($A460,'PEER GROUP'!$A:$A,0))</f>
        <v>0</v>
      </c>
      <c r="K460" s="70">
        <f>INDEX('PEER GROUP'!L:L,MATCH($A460,'PEER GROUP'!$A:$A,0))</f>
        <v>0</v>
      </c>
      <c r="L460" s="70">
        <f>INDEX('PEER GROUP'!M:M,MATCH($A460,'PEER GROUP'!$A:$A,0))</f>
        <v>0</v>
      </c>
      <c r="M460" s="86">
        <f>INDEX('PEER GROUP'!N:N,MATCH($A460,'PEER GROUP'!$A:$A,0))</f>
        <v>0</v>
      </c>
      <c r="N460" s="118"/>
      <c r="O460" s="115"/>
      <c r="P460" s="117"/>
      <c r="Q460" s="87"/>
      <c r="R460" s="87">
        <f t="shared" si="128"/>
        <v>0</v>
      </c>
      <c r="S460" s="87"/>
      <c r="T460" s="87"/>
      <c r="U460" s="87"/>
      <c r="V460" s="87">
        <f t="shared" si="129"/>
        <v>0</v>
      </c>
      <c r="W460" s="113">
        <f t="shared" si="126"/>
        <v>36.913096727263202</v>
      </c>
      <c r="X460" s="69">
        <f t="shared" si="130"/>
        <v>0</v>
      </c>
      <c r="Y460" s="70">
        <f t="shared" si="131"/>
        <v>0</v>
      </c>
      <c r="Z460" s="70">
        <f t="shared" si="132"/>
        <v>0</v>
      </c>
      <c r="AA460" s="70">
        <f t="shared" si="133"/>
        <v>0</v>
      </c>
      <c r="AB460" s="70">
        <f t="shared" si="134"/>
        <v>0</v>
      </c>
      <c r="AC460" s="70">
        <f t="shared" si="135"/>
        <v>0</v>
      </c>
      <c r="AD460" s="71">
        <f t="shared" si="136"/>
        <v>0</v>
      </c>
      <c r="AE460" s="49"/>
      <c r="AF460" s="21"/>
      <c r="AG460" s="69"/>
      <c r="AH460" s="70"/>
      <c r="AI460" s="70"/>
      <c r="AJ460" s="70"/>
      <c r="AK460" s="70"/>
      <c r="AL460" s="70"/>
      <c r="AM460" s="70"/>
      <c r="AN460" s="70" t="str">
        <f t="shared" si="137"/>
        <v>---</v>
      </c>
      <c r="AO460" s="70" t="str">
        <f t="shared" si="138"/>
        <v>---</v>
      </c>
      <c r="AP460" s="70" t="str">
        <f t="shared" si="139"/>
        <v>---</v>
      </c>
      <c r="AQ460" s="70" t="str">
        <f t="shared" si="140"/>
        <v>---</v>
      </c>
      <c r="AR460" s="70" t="str">
        <f t="shared" si="141"/>
        <v>---</v>
      </c>
      <c r="AS460" s="70" t="str">
        <f t="shared" si="142"/>
        <v>---</v>
      </c>
      <c r="AT460" s="71" t="str">
        <f t="shared" si="143"/>
        <v>---</v>
      </c>
    </row>
    <row r="461" spans="1:46" ht="30" customHeight="1" x14ac:dyDescent="0.3">
      <c r="A461" s="123">
        <f t="shared" si="127"/>
        <v>457</v>
      </c>
      <c r="B461" s="140">
        <f>INDEX('PEER GROUP'!B:B,MATCH($A461,'PEER GROUP'!$A:$A,0))</f>
        <v>0</v>
      </c>
      <c r="C461" s="83">
        <f>INDEX('PEER GROUP'!C:C,MATCH($A461,'PEER GROUP'!$A:$A,0))</f>
        <v>0</v>
      </c>
      <c r="D461" s="83">
        <f>INDEX('PEER GROUP'!D:D,MATCH($A461,'PEER GROUP'!$A:$A,0))</f>
        <v>0</v>
      </c>
      <c r="E461" s="83">
        <f>INDEX('PEER GROUP'!E:E,MATCH(A461,'PEER GROUP'!$A:$A,0))</f>
        <v>0</v>
      </c>
      <c r="F461" s="84">
        <f>INDEX('PEER GROUP'!F:F,MATCH($A461,'PEER GROUP'!$A:$A,0))</f>
        <v>0</v>
      </c>
      <c r="G461" s="84">
        <f>INDEX('PEER GROUP'!G:G,MATCH($A461,'PEER GROUP'!$A:$A,0))</f>
        <v>0</v>
      </c>
      <c r="H461" s="85"/>
      <c r="I461" s="85"/>
      <c r="J461" s="70">
        <f>INDEX('PEER GROUP'!K:K,MATCH($A461,'PEER GROUP'!$A:$A,0))</f>
        <v>0</v>
      </c>
      <c r="K461" s="70">
        <f>INDEX('PEER GROUP'!L:L,MATCH($A461,'PEER GROUP'!$A:$A,0))</f>
        <v>0</v>
      </c>
      <c r="L461" s="70">
        <f>INDEX('PEER GROUP'!M:M,MATCH($A461,'PEER GROUP'!$A:$A,0))</f>
        <v>0</v>
      </c>
      <c r="M461" s="86">
        <f>INDEX('PEER GROUP'!N:N,MATCH($A461,'PEER GROUP'!$A:$A,0))</f>
        <v>0</v>
      </c>
      <c r="N461" s="118"/>
      <c r="O461" s="115"/>
      <c r="P461" s="117"/>
      <c r="Q461" s="87"/>
      <c r="R461" s="87">
        <f t="shared" si="128"/>
        <v>0</v>
      </c>
      <c r="S461" s="87"/>
      <c r="T461" s="87"/>
      <c r="U461" s="87"/>
      <c r="V461" s="87">
        <f t="shared" si="129"/>
        <v>0</v>
      </c>
      <c r="W461" s="113">
        <f t="shared" si="126"/>
        <v>36.913096727263202</v>
      </c>
      <c r="X461" s="69">
        <f t="shared" si="130"/>
        <v>0</v>
      </c>
      <c r="Y461" s="70">
        <f t="shared" si="131"/>
        <v>0</v>
      </c>
      <c r="Z461" s="70">
        <f t="shared" si="132"/>
        <v>0</v>
      </c>
      <c r="AA461" s="70">
        <f t="shared" si="133"/>
        <v>0</v>
      </c>
      <c r="AB461" s="70">
        <f t="shared" si="134"/>
        <v>0</v>
      </c>
      <c r="AC461" s="70">
        <f t="shared" si="135"/>
        <v>0</v>
      </c>
      <c r="AD461" s="71">
        <f t="shared" si="136"/>
        <v>0</v>
      </c>
      <c r="AE461" s="49"/>
      <c r="AF461" s="21"/>
      <c r="AG461" s="69"/>
      <c r="AH461" s="70"/>
      <c r="AI461" s="70"/>
      <c r="AJ461" s="70"/>
      <c r="AK461" s="70"/>
      <c r="AL461" s="70"/>
      <c r="AM461" s="70"/>
      <c r="AN461" s="70" t="str">
        <f t="shared" si="137"/>
        <v>---</v>
      </c>
      <c r="AO461" s="70" t="str">
        <f t="shared" si="138"/>
        <v>---</v>
      </c>
      <c r="AP461" s="70" t="str">
        <f t="shared" si="139"/>
        <v>---</v>
      </c>
      <c r="AQ461" s="70" t="str">
        <f t="shared" si="140"/>
        <v>---</v>
      </c>
      <c r="AR461" s="70" t="str">
        <f t="shared" si="141"/>
        <v>---</v>
      </c>
      <c r="AS461" s="70" t="str">
        <f t="shared" si="142"/>
        <v>---</v>
      </c>
      <c r="AT461" s="71" t="str">
        <f t="shared" si="143"/>
        <v>---</v>
      </c>
    </row>
    <row r="462" spans="1:46" ht="30" customHeight="1" x14ac:dyDescent="0.3">
      <c r="A462" s="123">
        <f t="shared" si="127"/>
        <v>458</v>
      </c>
      <c r="B462" s="140">
        <f>INDEX('PEER GROUP'!B:B,MATCH($A462,'PEER GROUP'!$A:$A,0))</f>
        <v>0</v>
      </c>
      <c r="C462" s="83">
        <f>INDEX('PEER GROUP'!C:C,MATCH($A462,'PEER GROUP'!$A:$A,0))</f>
        <v>0</v>
      </c>
      <c r="D462" s="83">
        <f>INDEX('PEER GROUP'!D:D,MATCH($A462,'PEER GROUP'!$A:$A,0))</f>
        <v>0</v>
      </c>
      <c r="E462" s="83">
        <f>INDEX('PEER GROUP'!E:E,MATCH(A462,'PEER GROUP'!$A:$A,0))</f>
        <v>0</v>
      </c>
      <c r="F462" s="84">
        <f>INDEX('PEER GROUP'!F:F,MATCH($A462,'PEER GROUP'!$A:$A,0))</f>
        <v>0</v>
      </c>
      <c r="G462" s="84">
        <f>INDEX('PEER GROUP'!G:G,MATCH($A462,'PEER GROUP'!$A:$A,0))</f>
        <v>0</v>
      </c>
      <c r="H462" s="85"/>
      <c r="I462" s="85"/>
      <c r="J462" s="70">
        <f>INDEX('PEER GROUP'!K:K,MATCH($A462,'PEER GROUP'!$A:$A,0))</f>
        <v>0</v>
      </c>
      <c r="K462" s="70">
        <f>INDEX('PEER GROUP'!L:L,MATCH($A462,'PEER GROUP'!$A:$A,0))</f>
        <v>0</v>
      </c>
      <c r="L462" s="70">
        <f>INDEX('PEER GROUP'!M:M,MATCH($A462,'PEER GROUP'!$A:$A,0))</f>
        <v>0</v>
      </c>
      <c r="M462" s="86">
        <f>INDEX('PEER GROUP'!N:N,MATCH($A462,'PEER GROUP'!$A:$A,0))</f>
        <v>0</v>
      </c>
      <c r="N462" s="118"/>
      <c r="O462" s="115"/>
      <c r="P462" s="117"/>
      <c r="Q462" s="87"/>
      <c r="R462" s="87">
        <f t="shared" si="128"/>
        <v>0</v>
      </c>
      <c r="S462" s="87"/>
      <c r="T462" s="87"/>
      <c r="U462" s="87"/>
      <c r="V462" s="87">
        <f t="shared" si="129"/>
        <v>0</v>
      </c>
      <c r="W462" s="113">
        <f t="shared" si="126"/>
        <v>36.913096727263202</v>
      </c>
      <c r="X462" s="69">
        <f t="shared" si="130"/>
        <v>0</v>
      </c>
      <c r="Y462" s="70">
        <f t="shared" si="131"/>
        <v>0</v>
      </c>
      <c r="Z462" s="70">
        <f t="shared" si="132"/>
        <v>0</v>
      </c>
      <c r="AA462" s="70">
        <f t="shared" si="133"/>
        <v>0</v>
      </c>
      <c r="AB462" s="70">
        <f t="shared" si="134"/>
        <v>0</v>
      </c>
      <c r="AC462" s="70">
        <f t="shared" si="135"/>
        <v>0</v>
      </c>
      <c r="AD462" s="71">
        <f t="shared" si="136"/>
        <v>0</v>
      </c>
      <c r="AE462" s="49"/>
      <c r="AF462" s="21"/>
      <c r="AG462" s="69"/>
      <c r="AH462" s="70"/>
      <c r="AI462" s="70"/>
      <c r="AJ462" s="70"/>
      <c r="AK462" s="70"/>
      <c r="AL462" s="70"/>
      <c r="AM462" s="70"/>
      <c r="AN462" s="70" t="str">
        <f t="shared" si="137"/>
        <v>---</v>
      </c>
      <c r="AO462" s="70" t="str">
        <f t="shared" si="138"/>
        <v>---</v>
      </c>
      <c r="AP462" s="70" t="str">
        <f t="shared" si="139"/>
        <v>---</v>
      </c>
      <c r="AQ462" s="70" t="str">
        <f t="shared" si="140"/>
        <v>---</v>
      </c>
      <c r="AR462" s="70" t="str">
        <f t="shared" si="141"/>
        <v>---</v>
      </c>
      <c r="AS462" s="70" t="str">
        <f t="shared" si="142"/>
        <v>---</v>
      </c>
      <c r="AT462" s="71" t="str">
        <f t="shared" si="143"/>
        <v>---</v>
      </c>
    </row>
    <row r="463" spans="1:46" ht="30" customHeight="1" x14ac:dyDescent="0.3">
      <c r="A463" s="123">
        <f t="shared" si="127"/>
        <v>459</v>
      </c>
      <c r="B463" s="140">
        <f>INDEX('PEER GROUP'!B:B,MATCH($A463,'PEER GROUP'!$A:$A,0))</f>
        <v>0</v>
      </c>
      <c r="C463" s="83">
        <f>INDEX('PEER GROUP'!C:C,MATCH($A463,'PEER GROUP'!$A:$A,0))</f>
        <v>0</v>
      </c>
      <c r="D463" s="83">
        <f>INDEX('PEER GROUP'!D:D,MATCH($A463,'PEER GROUP'!$A:$A,0))</f>
        <v>0</v>
      </c>
      <c r="E463" s="83">
        <f>INDEX('PEER GROUP'!E:E,MATCH(A463,'PEER GROUP'!$A:$A,0))</f>
        <v>0</v>
      </c>
      <c r="F463" s="84">
        <f>INDEX('PEER GROUP'!F:F,MATCH($A463,'PEER GROUP'!$A:$A,0))</f>
        <v>0</v>
      </c>
      <c r="G463" s="84">
        <f>INDEX('PEER GROUP'!G:G,MATCH($A463,'PEER GROUP'!$A:$A,0))</f>
        <v>0</v>
      </c>
      <c r="H463" s="85"/>
      <c r="I463" s="85"/>
      <c r="J463" s="70">
        <f>INDEX('PEER GROUP'!K:K,MATCH($A463,'PEER GROUP'!$A:$A,0))</f>
        <v>0</v>
      </c>
      <c r="K463" s="70">
        <f>INDEX('PEER GROUP'!L:L,MATCH($A463,'PEER GROUP'!$A:$A,0))</f>
        <v>0</v>
      </c>
      <c r="L463" s="70">
        <f>INDEX('PEER GROUP'!M:M,MATCH($A463,'PEER GROUP'!$A:$A,0))</f>
        <v>0</v>
      </c>
      <c r="M463" s="86">
        <f>INDEX('PEER GROUP'!N:N,MATCH($A463,'PEER GROUP'!$A:$A,0))</f>
        <v>0</v>
      </c>
      <c r="N463" s="118"/>
      <c r="O463" s="115"/>
      <c r="P463" s="117"/>
      <c r="Q463" s="87"/>
      <c r="R463" s="87">
        <f t="shared" si="128"/>
        <v>0</v>
      </c>
      <c r="S463" s="87"/>
      <c r="T463" s="87"/>
      <c r="U463" s="87"/>
      <c r="V463" s="87">
        <f t="shared" si="129"/>
        <v>0</v>
      </c>
      <c r="W463" s="113">
        <f t="shared" si="126"/>
        <v>36.913096727263202</v>
      </c>
      <c r="X463" s="69">
        <f t="shared" si="130"/>
        <v>0</v>
      </c>
      <c r="Y463" s="70">
        <f t="shared" si="131"/>
        <v>0</v>
      </c>
      <c r="Z463" s="70">
        <f t="shared" si="132"/>
        <v>0</v>
      </c>
      <c r="AA463" s="70">
        <f t="shared" si="133"/>
        <v>0</v>
      </c>
      <c r="AB463" s="70">
        <f t="shared" si="134"/>
        <v>0</v>
      </c>
      <c r="AC463" s="70">
        <f t="shared" si="135"/>
        <v>0</v>
      </c>
      <c r="AD463" s="71">
        <f t="shared" si="136"/>
        <v>0</v>
      </c>
      <c r="AE463" s="49"/>
      <c r="AF463" s="21"/>
      <c r="AG463" s="69"/>
      <c r="AH463" s="70"/>
      <c r="AI463" s="70"/>
      <c r="AJ463" s="70"/>
      <c r="AK463" s="70"/>
      <c r="AL463" s="70"/>
      <c r="AM463" s="70"/>
      <c r="AN463" s="70" t="str">
        <f t="shared" si="137"/>
        <v>---</v>
      </c>
      <c r="AO463" s="70" t="str">
        <f t="shared" si="138"/>
        <v>---</v>
      </c>
      <c r="AP463" s="70" t="str">
        <f t="shared" si="139"/>
        <v>---</v>
      </c>
      <c r="AQ463" s="70" t="str">
        <f t="shared" si="140"/>
        <v>---</v>
      </c>
      <c r="AR463" s="70" t="str">
        <f t="shared" si="141"/>
        <v>---</v>
      </c>
      <c r="AS463" s="70" t="str">
        <f t="shared" si="142"/>
        <v>---</v>
      </c>
      <c r="AT463" s="71" t="str">
        <f t="shared" si="143"/>
        <v>---</v>
      </c>
    </row>
    <row r="464" spans="1:46" ht="30" customHeight="1" x14ac:dyDescent="0.3">
      <c r="A464" s="123">
        <f t="shared" si="127"/>
        <v>460</v>
      </c>
      <c r="B464" s="140">
        <f>INDEX('PEER GROUP'!B:B,MATCH($A464,'PEER GROUP'!$A:$A,0))</f>
        <v>0</v>
      </c>
      <c r="C464" s="83">
        <f>INDEX('PEER GROUP'!C:C,MATCH($A464,'PEER GROUP'!$A:$A,0))</f>
        <v>0</v>
      </c>
      <c r="D464" s="83">
        <f>INDEX('PEER GROUP'!D:D,MATCH($A464,'PEER GROUP'!$A:$A,0))</f>
        <v>0</v>
      </c>
      <c r="E464" s="83">
        <f>INDEX('PEER GROUP'!E:E,MATCH(A464,'PEER GROUP'!$A:$A,0))</f>
        <v>0</v>
      </c>
      <c r="F464" s="84">
        <f>INDEX('PEER GROUP'!F:F,MATCH($A464,'PEER GROUP'!$A:$A,0))</f>
        <v>0</v>
      </c>
      <c r="G464" s="84">
        <f>INDEX('PEER GROUP'!G:G,MATCH($A464,'PEER GROUP'!$A:$A,0))</f>
        <v>0</v>
      </c>
      <c r="H464" s="85"/>
      <c r="I464" s="85"/>
      <c r="J464" s="70">
        <f>INDEX('PEER GROUP'!K:K,MATCH($A464,'PEER GROUP'!$A:$A,0))</f>
        <v>0</v>
      </c>
      <c r="K464" s="70">
        <f>INDEX('PEER GROUP'!L:L,MATCH($A464,'PEER GROUP'!$A:$A,0))</f>
        <v>0</v>
      </c>
      <c r="L464" s="70">
        <f>INDEX('PEER GROUP'!M:M,MATCH($A464,'PEER GROUP'!$A:$A,0))</f>
        <v>0</v>
      </c>
      <c r="M464" s="86">
        <f>INDEX('PEER GROUP'!N:N,MATCH($A464,'PEER GROUP'!$A:$A,0))</f>
        <v>0</v>
      </c>
      <c r="N464" s="118"/>
      <c r="O464" s="115"/>
      <c r="P464" s="117"/>
      <c r="Q464" s="87"/>
      <c r="R464" s="87">
        <f t="shared" si="128"/>
        <v>0</v>
      </c>
      <c r="S464" s="87"/>
      <c r="T464" s="87"/>
      <c r="U464" s="87"/>
      <c r="V464" s="87">
        <f t="shared" si="129"/>
        <v>0</v>
      </c>
      <c r="W464" s="113">
        <f t="shared" si="126"/>
        <v>36.913096727263202</v>
      </c>
      <c r="X464" s="69">
        <f t="shared" si="130"/>
        <v>0</v>
      </c>
      <c r="Y464" s="70">
        <f t="shared" si="131"/>
        <v>0</v>
      </c>
      <c r="Z464" s="70">
        <f t="shared" si="132"/>
        <v>0</v>
      </c>
      <c r="AA464" s="70">
        <f t="shared" si="133"/>
        <v>0</v>
      </c>
      <c r="AB464" s="70">
        <f t="shared" si="134"/>
        <v>0</v>
      </c>
      <c r="AC464" s="70">
        <f t="shared" si="135"/>
        <v>0</v>
      </c>
      <c r="AD464" s="71">
        <f t="shared" si="136"/>
        <v>0</v>
      </c>
      <c r="AE464" s="49"/>
      <c r="AF464" s="21"/>
      <c r="AG464" s="69"/>
      <c r="AH464" s="70"/>
      <c r="AI464" s="70"/>
      <c r="AJ464" s="70"/>
      <c r="AK464" s="70"/>
      <c r="AL464" s="70"/>
      <c r="AM464" s="70"/>
      <c r="AN464" s="70" t="str">
        <f t="shared" si="137"/>
        <v>---</v>
      </c>
      <c r="AO464" s="70" t="str">
        <f t="shared" si="138"/>
        <v>---</v>
      </c>
      <c r="AP464" s="70" t="str">
        <f t="shared" si="139"/>
        <v>---</v>
      </c>
      <c r="AQ464" s="70" t="str">
        <f t="shared" si="140"/>
        <v>---</v>
      </c>
      <c r="AR464" s="70" t="str">
        <f t="shared" si="141"/>
        <v>---</v>
      </c>
      <c r="AS464" s="70" t="str">
        <f t="shared" si="142"/>
        <v>---</v>
      </c>
      <c r="AT464" s="71" t="str">
        <f t="shared" si="143"/>
        <v>---</v>
      </c>
    </row>
    <row r="465" spans="1:46" ht="30" customHeight="1" x14ac:dyDescent="0.3">
      <c r="A465" s="123">
        <f t="shared" si="127"/>
        <v>461</v>
      </c>
      <c r="B465" s="140">
        <f>INDEX('PEER GROUP'!B:B,MATCH($A465,'PEER GROUP'!$A:$A,0))</f>
        <v>0</v>
      </c>
      <c r="C465" s="83">
        <f>INDEX('PEER GROUP'!C:C,MATCH($A465,'PEER GROUP'!$A:$A,0))</f>
        <v>0</v>
      </c>
      <c r="D465" s="83">
        <f>INDEX('PEER GROUP'!D:D,MATCH($A465,'PEER GROUP'!$A:$A,0))</f>
        <v>0</v>
      </c>
      <c r="E465" s="83">
        <f>INDEX('PEER GROUP'!E:E,MATCH(A465,'PEER GROUP'!$A:$A,0))</f>
        <v>0</v>
      </c>
      <c r="F465" s="84">
        <f>INDEX('PEER GROUP'!F:F,MATCH($A465,'PEER GROUP'!$A:$A,0))</f>
        <v>0</v>
      </c>
      <c r="G465" s="84">
        <f>INDEX('PEER GROUP'!G:G,MATCH($A465,'PEER GROUP'!$A:$A,0))</f>
        <v>0</v>
      </c>
      <c r="H465" s="85"/>
      <c r="I465" s="85"/>
      <c r="J465" s="70">
        <f>INDEX('PEER GROUP'!K:K,MATCH($A465,'PEER GROUP'!$A:$A,0))</f>
        <v>0</v>
      </c>
      <c r="K465" s="70">
        <f>INDEX('PEER GROUP'!L:L,MATCH($A465,'PEER GROUP'!$A:$A,0))</f>
        <v>0</v>
      </c>
      <c r="L465" s="70">
        <f>INDEX('PEER GROUP'!M:M,MATCH($A465,'PEER GROUP'!$A:$A,0))</f>
        <v>0</v>
      </c>
      <c r="M465" s="86">
        <f>INDEX('PEER GROUP'!N:N,MATCH($A465,'PEER GROUP'!$A:$A,0))</f>
        <v>0</v>
      </c>
      <c r="N465" s="118"/>
      <c r="O465" s="115"/>
      <c r="P465" s="117"/>
      <c r="Q465" s="87"/>
      <c r="R465" s="87">
        <f t="shared" si="128"/>
        <v>0</v>
      </c>
      <c r="S465" s="87"/>
      <c r="T465" s="87"/>
      <c r="U465" s="87"/>
      <c r="V465" s="87">
        <f t="shared" si="129"/>
        <v>0</v>
      </c>
      <c r="W465" s="113">
        <f t="shared" si="126"/>
        <v>36.913096727263202</v>
      </c>
      <c r="X465" s="69">
        <f t="shared" si="130"/>
        <v>0</v>
      </c>
      <c r="Y465" s="70">
        <f t="shared" si="131"/>
        <v>0</v>
      </c>
      <c r="Z465" s="70">
        <f t="shared" si="132"/>
        <v>0</v>
      </c>
      <c r="AA465" s="70">
        <f t="shared" si="133"/>
        <v>0</v>
      </c>
      <c r="AB465" s="70">
        <f t="shared" si="134"/>
        <v>0</v>
      </c>
      <c r="AC465" s="70">
        <f t="shared" si="135"/>
        <v>0</v>
      </c>
      <c r="AD465" s="71">
        <f t="shared" si="136"/>
        <v>0</v>
      </c>
      <c r="AE465" s="49"/>
      <c r="AF465" s="21"/>
      <c r="AG465" s="69"/>
      <c r="AH465" s="70"/>
      <c r="AI465" s="70"/>
      <c r="AJ465" s="70"/>
      <c r="AK465" s="70"/>
      <c r="AL465" s="70"/>
      <c r="AM465" s="70"/>
      <c r="AN465" s="70" t="str">
        <f t="shared" si="137"/>
        <v>---</v>
      </c>
      <c r="AO465" s="70" t="str">
        <f t="shared" si="138"/>
        <v>---</v>
      </c>
      <c r="AP465" s="70" t="str">
        <f t="shared" si="139"/>
        <v>---</v>
      </c>
      <c r="AQ465" s="70" t="str">
        <f t="shared" si="140"/>
        <v>---</v>
      </c>
      <c r="AR465" s="70" t="str">
        <f t="shared" si="141"/>
        <v>---</v>
      </c>
      <c r="AS465" s="70" t="str">
        <f t="shared" si="142"/>
        <v>---</v>
      </c>
      <c r="AT465" s="71" t="str">
        <f t="shared" si="143"/>
        <v>---</v>
      </c>
    </row>
    <row r="466" spans="1:46" ht="30" customHeight="1" x14ac:dyDescent="0.3">
      <c r="A466" s="123">
        <f t="shared" si="127"/>
        <v>462</v>
      </c>
      <c r="B466" s="140">
        <f>INDEX('PEER GROUP'!B:B,MATCH($A466,'PEER GROUP'!$A:$A,0))</f>
        <v>0</v>
      </c>
      <c r="C466" s="83">
        <f>INDEX('PEER GROUP'!C:C,MATCH($A466,'PEER GROUP'!$A:$A,0))</f>
        <v>0</v>
      </c>
      <c r="D466" s="83">
        <f>INDEX('PEER GROUP'!D:D,MATCH($A466,'PEER GROUP'!$A:$A,0))</f>
        <v>0</v>
      </c>
      <c r="E466" s="83">
        <f>INDEX('PEER GROUP'!E:E,MATCH(A466,'PEER GROUP'!$A:$A,0))</f>
        <v>0</v>
      </c>
      <c r="F466" s="84">
        <f>INDEX('PEER GROUP'!F:F,MATCH($A466,'PEER GROUP'!$A:$A,0))</f>
        <v>0</v>
      </c>
      <c r="G466" s="84">
        <f>INDEX('PEER GROUP'!G:G,MATCH($A466,'PEER GROUP'!$A:$A,0))</f>
        <v>0</v>
      </c>
      <c r="H466" s="85"/>
      <c r="I466" s="85"/>
      <c r="J466" s="70">
        <f>INDEX('PEER GROUP'!K:K,MATCH($A466,'PEER GROUP'!$A:$A,0))</f>
        <v>0</v>
      </c>
      <c r="K466" s="70">
        <f>INDEX('PEER GROUP'!L:L,MATCH($A466,'PEER GROUP'!$A:$A,0))</f>
        <v>0</v>
      </c>
      <c r="L466" s="70">
        <f>INDEX('PEER GROUP'!M:M,MATCH($A466,'PEER GROUP'!$A:$A,0))</f>
        <v>0</v>
      </c>
      <c r="M466" s="86">
        <f>INDEX('PEER GROUP'!N:N,MATCH($A466,'PEER GROUP'!$A:$A,0))</f>
        <v>0</v>
      </c>
      <c r="N466" s="118"/>
      <c r="O466" s="115"/>
      <c r="P466" s="117"/>
      <c r="Q466" s="87"/>
      <c r="R466" s="87">
        <f t="shared" si="128"/>
        <v>0</v>
      </c>
      <c r="S466" s="87"/>
      <c r="T466" s="87"/>
      <c r="U466" s="87"/>
      <c r="V466" s="87">
        <f t="shared" si="129"/>
        <v>0</v>
      </c>
      <c r="W466" s="113">
        <f t="shared" si="126"/>
        <v>36.913096727263202</v>
      </c>
      <c r="X466" s="69">
        <f t="shared" si="130"/>
        <v>0</v>
      </c>
      <c r="Y466" s="70">
        <f t="shared" si="131"/>
        <v>0</v>
      </c>
      <c r="Z466" s="70">
        <f t="shared" si="132"/>
        <v>0</v>
      </c>
      <c r="AA466" s="70">
        <f t="shared" si="133"/>
        <v>0</v>
      </c>
      <c r="AB466" s="70">
        <f t="shared" si="134"/>
        <v>0</v>
      </c>
      <c r="AC466" s="70">
        <f t="shared" si="135"/>
        <v>0</v>
      </c>
      <c r="AD466" s="71">
        <f t="shared" si="136"/>
        <v>0</v>
      </c>
      <c r="AE466" s="49"/>
      <c r="AF466" s="21"/>
      <c r="AG466" s="69"/>
      <c r="AH466" s="70"/>
      <c r="AI466" s="70"/>
      <c r="AJ466" s="70"/>
      <c r="AK466" s="70"/>
      <c r="AL466" s="70"/>
      <c r="AM466" s="70"/>
      <c r="AN466" s="70" t="str">
        <f t="shared" si="137"/>
        <v>---</v>
      </c>
      <c r="AO466" s="70" t="str">
        <f t="shared" si="138"/>
        <v>---</v>
      </c>
      <c r="AP466" s="70" t="str">
        <f t="shared" si="139"/>
        <v>---</v>
      </c>
      <c r="AQ466" s="70" t="str">
        <f t="shared" si="140"/>
        <v>---</v>
      </c>
      <c r="AR466" s="70" t="str">
        <f t="shared" si="141"/>
        <v>---</v>
      </c>
      <c r="AS466" s="70" t="str">
        <f t="shared" si="142"/>
        <v>---</v>
      </c>
      <c r="AT466" s="71" t="str">
        <f t="shared" si="143"/>
        <v>---</v>
      </c>
    </row>
    <row r="467" spans="1:46" ht="30" customHeight="1" x14ac:dyDescent="0.3">
      <c r="A467" s="123">
        <f t="shared" si="127"/>
        <v>463</v>
      </c>
      <c r="B467" s="140">
        <f>INDEX('PEER GROUP'!B:B,MATCH($A467,'PEER GROUP'!$A:$A,0))</f>
        <v>0</v>
      </c>
      <c r="C467" s="83">
        <f>INDEX('PEER GROUP'!C:C,MATCH($A467,'PEER GROUP'!$A:$A,0))</f>
        <v>0</v>
      </c>
      <c r="D467" s="83">
        <f>INDEX('PEER GROUP'!D:D,MATCH($A467,'PEER GROUP'!$A:$A,0))</f>
        <v>0</v>
      </c>
      <c r="E467" s="83">
        <f>INDEX('PEER GROUP'!E:E,MATCH(A467,'PEER GROUP'!$A:$A,0))</f>
        <v>0</v>
      </c>
      <c r="F467" s="84">
        <f>INDEX('PEER GROUP'!F:F,MATCH($A467,'PEER GROUP'!$A:$A,0))</f>
        <v>0</v>
      </c>
      <c r="G467" s="84">
        <f>INDEX('PEER GROUP'!G:G,MATCH($A467,'PEER GROUP'!$A:$A,0))</f>
        <v>0</v>
      </c>
      <c r="H467" s="85"/>
      <c r="I467" s="85"/>
      <c r="J467" s="70">
        <f>INDEX('PEER GROUP'!K:K,MATCH($A467,'PEER GROUP'!$A:$A,0))</f>
        <v>0</v>
      </c>
      <c r="K467" s="70">
        <f>INDEX('PEER GROUP'!L:L,MATCH($A467,'PEER GROUP'!$A:$A,0))</f>
        <v>0</v>
      </c>
      <c r="L467" s="70">
        <f>INDEX('PEER GROUP'!M:M,MATCH($A467,'PEER GROUP'!$A:$A,0))</f>
        <v>0</v>
      </c>
      <c r="M467" s="86">
        <f>INDEX('PEER GROUP'!N:N,MATCH($A467,'PEER GROUP'!$A:$A,0))</f>
        <v>0</v>
      </c>
      <c r="N467" s="118"/>
      <c r="O467" s="115"/>
      <c r="P467" s="117"/>
      <c r="Q467" s="87"/>
      <c r="R467" s="87">
        <f t="shared" si="128"/>
        <v>0</v>
      </c>
      <c r="S467" s="87"/>
      <c r="T467" s="87"/>
      <c r="U467" s="87"/>
      <c r="V467" s="87">
        <f t="shared" si="129"/>
        <v>0</v>
      </c>
      <c r="W467" s="113">
        <f t="shared" si="126"/>
        <v>36.913096727263202</v>
      </c>
      <c r="X467" s="69">
        <f t="shared" si="130"/>
        <v>0</v>
      </c>
      <c r="Y467" s="70">
        <f t="shared" si="131"/>
        <v>0</v>
      </c>
      <c r="Z467" s="70">
        <f t="shared" si="132"/>
        <v>0</v>
      </c>
      <c r="AA467" s="70">
        <f t="shared" si="133"/>
        <v>0</v>
      </c>
      <c r="AB467" s="70">
        <f t="shared" si="134"/>
        <v>0</v>
      </c>
      <c r="AC467" s="70">
        <f t="shared" si="135"/>
        <v>0</v>
      </c>
      <c r="AD467" s="71">
        <f t="shared" si="136"/>
        <v>0</v>
      </c>
      <c r="AE467" s="49"/>
      <c r="AF467" s="21"/>
      <c r="AG467" s="69"/>
      <c r="AH467" s="70"/>
      <c r="AI467" s="70"/>
      <c r="AJ467" s="70"/>
      <c r="AK467" s="70"/>
      <c r="AL467" s="70"/>
      <c r="AM467" s="70"/>
      <c r="AN467" s="70" t="str">
        <f t="shared" si="137"/>
        <v>---</v>
      </c>
      <c r="AO467" s="70" t="str">
        <f t="shared" si="138"/>
        <v>---</v>
      </c>
      <c r="AP467" s="70" t="str">
        <f t="shared" si="139"/>
        <v>---</v>
      </c>
      <c r="AQ467" s="70" t="str">
        <f t="shared" si="140"/>
        <v>---</v>
      </c>
      <c r="AR467" s="70" t="str">
        <f t="shared" si="141"/>
        <v>---</v>
      </c>
      <c r="AS467" s="70" t="str">
        <f t="shared" si="142"/>
        <v>---</v>
      </c>
      <c r="AT467" s="71" t="str">
        <f t="shared" si="143"/>
        <v>---</v>
      </c>
    </row>
    <row r="468" spans="1:46" ht="30" customHeight="1" x14ac:dyDescent="0.3">
      <c r="A468" s="123">
        <f t="shared" si="127"/>
        <v>464</v>
      </c>
      <c r="B468" s="140">
        <f>INDEX('PEER GROUP'!B:B,MATCH($A468,'PEER GROUP'!$A:$A,0))</f>
        <v>0</v>
      </c>
      <c r="C468" s="83">
        <f>INDEX('PEER GROUP'!C:C,MATCH($A468,'PEER GROUP'!$A:$A,0))</f>
        <v>0</v>
      </c>
      <c r="D468" s="83">
        <f>INDEX('PEER GROUP'!D:D,MATCH($A468,'PEER GROUP'!$A:$A,0))</f>
        <v>0</v>
      </c>
      <c r="E468" s="83">
        <f>INDEX('PEER GROUP'!E:E,MATCH(A468,'PEER GROUP'!$A:$A,0))</f>
        <v>0</v>
      </c>
      <c r="F468" s="84">
        <f>INDEX('PEER GROUP'!F:F,MATCH($A468,'PEER GROUP'!$A:$A,0))</f>
        <v>0</v>
      </c>
      <c r="G468" s="84">
        <f>INDEX('PEER GROUP'!G:G,MATCH($A468,'PEER GROUP'!$A:$A,0))</f>
        <v>0</v>
      </c>
      <c r="H468" s="85"/>
      <c r="I468" s="85"/>
      <c r="J468" s="70">
        <f>INDEX('PEER GROUP'!K:K,MATCH($A468,'PEER GROUP'!$A:$A,0))</f>
        <v>0</v>
      </c>
      <c r="K468" s="70">
        <f>INDEX('PEER GROUP'!L:L,MATCH($A468,'PEER GROUP'!$A:$A,0))</f>
        <v>0</v>
      </c>
      <c r="L468" s="70">
        <f>INDEX('PEER GROUP'!M:M,MATCH($A468,'PEER GROUP'!$A:$A,0))</f>
        <v>0</v>
      </c>
      <c r="M468" s="86">
        <f>INDEX('PEER GROUP'!N:N,MATCH($A468,'PEER GROUP'!$A:$A,0))</f>
        <v>0</v>
      </c>
      <c r="N468" s="118"/>
      <c r="O468" s="115"/>
      <c r="P468" s="117"/>
      <c r="Q468" s="87"/>
      <c r="R468" s="87">
        <f t="shared" si="128"/>
        <v>0</v>
      </c>
      <c r="S468" s="87"/>
      <c r="T468" s="87"/>
      <c r="U468" s="87"/>
      <c r="V468" s="87">
        <f t="shared" si="129"/>
        <v>0</v>
      </c>
      <c r="W468" s="113">
        <f t="shared" si="126"/>
        <v>36.913096727263202</v>
      </c>
      <c r="X468" s="69">
        <f t="shared" si="130"/>
        <v>0</v>
      </c>
      <c r="Y468" s="70">
        <f t="shared" si="131"/>
        <v>0</v>
      </c>
      <c r="Z468" s="70">
        <f t="shared" si="132"/>
        <v>0</v>
      </c>
      <c r="AA468" s="70">
        <f t="shared" si="133"/>
        <v>0</v>
      </c>
      <c r="AB468" s="70">
        <f t="shared" si="134"/>
        <v>0</v>
      </c>
      <c r="AC468" s="70">
        <f t="shared" si="135"/>
        <v>0</v>
      </c>
      <c r="AD468" s="71">
        <f t="shared" si="136"/>
        <v>0</v>
      </c>
      <c r="AE468" s="49"/>
      <c r="AF468" s="21"/>
      <c r="AG468" s="69"/>
      <c r="AH468" s="70"/>
      <c r="AI468" s="70"/>
      <c r="AJ468" s="70"/>
      <c r="AK468" s="70"/>
      <c r="AL468" s="70"/>
      <c r="AM468" s="70"/>
      <c r="AN468" s="70" t="str">
        <f t="shared" si="137"/>
        <v>---</v>
      </c>
      <c r="AO468" s="70" t="str">
        <f t="shared" si="138"/>
        <v>---</v>
      </c>
      <c r="AP468" s="70" t="str">
        <f t="shared" si="139"/>
        <v>---</v>
      </c>
      <c r="AQ468" s="70" t="str">
        <f t="shared" si="140"/>
        <v>---</v>
      </c>
      <c r="AR468" s="70" t="str">
        <f t="shared" si="141"/>
        <v>---</v>
      </c>
      <c r="AS468" s="70" t="str">
        <f t="shared" si="142"/>
        <v>---</v>
      </c>
      <c r="AT468" s="71" t="str">
        <f t="shared" si="143"/>
        <v>---</v>
      </c>
    </row>
    <row r="469" spans="1:46" ht="30" customHeight="1" x14ac:dyDescent="0.3">
      <c r="A469" s="123">
        <f t="shared" si="127"/>
        <v>465</v>
      </c>
      <c r="B469" s="140">
        <f>INDEX('PEER GROUP'!B:B,MATCH($A469,'PEER GROUP'!$A:$A,0))</f>
        <v>0</v>
      </c>
      <c r="C469" s="83">
        <f>INDEX('PEER GROUP'!C:C,MATCH($A469,'PEER GROUP'!$A:$A,0))</f>
        <v>0</v>
      </c>
      <c r="D469" s="83">
        <f>INDEX('PEER GROUP'!D:D,MATCH($A469,'PEER GROUP'!$A:$A,0))</f>
        <v>0</v>
      </c>
      <c r="E469" s="83">
        <f>INDEX('PEER GROUP'!E:E,MATCH(A469,'PEER GROUP'!$A:$A,0))</f>
        <v>0</v>
      </c>
      <c r="F469" s="84">
        <f>INDEX('PEER GROUP'!F:F,MATCH($A469,'PEER GROUP'!$A:$A,0))</f>
        <v>0</v>
      </c>
      <c r="G469" s="84">
        <f>INDEX('PEER GROUP'!G:G,MATCH($A469,'PEER GROUP'!$A:$A,0))</f>
        <v>0</v>
      </c>
      <c r="H469" s="85"/>
      <c r="I469" s="85"/>
      <c r="J469" s="70">
        <f>INDEX('PEER GROUP'!K:K,MATCH($A469,'PEER GROUP'!$A:$A,0))</f>
        <v>0</v>
      </c>
      <c r="K469" s="70">
        <f>INDEX('PEER GROUP'!L:L,MATCH($A469,'PEER GROUP'!$A:$A,0))</f>
        <v>0</v>
      </c>
      <c r="L469" s="70">
        <f>INDEX('PEER GROUP'!M:M,MATCH($A469,'PEER GROUP'!$A:$A,0))</f>
        <v>0</v>
      </c>
      <c r="M469" s="86">
        <f>INDEX('PEER GROUP'!N:N,MATCH($A469,'PEER GROUP'!$A:$A,0))</f>
        <v>0</v>
      </c>
      <c r="N469" s="118"/>
      <c r="O469" s="115"/>
      <c r="P469" s="117"/>
      <c r="Q469" s="87"/>
      <c r="R469" s="87">
        <f t="shared" si="128"/>
        <v>0</v>
      </c>
      <c r="S469" s="87"/>
      <c r="T469" s="87"/>
      <c r="U469" s="87"/>
      <c r="V469" s="87">
        <f t="shared" si="129"/>
        <v>0</v>
      </c>
      <c r="W469" s="113">
        <f t="shared" si="126"/>
        <v>36.913096727263202</v>
      </c>
      <c r="X469" s="69">
        <f t="shared" si="130"/>
        <v>0</v>
      </c>
      <c r="Y469" s="70">
        <f t="shared" si="131"/>
        <v>0</v>
      </c>
      <c r="Z469" s="70">
        <f t="shared" si="132"/>
        <v>0</v>
      </c>
      <c r="AA469" s="70">
        <f t="shared" si="133"/>
        <v>0</v>
      </c>
      <c r="AB469" s="70">
        <f t="shared" si="134"/>
        <v>0</v>
      </c>
      <c r="AC469" s="70">
        <f t="shared" si="135"/>
        <v>0</v>
      </c>
      <c r="AD469" s="71">
        <f t="shared" si="136"/>
        <v>0</v>
      </c>
      <c r="AE469" s="49"/>
      <c r="AF469" s="21"/>
      <c r="AG469" s="69"/>
      <c r="AH469" s="70"/>
      <c r="AI469" s="70"/>
      <c r="AJ469" s="70"/>
      <c r="AK469" s="70"/>
      <c r="AL469" s="70"/>
      <c r="AM469" s="70"/>
      <c r="AN469" s="70" t="str">
        <f t="shared" si="137"/>
        <v>---</v>
      </c>
      <c r="AO469" s="70" t="str">
        <f t="shared" si="138"/>
        <v>---</v>
      </c>
      <c r="AP469" s="70" t="str">
        <f t="shared" si="139"/>
        <v>---</v>
      </c>
      <c r="AQ469" s="70" t="str">
        <f t="shared" si="140"/>
        <v>---</v>
      </c>
      <c r="AR469" s="70" t="str">
        <f t="shared" si="141"/>
        <v>---</v>
      </c>
      <c r="AS469" s="70" t="str">
        <f t="shared" si="142"/>
        <v>---</v>
      </c>
      <c r="AT469" s="71" t="str">
        <f t="shared" si="143"/>
        <v>---</v>
      </c>
    </row>
    <row r="470" spans="1:46" ht="30" customHeight="1" x14ac:dyDescent="0.3">
      <c r="A470" s="123">
        <f t="shared" si="127"/>
        <v>466</v>
      </c>
      <c r="B470" s="140">
        <f>INDEX('PEER GROUP'!B:B,MATCH($A470,'PEER GROUP'!$A:$A,0))</f>
        <v>0</v>
      </c>
      <c r="C470" s="83">
        <f>INDEX('PEER GROUP'!C:C,MATCH($A470,'PEER GROUP'!$A:$A,0))</f>
        <v>0</v>
      </c>
      <c r="D470" s="83">
        <f>INDEX('PEER GROUP'!D:D,MATCH($A470,'PEER GROUP'!$A:$A,0))</f>
        <v>0</v>
      </c>
      <c r="E470" s="83">
        <f>INDEX('PEER GROUP'!E:E,MATCH(A470,'PEER GROUP'!$A:$A,0))</f>
        <v>0</v>
      </c>
      <c r="F470" s="84">
        <f>INDEX('PEER GROUP'!F:F,MATCH($A470,'PEER GROUP'!$A:$A,0))</f>
        <v>0</v>
      </c>
      <c r="G470" s="84">
        <f>INDEX('PEER GROUP'!G:G,MATCH($A470,'PEER GROUP'!$A:$A,0))</f>
        <v>0</v>
      </c>
      <c r="H470" s="85"/>
      <c r="I470" s="85"/>
      <c r="J470" s="70">
        <f>INDEX('PEER GROUP'!K:K,MATCH($A470,'PEER GROUP'!$A:$A,0))</f>
        <v>0</v>
      </c>
      <c r="K470" s="70">
        <f>INDEX('PEER GROUP'!L:L,MATCH($A470,'PEER GROUP'!$A:$A,0))</f>
        <v>0</v>
      </c>
      <c r="L470" s="70">
        <f>INDEX('PEER GROUP'!M:M,MATCH($A470,'PEER GROUP'!$A:$A,0))</f>
        <v>0</v>
      </c>
      <c r="M470" s="86">
        <f>INDEX('PEER GROUP'!N:N,MATCH($A470,'PEER GROUP'!$A:$A,0))</f>
        <v>0</v>
      </c>
      <c r="N470" s="118"/>
      <c r="O470" s="115"/>
      <c r="P470" s="117"/>
      <c r="Q470" s="87"/>
      <c r="R470" s="87">
        <f t="shared" si="128"/>
        <v>0</v>
      </c>
      <c r="S470" s="87"/>
      <c r="T470" s="87"/>
      <c r="U470" s="87"/>
      <c r="V470" s="87">
        <f t="shared" si="129"/>
        <v>0</v>
      </c>
      <c r="W470" s="113">
        <f t="shared" si="126"/>
        <v>36.913096727263202</v>
      </c>
      <c r="X470" s="69">
        <f t="shared" si="130"/>
        <v>0</v>
      </c>
      <c r="Y470" s="70">
        <f t="shared" si="131"/>
        <v>0</v>
      </c>
      <c r="Z470" s="70">
        <f t="shared" si="132"/>
        <v>0</v>
      </c>
      <c r="AA470" s="70">
        <f t="shared" si="133"/>
        <v>0</v>
      </c>
      <c r="AB470" s="70">
        <f t="shared" si="134"/>
        <v>0</v>
      </c>
      <c r="AC470" s="70">
        <f t="shared" si="135"/>
        <v>0</v>
      </c>
      <c r="AD470" s="71">
        <f t="shared" si="136"/>
        <v>0</v>
      </c>
      <c r="AE470" s="49"/>
      <c r="AF470" s="21"/>
      <c r="AG470" s="69"/>
      <c r="AH470" s="70"/>
      <c r="AI470" s="70"/>
      <c r="AJ470" s="70"/>
      <c r="AK470" s="70"/>
      <c r="AL470" s="70"/>
      <c r="AM470" s="70"/>
      <c r="AN470" s="70" t="str">
        <f t="shared" si="137"/>
        <v>---</v>
      </c>
      <c r="AO470" s="70" t="str">
        <f t="shared" si="138"/>
        <v>---</v>
      </c>
      <c r="AP470" s="70" t="str">
        <f t="shared" si="139"/>
        <v>---</v>
      </c>
      <c r="AQ470" s="70" t="str">
        <f t="shared" si="140"/>
        <v>---</v>
      </c>
      <c r="AR470" s="70" t="str">
        <f t="shared" si="141"/>
        <v>---</v>
      </c>
      <c r="AS470" s="70" t="str">
        <f t="shared" si="142"/>
        <v>---</v>
      </c>
      <c r="AT470" s="71" t="str">
        <f t="shared" si="143"/>
        <v>---</v>
      </c>
    </row>
    <row r="471" spans="1:46" ht="30" customHeight="1" x14ac:dyDescent="0.3">
      <c r="A471" s="123">
        <f t="shared" si="127"/>
        <v>467</v>
      </c>
      <c r="B471" s="140">
        <f>INDEX('PEER GROUP'!B:B,MATCH($A471,'PEER GROUP'!$A:$A,0))</f>
        <v>0</v>
      </c>
      <c r="C471" s="83">
        <f>INDEX('PEER GROUP'!C:C,MATCH($A471,'PEER GROUP'!$A:$A,0))</f>
        <v>0</v>
      </c>
      <c r="D471" s="83">
        <f>INDEX('PEER GROUP'!D:D,MATCH($A471,'PEER GROUP'!$A:$A,0))</f>
        <v>0</v>
      </c>
      <c r="E471" s="83">
        <f>INDEX('PEER GROUP'!E:E,MATCH(A471,'PEER GROUP'!$A:$A,0))</f>
        <v>0</v>
      </c>
      <c r="F471" s="84">
        <f>INDEX('PEER GROUP'!F:F,MATCH($A471,'PEER GROUP'!$A:$A,0))</f>
        <v>0</v>
      </c>
      <c r="G471" s="84">
        <f>INDEX('PEER GROUP'!G:G,MATCH($A471,'PEER GROUP'!$A:$A,0))</f>
        <v>0</v>
      </c>
      <c r="H471" s="85"/>
      <c r="I471" s="85"/>
      <c r="J471" s="70">
        <f>INDEX('PEER GROUP'!K:K,MATCH($A471,'PEER GROUP'!$A:$A,0))</f>
        <v>0</v>
      </c>
      <c r="K471" s="70">
        <f>INDEX('PEER GROUP'!L:L,MATCH($A471,'PEER GROUP'!$A:$A,0))</f>
        <v>0</v>
      </c>
      <c r="L471" s="70">
        <f>INDEX('PEER GROUP'!M:M,MATCH($A471,'PEER GROUP'!$A:$A,0))</f>
        <v>0</v>
      </c>
      <c r="M471" s="86">
        <f>INDEX('PEER GROUP'!N:N,MATCH($A471,'PEER GROUP'!$A:$A,0))</f>
        <v>0</v>
      </c>
      <c r="N471" s="118"/>
      <c r="O471" s="115"/>
      <c r="P471" s="117"/>
      <c r="Q471" s="87"/>
      <c r="R471" s="87">
        <f t="shared" si="128"/>
        <v>0</v>
      </c>
      <c r="S471" s="87"/>
      <c r="T471" s="87"/>
      <c r="U471" s="87"/>
      <c r="V471" s="87">
        <f t="shared" si="129"/>
        <v>0</v>
      </c>
      <c r="W471" s="113">
        <f t="shared" si="126"/>
        <v>36.913096727263202</v>
      </c>
      <c r="X471" s="69">
        <f t="shared" si="130"/>
        <v>0</v>
      </c>
      <c r="Y471" s="70">
        <f t="shared" si="131"/>
        <v>0</v>
      </c>
      <c r="Z471" s="70">
        <f t="shared" si="132"/>
        <v>0</v>
      </c>
      <c r="AA471" s="70">
        <f t="shared" si="133"/>
        <v>0</v>
      </c>
      <c r="AB471" s="70">
        <f t="shared" si="134"/>
        <v>0</v>
      </c>
      <c r="AC471" s="70">
        <f t="shared" si="135"/>
        <v>0</v>
      </c>
      <c r="AD471" s="71">
        <f t="shared" si="136"/>
        <v>0</v>
      </c>
      <c r="AE471" s="49"/>
      <c r="AF471" s="21"/>
      <c r="AG471" s="69"/>
      <c r="AH471" s="70"/>
      <c r="AI471" s="70"/>
      <c r="AJ471" s="70"/>
      <c r="AK471" s="70"/>
      <c r="AL471" s="70"/>
      <c r="AM471" s="70"/>
      <c r="AN471" s="70" t="str">
        <f t="shared" si="137"/>
        <v>---</v>
      </c>
      <c r="AO471" s="70" t="str">
        <f t="shared" si="138"/>
        <v>---</v>
      </c>
      <c r="AP471" s="70" t="str">
        <f t="shared" si="139"/>
        <v>---</v>
      </c>
      <c r="AQ471" s="70" t="str">
        <f t="shared" si="140"/>
        <v>---</v>
      </c>
      <c r="AR471" s="70" t="str">
        <f t="shared" si="141"/>
        <v>---</v>
      </c>
      <c r="AS471" s="70" t="str">
        <f t="shared" si="142"/>
        <v>---</v>
      </c>
      <c r="AT471" s="71" t="str">
        <f t="shared" si="143"/>
        <v>---</v>
      </c>
    </row>
    <row r="472" spans="1:46" ht="30" customHeight="1" x14ac:dyDescent="0.3">
      <c r="A472" s="123">
        <f t="shared" si="127"/>
        <v>468</v>
      </c>
      <c r="B472" s="140">
        <f>INDEX('PEER GROUP'!B:B,MATCH($A472,'PEER GROUP'!$A:$A,0))</f>
        <v>0</v>
      </c>
      <c r="C472" s="83">
        <f>INDEX('PEER GROUP'!C:C,MATCH($A472,'PEER GROUP'!$A:$A,0))</f>
        <v>0</v>
      </c>
      <c r="D472" s="83">
        <f>INDEX('PEER GROUP'!D:D,MATCH($A472,'PEER GROUP'!$A:$A,0))</f>
        <v>0</v>
      </c>
      <c r="E472" s="83">
        <f>INDEX('PEER GROUP'!E:E,MATCH(A472,'PEER GROUP'!$A:$A,0))</f>
        <v>0</v>
      </c>
      <c r="F472" s="84">
        <f>INDEX('PEER GROUP'!F:F,MATCH($A472,'PEER GROUP'!$A:$A,0))</f>
        <v>0</v>
      </c>
      <c r="G472" s="84">
        <f>INDEX('PEER GROUP'!G:G,MATCH($A472,'PEER GROUP'!$A:$A,0))</f>
        <v>0</v>
      </c>
      <c r="H472" s="85"/>
      <c r="I472" s="85"/>
      <c r="J472" s="70">
        <f>INDEX('PEER GROUP'!K:K,MATCH($A472,'PEER GROUP'!$A:$A,0))</f>
        <v>0</v>
      </c>
      <c r="K472" s="70">
        <f>INDEX('PEER GROUP'!L:L,MATCH($A472,'PEER GROUP'!$A:$A,0))</f>
        <v>0</v>
      </c>
      <c r="L472" s="70">
        <f>INDEX('PEER GROUP'!M:M,MATCH($A472,'PEER GROUP'!$A:$A,0))</f>
        <v>0</v>
      </c>
      <c r="M472" s="86">
        <f>INDEX('PEER GROUP'!N:N,MATCH($A472,'PEER GROUP'!$A:$A,0))</f>
        <v>0</v>
      </c>
      <c r="N472" s="118"/>
      <c r="O472" s="115"/>
      <c r="P472" s="117"/>
      <c r="Q472" s="87"/>
      <c r="R472" s="87">
        <f t="shared" si="128"/>
        <v>0</v>
      </c>
      <c r="S472" s="87"/>
      <c r="T472" s="87"/>
      <c r="U472" s="87"/>
      <c r="V472" s="87">
        <f t="shared" si="129"/>
        <v>0</v>
      </c>
      <c r="W472" s="113">
        <f t="shared" si="126"/>
        <v>36.913096727263202</v>
      </c>
      <c r="X472" s="69">
        <f t="shared" si="130"/>
        <v>0</v>
      </c>
      <c r="Y472" s="70">
        <f t="shared" si="131"/>
        <v>0</v>
      </c>
      <c r="Z472" s="70">
        <f t="shared" si="132"/>
        <v>0</v>
      </c>
      <c r="AA472" s="70">
        <f t="shared" si="133"/>
        <v>0</v>
      </c>
      <c r="AB472" s="70">
        <f t="shared" si="134"/>
        <v>0</v>
      </c>
      <c r="AC472" s="70">
        <f t="shared" si="135"/>
        <v>0</v>
      </c>
      <c r="AD472" s="71">
        <f t="shared" si="136"/>
        <v>0</v>
      </c>
      <c r="AE472" s="49"/>
      <c r="AF472" s="21"/>
      <c r="AG472" s="69"/>
      <c r="AH472" s="70"/>
      <c r="AI472" s="70"/>
      <c r="AJ472" s="70"/>
      <c r="AK472" s="70"/>
      <c r="AL472" s="70"/>
      <c r="AM472" s="70"/>
      <c r="AN472" s="70" t="str">
        <f t="shared" si="137"/>
        <v>---</v>
      </c>
      <c r="AO472" s="70" t="str">
        <f t="shared" si="138"/>
        <v>---</v>
      </c>
      <c r="AP472" s="70" t="str">
        <f t="shared" si="139"/>
        <v>---</v>
      </c>
      <c r="AQ472" s="70" t="str">
        <f t="shared" si="140"/>
        <v>---</v>
      </c>
      <c r="AR472" s="70" t="str">
        <f t="shared" si="141"/>
        <v>---</v>
      </c>
      <c r="AS472" s="70" t="str">
        <f t="shared" si="142"/>
        <v>---</v>
      </c>
      <c r="AT472" s="71" t="str">
        <f t="shared" si="143"/>
        <v>---</v>
      </c>
    </row>
    <row r="473" spans="1:46" ht="30" customHeight="1" x14ac:dyDescent="0.3">
      <c r="A473" s="123">
        <f t="shared" si="127"/>
        <v>469</v>
      </c>
      <c r="B473" s="140">
        <f>INDEX('PEER GROUP'!B:B,MATCH($A473,'PEER GROUP'!$A:$A,0))</f>
        <v>0</v>
      </c>
      <c r="C473" s="83">
        <f>INDEX('PEER GROUP'!C:C,MATCH($A473,'PEER GROUP'!$A:$A,0))</f>
        <v>0</v>
      </c>
      <c r="D473" s="83">
        <f>INDEX('PEER GROUP'!D:D,MATCH($A473,'PEER GROUP'!$A:$A,0))</f>
        <v>0</v>
      </c>
      <c r="E473" s="83">
        <f>INDEX('PEER GROUP'!E:E,MATCH(A473,'PEER GROUP'!$A:$A,0))</f>
        <v>0</v>
      </c>
      <c r="F473" s="84">
        <f>INDEX('PEER GROUP'!F:F,MATCH($A473,'PEER GROUP'!$A:$A,0))</f>
        <v>0</v>
      </c>
      <c r="G473" s="84">
        <f>INDEX('PEER GROUP'!G:G,MATCH($A473,'PEER GROUP'!$A:$A,0))</f>
        <v>0</v>
      </c>
      <c r="H473" s="85"/>
      <c r="I473" s="85"/>
      <c r="J473" s="70">
        <f>INDEX('PEER GROUP'!K:K,MATCH($A473,'PEER GROUP'!$A:$A,0))</f>
        <v>0</v>
      </c>
      <c r="K473" s="70">
        <f>INDEX('PEER GROUP'!L:L,MATCH($A473,'PEER GROUP'!$A:$A,0))</f>
        <v>0</v>
      </c>
      <c r="L473" s="70">
        <f>INDEX('PEER GROUP'!M:M,MATCH($A473,'PEER GROUP'!$A:$A,0))</f>
        <v>0</v>
      </c>
      <c r="M473" s="86">
        <f>INDEX('PEER GROUP'!N:N,MATCH($A473,'PEER GROUP'!$A:$A,0))</f>
        <v>0</v>
      </c>
      <c r="N473" s="118"/>
      <c r="O473" s="115"/>
      <c r="P473" s="117"/>
      <c r="Q473" s="87"/>
      <c r="R473" s="87">
        <f t="shared" si="128"/>
        <v>0</v>
      </c>
      <c r="S473" s="87"/>
      <c r="T473" s="87"/>
      <c r="U473" s="87"/>
      <c r="V473" s="87">
        <f t="shared" si="129"/>
        <v>0</v>
      </c>
      <c r="W473" s="113">
        <f t="shared" si="126"/>
        <v>36.913096727263202</v>
      </c>
      <c r="X473" s="69">
        <f t="shared" si="130"/>
        <v>0</v>
      </c>
      <c r="Y473" s="70">
        <f t="shared" si="131"/>
        <v>0</v>
      </c>
      <c r="Z473" s="70">
        <f t="shared" si="132"/>
        <v>0</v>
      </c>
      <c r="AA473" s="70">
        <f t="shared" si="133"/>
        <v>0</v>
      </c>
      <c r="AB473" s="70">
        <f t="shared" si="134"/>
        <v>0</v>
      </c>
      <c r="AC473" s="70">
        <f t="shared" si="135"/>
        <v>0</v>
      </c>
      <c r="AD473" s="71">
        <f t="shared" si="136"/>
        <v>0</v>
      </c>
      <c r="AE473" s="49"/>
      <c r="AF473" s="21"/>
      <c r="AG473" s="69"/>
      <c r="AH473" s="70"/>
      <c r="AI473" s="70"/>
      <c r="AJ473" s="70"/>
      <c r="AK473" s="70"/>
      <c r="AL473" s="70"/>
      <c r="AM473" s="70"/>
      <c r="AN473" s="70" t="str">
        <f t="shared" si="137"/>
        <v>---</v>
      </c>
      <c r="AO473" s="70" t="str">
        <f t="shared" si="138"/>
        <v>---</v>
      </c>
      <c r="AP473" s="70" t="str">
        <f t="shared" si="139"/>
        <v>---</v>
      </c>
      <c r="AQ473" s="70" t="str">
        <f t="shared" si="140"/>
        <v>---</v>
      </c>
      <c r="AR473" s="70" t="str">
        <f t="shared" si="141"/>
        <v>---</v>
      </c>
      <c r="AS473" s="70" t="str">
        <f t="shared" si="142"/>
        <v>---</v>
      </c>
      <c r="AT473" s="71" t="str">
        <f t="shared" si="143"/>
        <v>---</v>
      </c>
    </row>
    <row r="474" spans="1:46" ht="30" customHeight="1" x14ac:dyDescent="0.3">
      <c r="A474" s="123">
        <f t="shared" si="127"/>
        <v>470</v>
      </c>
      <c r="B474" s="140">
        <f>INDEX('PEER GROUP'!B:B,MATCH($A474,'PEER GROUP'!$A:$A,0))</f>
        <v>0</v>
      </c>
      <c r="C474" s="83">
        <f>INDEX('PEER GROUP'!C:C,MATCH($A474,'PEER GROUP'!$A:$A,0))</f>
        <v>0</v>
      </c>
      <c r="D474" s="83">
        <f>INDEX('PEER GROUP'!D:D,MATCH($A474,'PEER GROUP'!$A:$A,0))</f>
        <v>0</v>
      </c>
      <c r="E474" s="83">
        <f>INDEX('PEER GROUP'!E:E,MATCH(A474,'PEER GROUP'!$A:$A,0))</f>
        <v>0</v>
      </c>
      <c r="F474" s="84">
        <f>INDEX('PEER GROUP'!F:F,MATCH($A474,'PEER GROUP'!$A:$A,0))</f>
        <v>0</v>
      </c>
      <c r="G474" s="84">
        <f>INDEX('PEER GROUP'!G:G,MATCH($A474,'PEER GROUP'!$A:$A,0))</f>
        <v>0</v>
      </c>
      <c r="H474" s="85"/>
      <c r="I474" s="85"/>
      <c r="J474" s="70">
        <f>INDEX('PEER GROUP'!K:K,MATCH($A474,'PEER GROUP'!$A:$A,0))</f>
        <v>0</v>
      </c>
      <c r="K474" s="70">
        <f>INDEX('PEER GROUP'!L:L,MATCH($A474,'PEER GROUP'!$A:$A,0))</f>
        <v>0</v>
      </c>
      <c r="L474" s="70">
        <f>INDEX('PEER GROUP'!M:M,MATCH($A474,'PEER GROUP'!$A:$A,0))</f>
        <v>0</v>
      </c>
      <c r="M474" s="86">
        <f>INDEX('PEER GROUP'!N:N,MATCH($A474,'PEER GROUP'!$A:$A,0))</f>
        <v>0</v>
      </c>
      <c r="N474" s="118"/>
      <c r="O474" s="115"/>
      <c r="P474" s="117"/>
      <c r="Q474" s="87"/>
      <c r="R474" s="87">
        <f t="shared" si="128"/>
        <v>0</v>
      </c>
      <c r="S474" s="87"/>
      <c r="T474" s="87"/>
      <c r="U474" s="87"/>
      <c r="V474" s="87">
        <f t="shared" si="129"/>
        <v>0</v>
      </c>
      <c r="W474" s="113">
        <f t="shared" si="126"/>
        <v>36.913096727263202</v>
      </c>
      <c r="X474" s="69">
        <f t="shared" si="130"/>
        <v>0</v>
      </c>
      <c r="Y474" s="70">
        <f t="shared" si="131"/>
        <v>0</v>
      </c>
      <c r="Z474" s="70">
        <f t="shared" si="132"/>
        <v>0</v>
      </c>
      <c r="AA474" s="70">
        <f t="shared" si="133"/>
        <v>0</v>
      </c>
      <c r="AB474" s="70">
        <f t="shared" si="134"/>
        <v>0</v>
      </c>
      <c r="AC474" s="70">
        <f t="shared" si="135"/>
        <v>0</v>
      </c>
      <c r="AD474" s="71">
        <f t="shared" si="136"/>
        <v>0</v>
      </c>
      <c r="AE474" s="49"/>
      <c r="AF474" s="21"/>
      <c r="AG474" s="69"/>
      <c r="AH474" s="70"/>
      <c r="AI474" s="70"/>
      <c r="AJ474" s="70"/>
      <c r="AK474" s="70"/>
      <c r="AL474" s="70"/>
      <c r="AM474" s="70"/>
      <c r="AN474" s="70" t="str">
        <f t="shared" si="137"/>
        <v>---</v>
      </c>
      <c r="AO474" s="70" t="str">
        <f t="shared" si="138"/>
        <v>---</v>
      </c>
      <c r="AP474" s="70" t="str">
        <f t="shared" si="139"/>
        <v>---</v>
      </c>
      <c r="AQ474" s="70" t="str">
        <f t="shared" si="140"/>
        <v>---</v>
      </c>
      <c r="AR474" s="70" t="str">
        <f t="shared" si="141"/>
        <v>---</v>
      </c>
      <c r="AS474" s="70" t="str">
        <f t="shared" si="142"/>
        <v>---</v>
      </c>
      <c r="AT474" s="71" t="str">
        <f t="shared" si="143"/>
        <v>---</v>
      </c>
    </row>
    <row r="475" spans="1:46" ht="30" customHeight="1" x14ac:dyDescent="0.3">
      <c r="A475" s="123">
        <f t="shared" si="127"/>
        <v>471</v>
      </c>
      <c r="B475" s="140">
        <f>INDEX('PEER GROUP'!B:B,MATCH($A475,'PEER GROUP'!$A:$A,0))</f>
        <v>0</v>
      </c>
      <c r="C475" s="83">
        <f>INDEX('PEER GROUP'!C:C,MATCH($A475,'PEER GROUP'!$A:$A,0))</f>
        <v>0</v>
      </c>
      <c r="D475" s="83">
        <f>INDEX('PEER GROUP'!D:D,MATCH($A475,'PEER GROUP'!$A:$A,0))</f>
        <v>0</v>
      </c>
      <c r="E475" s="83">
        <f>INDEX('PEER GROUP'!E:E,MATCH(A475,'PEER GROUP'!$A:$A,0))</f>
        <v>0</v>
      </c>
      <c r="F475" s="84">
        <f>INDEX('PEER GROUP'!F:F,MATCH($A475,'PEER GROUP'!$A:$A,0))</f>
        <v>0</v>
      </c>
      <c r="G475" s="84">
        <f>INDEX('PEER GROUP'!G:G,MATCH($A475,'PEER GROUP'!$A:$A,0))</f>
        <v>0</v>
      </c>
      <c r="H475" s="85"/>
      <c r="I475" s="85"/>
      <c r="J475" s="70">
        <f>INDEX('PEER GROUP'!K:K,MATCH($A475,'PEER GROUP'!$A:$A,0))</f>
        <v>0</v>
      </c>
      <c r="K475" s="70">
        <f>INDEX('PEER GROUP'!L:L,MATCH($A475,'PEER GROUP'!$A:$A,0))</f>
        <v>0</v>
      </c>
      <c r="L475" s="70">
        <f>INDEX('PEER GROUP'!M:M,MATCH($A475,'PEER GROUP'!$A:$A,0))</f>
        <v>0</v>
      </c>
      <c r="M475" s="86">
        <f>INDEX('PEER GROUP'!N:N,MATCH($A475,'PEER GROUP'!$A:$A,0))</f>
        <v>0</v>
      </c>
      <c r="N475" s="118"/>
      <c r="O475" s="115"/>
      <c r="P475" s="117"/>
      <c r="Q475" s="87"/>
      <c r="R475" s="87">
        <f t="shared" si="128"/>
        <v>0</v>
      </c>
      <c r="S475" s="87"/>
      <c r="T475" s="87"/>
      <c r="U475" s="87"/>
      <c r="V475" s="87">
        <f t="shared" si="129"/>
        <v>0</v>
      </c>
      <c r="W475" s="113">
        <f t="shared" si="126"/>
        <v>36.913096727263202</v>
      </c>
      <c r="X475" s="69">
        <f t="shared" si="130"/>
        <v>0</v>
      </c>
      <c r="Y475" s="70">
        <f t="shared" si="131"/>
        <v>0</v>
      </c>
      <c r="Z475" s="70">
        <f t="shared" si="132"/>
        <v>0</v>
      </c>
      <c r="AA475" s="70">
        <f t="shared" si="133"/>
        <v>0</v>
      </c>
      <c r="AB475" s="70">
        <f t="shared" si="134"/>
        <v>0</v>
      </c>
      <c r="AC475" s="70">
        <f t="shared" si="135"/>
        <v>0</v>
      </c>
      <c r="AD475" s="71">
        <f t="shared" si="136"/>
        <v>0</v>
      </c>
      <c r="AE475" s="49"/>
      <c r="AF475" s="21"/>
      <c r="AG475" s="69"/>
      <c r="AH475" s="70"/>
      <c r="AI475" s="70"/>
      <c r="AJ475" s="70"/>
      <c r="AK475" s="70"/>
      <c r="AL475" s="70"/>
      <c r="AM475" s="70"/>
      <c r="AN475" s="70" t="str">
        <f t="shared" si="137"/>
        <v>---</v>
      </c>
      <c r="AO475" s="70" t="str">
        <f t="shared" si="138"/>
        <v>---</v>
      </c>
      <c r="AP475" s="70" t="str">
        <f t="shared" si="139"/>
        <v>---</v>
      </c>
      <c r="AQ475" s="70" t="str">
        <f t="shared" si="140"/>
        <v>---</v>
      </c>
      <c r="AR475" s="70" t="str">
        <f t="shared" si="141"/>
        <v>---</v>
      </c>
      <c r="AS475" s="70" t="str">
        <f t="shared" si="142"/>
        <v>---</v>
      </c>
      <c r="AT475" s="71" t="str">
        <f t="shared" si="143"/>
        <v>---</v>
      </c>
    </row>
    <row r="476" spans="1:46" ht="30" customHeight="1" x14ac:dyDescent="0.3">
      <c r="A476" s="123">
        <f t="shared" si="127"/>
        <v>472</v>
      </c>
      <c r="B476" s="140">
        <f>INDEX('PEER GROUP'!B:B,MATCH($A476,'PEER GROUP'!$A:$A,0))</f>
        <v>0</v>
      </c>
      <c r="C476" s="83">
        <f>INDEX('PEER GROUP'!C:C,MATCH($A476,'PEER GROUP'!$A:$A,0))</f>
        <v>0</v>
      </c>
      <c r="D476" s="83">
        <f>INDEX('PEER GROUP'!D:D,MATCH($A476,'PEER GROUP'!$A:$A,0))</f>
        <v>0</v>
      </c>
      <c r="E476" s="83">
        <f>INDEX('PEER GROUP'!E:E,MATCH(A476,'PEER GROUP'!$A:$A,0))</f>
        <v>0</v>
      </c>
      <c r="F476" s="84">
        <f>INDEX('PEER GROUP'!F:F,MATCH($A476,'PEER GROUP'!$A:$A,0))</f>
        <v>0</v>
      </c>
      <c r="G476" s="84">
        <f>INDEX('PEER GROUP'!G:G,MATCH($A476,'PEER GROUP'!$A:$A,0))</f>
        <v>0</v>
      </c>
      <c r="H476" s="85"/>
      <c r="I476" s="85"/>
      <c r="J476" s="70">
        <f>INDEX('PEER GROUP'!K:K,MATCH($A476,'PEER GROUP'!$A:$A,0))</f>
        <v>0</v>
      </c>
      <c r="K476" s="70">
        <f>INDEX('PEER GROUP'!L:L,MATCH($A476,'PEER GROUP'!$A:$A,0))</f>
        <v>0</v>
      </c>
      <c r="L476" s="70">
        <f>INDEX('PEER GROUP'!M:M,MATCH($A476,'PEER GROUP'!$A:$A,0))</f>
        <v>0</v>
      </c>
      <c r="M476" s="86">
        <f>INDEX('PEER GROUP'!N:N,MATCH($A476,'PEER GROUP'!$A:$A,0))</f>
        <v>0</v>
      </c>
      <c r="N476" s="118"/>
      <c r="O476" s="115"/>
      <c r="P476" s="117"/>
      <c r="Q476" s="87"/>
      <c r="R476" s="87">
        <f t="shared" si="128"/>
        <v>0</v>
      </c>
      <c r="S476" s="87"/>
      <c r="T476" s="87"/>
      <c r="U476" s="87"/>
      <c r="V476" s="87">
        <f t="shared" si="129"/>
        <v>0</v>
      </c>
      <c r="W476" s="113">
        <f t="shared" si="126"/>
        <v>36.913096727263202</v>
      </c>
      <c r="X476" s="69">
        <f t="shared" si="130"/>
        <v>0</v>
      </c>
      <c r="Y476" s="70">
        <f t="shared" si="131"/>
        <v>0</v>
      </c>
      <c r="Z476" s="70">
        <f t="shared" si="132"/>
        <v>0</v>
      </c>
      <c r="AA476" s="70">
        <f t="shared" si="133"/>
        <v>0</v>
      </c>
      <c r="AB476" s="70">
        <f t="shared" si="134"/>
        <v>0</v>
      </c>
      <c r="AC476" s="70">
        <f t="shared" si="135"/>
        <v>0</v>
      </c>
      <c r="AD476" s="71">
        <f t="shared" si="136"/>
        <v>0</v>
      </c>
      <c r="AE476" s="49"/>
      <c r="AF476" s="21"/>
      <c r="AG476" s="69"/>
      <c r="AH476" s="70"/>
      <c r="AI476" s="70"/>
      <c r="AJ476" s="70"/>
      <c r="AK476" s="70"/>
      <c r="AL476" s="70"/>
      <c r="AM476" s="70"/>
      <c r="AN476" s="70" t="str">
        <f t="shared" si="137"/>
        <v>---</v>
      </c>
      <c r="AO476" s="70" t="str">
        <f t="shared" si="138"/>
        <v>---</v>
      </c>
      <c r="AP476" s="70" t="str">
        <f t="shared" si="139"/>
        <v>---</v>
      </c>
      <c r="AQ476" s="70" t="str">
        <f t="shared" si="140"/>
        <v>---</v>
      </c>
      <c r="AR476" s="70" t="str">
        <f t="shared" si="141"/>
        <v>---</v>
      </c>
      <c r="AS476" s="70" t="str">
        <f t="shared" si="142"/>
        <v>---</v>
      </c>
      <c r="AT476" s="71" t="str">
        <f t="shared" si="143"/>
        <v>---</v>
      </c>
    </row>
    <row r="477" spans="1:46" ht="30" customHeight="1" x14ac:dyDescent="0.3">
      <c r="A477" s="123">
        <f t="shared" si="127"/>
        <v>473</v>
      </c>
      <c r="B477" s="140">
        <f>INDEX('PEER GROUP'!B:B,MATCH($A477,'PEER GROUP'!$A:$A,0))</f>
        <v>0</v>
      </c>
      <c r="C477" s="83">
        <f>INDEX('PEER GROUP'!C:C,MATCH($A477,'PEER GROUP'!$A:$A,0))</f>
        <v>0</v>
      </c>
      <c r="D477" s="83">
        <f>INDEX('PEER GROUP'!D:D,MATCH($A477,'PEER GROUP'!$A:$A,0))</f>
        <v>0</v>
      </c>
      <c r="E477" s="83">
        <f>INDEX('PEER GROUP'!E:E,MATCH(A477,'PEER GROUP'!$A:$A,0))</f>
        <v>0</v>
      </c>
      <c r="F477" s="84">
        <f>INDEX('PEER GROUP'!F:F,MATCH($A477,'PEER GROUP'!$A:$A,0))</f>
        <v>0</v>
      </c>
      <c r="G477" s="84">
        <f>INDEX('PEER GROUP'!G:G,MATCH($A477,'PEER GROUP'!$A:$A,0))</f>
        <v>0</v>
      </c>
      <c r="H477" s="85"/>
      <c r="I477" s="85"/>
      <c r="J477" s="70">
        <f>INDEX('PEER GROUP'!K:K,MATCH($A477,'PEER GROUP'!$A:$A,0))</f>
        <v>0</v>
      </c>
      <c r="K477" s="70">
        <f>INDEX('PEER GROUP'!L:L,MATCH($A477,'PEER GROUP'!$A:$A,0))</f>
        <v>0</v>
      </c>
      <c r="L477" s="70">
        <f>INDEX('PEER GROUP'!M:M,MATCH($A477,'PEER GROUP'!$A:$A,0))</f>
        <v>0</v>
      </c>
      <c r="M477" s="86">
        <f>INDEX('PEER GROUP'!N:N,MATCH($A477,'PEER GROUP'!$A:$A,0))</f>
        <v>0</v>
      </c>
      <c r="N477" s="118"/>
      <c r="O477" s="115"/>
      <c r="P477" s="117"/>
      <c r="Q477" s="87"/>
      <c r="R477" s="87">
        <f t="shared" si="128"/>
        <v>0</v>
      </c>
      <c r="S477" s="87"/>
      <c r="T477" s="87"/>
      <c r="U477" s="87"/>
      <c r="V477" s="87">
        <f t="shared" si="129"/>
        <v>0</v>
      </c>
      <c r="W477" s="113">
        <f t="shared" si="126"/>
        <v>36.913096727263202</v>
      </c>
      <c r="X477" s="69">
        <f t="shared" si="130"/>
        <v>0</v>
      </c>
      <c r="Y477" s="70">
        <f t="shared" si="131"/>
        <v>0</v>
      </c>
      <c r="Z477" s="70">
        <f t="shared" si="132"/>
        <v>0</v>
      </c>
      <c r="AA477" s="70">
        <f t="shared" si="133"/>
        <v>0</v>
      </c>
      <c r="AB477" s="70">
        <f t="shared" si="134"/>
        <v>0</v>
      </c>
      <c r="AC477" s="70">
        <f t="shared" si="135"/>
        <v>0</v>
      </c>
      <c r="AD477" s="71">
        <f t="shared" si="136"/>
        <v>0</v>
      </c>
      <c r="AE477" s="49"/>
      <c r="AF477" s="21"/>
      <c r="AG477" s="69"/>
      <c r="AH477" s="70"/>
      <c r="AI477" s="70"/>
      <c r="AJ477" s="70"/>
      <c r="AK477" s="70"/>
      <c r="AL477" s="70"/>
      <c r="AM477" s="70"/>
      <c r="AN477" s="70" t="str">
        <f t="shared" si="137"/>
        <v>---</v>
      </c>
      <c r="AO477" s="70" t="str">
        <f t="shared" si="138"/>
        <v>---</v>
      </c>
      <c r="AP477" s="70" t="str">
        <f t="shared" si="139"/>
        <v>---</v>
      </c>
      <c r="AQ477" s="70" t="str">
        <f t="shared" si="140"/>
        <v>---</v>
      </c>
      <c r="AR477" s="70" t="str">
        <f t="shared" si="141"/>
        <v>---</v>
      </c>
      <c r="AS477" s="70" t="str">
        <f t="shared" si="142"/>
        <v>---</v>
      </c>
      <c r="AT477" s="71" t="str">
        <f t="shared" si="143"/>
        <v>---</v>
      </c>
    </row>
    <row r="478" spans="1:46" ht="30" customHeight="1" x14ac:dyDescent="0.3">
      <c r="A478" s="123">
        <f t="shared" si="127"/>
        <v>474</v>
      </c>
      <c r="B478" s="140">
        <f>INDEX('PEER GROUP'!B:B,MATCH($A478,'PEER GROUP'!$A:$A,0))</f>
        <v>0</v>
      </c>
      <c r="C478" s="83">
        <f>INDEX('PEER GROUP'!C:C,MATCH($A478,'PEER GROUP'!$A:$A,0))</f>
        <v>0</v>
      </c>
      <c r="D478" s="83">
        <f>INDEX('PEER GROUP'!D:D,MATCH($A478,'PEER GROUP'!$A:$A,0))</f>
        <v>0</v>
      </c>
      <c r="E478" s="83">
        <f>INDEX('PEER GROUP'!E:E,MATCH(A478,'PEER GROUP'!$A:$A,0))</f>
        <v>0</v>
      </c>
      <c r="F478" s="84">
        <f>INDEX('PEER GROUP'!F:F,MATCH($A478,'PEER GROUP'!$A:$A,0))</f>
        <v>0</v>
      </c>
      <c r="G478" s="84">
        <f>INDEX('PEER GROUP'!G:G,MATCH($A478,'PEER GROUP'!$A:$A,0))</f>
        <v>0</v>
      </c>
      <c r="H478" s="85"/>
      <c r="I478" s="85"/>
      <c r="J478" s="70">
        <f>INDEX('PEER GROUP'!K:K,MATCH($A478,'PEER GROUP'!$A:$A,0))</f>
        <v>0</v>
      </c>
      <c r="K478" s="70">
        <f>INDEX('PEER GROUP'!L:L,MATCH($A478,'PEER GROUP'!$A:$A,0))</f>
        <v>0</v>
      </c>
      <c r="L478" s="70">
        <f>INDEX('PEER GROUP'!M:M,MATCH($A478,'PEER GROUP'!$A:$A,0))</f>
        <v>0</v>
      </c>
      <c r="M478" s="86">
        <f>INDEX('PEER GROUP'!N:N,MATCH($A478,'PEER GROUP'!$A:$A,0))</f>
        <v>0</v>
      </c>
      <c r="N478" s="118"/>
      <c r="O478" s="115"/>
      <c r="P478" s="117"/>
      <c r="Q478" s="87"/>
      <c r="R478" s="87">
        <f t="shared" si="128"/>
        <v>0</v>
      </c>
      <c r="S478" s="87"/>
      <c r="T478" s="87"/>
      <c r="U478" s="87"/>
      <c r="V478" s="87">
        <f t="shared" si="129"/>
        <v>0</v>
      </c>
      <c r="W478" s="113">
        <f t="shared" si="126"/>
        <v>36.913096727263202</v>
      </c>
      <c r="X478" s="69">
        <f t="shared" si="130"/>
        <v>0</v>
      </c>
      <c r="Y478" s="70">
        <f t="shared" si="131"/>
        <v>0</v>
      </c>
      <c r="Z478" s="70">
        <f t="shared" si="132"/>
        <v>0</v>
      </c>
      <c r="AA478" s="70">
        <f t="shared" si="133"/>
        <v>0</v>
      </c>
      <c r="AB478" s="70">
        <f t="shared" si="134"/>
        <v>0</v>
      </c>
      <c r="AC478" s="70">
        <f t="shared" si="135"/>
        <v>0</v>
      </c>
      <c r="AD478" s="71">
        <f t="shared" si="136"/>
        <v>0</v>
      </c>
      <c r="AE478" s="49"/>
      <c r="AF478" s="21"/>
      <c r="AG478" s="69"/>
      <c r="AH478" s="70"/>
      <c r="AI478" s="70"/>
      <c r="AJ478" s="70"/>
      <c r="AK478" s="70"/>
      <c r="AL478" s="70"/>
      <c r="AM478" s="70"/>
      <c r="AN478" s="70" t="str">
        <f t="shared" si="137"/>
        <v>---</v>
      </c>
      <c r="AO478" s="70" t="str">
        <f t="shared" si="138"/>
        <v>---</v>
      </c>
      <c r="AP478" s="70" t="str">
        <f t="shared" si="139"/>
        <v>---</v>
      </c>
      <c r="AQ478" s="70" t="str">
        <f t="shared" si="140"/>
        <v>---</v>
      </c>
      <c r="AR478" s="70" t="str">
        <f t="shared" si="141"/>
        <v>---</v>
      </c>
      <c r="AS478" s="70" t="str">
        <f t="shared" si="142"/>
        <v>---</v>
      </c>
      <c r="AT478" s="71" t="str">
        <f t="shared" si="143"/>
        <v>---</v>
      </c>
    </row>
    <row r="479" spans="1:46" ht="30" customHeight="1" x14ac:dyDescent="0.3">
      <c r="A479" s="123">
        <f t="shared" si="127"/>
        <v>475</v>
      </c>
      <c r="B479" s="140">
        <f>INDEX('PEER GROUP'!B:B,MATCH($A479,'PEER GROUP'!$A:$A,0))</f>
        <v>0</v>
      </c>
      <c r="C479" s="83">
        <f>INDEX('PEER GROUP'!C:C,MATCH($A479,'PEER GROUP'!$A:$A,0))</f>
        <v>0</v>
      </c>
      <c r="D479" s="83">
        <f>INDEX('PEER GROUP'!D:D,MATCH($A479,'PEER GROUP'!$A:$A,0))</f>
        <v>0</v>
      </c>
      <c r="E479" s="83">
        <f>INDEX('PEER GROUP'!E:E,MATCH(A479,'PEER GROUP'!$A:$A,0))</f>
        <v>0</v>
      </c>
      <c r="F479" s="84">
        <f>INDEX('PEER GROUP'!F:F,MATCH($A479,'PEER GROUP'!$A:$A,0))</f>
        <v>0</v>
      </c>
      <c r="G479" s="84">
        <f>INDEX('PEER GROUP'!G:G,MATCH($A479,'PEER GROUP'!$A:$A,0))</f>
        <v>0</v>
      </c>
      <c r="H479" s="85"/>
      <c r="I479" s="85"/>
      <c r="J479" s="70">
        <f>INDEX('PEER GROUP'!K:K,MATCH($A479,'PEER GROUP'!$A:$A,0))</f>
        <v>0</v>
      </c>
      <c r="K479" s="70">
        <f>INDEX('PEER GROUP'!L:L,MATCH($A479,'PEER GROUP'!$A:$A,0))</f>
        <v>0</v>
      </c>
      <c r="L479" s="70">
        <f>INDEX('PEER GROUP'!M:M,MATCH($A479,'PEER GROUP'!$A:$A,0))</f>
        <v>0</v>
      </c>
      <c r="M479" s="86">
        <f>INDEX('PEER GROUP'!N:N,MATCH($A479,'PEER GROUP'!$A:$A,0))</f>
        <v>0</v>
      </c>
      <c r="N479" s="118"/>
      <c r="O479" s="115"/>
      <c r="P479" s="117"/>
      <c r="Q479" s="87"/>
      <c r="R479" s="87">
        <f t="shared" si="128"/>
        <v>0</v>
      </c>
      <c r="S479" s="87"/>
      <c r="T479" s="87"/>
      <c r="U479" s="87"/>
      <c r="V479" s="87">
        <f t="shared" si="129"/>
        <v>0</v>
      </c>
      <c r="W479" s="113">
        <f t="shared" si="126"/>
        <v>36.913096727263202</v>
      </c>
      <c r="X479" s="69">
        <f t="shared" si="130"/>
        <v>0</v>
      </c>
      <c r="Y479" s="70">
        <f t="shared" si="131"/>
        <v>0</v>
      </c>
      <c r="Z479" s="70">
        <f t="shared" si="132"/>
        <v>0</v>
      </c>
      <c r="AA479" s="70">
        <f t="shared" si="133"/>
        <v>0</v>
      </c>
      <c r="AB479" s="70">
        <f t="shared" si="134"/>
        <v>0</v>
      </c>
      <c r="AC479" s="70">
        <f t="shared" si="135"/>
        <v>0</v>
      </c>
      <c r="AD479" s="71">
        <f t="shared" si="136"/>
        <v>0</v>
      </c>
      <c r="AE479" s="49"/>
      <c r="AF479" s="21"/>
      <c r="AG479" s="69"/>
      <c r="AH479" s="70"/>
      <c r="AI479" s="70"/>
      <c r="AJ479" s="70"/>
      <c r="AK479" s="70"/>
      <c r="AL479" s="70"/>
      <c r="AM479" s="70"/>
      <c r="AN479" s="70" t="str">
        <f t="shared" si="137"/>
        <v>---</v>
      </c>
      <c r="AO479" s="70" t="str">
        <f t="shared" si="138"/>
        <v>---</v>
      </c>
      <c r="AP479" s="70" t="str">
        <f t="shared" si="139"/>
        <v>---</v>
      </c>
      <c r="AQ479" s="70" t="str">
        <f t="shared" si="140"/>
        <v>---</v>
      </c>
      <c r="AR479" s="70" t="str">
        <f t="shared" si="141"/>
        <v>---</v>
      </c>
      <c r="AS479" s="70" t="str">
        <f t="shared" si="142"/>
        <v>---</v>
      </c>
      <c r="AT479" s="71" t="str">
        <f t="shared" si="143"/>
        <v>---</v>
      </c>
    </row>
    <row r="480" spans="1:46" ht="30" customHeight="1" x14ac:dyDescent="0.3">
      <c r="A480" s="123">
        <f t="shared" si="127"/>
        <v>476</v>
      </c>
      <c r="B480" s="140">
        <f>INDEX('PEER GROUP'!B:B,MATCH($A480,'PEER GROUP'!$A:$A,0))</f>
        <v>0</v>
      </c>
      <c r="C480" s="83">
        <f>INDEX('PEER GROUP'!C:C,MATCH($A480,'PEER GROUP'!$A:$A,0))</f>
        <v>0</v>
      </c>
      <c r="D480" s="83">
        <f>INDEX('PEER GROUP'!D:D,MATCH($A480,'PEER GROUP'!$A:$A,0))</f>
        <v>0</v>
      </c>
      <c r="E480" s="83">
        <f>INDEX('PEER GROUP'!E:E,MATCH(A480,'PEER GROUP'!$A:$A,0))</f>
        <v>0</v>
      </c>
      <c r="F480" s="84">
        <f>INDEX('PEER GROUP'!F:F,MATCH($A480,'PEER GROUP'!$A:$A,0))</f>
        <v>0</v>
      </c>
      <c r="G480" s="84">
        <f>INDEX('PEER GROUP'!G:G,MATCH($A480,'PEER GROUP'!$A:$A,0))</f>
        <v>0</v>
      </c>
      <c r="H480" s="85"/>
      <c r="I480" s="85"/>
      <c r="J480" s="70">
        <f>INDEX('PEER GROUP'!K:K,MATCH($A480,'PEER GROUP'!$A:$A,0))</f>
        <v>0</v>
      </c>
      <c r="K480" s="70">
        <f>INDEX('PEER GROUP'!L:L,MATCH($A480,'PEER GROUP'!$A:$A,0))</f>
        <v>0</v>
      </c>
      <c r="L480" s="70">
        <f>INDEX('PEER GROUP'!M:M,MATCH($A480,'PEER GROUP'!$A:$A,0))</f>
        <v>0</v>
      </c>
      <c r="M480" s="86">
        <f>INDEX('PEER GROUP'!N:N,MATCH($A480,'PEER GROUP'!$A:$A,0))</f>
        <v>0</v>
      </c>
      <c r="N480" s="118"/>
      <c r="O480" s="115"/>
      <c r="P480" s="117"/>
      <c r="Q480" s="87"/>
      <c r="R480" s="87">
        <f t="shared" si="128"/>
        <v>0</v>
      </c>
      <c r="S480" s="87"/>
      <c r="T480" s="87"/>
      <c r="U480" s="87"/>
      <c r="V480" s="87">
        <f t="shared" si="129"/>
        <v>0</v>
      </c>
      <c r="W480" s="113">
        <f t="shared" si="126"/>
        <v>36.913096727263202</v>
      </c>
      <c r="X480" s="69">
        <f t="shared" si="130"/>
        <v>0</v>
      </c>
      <c r="Y480" s="70">
        <f t="shared" si="131"/>
        <v>0</v>
      </c>
      <c r="Z480" s="70">
        <f t="shared" si="132"/>
        <v>0</v>
      </c>
      <c r="AA480" s="70">
        <f t="shared" si="133"/>
        <v>0</v>
      </c>
      <c r="AB480" s="70">
        <f t="shared" si="134"/>
        <v>0</v>
      </c>
      <c r="AC480" s="70">
        <f t="shared" si="135"/>
        <v>0</v>
      </c>
      <c r="AD480" s="71">
        <f t="shared" si="136"/>
        <v>0</v>
      </c>
      <c r="AE480" s="49"/>
      <c r="AF480" s="21"/>
      <c r="AG480" s="69"/>
      <c r="AH480" s="70"/>
      <c r="AI480" s="70"/>
      <c r="AJ480" s="70"/>
      <c r="AK480" s="70"/>
      <c r="AL480" s="70"/>
      <c r="AM480" s="70"/>
      <c r="AN480" s="70" t="str">
        <f t="shared" si="137"/>
        <v>---</v>
      </c>
      <c r="AO480" s="70" t="str">
        <f t="shared" si="138"/>
        <v>---</v>
      </c>
      <c r="AP480" s="70" t="str">
        <f t="shared" si="139"/>
        <v>---</v>
      </c>
      <c r="AQ480" s="70" t="str">
        <f t="shared" si="140"/>
        <v>---</v>
      </c>
      <c r="AR480" s="70" t="str">
        <f t="shared" si="141"/>
        <v>---</v>
      </c>
      <c r="AS480" s="70" t="str">
        <f t="shared" si="142"/>
        <v>---</v>
      </c>
      <c r="AT480" s="71" t="str">
        <f t="shared" si="143"/>
        <v>---</v>
      </c>
    </row>
    <row r="481" spans="1:46" ht="30" customHeight="1" x14ac:dyDescent="0.3">
      <c r="A481" s="123">
        <f t="shared" si="127"/>
        <v>477</v>
      </c>
      <c r="B481" s="140">
        <f>INDEX('PEER GROUP'!B:B,MATCH($A481,'PEER GROUP'!$A:$A,0))</f>
        <v>0</v>
      </c>
      <c r="C481" s="83">
        <f>INDEX('PEER GROUP'!C:C,MATCH($A481,'PEER GROUP'!$A:$A,0))</f>
        <v>0</v>
      </c>
      <c r="D481" s="83">
        <f>INDEX('PEER GROUP'!D:D,MATCH($A481,'PEER GROUP'!$A:$A,0))</f>
        <v>0</v>
      </c>
      <c r="E481" s="83">
        <f>INDEX('PEER GROUP'!E:E,MATCH(A481,'PEER GROUP'!$A:$A,0))</f>
        <v>0</v>
      </c>
      <c r="F481" s="84">
        <f>INDEX('PEER GROUP'!F:F,MATCH($A481,'PEER GROUP'!$A:$A,0))</f>
        <v>0</v>
      </c>
      <c r="G481" s="84">
        <f>INDEX('PEER GROUP'!G:G,MATCH($A481,'PEER GROUP'!$A:$A,0))</f>
        <v>0</v>
      </c>
      <c r="H481" s="85"/>
      <c r="I481" s="85"/>
      <c r="J481" s="70">
        <f>INDEX('PEER GROUP'!K:K,MATCH($A481,'PEER GROUP'!$A:$A,0))</f>
        <v>0</v>
      </c>
      <c r="K481" s="70">
        <f>INDEX('PEER GROUP'!L:L,MATCH($A481,'PEER GROUP'!$A:$A,0))</f>
        <v>0</v>
      </c>
      <c r="L481" s="70">
        <f>INDEX('PEER GROUP'!M:M,MATCH($A481,'PEER GROUP'!$A:$A,0))</f>
        <v>0</v>
      </c>
      <c r="M481" s="86">
        <f>INDEX('PEER GROUP'!N:N,MATCH($A481,'PEER GROUP'!$A:$A,0))</f>
        <v>0</v>
      </c>
      <c r="N481" s="118"/>
      <c r="O481" s="115"/>
      <c r="P481" s="117"/>
      <c r="Q481" s="87"/>
      <c r="R481" s="87">
        <f t="shared" si="128"/>
        <v>0</v>
      </c>
      <c r="S481" s="87"/>
      <c r="T481" s="87"/>
      <c r="U481" s="87"/>
      <c r="V481" s="87">
        <f t="shared" si="129"/>
        <v>0</v>
      </c>
      <c r="W481" s="113">
        <f t="shared" si="126"/>
        <v>36.913096727263202</v>
      </c>
      <c r="X481" s="69">
        <f t="shared" si="130"/>
        <v>0</v>
      </c>
      <c r="Y481" s="70">
        <f t="shared" si="131"/>
        <v>0</v>
      </c>
      <c r="Z481" s="70">
        <f t="shared" si="132"/>
        <v>0</v>
      </c>
      <c r="AA481" s="70">
        <f t="shared" si="133"/>
        <v>0</v>
      </c>
      <c r="AB481" s="70">
        <f t="shared" si="134"/>
        <v>0</v>
      </c>
      <c r="AC481" s="70">
        <f t="shared" si="135"/>
        <v>0</v>
      </c>
      <c r="AD481" s="71">
        <f t="shared" si="136"/>
        <v>0</v>
      </c>
      <c r="AE481" s="49"/>
      <c r="AF481" s="21"/>
      <c r="AG481" s="69"/>
      <c r="AH481" s="70"/>
      <c r="AI481" s="70"/>
      <c r="AJ481" s="70"/>
      <c r="AK481" s="70"/>
      <c r="AL481" s="70"/>
      <c r="AM481" s="70"/>
      <c r="AN481" s="70" t="str">
        <f t="shared" si="137"/>
        <v>---</v>
      </c>
      <c r="AO481" s="70" t="str">
        <f t="shared" si="138"/>
        <v>---</v>
      </c>
      <c r="AP481" s="70" t="str">
        <f t="shared" si="139"/>
        <v>---</v>
      </c>
      <c r="AQ481" s="70" t="str">
        <f t="shared" si="140"/>
        <v>---</v>
      </c>
      <c r="AR481" s="70" t="str">
        <f t="shared" si="141"/>
        <v>---</v>
      </c>
      <c r="AS481" s="70" t="str">
        <f t="shared" si="142"/>
        <v>---</v>
      </c>
      <c r="AT481" s="71" t="str">
        <f t="shared" si="143"/>
        <v>---</v>
      </c>
    </row>
    <row r="482" spans="1:46" ht="30" customHeight="1" x14ac:dyDescent="0.3">
      <c r="A482" s="123">
        <f t="shared" si="127"/>
        <v>478</v>
      </c>
      <c r="B482" s="140">
        <f>INDEX('PEER GROUP'!B:B,MATCH($A482,'PEER GROUP'!$A:$A,0))</f>
        <v>0</v>
      </c>
      <c r="C482" s="83">
        <f>INDEX('PEER GROUP'!C:C,MATCH($A482,'PEER GROUP'!$A:$A,0))</f>
        <v>0</v>
      </c>
      <c r="D482" s="83">
        <f>INDEX('PEER GROUP'!D:D,MATCH($A482,'PEER GROUP'!$A:$A,0))</f>
        <v>0</v>
      </c>
      <c r="E482" s="83">
        <f>INDEX('PEER GROUP'!E:E,MATCH(A482,'PEER GROUP'!$A:$A,0))</f>
        <v>0</v>
      </c>
      <c r="F482" s="84">
        <f>INDEX('PEER GROUP'!F:F,MATCH($A482,'PEER GROUP'!$A:$A,0))</f>
        <v>0</v>
      </c>
      <c r="G482" s="84">
        <f>INDEX('PEER GROUP'!G:G,MATCH($A482,'PEER GROUP'!$A:$A,0))</f>
        <v>0</v>
      </c>
      <c r="H482" s="85"/>
      <c r="I482" s="85"/>
      <c r="J482" s="70">
        <f>INDEX('PEER GROUP'!K:K,MATCH($A482,'PEER GROUP'!$A:$A,0))</f>
        <v>0</v>
      </c>
      <c r="K482" s="70">
        <f>INDEX('PEER GROUP'!L:L,MATCH($A482,'PEER GROUP'!$A:$A,0))</f>
        <v>0</v>
      </c>
      <c r="L482" s="70">
        <f>INDEX('PEER GROUP'!M:M,MATCH($A482,'PEER GROUP'!$A:$A,0))</f>
        <v>0</v>
      </c>
      <c r="M482" s="86">
        <f>INDEX('PEER GROUP'!N:N,MATCH($A482,'PEER GROUP'!$A:$A,0))</f>
        <v>0</v>
      </c>
      <c r="N482" s="118"/>
      <c r="O482" s="115"/>
      <c r="P482" s="117"/>
      <c r="Q482" s="87"/>
      <c r="R482" s="87">
        <f t="shared" si="128"/>
        <v>0</v>
      </c>
      <c r="S482" s="87"/>
      <c r="T482" s="87"/>
      <c r="U482" s="87"/>
      <c r="V482" s="87">
        <f t="shared" si="129"/>
        <v>0</v>
      </c>
      <c r="W482" s="113">
        <f t="shared" si="126"/>
        <v>36.913096727263202</v>
      </c>
      <c r="X482" s="69">
        <f t="shared" si="130"/>
        <v>0</v>
      </c>
      <c r="Y482" s="70">
        <f t="shared" si="131"/>
        <v>0</v>
      </c>
      <c r="Z482" s="70">
        <f t="shared" si="132"/>
        <v>0</v>
      </c>
      <c r="AA482" s="70">
        <f t="shared" si="133"/>
        <v>0</v>
      </c>
      <c r="AB482" s="70">
        <f t="shared" si="134"/>
        <v>0</v>
      </c>
      <c r="AC482" s="70">
        <f t="shared" si="135"/>
        <v>0</v>
      </c>
      <c r="AD482" s="71">
        <f t="shared" si="136"/>
        <v>0</v>
      </c>
      <c r="AE482" s="49"/>
      <c r="AF482" s="21"/>
      <c r="AG482" s="69"/>
      <c r="AH482" s="70"/>
      <c r="AI482" s="70"/>
      <c r="AJ482" s="70"/>
      <c r="AK482" s="70"/>
      <c r="AL482" s="70"/>
      <c r="AM482" s="70"/>
      <c r="AN482" s="70" t="str">
        <f t="shared" si="137"/>
        <v>---</v>
      </c>
      <c r="AO482" s="70" t="str">
        <f t="shared" si="138"/>
        <v>---</v>
      </c>
      <c r="AP482" s="70" t="str">
        <f t="shared" si="139"/>
        <v>---</v>
      </c>
      <c r="AQ482" s="70" t="str">
        <f t="shared" si="140"/>
        <v>---</v>
      </c>
      <c r="AR482" s="70" t="str">
        <f t="shared" si="141"/>
        <v>---</v>
      </c>
      <c r="AS482" s="70" t="str">
        <f t="shared" si="142"/>
        <v>---</v>
      </c>
      <c r="AT482" s="71" t="str">
        <f t="shared" si="143"/>
        <v>---</v>
      </c>
    </row>
    <row r="483" spans="1:46" ht="30" customHeight="1" x14ac:dyDescent="0.3">
      <c r="A483" s="123">
        <f t="shared" si="127"/>
        <v>479</v>
      </c>
      <c r="B483" s="140">
        <f>INDEX('PEER GROUP'!B:B,MATCH($A483,'PEER GROUP'!$A:$A,0))</f>
        <v>0</v>
      </c>
      <c r="C483" s="83">
        <f>INDEX('PEER GROUP'!C:C,MATCH($A483,'PEER GROUP'!$A:$A,0))</f>
        <v>0</v>
      </c>
      <c r="D483" s="83">
        <f>INDEX('PEER GROUP'!D:D,MATCH($A483,'PEER GROUP'!$A:$A,0))</f>
        <v>0</v>
      </c>
      <c r="E483" s="83">
        <f>INDEX('PEER GROUP'!E:E,MATCH(A483,'PEER GROUP'!$A:$A,0))</f>
        <v>0</v>
      </c>
      <c r="F483" s="84">
        <f>INDEX('PEER GROUP'!F:F,MATCH($A483,'PEER GROUP'!$A:$A,0))</f>
        <v>0</v>
      </c>
      <c r="G483" s="84">
        <f>INDEX('PEER GROUP'!G:G,MATCH($A483,'PEER GROUP'!$A:$A,0))</f>
        <v>0</v>
      </c>
      <c r="H483" s="85"/>
      <c r="I483" s="85"/>
      <c r="J483" s="70">
        <f>INDEX('PEER GROUP'!K:K,MATCH($A483,'PEER GROUP'!$A:$A,0))</f>
        <v>0</v>
      </c>
      <c r="K483" s="70">
        <f>INDEX('PEER GROUP'!L:L,MATCH($A483,'PEER GROUP'!$A:$A,0))</f>
        <v>0</v>
      </c>
      <c r="L483" s="70">
        <f>INDEX('PEER GROUP'!M:M,MATCH($A483,'PEER GROUP'!$A:$A,0))</f>
        <v>0</v>
      </c>
      <c r="M483" s="86">
        <f>INDEX('PEER GROUP'!N:N,MATCH($A483,'PEER GROUP'!$A:$A,0))</f>
        <v>0</v>
      </c>
      <c r="N483" s="118"/>
      <c r="O483" s="115"/>
      <c r="P483" s="117"/>
      <c r="Q483" s="87"/>
      <c r="R483" s="87">
        <f t="shared" si="128"/>
        <v>0</v>
      </c>
      <c r="S483" s="87"/>
      <c r="T483" s="87"/>
      <c r="U483" s="87"/>
      <c r="V483" s="87">
        <f t="shared" si="129"/>
        <v>0</v>
      </c>
      <c r="W483" s="113">
        <f t="shared" ref="W483:W546" si="144">IF(DataEffDate&gt;DATE(2022,1,1),
IF(E483&lt;DATE(2022,1,1),
(1+UpdateFactor)^(IF(E483&lt;DataEffDate,1,-1)*YEARFRAC(E483,DATE(2022,1,1),1))+(1+UpdateFactor_TEMP)^(IF(DATE(2022,1,1)&lt;DataEffDate,1,-1)*YEARFRAC(DATE(2022,1,1),DataEffDate,1))-1,
(1+UpdateFactor_TEMP)^(IF(E483&lt;DataEffDate,1,-1)*YEARFRAC(E483,DataEffDate,1))),
(1+UpdateFactor)^(IF(E483&lt;DataEffDate,1,-1)*YEARFRAC(E483,DataEffDate,1)))</f>
        <v>36.913096727263202</v>
      </c>
      <c r="X483" s="69">
        <f t="shared" si="130"/>
        <v>0</v>
      </c>
      <c r="Y483" s="70">
        <f t="shared" si="131"/>
        <v>0</v>
      </c>
      <c r="Z483" s="70">
        <f t="shared" si="132"/>
        <v>0</v>
      </c>
      <c r="AA483" s="70">
        <f t="shared" si="133"/>
        <v>0</v>
      </c>
      <c r="AB483" s="70">
        <f t="shared" si="134"/>
        <v>0</v>
      </c>
      <c r="AC483" s="70">
        <f t="shared" si="135"/>
        <v>0</v>
      </c>
      <c r="AD483" s="71">
        <f t="shared" si="136"/>
        <v>0</v>
      </c>
      <c r="AE483" s="49"/>
      <c r="AF483" s="21"/>
      <c r="AG483" s="69"/>
      <c r="AH483" s="70"/>
      <c r="AI483" s="70"/>
      <c r="AJ483" s="70"/>
      <c r="AK483" s="70"/>
      <c r="AL483" s="70"/>
      <c r="AM483" s="70"/>
      <c r="AN483" s="70" t="str">
        <f t="shared" si="137"/>
        <v>---</v>
      </c>
      <c r="AO483" s="70" t="str">
        <f t="shared" si="138"/>
        <v>---</v>
      </c>
      <c r="AP483" s="70" t="str">
        <f t="shared" si="139"/>
        <v>---</v>
      </c>
      <c r="AQ483" s="70" t="str">
        <f t="shared" si="140"/>
        <v>---</v>
      </c>
      <c r="AR483" s="70" t="str">
        <f t="shared" si="141"/>
        <v>---</v>
      </c>
      <c r="AS483" s="70" t="str">
        <f t="shared" si="142"/>
        <v>---</v>
      </c>
      <c r="AT483" s="71" t="str">
        <f t="shared" si="143"/>
        <v>---</v>
      </c>
    </row>
    <row r="484" spans="1:46" ht="30" customHeight="1" x14ac:dyDescent="0.3">
      <c r="A484" s="123">
        <f t="shared" ref="A484:A547" si="145">A483+1</f>
        <v>480</v>
      </c>
      <c r="B484" s="140">
        <f>INDEX('PEER GROUP'!B:B,MATCH($A484,'PEER GROUP'!$A:$A,0))</f>
        <v>0</v>
      </c>
      <c r="C484" s="83">
        <f>INDEX('PEER GROUP'!C:C,MATCH($A484,'PEER GROUP'!$A:$A,0))</f>
        <v>0</v>
      </c>
      <c r="D484" s="83">
        <f>INDEX('PEER GROUP'!D:D,MATCH($A484,'PEER GROUP'!$A:$A,0))</f>
        <v>0</v>
      </c>
      <c r="E484" s="83">
        <f>INDEX('PEER GROUP'!E:E,MATCH(A484,'PEER GROUP'!$A:$A,0))</f>
        <v>0</v>
      </c>
      <c r="F484" s="84">
        <f>INDEX('PEER GROUP'!F:F,MATCH($A484,'PEER GROUP'!$A:$A,0))</f>
        <v>0</v>
      </c>
      <c r="G484" s="84">
        <f>INDEX('PEER GROUP'!G:G,MATCH($A484,'PEER GROUP'!$A:$A,0))</f>
        <v>0</v>
      </c>
      <c r="H484" s="85"/>
      <c r="I484" s="85"/>
      <c r="J484" s="70">
        <f>INDEX('PEER GROUP'!K:K,MATCH($A484,'PEER GROUP'!$A:$A,0))</f>
        <v>0</v>
      </c>
      <c r="K484" s="70">
        <f>INDEX('PEER GROUP'!L:L,MATCH($A484,'PEER GROUP'!$A:$A,0))</f>
        <v>0</v>
      </c>
      <c r="L484" s="70">
        <f>INDEX('PEER GROUP'!M:M,MATCH($A484,'PEER GROUP'!$A:$A,0))</f>
        <v>0</v>
      </c>
      <c r="M484" s="86">
        <f>INDEX('PEER GROUP'!N:N,MATCH($A484,'PEER GROUP'!$A:$A,0))</f>
        <v>0</v>
      </c>
      <c r="N484" s="118"/>
      <c r="O484" s="115"/>
      <c r="P484" s="117"/>
      <c r="Q484" s="87"/>
      <c r="R484" s="87">
        <f t="shared" ref="R484:R547" si="146">SUM(P484:Q484)</f>
        <v>0</v>
      </c>
      <c r="S484" s="87"/>
      <c r="T484" s="87"/>
      <c r="U484" s="87"/>
      <c r="V484" s="87">
        <f t="shared" ref="V484:V547" si="147">SUM(R484:U484)</f>
        <v>0</v>
      </c>
      <c r="W484" s="113">
        <f t="shared" si="144"/>
        <v>36.913096727263202</v>
      </c>
      <c r="X484" s="69">
        <f t="shared" ref="X484:X547" si="148">P484*$W484</f>
        <v>0</v>
      </c>
      <c r="Y484" s="70">
        <f t="shared" ref="Y484:Y547" si="149">Q484*$W484</f>
        <v>0</v>
      </c>
      <c r="Z484" s="70">
        <f t="shared" ref="Z484:Z547" si="150">SUM(X484:Y484)</f>
        <v>0</v>
      </c>
      <c r="AA484" s="70">
        <f t="shared" ref="AA484:AA547" si="151">S484*$W484</f>
        <v>0</v>
      </c>
      <c r="AB484" s="70">
        <f t="shared" ref="AB484:AB547" si="152">T484*$W484</f>
        <v>0</v>
      </c>
      <c r="AC484" s="70">
        <f t="shared" ref="AC484:AC547" si="153">U484*$W484</f>
        <v>0</v>
      </c>
      <c r="AD484" s="71">
        <f t="shared" ref="AD484:AD547" si="154">SUM(Z484:AC484)</f>
        <v>0</v>
      </c>
      <c r="AE484" s="49"/>
      <c r="AF484" s="21"/>
      <c r="AG484" s="69"/>
      <c r="AH484" s="70"/>
      <c r="AI484" s="70"/>
      <c r="AJ484" s="70"/>
      <c r="AK484" s="70"/>
      <c r="AL484" s="70"/>
      <c r="AM484" s="70"/>
      <c r="AN484" s="70" t="str">
        <f t="shared" ref="AN484:AN547" si="155">IFERROR(P484/AG484-1,"---")</f>
        <v>---</v>
      </c>
      <c r="AO484" s="70" t="str">
        <f t="shared" ref="AO484:AO547" si="156">IFERROR(Q484/AH484-1,"---")</f>
        <v>---</v>
      </c>
      <c r="AP484" s="70" t="str">
        <f t="shared" ref="AP484:AP547" si="157">IFERROR(R484/AI484-1,"---")</f>
        <v>---</v>
      </c>
      <c r="AQ484" s="70" t="str">
        <f t="shared" ref="AQ484:AQ547" si="158">IFERROR(S484/AJ484-1,"---")</f>
        <v>---</v>
      </c>
      <c r="AR484" s="70" t="str">
        <f t="shared" ref="AR484:AR547" si="159">IFERROR(T484/AK484-1,"---")</f>
        <v>---</v>
      </c>
      <c r="AS484" s="70" t="str">
        <f t="shared" ref="AS484:AS547" si="160">IFERROR(U484/AL484-1,"---")</f>
        <v>---</v>
      </c>
      <c r="AT484" s="71" t="str">
        <f t="shared" ref="AT484:AT547" si="161">IFERROR(V484/AM484-1,"---")</f>
        <v>---</v>
      </c>
    </row>
    <row r="485" spans="1:46" ht="30" customHeight="1" x14ac:dyDescent="0.3">
      <c r="A485" s="123">
        <f t="shared" si="145"/>
        <v>481</v>
      </c>
      <c r="B485" s="140">
        <f>INDEX('PEER GROUP'!B:B,MATCH($A485,'PEER GROUP'!$A:$A,0))</f>
        <v>0</v>
      </c>
      <c r="C485" s="83">
        <f>INDEX('PEER GROUP'!C:C,MATCH($A485,'PEER GROUP'!$A:$A,0))</f>
        <v>0</v>
      </c>
      <c r="D485" s="83">
        <f>INDEX('PEER GROUP'!D:D,MATCH($A485,'PEER GROUP'!$A:$A,0))</f>
        <v>0</v>
      </c>
      <c r="E485" s="83">
        <f>INDEX('PEER GROUP'!E:E,MATCH(A485,'PEER GROUP'!$A:$A,0))</f>
        <v>0</v>
      </c>
      <c r="F485" s="84">
        <f>INDEX('PEER GROUP'!F:F,MATCH($A485,'PEER GROUP'!$A:$A,0))</f>
        <v>0</v>
      </c>
      <c r="G485" s="84">
        <f>INDEX('PEER GROUP'!G:G,MATCH($A485,'PEER GROUP'!$A:$A,0))</f>
        <v>0</v>
      </c>
      <c r="H485" s="85"/>
      <c r="I485" s="85"/>
      <c r="J485" s="70">
        <f>INDEX('PEER GROUP'!K:K,MATCH($A485,'PEER GROUP'!$A:$A,0))</f>
        <v>0</v>
      </c>
      <c r="K485" s="70">
        <f>INDEX('PEER GROUP'!L:L,MATCH($A485,'PEER GROUP'!$A:$A,0))</f>
        <v>0</v>
      </c>
      <c r="L485" s="70">
        <f>INDEX('PEER GROUP'!M:M,MATCH($A485,'PEER GROUP'!$A:$A,0))</f>
        <v>0</v>
      </c>
      <c r="M485" s="86">
        <f>INDEX('PEER GROUP'!N:N,MATCH($A485,'PEER GROUP'!$A:$A,0))</f>
        <v>0</v>
      </c>
      <c r="N485" s="118"/>
      <c r="O485" s="115"/>
      <c r="P485" s="117"/>
      <c r="Q485" s="87"/>
      <c r="R485" s="87">
        <f t="shared" si="146"/>
        <v>0</v>
      </c>
      <c r="S485" s="87"/>
      <c r="T485" s="87"/>
      <c r="U485" s="87"/>
      <c r="V485" s="87">
        <f t="shared" si="147"/>
        <v>0</v>
      </c>
      <c r="W485" s="113">
        <f t="shared" si="144"/>
        <v>36.913096727263202</v>
      </c>
      <c r="X485" s="69">
        <f t="shared" si="148"/>
        <v>0</v>
      </c>
      <c r="Y485" s="70">
        <f t="shared" si="149"/>
        <v>0</v>
      </c>
      <c r="Z485" s="70">
        <f t="shared" si="150"/>
        <v>0</v>
      </c>
      <c r="AA485" s="70">
        <f t="shared" si="151"/>
        <v>0</v>
      </c>
      <c r="AB485" s="70">
        <f t="shared" si="152"/>
        <v>0</v>
      </c>
      <c r="AC485" s="70">
        <f t="shared" si="153"/>
        <v>0</v>
      </c>
      <c r="AD485" s="71">
        <f t="shared" si="154"/>
        <v>0</v>
      </c>
      <c r="AE485" s="49"/>
      <c r="AF485" s="21"/>
      <c r="AG485" s="69"/>
      <c r="AH485" s="70"/>
      <c r="AI485" s="70"/>
      <c r="AJ485" s="70"/>
      <c r="AK485" s="70"/>
      <c r="AL485" s="70"/>
      <c r="AM485" s="70"/>
      <c r="AN485" s="70" t="str">
        <f t="shared" si="155"/>
        <v>---</v>
      </c>
      <c r="AO485" s="70" t="str">
        <f t="shared" si="156"/>
        <v>---</v>
      </c>
      <c r="AP485" s="70" t="str">
        <f t="shared" si="157"/>
        <v>---</v>
      </c>
      <c r="AQ485" s="70" t="str">
        <f t="shared" si="158"/>
        <v>---</v>
      </c>
      <c r="AR485" s="70" t="str">
        <f t="shared" si="159"/>
        <v>---</v>
      </c>
      <c r="AS485" s="70" t="str">
        <f t="shared" si="160"/>
        <v>---</v>
      </c>
      <c r="AT485" s="71" t="str">
        <f t="shared" si="161"/>
        <v>---</v>
      </c>
    </row>
    <row r="486" spans="1:46" ht="30" customHeight="1" x14ac:dyDescent="0.3">
      <c r="A486" s="123">
        <f t="shared" si="145"/>
        <v>482</v>
      </c>
      <c r="B486" s="140">
        <f>INDEX('PEER GROUP'!B:B,MATCH($A486,'PEER GROUP'!$A:$A,0))</f>
        <v>0</v>
      </c>
      <c r="C486" s="83">
        <f>INDEX('PEER GROUP'!C:C,MATCH($A486,'PEER GROUP'!$A:$A,0))</f>
        <v>0</v>
      </c>
      <c r="D486" s="83">
        <f>INDEX('PEER GROUP'!D:D,MATCH($A486,'PEER GROUP'!$A:$A,0))</f>
        <v>0</v>
      </c>
      <c r="E486" s="83">
        <f>INDEX('PEER GROUP'!E:E,MATCH(A486,'PEER GROUP'!$A:$A,0))</f>
        <v>0</v>
      </c>
      <c r="F486" s="84">
        <f>INDEX('PEER GROUP'!F:F,MATCH($A486,'PEER GROUP'!$A:$A,0))</f>
        <v>0</v>
      </c>
      <c r="G486" s="84">
        <f>INDEX('PEER GROUP'!G:G,MATCH($A486,'PEER GROUP'!$A:$A,0))</f>
        <v>0</v>
      </c>
      <c r="H486" s="85"/>
      <c r="I486" s="85"/>
      <c r="J486" s="70">
        <f>INDEX('PEER GROUP'!K:K,MATCH($A486,'PEER GROUP'!$A:$A,0))</f>
        <v>0</v>
      </c>
      <c r="K486" s="70">
        <f>INDEX('PEER GROUP'!L:L,MATCH($A486,'PEER GROUP'!$A:$A,0))</f>
        <v>0</v>
      </c>
      <c r="L486" s="70">
        <f>INDEX('PEER GROUP'!M:M,MATCH($A486,'PEER GROUP'!$A:$A,0))</f>
        <v>0</v>
      </c>
      <c r="M486" s="86">
        <f>INDEX('PEER GROUP'!N:N,MATCH($A486,'PEER GROUP'!$A:$A,0))</f>
        <v>0</v>
      </c>
      <c r="N486" s="118"/>
      <c r="O486" s="115"/>
      <c r="P486" s="117"/>
      <c r="Q486" s="87"/>
      <c r="R486" s="87">
        <f t="shared" si="146"/>
        <v>0</v>
      </c>
      <c r="S486" s="87"/>
      <c r="T486" s="87"/>
      <c r="U486" s="87"/>
      <c r="V486" s="87">
        <f t="shared" si="147"/>
        <v>0</v>
      </c>
      <c r="W486" s="113">
        <f t="shared" si="144"/>
        <v>36.913096727263202</v>
      </c>
      <c r="X486" s="69">
        <f t="shared" si="148"/>
        <v>0</v>
      </c>
      <c r="Y486" s="70">
        <f t="shared" si="149"/>
        <v>0</v>
      </c>
      <c r="Z486" s="70">
        <f t="shared" si="150"/>
        <v>0</v>
      </c>
      <c r="AA486" s="70">
        <f t="shared" si="151"/>
        <v>0</v>
      </c>
      <c r="AB486" s="70">
        <f t="shared" si="152"/>
        <v>0</v>
      </c>
      <c r="AC486" s="70">
        <f t="shared" si="153"/>
        <v>0</v>
      </c>
      <c r="AD486" s="71">
        <f t="shared" si="154"/>
        <v>0</v>
      </c>
      <c r="AE486" s="49"/>
      <c r="AF486" s="21"/>
      <c r="AG486" s="69"/>
      <c r="AH486" s="70"/>
      <c r="AI486" s="70"/>
      <c r="AJ486" s="70"/>
      <c r="AK486" s="70"/>
      <c r="AL486" s="70"/>
      <c r="AM486" s="70"/>
      <c r="AN486" s="70" t="str">
        <f t="shared" si="155"/>
        <v>---</v>
      </c>
      <c r="AO486" s="70" t="str">
        <f t="shared" si="156"/>
        <v>---</v>
      </c>
      <c r="AP486" s="70" t="str">
        <f t="shared" si="157"/>
        <v>---</v>
      </c>
      <c r="AQ486" s="70" t="str">
        <f t="shared" si="158"/>
        <v>---</v>
      </c>
      <c r="AR486" s="70" t="str">
        <f t="shared" si="159"/>
        <v>---</v>
      </c>
      <c r="AS486" s="70" t="str">
        <f t="shared" si="160"/>
        <v>---</v>
      </c>
      <c r="AT486" s="71" t="str">
        <f t="shared" si="161"/>
        <v>---</v>
      </c>
    </row>
    <row r="487" spans="1:46" ht="30" customHeight="1" x14ac:dyDescent="0.3">
      <c r="A487" s="123">
        <f t="shared" si="145"/>
        <v>483</v>
      </c>
      <c r="B487" s="140">
        <f>INDEX('PEER GROUP'!B:B,MATCH($A487,'PEER GROUP'!$A:$A,0))</f>
        <v>0</v>
      </c>
      <c r="C487" s="83">
        <f>INDEX('PEER GROUP'!C:C,MATCH($A487,'PEER GROUP'!$A:$A,0))</f>
        <v>0</v>
      </c>
      <c r="D487" s="83">
        <f>INDEX('PEER GROUP'!D:D,MATCH($A487,'PEER GROUP'!$A:$A,0))</f>
        <v>0</v>
      </c>
      <c r="E487" s="83">
        <f>INDEX('PEER GROUP'!E:E,MATCH(A487,'PEER GROUP'!$A:$A,0))</f>
        <v>0</v>
      </c>
      <c r="F487" s="84">
        <f>INDEX('PEER GROUP'!F:F,MATCH($A487,'PEER GROUP'!$A:$A,0))</f>
        <v>0</v>
      </c>
      <c r="G487" s="84">
        <f>INDEX('PEER GROUP'!G:G,MATCH($A487,'PEER GROUP'!$A:$A,0))</f>
        <v>0</v>
      </c>
      <c r="H487" s="85"/>
      <c r="I487" s="85"/>
      <c r="J487" s="70">
        <f>INDEX('PEER GROUP'!K:K,MATCH($A487,'PEER GROUP'!$A:$A,0))</f>
        <v>0</v>
      </c>
      <c r="K487" s="70">
        <f>INDEX('PEER GROUP'!L:L,MATCH($A487,'PEER GROUP'!$A:$A,0))</f>
        <v>0</v>
      </c>
      <c r="L487" s="70">
        <f>INDEX('PEER GROUP'!M:M,MATCH($A487,'PEER GROUP'!$A:$A,0))</f>
        <v>0</v>
      </c>
      <c r="M487" s="86">
        <f>INDEX('PEER GROUP'!N:N,MATCH($A487,'PEER GROUP'!$A:$A,0))</f>
        <v>0</v>
      </c>
      <c r="N487" s="118"/>
      <c r="O487" s="115"/>
      <c r="P487" s="117"/>
      <c r="Q487" s="87"/>
      <c r="R487" s="87">
        <f t="shared" si="146"/>
        <v>0</v>
      </c>
      <c r="S487" s="87"/>
      <c r="T487" s="87"/>
      <c r="U487" s="87"/>
      <c r="V487" s="87">
        <f t="shared" si="147"/>
        <v>0</v>
      </c>
      <c r="W487" s="113">
        <f t="shared" si="144"/>
        <v>36.913096727263202</v>
      </c>
      <c r="X487" s="69">
        <f t="shared" si="148"/>
        <v>0</v>
      </c>
      <c r="Y487" s="70">
        <f t="shared" si="149"/>
        <v>0</v>
      </c>
      <c r="Z487" s="70">
        <f t="shared" si="150"/>
        <v>0</v>
      </c>
      <c r="AA487" s="70">
        <f t="shared" si="151"/>
        <v>0</v>
      </c>
      <c r="AB487" s="70">
        <f t="shared" si="152"/>
        <v>0</v>
      </c>
      <c r="AC487" s="70">
        <f t="shared" si="153"/>
        <v>0</v>
      </c>
      <c r="AD487" s="71">
        <f t="shared" si="154"/>
        <v>0</v>
      </c>
      <c r="AE487" s="49"/>
      <c r="AF487" s="21"/>
      <c r="AG487" s="69"/>
      <c r="AH487" s="70"/>
      <c r="AI487" s="70"/>
      <c r="AJ487" s="70"/>
      <c r="AK487" s="70"/>
      <c r="AL487" s="70"/>
      <c r="AM487" s="70"/>
      <c r="AN487" s="70" t="str">
        <f t="shared" si="155"/>
        <v>---</v>
      </c>
      <c r="AO487" s="70" t="str">
        <f t="shared" si="156"/>
        <v>---</v>
      </c>
      <c r="AP487" s="70" t="str">
        <f t="shared" si="157"/>
        <v>---</v>
      </c>
      <c r="AQ487" s="70" t="str">
        <f t="shared" si="158"/>
        <v>---</v>
      </c>
      <c r="AR487" s="70" t="str">
        <f t="shared" si="159"/>
        <v>---</v>
      </c>
      <c r="AS487" s="70" t="str">
        <f t="shared" si="160"/>
        <v>---</v>
      </c>
      <c r="AT487" s="71" t="str">
        <f t="shared" si="161"/>
        <v>---</v>
      </c>
    </row>
    <row r="488" spans="1:46" ht="30" customHeight="1" x14ac:dyDescent="0.3">
      <c r="A488" s="123">
        <f t="shared" si="145"/>
        <v>484</v>
      </c>
      <c r="B488" s="140">
        <f>INDEX('PEER GROUP'!B:B,MATCH($A488,'PEER GROUP'!$A:$A,0))</f>
        <v>0</v>
      </c>
      <c r="C488" s="83">
        <f>INDEX('PEER GROUP'!C:C,MATCH($A488,'PEER GROUP'!$A:$A,0))</f>
        <v>0</v>
      </c>
      <c r="D488" s="83">
        <f>INDEX('PEER GROUP'!D:D,MATCH($A488,'PEER GROUP'!$A:$A,0))</f>
        <v>0</v>
      </c>
      <c r="E488" s="83">
        <f>INDEX('PEER GROUP'!E:E,MATCH(A488,'PEER GROUP'!$A:$A,0))</f>
        <v>0</v>
      </c>
      <c r="F488" s="84">
        <f>INDEX('PEER GROUP'!F:F,MATCH($A488,'PEER GROUP'!$A:$A,0))</f>
        <v>0</v>
      </c>
      <c r="G488" s="84">
        <f>INDEX('PEER GROUP'!G:G,MATCH($A488,'PEER GROUP'!$A:$A,0))</f>
        <v>0</v>
      </c>
      <c r="H488" s="85"/>
      <c r="I488" s="85"/>
      <c r="J488" s="70">
        <f>INDEX('PEER GROUP'!K:K,MATCH($A488,'PEER GROUP'!$A:$A,0))</f>
        <v>0</v>
      </c>
      <c r="K488" s="70">
        <f>INDEX('PEER GROUP'!L:L,MATCH($A488,'PEER GROUP'!$A:$A,0))</f>
        <v>0</v>
      </c>
      <c r="L488" s="70">
        <f>INDEX('PEER GROUP'!M:M,MATCH($A488,'PEER GROUP'!$A:$A,0))</f>
        <v>0</v>
      </c>
      <c r="M488" s="86">
        <f>INDEX('PEER GROUP'!N:N,MATCH($A488,'PEER GROUP'!$A:$A,0))</f>
        <v>0</v>
      </c>
      <c r="N488" s="118"/>
      <c r="O488" s="115"/>
      <c r="P488" s="117"/>
      <c r="Q488" s="87"/>
      <c r="R488" s="87">
        <f t="shared" si="146"/>
        <v>0</v>
      </c>
      <c r="S488" s="87"/>
      <c r="T488" s="87"/>
      <c r="U488" s="87"/>
      <c r="V488" s="87">
        <f t="shared" si="147"/>
        <v>0</v>
      </c>
      <c r="W488" s="113">
        <f t="shared" si="144"/>
        <v>36.913096727263202</v>
      </c>
      <c r="X488" s="69">
        <f t="shared" si="148"/>
        <v>0</v>
      </c>
      <c r="Y488" s="70">
        <f t="shared" si="149"/>
        <v>0</v>
      </c>
      <c r="Z488" s="70">
        <f t="shared" si="150"/>
        <v>0</v>
      </c>
      <c r="AA488" s="70">
        <f t="shared" si="151"/>
        <v>0</v>
      </c>
      <c r="AB488" s="70">
        <f t="shared" si="152"/>
        <v>0</v>
      </c>
      <c r="AC488" s="70">
        <f t="shared" si="153"/>
        <v>0</v>
      </c>
      <c r="AD488" s="71">
        <f t="shared" si="154"/>
        <v>0</v>
      </c>
      <c r="AE488" s="49"/>
      <c r="AF488" s="21"/>
      <c r="AG488" s="69"/>
      <c r="AH488" s="70"/>
      <c r="AI488" s="70"/>
      <c r="AJ488" s="70"/>
      <c r="AK488" s="70"/>
      <c r="AL488" s="70"/>
      <c r="AM488" s="70"/>
      <c r="AN488" s="70" t="str">
        <f t="shared" si="155"/>
        <v>---</v>
      </c>
      <c r="AO488" s="70" t="str">
        <f t="shared" si="156"/>
        <v>---</v>
      </c>
      <c r="AP488" s="70" t="str">
        <f t="shared" si="157"/>
        <v>---</v>
      </c>
      <c r="AQ488" s="70" t="str">
        <f t="shared" si="158"/>
        <v>---</v>
      </c>
      <c r="AR488" s="70" t="str">
        <f t="shared" si="159"/>
        <v>---</v>
      </c>
      <c r="AS488" s="70" t="str">
        <f t="shared" si="160"/>
        <v>---</v>
      </c>
      <c r="AT488" s="71" t="str">
        <f t="shared" si="161"/>
        <v>---</v>
      </c>
    </row>
    <row r="489" spans="1:46" ht="30" customHeight="1" x14ac:dyDescent="0.3">
      <c r="A489" s="123">
        <f t="shared" si="145"/>
        <v>485</v>
      </c>
      <c r="B489" s="140">
        <f>INDEX('PEER GROUP'!B:B,MATCH($A489,'PEER GROUP'!$A:$A,0))</f>
        <v>0</v>
      </c>
      <c r="C489" s="83">
        <f>INDEX('PEER GROUP'!C:C,MATCH($A489,'PEER GROUP'!$A:$A,0))</f>
        <v>0</v>
      </c>
      <c r="D489" s="83">
        <f>INDEX('PEER GROUP'!D:D,MATCH($A489,'PEER GROUP'!$A:$A,0))</f>
        <v>0</v>
      </c>
      <c r="E489" s="83">
        <f>INDEX('PEER GROUP'!E:E,MATCH(A489,'PEER GROUP'!$A:$A,0))</f>
        <v>0</v>
      </c>
      <c r="F489" s="84">
        <f>INDEX('PEER GROUP'!F:F,MATCH($A489,'PEER GROUP'!$A:$A,0))</f>
        <v>0</v>
      </c>
      <c r="G489" s="84">
        <f>INDEX('PEER GROUP'!G:G,MATCH($A489,'PEER GROUP'!$A:$A,0))</f>
        <v>0</v>
      </c>
      <c r="H489" s="85"/>
      <c r="I489" s="85"/>
      <c r="J489" s="70">
        <f>INDEX('PEER GROUP'!K:K,MATCH($A489,'PEER GROUP'!$A:$A,0))</f>
        <v>0</v>
      </c>
      <c r="K489" s="70">
        <f>INDEX('PEER GROUP'!L:L,MATCH($A489,'PEER GROUP'!$A:$A,0))</f>
        <v>0</v>
      </c>
      <c r="L489" s="70">
        <f>INDEX('PEER GROUP'!M:M,MATCH($A489,'PEER GROUP'!$A:$A,0))</f>
        <v>0</v>
      </c>
      <c r="M489" s="86">
        <f>INDEX('PEER GROUP'!N:N,MATCH($A489,'PEER GROUP'!$A:$A,0))</f>
        <v>0</v>
      </c>
      <c r="N489" s="118"/>
      <c r="O489" s="115"/>
      <c r="P489" s="117"/>
      <c r="Q489" s="87"/>
      <c r="R489" s="87">
        <f t="shared" si="146"/>
        <v>0</v>
      </c>
      <c r="S489" s="87"/>
      <c r="T489" s="87"/>
      <c r="U489" s="87"/>
      <c r="V489" s="87">
        <f t="shared" si="147"/>
        <v>0</v>
      </c>
      <c r="W489" s="113">
        <f t="shared" si="144"/>
        <v>36.913096727263202</v>
      </c>
      <c r="X489" s="69">
        <f t="shared" si="148"/>
        <v>0</v>
      </c>
      <c r="Y489" s="70">
        <f t="shared" si="149"/>
        <v>0</v>
      </c>
      <c r="Z489" s="70">
        <f t="shared" si="150"/>
        <v>0</v>
      </c>
      <c r="AA489" s="70">
        <f t="shared" si="151"/>
        <v>0</v>
      </c>
      <c r="AB489" s="70">
        <f t="shared" si="152"/>
        <v>0</v>
      </c>
      <c r="AC489" s="70">
        <f t="shared" si="153"/>
        <v>0</v>
      </c>
      <c r="AD489" s="71">
        <f t="shared" si="154"/>
        <v>0</v>
      </c>
      <c r="AE489" s="49"/>
      <c r="AF489" s="21"/>
      <c r="AG489" s="69"/>
      <c r="AH489" s="70"/>
      <c r="AI489" s="70"/>
      <c r="AJ489" s="70"/>
      <c r="AK489" s="70"/>
      <c r="AL489" s="70"/>
      <c r="AM489" s="70"/>
      <c r="AN489" s="70" t="str">
        <f t="shared" si="155"/>
        <v>---</v>
      </c>
      <c r="AO489" s="70" t="str">
        <f t="shared" si="156"/>
        <v>---</v>
      </c>
      <c r="AP489" s="70" t="str">
        <f t="shared" si="157"/>
        <v>---</v>
      </c>
      <c r="AQ489" s="70" t="str">
        <f t="shared" si="158"/>
        <v>---</v>
      </c>
      <c r="AR489" s="70" t="str">
        <f t="shared" si="159"/>
        <v>---</v>
      </c>
      <c r="AS489" s="70" t="str">
        <f t="shared" si="160"/>
        <v>---</v>
      </c>
      <c r="AT489" s="71" t="str">
        <f t="shared" si="161"/>
        <v>---</v>
      </c>
    </row>
    <row r="490" spans="1:46" ht="30" customHeight="1" x14ac:dyDescent="0.3">
      <c r="A490" s="123">
        <f t="shared" si="145"/>
        <v>486</v>
      </c>
      <c r="B490" s="140">
        <f>INDEX('PEER GROUP'!B:B,MATCH($A490,'PEER GROUP'!$A:$A,0))</f>
        <v>0</v>
      </c>
      <c r="C490" s="83">
        <f>INDEX('PEER GROUP'!C:C,MATCH($A490,'PEER GROUP'!$A:$A,0))</f>
        <v>0</v>
      </c>
      <c r="D490" s="83">
        <f>INDEX('PEER GROUP'!D:D,MATCH($A490,'PEER GROUP'!$A:$A,0))</f>
        <v>0</v>
      </c>
      <c r="E490" s="83">
        <f>INDEX('PEER GROUP'!E:E,MATCH(A490,'PEER GROUP'!$A:$A,0))</f>
        <v>0</v>
      </c>
      <c r="F490" s="84">
        <f>INDEX('PEER GROUP'!F:F,MATCH($A490,'PEER GROUP'!$A:$A,0))</f>
        <v>0</v>
      </c>
      <c r="G490" s="84">
        <f>INDEX('PEER GROUP'!G:G,MATCH($A490,'PEER GROUP'!$A:$A,0))</f>
        <v>0</v>
      </c>
      <c r="H490" s="85"/>
      <c r="I490" s="85"/>
      <c r="J490" s="70">
        <f>INDEX('PEER GROUP'!K:K,MATCH($A490,'PEER GROUP'!$A:$A,0))</f>
        <v>0</v>
      </c>
      <c r="K490" s="70">
        <f>INDEX('PEER GROUP'!L:L,MATCH($A490,'PEER GROUP'!$A:$A,0))</f>
        <v>0</v>
      </c>
      <c r="L490" s="70">
        <f>INDEX('PEER GROUP'!M:M,MATCH($A490,'PEER GROUP'!$A:$A,0))</f>
        <v>0</v>
      </c>
      <c r="M490" s="86">
        <f>INDEX('PEER GROUP'!N:N,MATCH($A490,'PEER GROUP'!$A:$A,0))</f>
        <v>0</v>
      </c>
      <c r="N490" s="118"/>
      <c r="O490" s="115"/>
      <c r="P490" s="117"/>
      <c r="Q490" s="87"/>
      <c r="R490" s="87">
        <f t="shared" si="146"/>
        <v>0</v>
      </c>
      <c r="S490" s="87"/>
      <c r="T490" s="87"/>
      <c r="U490" s="87"/>
      <c r="V490" s="87">
        <f t="shared" si="147"/>
        <v>0</v>
      </c>
      <c r="W490" s="113">
        <f t="shared" si="144"/>
        <v>36.913096727263202</v>
      </c>
      <c r="X490" s="69">
        <f t="shared" si="148"/>
        <v>0</v>
      </c>
      <c r="Y490" s="70">
        <f t="shared" si="149"/>
        <v>0</v>
      </c>
      <c r="Z490" s="70">
        <f t="shared" si="150"/>
        <v>0</v>
      </c>
      <c r="AA490" s="70">
        <f t="shared" si="151"/>
        <v>0</v>
      </c>
      <c r="AB490" s="70">
        <f t="shared" si="152"/>
        <v>0</v>
      </c>
      <c r="AC490" s="70">
        <f t="shared" si="153"/>
        <v>0</v>
      </c>
      <c r="AD490" s="71">
        <f t="shared" si="154"/>
        <v>0</v>
      </c>
      <c r="AE490" s="49"/>
      <c r="AF490" s="21"/>
      <c r="AG490" s="69"/>
      <c r="AH490" s="70"/>
      <c r="AI490" s="70"/>
      <c r="AJ490" s="70"/>
      <c r="AK490" s="70"/>
      <c r="AL490" s="70"/>
      <c r="AM490" s="70"/>
      <c r="AN490" s="70" t="str">
        <f t="shared" si="155"/>
        <v>---</v>
      </c>
      <c r="AO490" s="70" t="str">
        <f t="shared" si="156"/>
        <v>---</v>
      </c>
      <c r="AP490" s="70" t="str">
        <f t="shared" si="157"/>
        <v>---</v>
      </c>
      <c r="AQ490" s="70" t="str">
        <f t="shared" si="158"/>
        <v>---</v>
      </c>
      <c r="AR490" s="70" t="str">
        <f t="shared" si="159"/>
        <v>---</v>
      </c>
      <c r="AS490" s="70" t="str">
        <f t="shared" si="160"/>
        <v>---</v>
      </c>
      <c r="AT490" s="71" t="str">
        <f t="shared" si="161"/>
        <v>---</v>
      </c>
    </row>
    <row r="491" spans="1:46" ht="30" customHeight="1" x14ac:dyDescent="0.3">
      <c r="A491" s="123">
        <f t="shared" si="145"/>
        <v>487</v>
      </c>
      <c r="B491" s="140">
        <f>INDEX('PEER GROUP'!B:B,MATCH($A491,'PEER GROUP'!$A:$A,0))</f>
        <v>0</v>
      </c>
      <c r="C491" s="83">
        <f>INDEX('PEER GROUP'!C:C,MATCH($A491,'PEER GROUP'!$A:$A,0))</f>
        <v>0</v>
      </c>
      <c r="D491" s="83">
        <f>INDEX('PEER GROUP'!D:D,MATCH($A491,'PEER GROUP'!$A:$A,0))</f>
        <v>0</v>
      </c>
      <c r="E491" s="83">
        <f>INDEX('PEER GROUP'!E:E,MATCH(A491,'PEER GROUP'!$A:$A,0))</f>
        <v>0</v>
      </c>
      <c r="F491" s="84">
        <f>INDEX('PEER GROUP'!F:F,MATCH($A491,'PEER GROUP'!$A:$A,0))</f>
        <v>0</v>
      </c>
      <c r="G491" s="84">
        <f>INDEX('PEER GROUP'!G:G,MATCH($A491,'PEER GROUP'!$A:$A,0))</f>
        <v>0</v>
      </c>
      <c r="H491" s="85"/>
      <c r="I491" s="85"/>
      <c r="J491" s="70">
        <f>INDEX('PEER GROUP'!K:K,MATCH($A491,'PEER GROUP'!$A:$A,0))</f>
        <v>0</v>
      </c>
      <c r="K491" s="70">
        <f>INDEX('PEER GROUP'!L:L,MATCH($A491,'PEER GROUP'!$A:$A,0))</f>
        <v>0</v>
      </c>
      <c r="L491" s="70">
        <f>INDEX('PEER GROUP'!M:M,MATCH($A491,'PEER GROUP'!$A:$A,0))</f>
        <v>0</v>
      </c>
      <c r="M491" s="86">
        <f>INDEX('PEER GROUP'!N:N,MATCH($A491,'PEER GROUP'!$A:$A,0))</f>
        <v>0</v>
      </c>
      <c r="N491" s="118"/>
      <c r="O491" s="115"/>
      <c r="P491" s="117"/>
      <c r="Q491" s="87"/>
      <c r="R491" s="87">
        <f t="shared" si="146"/>
        <v>0</v>
      </c>
      <c r="S491" s="87"/>
      <c r="T491" s="87"/>
      <c r="U491" s="87"/>
      <c r="V491" s="87">
        <f t="shared" si="147"/>
        <v>0</v>
      </c>
      <c r="W491" s="113">
        <f t="shared" si="144"/>
        <v>36.913096727263202</v>
      </c>
      <c r="X491" s="69">
        <f t="shared" si="148"/>
        <v>0</v>
      </c>
      <c r="Y491" s="70">
        <f t="shared" si="149"/>
        <v>0</v>
      </c>
      <c r="Z491" s="70">
        <f t="shared" si="150"/>
        <v>0</v>
      </c>
      <c r="AA491" s="70">
        <f t="shared" si="151"/>
        <v>0</v>
      </c>
      <c r="AB491" s="70">
        <f t="shared" si="152"/>
        <v>0</v>
      </c>
      <c r="AC491" s="70">
        <f t="shared" si="153"/>
        <v>0</v>
      </c>
      <c r="AD491" s="71">
        <f t="shared" si="154"/>
        <v>0</v>
      </c>
      <c r="AE491" s="49"/>
      <c r="AF491" s="21"/>
      <c r="AG491" s="69"/>
      <c r="AH491" s="70"/>
      <c r="AI491" s="70"/>
      <c r="AJ491" s="70"/>
      <c r="AK491" s="70"/>
      <c r="AL491" s="70"/>
      <c r="AM491" s="70"/>
      <c r="AN491" s="70" t="str">
        <f t="shared" si="155"/>
        <v>---</v>
      </c>
      <c r="AO491" s="70" t="str">
        <f t="shared" si="156"/>
        <v>---</v>
      </c>
      <c r="AP491" s="70" t="str">
        <f t="shared" si="157"/>
        <v>---</v>
      </c>
      <c r="AQ491" s="70" t="str">
        <f t="shared" si="158"/>
        <v>---</v>
      </c>
      <c r="AR491" s="70" t="str">
        <f t="shared" si="159"/>
        <v>---</v>
      </c>
      <c r="AS491" s="70" t="str">
        <f t="shared" si="160"/>
        <v>---</v>
      </c>
      <c r="AT491" s="71" t="str">
        <f t="shared" si="161"/>
        <v>---</v>
      </c>
    </row>
    <row r="492" spans="1:46" ht="30" customHeight="1" x14ac:dyDescent="0.3">
      <c r="A492" s="123">
        <f t="shared" si="145"/>
        <v>488</v>
      </c>
      <c r="B492" s="140">
        <f>INDEX('PEER GROUP'!B:B,MATCH($A492,'PEER GROUP'!$A:$A,0))</f>
        <v>0</v>
      </c>
      <c r="C492" s="83">
        <f>INDEX('PEER GROUP'!C:C,MATCH($A492,'PEER GROUP'!$A:$A,0))</f>
        <v>0</v>
      </c>
      <c r="D492" s="83">
        <f>INDEX('PEER GROUP'!D:D,MATCH($A492,'PEER GROUP'!$A:$A,0))</f>
        <v>0</v>
      </c>
      <c r="E492" s="83">
        <f>INDEX('PEER GROUP'!E:E,MATCH(A492,'PEER GROUP'!$A:$A,0))</f>
        <v>0</v>
      </c>
      <c r="F492" s="84">
        <f>INDEX('PEER GROUP'!F:F,MATCH($A492,'PEER GROUP'!$A:$A,0))</f>
        <v>0</v>
      </c>
      <c r="G492" s="84">
        <f>INDEX('PEER GROUP'!G:G,MATCH($A492,'PEER GROUP'!$A:$A,0))</f>
        <v>0</v>
      </c>
      <c r="H492" s="85"/>
      <c r="I492" s="85"/>
      <c r="J492" s="70">
        <f>INDEX('PEER GROUP'!K:K,MATCH($A492,'PEER GROUP'!$A:$A,0))</f>
        <v>0</v>
      </c>
      <c r="K492" s="70">
        <f>INDEX('PEER GROUP'!L:L,MATCH($A492,'PEER GROUP'!$A:$A,0))</f>
        <v>0</v>
      </c>
      <c r="L492" s="70">
        <f>INDEX('PEER GROUP'!M:M,MATCH($A492,'PEER GROUP'!$A:$A,0))</f>
        <v>0</v>
      </c>
      <c r="M492" s="86">
        <f>INDEX('PEER GROUP'!N:N,MATCH($A492,'PEER GROUP'!$A:$A,0))</f>
        <v>0</v>
      </c>
      <c r="N492" s="118"/>
      <c r="O492" s="115"/>
      <c r="P492" s="117"/>
      <c r="Q492" s="87"/>
      <c r="R492" s="87">
        <f t="shared" si="146"/>
        <v>0</v>
      </c>
      <c r="S492" s="87"/>
      <c r="T492" s="87"/>
      <c r="U492" s="87"/>
      <c r="V492" s="87">
        <f t="shared" si="147"/>
        <v>0</v>
      </c>
      <c r="W492" s="113">
        <f t="shared" si="144"/>
        <v>36.913096727263202</v>
      </c>
      <c r="X492" s="69">
        <f t="shared" si="148"/>
        <v>0</v>
      </c>
      <c r="Y492" s="70">
        <f t="shared" si="149"/>
        <v>0</v>
      </c>
      <c r="Z492" s="70">
        <f t="shared" si="150"/>
        <v>0</v>
      </c>
      <c r="AA492" s="70">
        <f t="shared" si="151"/>
        <v>0</v>
      </c>
      <c r="AB492" s="70">
        <f t="shared" si="152"/>
        <v>0</v>
      </c>
      <c r="AC492" s="70">
        <f t="shared" si="153"/>
        <v>0</v>
      </c>
      <c r="AD492" s="71">
        <f t="shared" si="154"/>
        <v>0</v>
      </c>
      <c r="AE492" s="49"/>
      <c r="AF492" s="21"/>
      <c r="AG492" s="69"/>
      <c r="AH492" s="70"/>
      <c r="AI492" s="70"/>
      <c r="AJ492" s="70"/>
      <c r="AK492" s="70"/>
      <c r="AL492" s="70"/>
      <c r="AM492" s="70"/>
      <c r="AN492" s="70" t="str">
        <f t="shared" si="155"/>
        <v>---</v>
      </c>
      <c r="AO492" s="70" t="str">
        <f t="shared" si="156"/>
        <v>---</v>
      </c>
      <c r="AP492" s="70" t="str">
        <f t="shared" si="157"/>
        <v>---</v>
      </c>
      <c r="AQ492" s="70" t="str">
        <f t="shared" si="158"/>
        <v>---</v>
      </c>
      <c r="AR492" s="70" t="str">
        <f t="shared" si="159"/>
        <v>---</v>
      </c>
      <c r="AS492" s="70" t="str">
        <f t="shared" si="160"/>
        <v>---</v>
      </c>
      <c r="AT492" s="71" t="str">
        <f t="shared" si="161"/>
        <v>---</v>
      </c>
    </row>
    <row r="493" spans="1:46" ht="30" customHeight="1" x14ac:dyDescent="0.3">
      <c r="A493" s="123">
        <f t="shared" si="145"/>
        <v>489</v>
      </c>
      <c r="B493" s="140">
        <f>INDEX('PEER GROUP'!B:B,MATCH($A493,'PEER GROUP'!$A:$A,0))</f>
        <v>0</v>
      </c>
      <c r="C493" s="83">
        <f>INDEX('PEER GROUP'!C:C,MATCH($A493,'PEER GROUP'!$A:$A,0))</f>
        <v>0</v>
      </c>
      <c r="D493" s="83">
        <f>INDEX('PEER GROUP'!D:D,MATCH($A493,'PEER GROUP'!$A:$A,0))</f>
        <v>0</v>
      </c>
      <c r="E493" s="83">
        <f>INDEX('PEER GROUP'!E:E,MATCH(A493,'PEER GROUP'!$A:$A,0))</f>
        <v>0</v>
      </c>
      <c r="F493" s="84">
        <f>INDEX('PEER GROUP'!F:F,MATCH($A493,'PEER GROUP'!$A:$A,0))</f>
        <v>0</v>
      </c>
      <c r="G493" s="84">
        <f>INDEX('PEER GROUP'!G:G,MATCH($A493,'PEER GROUP'!$A:$A,0))</f>
        <v>0</v>
      </c>
      <c r="H493" s="85"/>
      <c r="I493" s="85"/>
      <c r="J493" s="70">
        <f>INDEX('PEER GROUP'!K:K,MATCH($A493,'PEER GROUP'!$A:$A,0))</f>
        <v>0</v>
      </c>
      <c r="K493" s="70">
        <f>INDEX('PEER GROUP'!L:L,MATCH($A493,'PEER GROUP'!$A:$A,0))</f>
        <v>0</v>
      </c>
      <c r="L493" s="70">
        <f>INDEX('PEER GROUP'!M:M,MATCH($A493,'PEER GROUP'!$A:$A,0))</f>
        <v>0</v>
      </c>
      <c r="M493" s="86">
        <f>INDEX('PEER GROUP'!N:N,MATCH($A493,'PEER GROUP'!$A:$A,0))</f>
        <v>0</v>
      </c>
      <c r="N493" s="118"/>
      <c r="O493" s="115"/>
      <c r="P493" s="117"/>
      <c r="Q493" s="87"/>
      <c r="R493" s="87">
        <f t="shared" si="146"/>
        <v>0</v>
      </c>
      <c r="S493" s="87"/>
      <c r="T493" s="87"/>
      <c r="U493" s="87"/>
      <c r="V493" s="87">
        <f t="shared" si="147"/>
        <v>0</v>
      </c>
      <c r="W493" s="113">
        <f t="shared" si="144"/>
        <v>36.913096727263202</v>
      </c>
      <c r="X493" s="69">
        <f t="shared" si="148"/>
        <v>0</v>
      </c>
      <c r="Y493" s="70">
        <f t="shared" si="149"/>
        <v>0</v>
      </c>
      <c r="Z493" s="70">
        <f t="shared" si="150"/>
        <v>0</v>
      </c>
      <c r="AA493" s="70">
        <f t="shared" si="151"/>
        <v>0</v>
      </c>
      <c r="AB493" s="70">
        <f t="shared" si="152"/>
        <v>0</v>
      </c>
      <c r="AC493" s="70">
        <f t="shared" si="153"/>
        <v>0</v>
      </c>
      <c r="AD493" s="71">
        <f t="shared" si="154"/>
        <v>0</v>
      </c>
      <c r="AE493" s="49"/>
      <c r="AF493" s="21"/>
      <c r="AG493" s="69"/>
      <c r="AH493" s="70"/>
      <c r="AI493" s="70"/>
      <c r="AJ493" s="70"/>
      <c r="AK493" s="70"/>
      <c r="AL493" s="70"/>
      <c r="AM493" s="70"/>
      <c r="AN493" s="70" t="str">
        <f t="shared" si="155"/>
        <v>---</v>
      </c>
      <c r="AO493" s="70" t="str">
        <f t="shared" si="156"/>
        <v>---</v>
      </c>
      <c r="AP493" s="70" t="str">
        <f t="shared" si="157"/>
        <v>---</v>
      </c>
      <c r="AQ493" s="70" t="str">
        <f t="shared" si="158"/>
        <v>---</v>
      </c>
      <c r="AR493" s="70" t="str">
        <f t="shared" si="159"/>
        <v>---</v>
      </c>
      <c r="AS493" s="70" t="str">
        <f t="shared" si="160"/>
        <v>---</v>
      </c>
      <c r="AT493" s="71" t="str">
        <f t="shared" si="161"/>
        <v>---</v>
      </c>
    </row>
    <row r="494" spans="1:46" ht="30" customHeight="1" x14ac:dyDescent="0.3">
      <c r="A494" s="123">
        <f t="shared" si="145"/>
        <v>490</v>
      </c>
      <c r="B494" s="140">
        <f>INDEX('PEER GROUP'!B:B,MATCH($A494,'PEER GROUP'!$A:$A,0))</f>
        <v>0</v>
      </c>
      <c r="C494" s="83">
        <f>INDEX('PEER GROUP'!C:C,MATCH($A494,'PEER GROUP'!$A:$A,0))</f>
        <v>0</v>
      </c>
      <c r="D494" s="83">
        <f>INDEX('PEER GROUP'!D:D,MATCH($A494,'PEER GROUP'!$A:$A,0))</f>
        <v>0</v>
      </c>
      <c r="E494" s="83">
        <f>INDEX('PEER GROUP'!E:E,MATCH(A494,'PEER GROUP'!$A:$A,0))</f>
        <v>0</v>
      </c>
      <c r="F494" s="84">
        <f>INDEX('PEER GROUP'!F:F,MATCH($A494,'PEER GROUP'!$A:$A,0))</f>
        <v>0</v>
      </c>
      <c r="G494" s="84">
        <f>INDEX('PEER GROUP'!G:G,MATCH($A494,'PEER GROUP'!$A:$A,0))</f>
        <v>0</v>
      </c>
      <c r="H494" s="85"/>
      <c r="I494" s="85"/>
      <c r="J494" s="70">
        <f>INDEX('PEER GROUP'!K:K,MATCH($A494,'PEER GROUP'!$A:$A,0))</f>
        <v>0</v>
      </c>
      <c r="K494" s="70">
        <f>INDEX('PEER GROUP'!L:L,MATCH($A494,'PEER GROUP'!$A:$A,0))</f>
        <v>0</v>
      </c>
      <c r="L494" s="70">
        <f>INDEX('PEER GROUP'!M:M,MATCH($A494,'PEER GROUP'!$A:$A,0))</f>
        <v>0</v>
      </c>
      <c r="M494" s="86">
        <f>INDEX('PEER GROUP'!N:N,MATCH($A494,'PEER GROUP'!$A:$A,0))</f>
        <v>0</v>
      </c>
      <c r="N494" s="118"/>
      <c r="O494" s="115"/>
      <c r="P494" s="117"/>
      <c r="Q494" s="87"/>
      <c r="R494" s="87">
        <f t="shared" si="146"/>
        <v>0</v>
      </c>
      <c r="S494" s="87"/>
      <c r="T494" s="87"/>
      <c r="U494" s="87"/>
      <c r="V494" s="87">
        <f t="shared" si="147"/>
        <v>0</v>
      </c>
      <c r="W494" s="113">
        <f t="shared" si="144"/>
        <v>36.913096727263202</v>
      </c>
      <c r="X494" s="69">
        <f t="shared" si="148"/>
        <v>0</v>
      </c>
      <c r="Y494" s="70">
        <f t="shared" si="149"/>
        <v>0</v>
      </c>
      <c r="Z494" s="70">
        <f t="shared" si="150"/>
        <v>0</v>
      </c>
      <c r="AA494" s="70">
        <f t="shared" si="151"/>
        <v>0</v>
      </c>
      <c r="AB494" s="70">
        <f t="shared" si="152"/>
        <v>0</v>
      </c>
      <c r="AC494" s="70">
        <f t="shared" si="153"/>
        <v>0</v>
      </c>
      <c r="AD494" s="71">
        <f t="shared" si="154"/>
        <v>0</v>
      </c>
      <c r="AE494" s="49"/>
      <c r="AF494" s="21"/>
      <c r="AG494" s="69"/>
      <c r="AH494" s="70"/>
      <c r="AI494" s="70"/>
      <c r="AJ494" s="70"/>
      <c r="AK494" s="70"/>
      <c r="AL494" s="70"/>
      <c r="AM494" s="70"/>
      <c r="AN494" s="70" t="str">
        <f t="shared" si="155"/>
        <v>---</v>
      </c>
      <c r="AO494" s="70" t="str">
        <f t="shared" si="156"/>
        <v>---</v>
      </c>
      <c r="AP494" s="70" t="str">
        <f t="shared" si="157"/>
        <v>---</v>
      </c>
      <c r="AQ494" s="70" t="str">
        <f t="shared" si="158"/>
        <v>---</v>
      </c>
      <c r="AR494" s="70" t="str">
        <f t="shared" si="159"/>
        <v>---</v>
      </c>
      <c r="AS494" s="70" t="str">
        <f t="shared" si="160"/>
        <v>---</v>
      </c>
      <c r="AT494" s="71" t="str">
        <f t="shared" si="161"/>
        <v>---</v>
      </c>
    </row>
    <row r="495" spans="1:46" ht="30" customHeight="1" x14ac:dyDescent="0.3">
      <c r="A495" s="123">
        <f t="shared" si="145"/>
        <v>491</v>
      </c>
      <c r="B495" s="140">
        <f>INDEX('PEER GROUP'!B:B,MATCH($A495,'PEER GROUP'!$A:$A,0))</f>
        <v>0</v>
      </c>
      <c r="C495" s="83">
        <f>INDEX('PEER GROUP'!C:C,MATCH($A495,'PEER GROUP'!$A:$A,0))</f>
        <v>0</v>
      </c>
      <c r="D495" s="83">
        <f>INDEX('PEER GROUP'!D:D,MATCH($A495,'PEER GROUP'!$A:$A,0))</f>
        <v>0</v>
      </c>
      <c r="E495" s="83">
        <f>INDEX('PEER GROUP'!E:E,MATCH(A495,'PEER GROUP'!$A:$A,0))</f>
        <v>0</v>
      </c>
      <c r="F495" s="84">
        <f>INDEX('PEER GROUP'!F:F,MATCH($A495,'PEER GROUP'!$A:$A,0))</f>
        <v>0</v>
      </c>
      <c r="G495" s="84">
        <f>INDEX('PEER GROUP'!G:G,MATCH($A495,'PEER GROUP'!$A:$A,0))</f>
        <v>0</v>
      </c>
      <c r="H495" s="85"/>
      <c r="I495" s="85"/>
      <c r="J495" s="70">
        <f>INDEX('PEER GROUP'!K:K,MATCH($A495,'PEER GROUP'!$A:$A,0))</f>
        <v>0</v>
      </c>
      <c r="K495" s="70">
        <f>INDEX('PEER GROUP'!L:L,MATCH($A495,'PEER GROUP'!$A:$A,0))</f>
        <v>0</v>
      </c>
      <c r="L495" s="70">
        <f>INDEX('PEER GROUP'!M:M,MATCH($A495,'PEER GROUP'!$A:$A,0))</f>
        <v>0</v>
      </c>
      <c r="M495" s="86">
        <f>INDEX('PEER GROUP'!N:N,MATCH($A495,'PEER GROUP'!$A:$A,0))</f>
        <v>0</v>
      </c>
      <c r="N495" s="118"/>
      <c r="O495" s="115"/>
      <c r="P495" s="117"/>
      <c r="Q495" s="87"/>
      <c r="R495" s="87">
        <f t="shared" si="146"/>
        <v>0</v>
      </c>
      <c r="S495" s="87"/>
      <c r="T495" s="87"/>
      <c r="U495" s="87"/>
      <c r="V495" s="87">
        <f t="shared" si="147"/>
        <v>0</v>
      </c>
      <c r="W495" s="113">
        <f t="shared" si="144"/>
        <v>36.913096727263202</v>
      </c>
      <c r="X495" s="69">
        <f t="shared" si="148"/>
        <v>0</v>
      </c>
      <c r="Y495" s="70">
        <f t="shared" si="149"/>
        <v>0</v>
      </c>
      <c r="Z495" s="70">
        <f t="shared" si="150"/>
        <v>0</v>
      </c>
      <c r="AA495" s="70">
        <f t="shared" si="151"/>
        <v>0</v>
      </c>
      <c r="AB495" s="70">
        <f t="shared" si="152"/>
        <v>0</v>
      </c>
      <c r="AC495" s="70">
        <f t="shared" si="153"/>
        <v>0</v>
      </c>
      <c r="AD495" s="71">
        <f t="shared" si="154"/>
        <v>0</v>
      </c>
      <c r="AE495" s="49"/>
      <c r="AF495" s="21"/>
      <c r="AG495" s="69"/>
      <c r="AH495" s="70"/>
      <c r="AI495" s="70"/>
      <c r="AJ495" s="70"/>
      <c r="AK495" s="70"/>
      <c r="AL495" s="70"/>
      <c r="AM495" s="70"/>
      <c r="AN495" s="70" t="str">
        <f t="shared" si="155"/>
        <v>---</v>
      </c>
      <c r="AO495" s="70" t="str">
        <f t="shared" si="156"/>
        <v>---</v>
      </c>
      <c r="AP495" s="70" t="str">
        <f t="shared" si="157"/>
        <v>---</v>
      </c>
      <c r="AQ495" s="70" t="str">
        <f t="shared" si="158"/>
        <v>---</v>
      </c>
      <c r="AR495" s="70" t="str">
        <f t="shared" si="159"/>
        <v>---</v>
      </c>
      <c r="AS495" s="70" t="str">
        <f t="shared" si="160"/>
        <v>---</v>
      </c>
      <c r="AT495" s="71" t="str">
        <f t="shared" si="161"/>
        <v>---</v>
      </c>
    </row>
    <row r="496" spans="1:46" ht="30" customHeight="1" x14ac:dyDescent="0.3">
      <c r="A496" s="123">
        <f t="shared" si="145"/>
        <v>492</v>
      </c>
      <c r="B496" s="140">
        <f>INDEX('PEER GROUP'!B:B,MATCH($A496,'PEER GROUP'!$A:$A,0))</f>
        <v>0</v>
      </c>
      <c r="C496" s="83">
        <f>INDEX('PEER GROUP'!C:C,MATCH($A496,'PEER GROUP'!$A:$A,0))</f>
        <v>0</v>
      </c>
      <c r="D496" s="83">
        <f>INDEX('PEER GROUP'!D:D,MATCH($A496,'PEER GROUP'!$A:$A,0))</f>
        <v>0</v>
      </c>
      <c r="E496" s="83">
        <f>INDEX('PEER GROUP'!E:E,MATCH(A496,'PEER GROUP'!$A:$A,0))</f>
        <v>0</v>
      </c>
      <c r="F496" s="84">
        <f>INDEX('PEER GROUP'!F:F,MATCH($A496,'PEER GROUP'!$A:$A,0))</f>
        <v>0</v>
      </c>
      <c r="G496" s="84">
        <f>INDEX('PEER GROUP'!G:G,MATCH($A496,'PEER GROUP'!$A:$A,0))</f>
        <v>0</v>
      </c>
      <c r="H496" s="85"/>
      <c r="I496" s="85"/>
      <c r="J496" s="70">
        <f>INDEX('PEER GROUP'!K:K,MATCH($A496,'PEER GROUP'!$A:$A,0))</f>
        <v>0</v>
      </c>
      <c r="K496" s="70">
        <f>INDEX('PEER GROUP'!L:L,MATCH($A496,'PEER GROUP'!$A:$A,0))</f>
        <v>0</v>
      </c>
      <c r="L496" s="70">
        <f>INDEX('PEER GROUP'!M:M,MATCH($A496,'PEER GROUP'!$A:$A,0))</f>
        <v>0</v>
      </c>
      <c r="M496" s="86">
        <f>INDEX('PEER GROUP'!N:N,MATCH($A496,'PEER GROUP'!$A:$A,0))</f>
        <v>0</v>
      </c>
      <c r="N496" s="118"/>
      <c r="O496" s="115"/>
      <c r="P496" s="117"/>
      <c r="Q496" s="87"/>
      <c r="R496" s="87">
        <f t="shared" si="146"/>
        <v>0</v>
      </c>
      <c r="S496" s="87"/>
      <c r="T496" s="87"/>
      <c r="U496" s="87"/>
      <c r="V496" s="87">
        <f t="shared" si="147"/>
        <v>0</v>
      </c>
      <c r="W496" s="113">
        <f t="shared" si="144"/>
        <v>36.913096727263202</v>
      </c>
      <c r="X496" s="69">
        <f t="shared" si="148"/>
        <v>0</v>
      </c>
      <c r="Y496" s="70">
        <f t="shared" si="149"/>
        <v>0</v>
      </c>
      <c r="Z496" s="70">
        <f t="shared" si="150"/>
        <v>0</v>
      </c>
      <c r="AA496" s="70">
        <f t="shared" si="151"/>
        <v>0</v>
      </c>
      <c r="AB496" s="70">
        <f t="shared" si="152"/>
        <v>0</v>
      </c>
      <c r="AC496" s="70">
        <f t="shared" si="153"/>
        <v>0</v>
      </c>
      <c r="AD496" s="71">
        <f t="shared" si="154"/>
        <v>0</v>
      </c>
      <c r="AE496" s="49"/>
      <c r="AF496" s="21"/>
      <c r="AG496" s="69"/>
      <c r="AH496" s="70"/>
      <c r="AI496" s="70"/>
      <c r="AJ496" s="70"/>
      <c r="AK496" s="70"/>
      <c r="AL496" s="70"/>
      <c r="AM496" s="70"/>
      <c r="AN496" s="70" t="str">
        <f t="shared" si="155"/>
        <v>---</v>
      </c>
      <c r="AO496" s="70" t="str">
        <f t="shared" si="156"/>
        <v>---</v>
      </c>
      <c r="AP496" s="70" t="str">
        <f t="shared" si="157"/>
        <v>---</v>
      </c>
      <c r="AQ496" s="70" t="str">
        <f t="shared" si="158"/>
        <v>---</v>
      </c>
      <c r="AR496" s="70" t="str">
        <f t="shared" si="159"/>
        <v>---</v>
      </c>
      <c r="AS496" s="70" t="str">
        <f t="shared" si="160"/>
        <v>---</v>
      </c>
      <c r="AT496" s="71" t="str">
        <f t="shared" si="161"/>
        <v>---</v>
      </c>
    </row>
    <row r="497" spans="1:46" ht="30" customHeight="1" x14ac:dyDescent="0.3">
      <c r="A497" s="123">
        <f t="shared" si="145"/>
        <v>493</v>
      </c>
      <c r="B497" s="140">
        <f>INDEX('PEER GROUP'!B:B,MATCH($A497,'PEER GROUP'!$A:$A,0))</f>
        <v>0</v>
      </c>
      <c r="C497" s="83">
        <f>INDEX('PEER GROUP'!C:C,MATCH($A497,'PEER GROUP'!$A:$A,0))</f>
        <v>0</v>
      </c>
      <c r="D497" s="83">
        <f>INDEX('PEER GROUP'!D:D,MATCH($A497,'PEER GROUP'!$A:$A,0))</f>
        <v>0</v>
      </c>
      <c r="E497" s="83">
        <f>INDEX('PEER GROUP'!E:E,MATCH(A497,'PEER GROUP'!$A:$A,0))</f>
        <v>0</v>
      </c>
      <c r="F497" s="84">
        <f>INDEX('PEER GROUP'!F:F,MATCH($A497,'PEER GROUP'!$A:$A,0))</f>
        <v>0</v>
      </c>
      <c r="G497" s="84">
        <f>INDEX('PEER GROUP'!G:G,MATCH($A497,'PEER GROUP'!$A:$A,0))</f>
        <v>0</v>
      </c>
      <c r="H497" s="85"/>
      <c r="I497" s="85"/>
      <c r="J497" s="70">
        <f>INDEX('PEER GROUP'!K:K,MATCH($A497,'PEER GROUP'!$A:$A,0))</f>
        <v>0</v>
      </c>
      <c r="K497" s="70">
        <f>INDEX('PEER GROUP'!L:L,MATCH($A497,'PEER GROUP'!$A:$A,0))</f>
        <v>0</v>
      </c>
      <c r="L497" s="70">
        <f>INDEX('PEER GROUP'!M:M,MATCH($A497,'PEER GROUP'!$A:$A,0))</f>
        <v>0</v>
      </c>
      <c r="M497" s="86">
        <f>INDEX('PEER GROUP'!N:N,MATCH($A497,'PEER GROUP'!$A:$A,0))</f>
        <v>0</v>
      </c>
      <c r="N497" s="118"/>
      <c r="O497" s="115"/>
      <c r="P497" s="117"/>
      <c r="Q497" s="87"/>
      <c r="R497" s="87">
        <f t="shared" si="146"/>
        <v>0</v>
      </c>
      <c r="S497" s="87"/>
      <c r="T497" s="87"/>
      <c r="U497" s="87"/>
      <c r="V497" s="87">
        <f t="shared" si="147"/>
        <v>0</v>
      </c>
      <c r="W497" s="113">
        <f t="shared" si="144"/>
        <v>36.913096727263202</v>
      </c>
      <c r="X497" s="69">
        <f t="shared" si="148"/>
        <v>0</v>
      </c>
      <c r="Y497" s="70">
        <f t="shared" si="149"/>
        <v>0</v>
      </c>
      <c r="Z497" s="70">
        <f t="shared" si="150"/>
        <v>0</v>
      </c>
      <c r="AA497" s="70">
        <f t="shared" si="151"/>
        <v>0</v>
      </c>
      <c r="AB497" s="70">
        <f t="shared" si="152"/>
        <v>0</v>
      </c>
      <c r="AC497" s="70">
        <f t="shared" si="153"/>
        <v>0</v>
      </c>
      <c r="AD497" s="71">
        <f t="shared" si="154"/>
        <v>0</v>
      </c>
      <c r="AE497" s="49"/>
      <c r="AF497" s="21"/>
      <c r="AG497" s="69"/>
      <c r="AH497" s="70"/>
      <c r="AI497" s="70"/>
      <c r="AJ497" s="70"/>
      <c r="AK497" s="70"/>
      <c r="AL497" s="70"/>
      <c r="AM497" s="70"/>
      <c r="AN497" s="70" t="str">
        <f t="shared" si="155"/>
        <v>---</v>
      </c>
      <c r="AO497" s="70" t="str">
        <f t="shared" si="156"/>
        <v>---</v>
      </c>
      <c r="AP497" s="70" t="str">
        <f t="shared" si="157"/>
        <v>---</v>
      </c>
      <c r="AQ497" s="70" t="str">
        <f t="shared" si="158"/>
        <v>---</v>
      </c>
      <c r="AR497" s="70" t="str">
        <f t="shared" si="159"/>
        <v>---</v>
      </c>
      <c r="AS497" s="70" t="str">
        <f t="shared" si="160"/>
        <v>---</v>
      </c>
      <c r="AT497" s="71" t="str">
        <f t="shared" si="161"/>
        <v>---</v>
      </c>
    </row>
    <row r="498" spans="1:46" ht="30" customHeight="1" x14ac:dyDescent="0.3">
      <c r="A498" s="123">
        <f t="shared" si="145"/>
        <v>494</v>
      </c>
      <c r="B498" s="140">
        <f>INDEX('PEER GROUP'!B:B,MATCH($A498,'PEER GROUP'!$A:$A,0))</f>
        <v>0</v>
      </c>
      <c r="C498" s="83">
        <f>INDEX('PEER GROUP'!C:C,MATCH($A498,'PEER GROUP'!$A:$A,0))</f>
        <v>0</v>
      </c>
      <c r="D498" s="83">
        <f>INDEX('PEER GROUP'!D:D,MATCH($A498,'PEER GROUP'!$A:$A,0))</f>
        <v>0</v>
      </c>
      <c r="E498" s="83">
        <f>INDEX('PEER GROUP'!E:E,MATCH(A498,'PEER GROUP'!$A:$A,0))</f>
        <v>0</v>
      </c>
      <c r="F498" s="84">
        <f>INDEX('PEER GROUP'!F:F,MATCH($A498,'PEER GROUP'!$A:$A,0))</f>
        <v>0</v>
      </c>
      <c r="G498" s="84">
        <f>INDEX('PEER GROUP'!G:G,MATCH($A498,'PEER GROUP'!$A:$A,0))</f>
        <v>0</v>
      </c>
      <c r="H498" s="85"/>
      <c r="I498" s="85"/>
      <c r="J498" s="70">
        <f>INDEX('PEER GROUP'!K:K,MATCH($A498,'PEER GROUP'!$A:$A,0))</f>
        <v>0</v>
      </c>
      <c r="K498" s="70">
        <f>INDEX('PEER GROUP'!L:L,MATCH($A498,'PEER GROUP'!$A:$A,0))</f>
        <v>0</v>
      </c>
      <c r="L498" s="70">
        <f>INDEX('PEER GROUP'!M:M,MATCH($A498,'PEER GROUP'!$A:$A,0))</f>
        <v>0</v>
      </c>
      <c r="M498" s="86">
        <f>INDEX('PEER GROUP'!N:N,MATCH($A498,'PEER GROUP'!$A:$A,0))</f>
        <v>0</v>
      </c>
      <c r="N498" s="118"/>
      <c r="O498" s="115"/>
      <c r="P498" s="117"/>
      <c r="Q498" s="87"/>
      <c r="R498" s="87">
        <f t="shared" si="146"/>
        <v>0</v>
      </c>
      <c r="S498" s="87"/>
      <c r="T498" s="87"/>
      <c r="U498" s="87"/>
      <c r="V498" s="87">
        <f t="shared" si="147"/>
        <v>0</v>
      </c>
      <c r="W498" s="113">
        <f t="shared" si="144"/>
        <v>36.913096727263202</v>
      </c>
      <c r="X498" s="69">
        <f t="shared" si="148"/>
        <v>0</v>
      </c>
      <c r="Y498" s="70">
        <f t="shared" si="149"/>
        <v>0</v>
      </c>
      <c r="Z498" s="70">
        <f t="shared" si="150"/>
        <v>0</v>
      </c>
      <c r="AA498" s="70">
        <f t="shared" si="151"/>
        <v>0</v>
      </c>
      <c r="AB498" s="70">
        <f t="shared" si="152"/>
        <v>0</v>
      </c>
      <c r="AC498" s="70">
        <f t="shared" si="153"/>
        <v>0</v>
      </c>
      <c r="AD498" s="71">
        <f t="shared" si="154"/>
        <v>0</v>
      </c>
      <c r="AE498" s="49"/>
      <c r="AF498" s="21"/>
      <c r="AG498" s="69"/>
      <c r="AH498" s="70"/>
      <c r="AI498" s="70"/>
      <c r="AJ498" s="70"/>
      <c r="AK498" s="70"/>
      <c r="AL498" s="70"/>
      <c r="AM498" s="70"/>
      <c r="AN498" s="70" t="str">
        <f t="shared" si="155"/>
        <v>---</v>
      </c>
      <c r="AO498" s="70" t="str">
        <f t="shared" si="156"/>
        <v>---</v>
      </c>
      <c r="AP498" s="70" t="str">
        <f t="shared" si="157"/>
        <v>---</v>
      </c>
      <c r="AQ498" s="70" t="str">
        <f t="shared" si="158"/>
        <v>---</v>
      </c>
      <c r="AR498" s="70" t="str">
        <f t="shared" si="159"/>
        <v>---</v>
      </c>
      <c r="AS498" s="70" t="str">
        <f t="shared" si="160"/>
        <v>---</v>
      </c>
      <c r="AT498" s="71" t="str">
        <f t="shared" si="161"/>
        <v>---</v>
      </c>
    </row>
    <row r="499" spans="1:46" ht="30" customHeight="1" x14ac:dyDescent="0.3">
      <c r="A499" s="123">
        <f t="shared" si="145"/>
        <v>495</v>
      </c>
      <c r="B499" s="140">
        <f>INDEX('PEER GROUP'!B:B,MATCH($A499,'PEER GROUP'!$A:$A,0))</f>
        <v>0</v>
      </c>
      <c r="C499" s="83">
        <f>INDEX('PEER GROUP'!C:C,MATCH($A499,'PEER GROUP'!$A:$A,0))</f>
        <v>0</v>
      </c>
      <c r="D499" s="83">
        <f>INDEX('PEER GROUP'!D:D,MATCH($A499,'PEER GROUP'!$A:$A,0))</f>
        <v>0</v>
      </c>
      <c r="E499" s="83">
        <f>INDEX('PEER GROUP'!E:E,MATCH(A499,'PEER GROUP'!$A:$A,0))</f>
        <v>0</v>
      </c>
      <c r="F499" s="84">
        <f>INDEX('PEER GROUP'!F:F,MATCH($A499,'PEER GROUP'!$A:$A,0))</f>
        <v>0</v>
      </c>
      <c r="G499" s="84">
        <f>INDEX('PEER GROUP'!G:G,MATCH($A499,'PEER GROUP'!$A:$A,0))</f>
        <v>0</v>
      </c>
      <c r="H499" s="85"/>
      <c r="I499" s="85"/>
      <c r="J499" s="70">
        <f>INDEX('PEER GROUP'!K:K,MATCH($A499,'PEER GROUP'!$A:$A,0))</f>
        <v>0</v>
      </c>
      <c r="K499" s="70">
        <f>INDEX('PEER GROUP'!L:L,MATCH($A499,'PEER GROUP'!$A:$A,0))</f>
        <v>0</v>
      </c>
      <c r="L499" s="70">
        <f>INDEX('PEER GROUP'!M:M,MATCH($A499,'PEER GROUP'!$A:$A,0))</f>
        <v>0</v>
      </c>
      <c r="M499" s="86">
        <f>INDEX('PEER GROUP'!N:N,MATCH($A499,'PEER GROUP'!$A:$A,0))</f>
        <v>0</v>
      </c>
      <c r="N499" s="118"/>
      <c r="O499" s="115"/>
      <c r="P499" s="117"/>
      <c r="Q499" s="87"/>
      <c r="R499" s="87">
        <f t="shared" si="146"/>
        <v>0</v>
      </c>
      <c r="S499" s="87"/>
      <c r="T499" s="87"/>
      <c r="U499" s="87"/>
      <c r="V499" s="87">
        <f t="shared" si="147"/>
        <v>0</v>
      </c>
      <c r="W499" s="113">
        <f t="shared" si="144"/>
        <v>36.913096727263202</v>
      </c>
      <c r="X499" s="69">
        <f t="shared" si="148"/>
        <v>0</v>
      </c>
      <c r="Y499" s="70">
        <f t="shared" si="149"/>
        <v>0</v>
      </c>
      <c r="Z499" s="70">
        <f t="shared" si="150"/>
        <v>0</v>
      </c>
      <c r="AA499" s="70">
        <f t="shared" si="151"/>
        <v>0</v>
      </c>
      <c r="AB499" s="70">
        <f t="shared" si="152"/>
        <v>0</v>
      </c>
      <c r="AC499" s="70">
        <f t="shared" si="153"/>
        <v>0</v>
      </c>
      <c r="AD499" s="71">
        <f t="shared" si="154"/>
        <v>0</v>
      </c>
      <c r="AE499" s="49"/>
      <c r="AF499" s="21"/>
      <c r="AG499" s="69"/>
      <c r="AH499" s="70"/>
      <c r="AI499" s="70"/>
      <c r="AJ499" s="70"/>
      <c r="AK499" s="70"/>
      <c r="AL499" s="70"/>
      <c r="AM499" s="70"/>
      <c r="AN499" s="70" t="str">
        <f t="shared" si="155"/>
        <v>---</v>
      </c>
      <c r="AO499" s="70" t="str">
        <f t="shared" si="156"/>
        <v>---</v>
      </c>
      <c r="AP499" s="70" t="str">
        <f t="shared" si="157"/>
        <v>---</v>
      </c>
      <c r="AQ499" s="70" t="str">
        <f t="shared" si="158"/>
        <v>---</v>
      </c>
      <c r="AR499" s="70" t="str">
        <f t="shared" si="159"/>
        <v>---</v>
      </c>
      <c r="AS499" s="70" t="str">
        <f t="shared" si="160"/>
        <v>---</v>
      </c>
      <c r="AT499" s="71" t="str">
        <f t="shared" si="161"/>
        <v>---</v>
      </c>
    </row>
    <row r="500" spans="1:46" ht="30" customHeight="1" x14ac:dyDescent="0.3">
      <c r="A500" s="123">
        <f t="shared" si="145"/>
        <v>496</v>
      </c>
      <c r="B500" s="140">
        <f>INDEX('PEER GROUP'!B:B,MATCH($A500,'PEER GROUP'!$A:$A,0))</f>
        <v>0</v>
      </c>
      <c r="C500" s="83">
        <f>INDEX('PEER GROUP'!C:C,MATCH($A500,'PEER GROUP'!$A:$A,0))</f>
        <v>0</v>
      </c>
      <c r="D500" s="83">
        <f>INDEX('PEER GROUP'!D:D,MATCH($A500,'PEER GROUP'!$A:$A,0))</f>
        <v>0</v>
      </c>
      <c r="E500" s="83">
        <f>INDEX('PEER GROUP'!E:E,MATCH(A500,'PEER GROUP'!$A:$A,0))</f>
        <v>0</v>
      </c>
      <c r="F500" s="84">
        <f>INDEX('PEER GROUP'!F:F,MATCH($A500,'PEER GROUP'!$A:$A,0))</f>
        <v>0</v>
      </c>
      <c r="G500" s="84">
        <f>INDEX('PEER GROUP'!G:G,MATCH($A500,'PEER GROUP'!$A:$A,0))</f>
        <v>0</v>
      </c>
      <c r="H500" s="85"/>
      <c r="I500" s="85"/>
      <c r="J500" s="70">
        <f>INDEX('PEER GROUP'!K:K,MATCH($A500,'PEER GROUP'!$A:$A,0))</f>
        <v>0</v>
      </c>
      <c r="K500" s="70">
        <f>INDEX('PEER GROUP'!L:L,MATCH($A500,'PEER GROUP'!$A:$A,0))</f>
        <v>0</v>
      </c>
      <c r="L500" s="70">
        <f>INDEX('PEER GROUP'!M:M,MATCH($A500,'PEER GROUP'!$A:$A,0))</f>
        <v>0</v>
      </c>
      <c r="M500" s="86">
        <f>INDEX('PEER GROUP'!N:N,MATCH($A500,'PEER GROUP'!$A:$A,0))</f>
        <v>0</v>
      </c>
      <c r="N500" s="118"/>
      <c r="O500" s="115"/>
      <c r="P500" s="117"/>
      <c r="Q500" s="87"/>
      <c r="R500" s="87">
        <f t="shared" si="146"/>
        <v>0</v>
      </c>
      <c r="S500" s="87"/>
      <c r="T500" s="87"/>
      <c r="U500" s="87"/>
      <c r="V500" s="87">
        <f t="shared" si="147"/>
        <v>0</v>
      </c>
      <c r="W500" s="113">
        <f t="shared" si="144"/>
        <v>36.913096727263202</v>
      </c>
      <c r="X500" s="69">
        <f t="shared" si="148"/>
        <v>0</v>
      </c>
      <c r="Y500" s="70">
        <f t="shared" si="149"/>
        <v>0</v>
      </c>
      <c r="Z500" s="70">
        <f t="shared" si="150"/>
        <v>0</v>
      </c>
      <c r="AA500" s="70">
        <f t="shared" si="151"/>
        <v>0</v>
      </c>
      <c r="AB500" s="70">
        <f t="shared" si="152"/>
        <v>0</v>
      </c>
      <c r="AC500" s="70">
        <f t="shared" si="153"/>
        <v>0</v>
      </c>
      <c r="AD500" s="71">
        <f t="shared" si="154"/>
        <v>0</v>
      </c>
      <c r="AE500" s="49"/>
      <c r="AF500" s="21"/>
      <c r="AG500" s="69"/>
      <c r="AH500" s="70"/>
      <c r="AI500" s="70"/>
      <c r="AJ500" s="70"/>
      <c r="AK500" s="70"/>
      <c r="AL500" s="70"/>
      <c r="AM500" s="70"/>
      <c r="AN500" s="70" t="str">
        <f t="shared" si="155"/>
        <v>---</v>
      </c>
      <c r="AO500" s="70" t="str">
        <f t="shared" si="156"/>
        <v>---</v>
      </c>
      <c r="AP500" s="70" t="str">
        <f t="shared" si="157"/>
        <v>---</v>
      </c>
      <c r="AQ500" s="70" t="str">
        <f t="shared" si="158"/>
        <v>---</v>
      </c>
      <c r="AR500" s="70" t="str">
        <f t="shared" si="159"/>
        <v>---</v>
      </c>
      <c r="AS500" s="70" t="str">
        <f t="shared" si="160"/>
        <v>---</v>
      </c>
      <c r="AT500" s="71" t="str">
        <f t="shared" si="161"/>
        <v>---</v>
      </c>
    </row>
    <row r="501" spans="1:46" ht="30" customHeight="1" x14ac:dyDescent="0.3">
      <c r="A501" s="123">
        <f t="shared" si="145"/>
        <v>497</v>
      </c>
      <c r="B501" s="140">
        <f>INDEX('PEER GROUP'!B:B,MATCH($A501,'PEER GROUP'!$A:$A,0))</f>
        <v>0</v>
      </c>
      <c r="C501" s="83">
        <f>INDEX('PEER GROUP'!C:C,MATCH($A501,'PEER GROUP'!$A:$A,0))</f>
        <v>0</v>
      </c>
      <c r="D501" s="83">
        <f>INDEX('PEER GROUP'!D:D,MATCH($A501,'PEER GROUP'!$A:$A,0))</f>
        <v>0</v>
      </c>
      <c r="E501" s="83">
        <f>INDEX('PEER GROUP'!E:E,MATCH(A501,'PEER GROUP'!$A:$A,0))</f>
        <v>0</v>
      </c>
      <c r="F501" s="84">
        <f>INDEX('PEER GROUP'!F:F,MATCH($A501,'PEER GROUP'!$A:$A,0))</f>
        <v>0</v>
      </c>
      <c r="G501" s="84">
        <f>INDEX('PEER GROUP'!G:G,MATCH($A501,'PEER GROUP'!$A:$A,0))</f>
        <v>0</v>
      </c>
      <c r="H501" s="85"/>
      <c r="I501" s="85"/>
      <c r="J501" s="70">
        <f>INDEX('PEER GROUP'!K:K,MATCH($A501,'PEER GROUP'!$A:$A,0))</f>
        <v>0</v>
      </c>
      <c r="K501" s="70">
        <f>INDEX('PEER GROUP'!L:L,MATCH($A501,'PEER GROUP'!$A:$A,0))</f>
        <v>0</v>
      </c>
      <c r="L501" s="70">
        <f>INDEX('PEER GROUP'!M:M,MATCH($A501,'PEER GROUP'!$A:$A,0))</f>
        <v>0</v>
      </c>
      <c r="M501" s="86">
        <f>INDEX('PEER GROUP'!N:N,MATCH($A501,'PEER GROUP'!$A:$A,0))</f>
        <v>0</v>
      </c>
      <c r="N501" s="118"/>
      <c r="O501" s="115"/>
      <c r="P501" s="117"/>
      <c r="Q501" s="87"/>
      <c r="R501" s="87">
        <f t="shared" si="146"/>
        <v>0</v>
      </c>
      <c r="S501" s="87"/>
      <c r="T501" s="87"/>
      <c r="U501" s="87"/>
      <c r="V501" s="87">
        <f t="shared" si="147"/>
        <v>0</v>
      </c>
      <c r="W501" s="113">
        <f t="shared" si="144"/>
        <v>36.913096727263202</v>
      </c>
      <c r="X501" s="69">
        <f t="shared" si="148"/>
        <v>0</v>
      </c>
      <c r="Y501" s="70">
        <f t="shared" si="149"/>
        <v>0</v>
      </c>
      <c r="Z501" s="70">
        <f t="shared" si="150"/>
        <v>0</v>
      </c>
      <c r="AA501" s="70">
        <f t="shared" si="151"/>
        <v>0</v>
      </c>
      <c r="AB501" s="70">
        <f t="shared" si="152"/>
        <v>0</v>
      </c>
      <c r="AC501" s="70">
        <f t="shared" si="153"/>
        <v>0</v>
      </c>
      <c r="AD501" s="71">
        <f t="shared" si="154"/>
        <v>0</v>
      </c>
      <c r="AE501" s="49"/>
      <c r="AF501" s="21"/>
      <c r="AG501" s="69"/>
      <c r="AH501" s="70"/>
      <c r="AI501" s="70"/>
      <c r="AJ501" s="70"/>
      <c r="AK501" s="70"/>
      <c r="AL501" s="70"/>
      <c r="AM501" s="70"/>
      <c r="AN501" s="70" t="str">
        <f t="shared" si="155"/>
        <v>---</v>
      </c>
      <c r="AO501" s="70" t="str">
        <f t="shared" si="156"/>
        <v>---</v>
      </c>
      <c r="AP501" s="70" t="str">
        <f t="shared" si="157"/>
        <v>---</v>
      </c>
      <c r="AQ501" s="70" t="str">
        <f t="shared" si="158"/>
        <v>---</v>
      </c>
      <c r="AR501" s="70" t="str">
        <f t="shared" si="159"/>
        <v>---</v>
      </c>
      <c r="AS501" s="70" t="str">
        <f t="shared" si="160"/>
        <v>---</v>
      </c>
      <c r="AT501" s="71" t="str">
        <f t="shared" si="161"/>
        <v>---</v>
      </c>
    </row>
    <row r="502" spans="1:46" ht="30" customHeight="1" x14ac:dyDescent="0.3">
      <c r="A502" s="123">
        <f t="shared" si="145"/>
        <v>498</v>
      </c>
      <c r="B502" s="140">
        <f>INDEX('PEER GROUP'!B:B,MATCH($A502,'PEER GROUP'!$A:$A,0))</f>
        <v>0</v>
      </c>
      <c r="C502" s="83">
        <f>INDEX('PEER GROUP'!C:C,MATCH($A502,'PEER GROUP'!$A:$A,0))</f>
        <v>0</v>
      </c>
      <c r="D502" s="83">
        <f>INDEX('PEER GROUP'!D:D,MATCH($A502,'PEER GROUP'!$A:$A,0))</f>
        <v>0</v>
      </c>
      <c r="E502" s="83">
        <f>INDEX('PEER GROUP'!E:E,MATCH(A502,'PEER GROUP'!$A:$A,0))</f>
        <v>0</v>
      </c>
      <c r="F502" s="84">
        <f>INDEX('PEER GROUP'!F:F,MATCH($A502,'PEER GROUP'!$A:$A,0))</f>
        <v>0</v>
      </c>
      <c r="G502" s="84">
        <f>INDEX('PEER GROUP'!G:G,MATCH($A502,'PEER GROUP'!$A:$A,0))</f>
        <v>0</v>
      </c>
      <c r="H502" s="85"/>
      <c r="I502" s="85"/>
      <c r="J502" s="70">
        <f>INDEX('PEER GROUP'!K:K,MATCH($A502,'PEER GROUP'!$A:$A,0))</f>
        <v>0</v>
      </c>
      <c r="K502" s="70">
        <f>INDEX('PEER GROUP'!L:L,MATCH($A502,'PEER GROUP'!$A:$A,0))</f>
        <v>0</v>
      </c>
      <c r="L502" s="70">
        <f>INDEX('PEER GROUP'!M:M,MATCH($A502,'PEER GROUP'!$A:$A,0))</f>
        <v>0</v>
      </c>
      <c r="M502" s="86">
        <f>INDEX('PEER GROUP'!N:N,MATCH($A502,'PEER GROUP'!$A:$A,0))</f>
        <v>0</v>
      </c>
      <c r="N502" s="118"/>
      <c r="O502" s="115"/>
      <c r="P502" s="117"/>
      <c r="Q502" s="87"/>
      <c r="R502" s="87">
        <f t="shared" si="146"/>
        <v>0</v>
      </c>
      <c r="S502" s="87"/>
      <c r="T502" s="87"/>
      <c r="U502" s="87"/>
      <c r="V502" s="87">
        <f t="shared" si="147"/>
        <v>0</v>
      </c>
      <c r="W502" s="113">
        <f t="shared" si="144"/>
        <v>36.913096727263202</v>
      </c>
      <c r="X502" s="69">
        <f t="shared" si="148"/>
        <v>0</v>
      </c>
      <c r="Y502" s="70">
        <f t="shared" si="149"/>
        <v>0</v>
      </c>
      <c r="Z502" s="70">
        <f t="shared" si="150"/>
        <v>0</v>
      </c>
      <c r="AA502" s="70">
        <f t="shared" si="151"/>
        <v>0</v>
      </c>
      <c r="AB502" s="70">
        <f t="shared" si="152"/>
        <v>0</v>
      </c>
      <c r="AC502" s="70">
        <f t="shared" si="153"/>
        <v>0</v>
      </c>
      <c r="AD502" s="71">
        <f t="shared" si="154"/>
        <v>0</v>
      </c>
      <c r="AE502" s="49"/>
      <c r="AF502" s="21"/>
      <c r="AG502" s="69"/>
      <c r="AH502" s="70"/>
      <c r="AI502" s="70"/>
      <c r="AJ502" s="70"/>
      <c r="AK502" s="70"/>
      <c r="AL502" s="70"/>
      <c r="AM502" s="70"/>
      <c r="AN502" s="70" t="str">
        <f t="shared" si="155"/>
        <v>---</v>
      </c>
      <c r="AO502" s="70" t="str">
        <f t="shared" si="156"/>
        <v>---</v>
      </c>
      <c r="AP502" s="70" t="str">
        <f t="shared" si="157"/>
        <v>---</v>
      </c>
      <c r="AQ502" s="70" t="str">
        <f t="shared" si="158"/>
        <v>---</v>
      </c>
      <c r="AR502" s="70" t="str">
        <f t="shared" si="159"/>
        <v>---</v>
      </c>
      <c r="AS502" s="70" t="str">
        <f t="shared" si="160"/>
        <v>---</v>
      </c>
      <c r="AT502" s="71" t="str">
        <f t="shared" si="161"/>
        <v>---</v>
      </c>
    </row>
    <row r="503" spans="1:46" ht="30" customHeight="1" x14ac:dyDescent="0.3">
      <c r="A503" s="123">
        <f t="shared" si="145"/>
        <v>499</v>
      </c>
      <c r="B503" s="140">
        <f>INDEX('PEER GROUP'!B:B,MATCH($A503,'PEER GROUP'!$A:$A,0))</f>
        <v>0</v>
      </c>
      <c r="C503" s="83">
        <f>INDEX('PEER GROUP'!C:C,MATCH($A503,'PEER GROUP'!$A:$A,0))</f>
        <v>0</v>
      </c>
      <c r="D503" s="83">
        <f>INDEX('PEER GROUP'!D:D,MATCH($A503,'PEER GROUP'!$A:$A,0))</f>
        <v>0</v>
      </c>
      <c r="E503" s="83">
        <f>INDEX('PEER GROUP'!E:E,MATCH(A503,'PEER GROUP'!$A:$A,0))</f>
        <v>0</v>
      </c>
      <c r="F503" s="84">
        <f>INDEX('PEER GROUP'!F:F,MATCH($A503,'PEER GROUP'!$A:$A,0))</f>
        <v>0</v>
      </c>
      <c r="G503" s="84">
        <f>INDEX('PEER GROUP'!G:G,MATCH($A503,'PEER GROUP'!$A:$A,0))</f>
        <v>0</v>
      </c>
      <c r="H503" s="85"/>
      <c r="I503" s="85"/>
      <c r="J503" s="70">
        <f>INDEX('PEER GROUP'!K:K,MATCH($A503,'PEER GROUP'!$A:$A,0))</f>
        <v>0</v>
      </c>
      <c r="K503" s="70">
        <f>INDEX('PEER GROUP'!L:L,MATCH($A503,'PEER GROUP'!$A:$A,0))</f>
        <v>0</v>
      </c>
      <c r="L503" s="70">
        <f>INDEX('PEER GROUP'!M:M,MATCH($A503,'PEER GROUP'!$A:$A,0))</f>
        <v>0</v>
      </c>
      <c r="M503" s="86">
        <f>INDEX('PEER GROUP'!N:N,MATCH($A503,'PEER GROUP'!$A:$A,0))</f>
        <v>0</v>
      </c>
      <c r="N503" s="118"/>
      <c r="O503" s="115"/>
      <c r="P503" s="117"/>
      <c r="Q503" s="87"/>
      <c r="R503" s="87">
        <f t="shared" si="146"/>
        <v>0</v>
      </c>
      <c r="S503" s="87"/>
      <c r="T503" s="87"/>
      <c r="U503" s="87"/>
      <c r="V503" s="87">
        <f t="shared" si="147"/>
        <v>0</v>
      </c>
      <c r="W503" s="113">
        <f t="shared" si="144"/>
        <v>36.913096727263202</v>
      </c>
      <c r="X503" s="69">
        <f t="shared" si="148"/>
        <v>0</v>
      </c>
      <c r="Y503" s="70">
        <f t="shared" si="149"/>
        <v>0</v>
      </c>
      <c r="Z503" s="70">
        <f t="shared" si="150"/>
        <v>0</v>
      </c>
      <c r="AA503" s="70">
        <f t="shared" si="151"/>
        <v>0</v>
      </c>
      <c r="AB503" s="70">
        <f t="shared" si="152"/>
        <v>0</v>
      </c>
      <c r="AC503" s="70">
        <f t="shared" si="153"/>
        <v>0</v>
      </c>
      <c r="AD503" s="71">
        <f t="shared" si="154"/>
        <v>0</v>
      </c>
      <c r="AE503" s="49"/>
      <c r="AF503" s="21"/>
      <c r="AG503" s="69"/>
      <c r="AH503" s="70"/>
      <c r="AI503" s="70"/>
      <c r="AJ503" s="70"/>
      <c r="AK503" s="70"/>
      <c r="AL503" s="70"/>
      <c r="AM503" s="70"/>
      <c r="AN503" s="70" t="str">
        <f t="shared" si="155"/>
        <v>---</v>
      </c>
      <c r="AO503" s="70" t="str">
        <f t="shared" si="156"/>
        <v>---</v>
      </c>
      <c r="AP503" s="70" t="str">
        <f t="shared" si="157"/>
        <v>---</v>
      </c>
      <c r="AQ503" s="70" t="str">
        <f t="shared" si="158"/>
        <v>---</v>
      </c>
      <c r="AR503" s="70" t="str">
        <f t="shared" si="159"/>
        <v>---</v>
      </c>
      <c r="AS503" s="70" t="str">
        <f t="shared" si="160"/>
        <v>---</v>
      </c>
      <c r="AT503" s="71" t="str">
        <f t="shared" si="161"/>
        <v>---</v>
      </c>
    </row>
    <row r="504" spans="1:46" ht="30" customHeight="1" x14ac:dyDescent="0.3">
      <c r="A504" s="123">
        <f t="shared" si="145"/>
        <v>500</v>
      </c>
      <c r="B504" s="140">
        <f>INDEX('PEER GROUP'!B:B,MATCH($A504,'PEER GROUP'!$A:$A,0))</f>
        <v>0</v>
      </c>
      <c r="C504" s="83">
        <f>INDEX('PEER GROUP'!C:C,MATCH($A504,'PEER GROUP'!$A:$A,0))</f>
        <v>0</v>
      </c>
      <c r="D504" s="83">
        <f>INDEX('PEER GROUP'!D:D,MATCH($A504,'PEER GROUP'!$A:$A,0))</f>
        <v>0</v>
      </c>
      <c r="E504" s="83">
        <f>INDEX('PEER GROUP'!E:E,MATCH(A504,'PEER GROUP'!$A:$A,0))</f>
        <v>0</v>
      </c>
      <c r="F504" s="84">
        <f>INDEX('PEER GROUP'!F:F,MATCH($A504,'PEER GROUP'!$A:$A,0))</f>
        <v>0</v>
      </c>
      <c r="G504" s="84">
        <f>INDEX('PEER GROUP'!G:G,MATCH($A504,'PEER GROUP'!$A:$A,0))</f>
        <v>0</v>
      </c>
      <c r="H504" s="85"/>
      <c r="I504" s="85"/>
      <c r="J504" s="70">
        <f>INDEX('PEER GROUP'!K:K,MATCH($A504,'PEER GROUP'!$A:$A,0))</f>
        <v>0</v>
      </c>
      <c r="K504" s="70">
        <f>INDEX('PEER GROUP'!L:L,MATCH($A504,'PEER GROUP'!$A:$A,0))</f>
        <v>0</v>
      </c>
      <c r="L504" s="70">
        <f>INDEX('PEER GROUP'!M:M,MATCH($A504,'PEER GROUP'!$A:$A,0))</f>
        <v>0</v>
      </c>
      <c r="M504" s="86">
        <f>INDEX('PEER GROUP'!N:N,MATCH($A504,'PEER GROUP'!$A:$A,0))</f>
        <v>0</v>
      </c>
      <c r="N504" s="118"/>
      <c r="O504" s="115"/>
      <c r="P504" s="117"/>
      <c r="Q504" s="87"/>
      <c r="R504" s="87">
        <f t="shared" si="146"/>
        <v>0</v>
      </c>
      <c r="S504" s="87"/>
      <c r="T504" s="87"/>
      <c r="U504" s="87"/>
      <c r="V504" s="87">
        <f t="shared" si="147"/>
        <v>0</v>
      </c>
      <c r="W504" s="113">
        <f t="shared" si="144"/>
        <v>36.913096727263202</v>
      </c>
      <c r="X504" s="69">
        <f t="shared" si="148"/>
        <v>0</v>
      </c>
      <c r="Y504" s="70">
        <f t="shared" si="149"/>
        <v>0</v>
      </c>
      <c r="Z504" s="70">
        <f t="shared" si="150"/>
        <v>0</v>
      </c>
      <c r="AA504" s="70">
        <f t="shared" si="151"/>
        <v>0</v>
      </c>
      <c r="AB504" s="70">
        <f t="shared" si="152"/>
        <v>0</v>
      </c>
      <c r="AC504" s="70">
        <f t="shared" si="153"/>
        <v>0</v>
      </c>
      <c r="AD504" s="71">
        <f t="shared" si="154"/>
        <v>0</v>
      </c>
      <c r="AE504" s="49"/>
      <c r="AF504" s="21"/>
      <c r="AG504" s="69"/>
      <c r="AH504" s="70"/>
      <c r="AI504" s="70"/>
      <c r="AJ504" s="70"/>
      <c r="AK504" s="70"/>
      <c r="AL504" s="70"/>
      <c r="AM504" s="70"/>
      <c r="AN504" s="70" t="str">
        <f t="shared" si="155"/>
        <v>---</v>
      </c>
      <c r="AO504" s="70" t="str">
        <f t="shared" si="156"/>
        <v>---</v>
      </c>
      <c r="AP504" s="70" t="str">
        <f t="shared" si="157"/>
        <v>---</v>
      </c>
      <c r="AQ504" s="70" t="str">
        <f t="shared" si="158"/>
        <v>---</v>
      </c>
      <c r="AR504" s="70" t="str">
        <f t="shared" si="159"/>
        <v>---</v>
      </c>
      <c r="AS504" s="70" t="str">
        <f t="shared" si="160"/>
        <v>---</v>
      </c>
      <c r="AT504" s="71" t="str">
        <f t="shared" si="161"/>
        <v>---</v>
      </c>
    </row>
    <row r="505" spans="1:46" ht="30" customHeight="1" x14ac:dyDescent="0.3">
      <c r="A505" s="123">
        <f t="shared" si="145"/>
        <v>501</v>
      </c>
      <c r="B505" s="140">
        <f>INDEX('PEER GROUP'!B:B,MATCH($A505,'PEER GROUP'!$A:$A,0))</f>
        <v>0</v>
      </c>
      <c r="C505" s="83">
        <f>INDEX('PEER GROUP'!C:C,MATCH($A505,'PEER GROUP'!$A:$A,0))</f>
        <v>0</v>
      </c>
      <c r="D505" s="83">
        <f>INDEX('PEER GROUP'!D:D,MATCH($A505,'PEER GROUP'!$A:$A,0))</f>
        <v>0</v>
      </c>
      <c r="E505" s="83">
        <f>INDEX('PEER GROUP'!E:E,MATCH(A505,'PEER GROUP'!$A:$A,0))</f>
        <v>0</v>
      </c>
      <c r="F505" s="84">
        <f>INDEX('PEER GROUP'!F:F,MATCH($A505,'PEER GROUP'!$A:$A,0))</f>
        <v>0</v>
      </c>
      <c r="G505" s="84">
        <f>INDEX('PEER GROUP'!G:G,MATCH($A505,'PEER GROUP'!$A:$A,0))</f>
        <v>0</v>
      </c>
      <c r="H505" s="85"/>
      <c r="I505" s="85"/>
      <c r="J505" s="70">
        <f>INDEX('PEER GROUP'!K:K,MATCH($A505,'PEER GROUP'!$A:$A,0))</f>
        <v>0</v>
      </c>
      <c r="K505" s="70">
        <f>INDEX('PEER GROUP'!L:L,MATCH($A505,'PEER GROUP'!$A:$A,0))</f>
        <v>0</v>
      </c>
      <c r="L505" s="70">
        <f>INDEX('PEER GROUP'!M:M,MATCH($A505,'PEER GROUP'!$A:$A,0))</f>
        <v>0</v>
      </c>
      <c r="M505" s="86">
        <f>INDEX('PEER GROUP'!N:N,MATCH($A505,'PEER GROUP'!$A:$A,0))</f>
        <v>0</v>
      </c>
      <c r="N505" s="118"/>
      <c r="O505" s="115"/>
      <c r="P505" s="117"/>
      <c r="Q505" s="87"/>
      <c r="R505" s="87">
        <f t="shared" si="146"/>
        <v>0</v>
      </c>
      <c r="S505" s="87"/>
      <c r="T505" s="87"/>
      <c r="U505" s="87"/>
      <c r="V505" s="87">
        <f t="shared" si="147"/>
        <v>0</v>
      </c>
      <c r="W505" s="113">
        <f t="shared" si="144"/>
        <v>36.913096727263202</v>
      </c>
      <c r="X505" s="69">
        <f t="shared" si="148"/>
        <v>0</v>
      </c>
      <c r="Y505" s="70">
        <f t="shared" si="149"/>
        <v>0</v>
      </c>
      <c r="Z505" s="70">
        <f t="shared" si="150"/>
        <v>0</v>
      </c>
      <c r="AA505" s="70">
        <f t="shared" si="151"/>
        <v>0</v>
      </c>
      <c r="AB505" s="70">
        <f t="shared" si="152"/>
        <v>0</v>
      </c>
      <c r="AC505" s="70">
        <f t="shared" si="153"/>
        <v>0</v>
      </c>
      <c r="AD505" s="71">
        <f t="shared" si="154"/>
        <v>0</v>
      </c>
      <c r="AE505" s="49"/>
      <c r="AF505" s="21"/>
      <c r="AG505" s="69"/>
      <c r="AH505" s="70"/>
      <c r="AI505" s="70"/>
      <c r="AJ505" s="70"/>
      <c r="AK505" s="70"/>
      <c r="AL505" s="70"/>
      <c r="AM505" s="70"/>
      <c r="AN505" s="70" t="str">
        <f t="shared" si="155"/>
        <v>---</v>
      </c>
      <c r="AO505" s="70" t="str">
        <f t="shared" si="156"/>
        <v>---</v>
      </c>
      <c r="AP505" s="70" t="str">
        <f t="shared" si="157"/>
        <v>---</v>
      </c>
      <c r="AQ505" s="70" t="str">
        <f t="shared" si="158"/>
        <v>---</v>
      </c>
      <c r="AR505" s="70" t="str">
        <f t="shared" si="159"/>
        <v>---</v>
      </c>
      <c r="AS505" s="70" t="str">
        <f t="shared" si="160"/>
        <v>---</v>
      </c>
      <c r="AT505" s="71" t="str">
        <f t="shared" si="161"/>
        <v>---</v>
      </c>
    </row>
    <row r="506" spans="1:46" ht="30" customHeight="1" x14ac:dyDescent="0.3">
      <c r="A506" s="123">
        <f t="shared" si="145"/>
        <v>502</v>
      </c>
      <c r="B506" s="140">
        <f>INDEX('PEER GROUP'!B:B,MATCH($A506,'PEER GROUP'!$A:$A,0))</f>
        <v>0</v>
      </c>
      <c r="C506" s="83">
        <f>INDEX('PEER GROUP'!C:C,MATCH($A506,'PEER GROUP'!$A:$A,0))</f>
        <v>0</v>
      </c>
      <c r="D506" s="83">
        <f>INDEX('PEER GROUP'!D:D,MATCH($A506,'PEER GROUP'!$A:$A,0))</f>
        <v>0</v>
      </c>
      <c r="E506" s="83">
        <f>INDEX('PEER GROUP'!E:E,MATCH(A506,'PEER GROUP'!$A:$A,0))</f>
        <v>0</v>
      </c>
      <c r="F506" s="84">
        <f>INDEX('PEER GROUP'!F:F,MATCH($A506,'PEER GROUP'!$A:$A,0))</f>
        <v>0</v>
      </c>
      <c r="G506" s="84">
        <f>INDEX('PEER GROUP'!G:G,MATCH($A506,'PEER GROUP'!$A:$A,0))</f>
        <v>0</v>
      </c>
      <c r="H506" s="85"/>
      <c r="I506" s="85"/>
      <c r="J506" s="70">
        <f>INDEX('PEER GROUP'!K:K,MATCH($A506,'PEER GROUP'!$A:$A,0))</f>
        <v>0</v>
      </c>
      <c r="K506" s="70">
        <f>INDEX('PEER GROUP'!L:L,MATCH($A506,'PEER GROUP'!$A:$A,0))</f>
        <v>0</v>
      </c>
      <c r="L506" s="70">
        <f>INDEX('PEER GROUP'!M:M,MATCH($A506,'PEER GROUP'!$A:$A,0))</f>
        <v>0</v>
      </c>
      <c r="M506" s="86">
        <f>INDEX('PEER GROUP'!N:N,MATCH($A506,'PEER GROUP'!$A:$A,0))</f>
        <v>0</v>
      </c>
      <c r="N506" s="118"/>
      <c r="O506" s="115"/>
      <c r="P506" s="117"/>
      <c r="Q506" s="87"/>
      <c r="R506" s="87">
        <f t="shared" si="146"/>
        <v>0</v>
      </c>
      <c r="S506" s="87"/>
      <c r="T506" s="87"/>
      <c r="U506" s="87"/>
      <c r="V506" s="87">
        <f t="shared" si="147"/>
        <v>0</v>
      </c>
      <c r="W506" s="113">
        <f t="shared" si="144"/>
        <v>36.913096727263202</v>
      </c>
      <c r="X506" s="69">
        <f t="shared" si="148"/>
        <v>0</v>
      </c>
      <c r="Y506" s="70">
        <f t="shared" si="149"/>
        <v>0</v>
      </c>
      <c r="Z506" s="70">
        <f t="shared" si="150"/>
        <v>0</v>
      </c>
      <c r="AA506" s="70">
        <f t="shared" si="151"/>
        <v>0</v>
      </c>
      <c r="AB506" s="70">
        <f t="shared" si="152"/>
        <v>0</v>
      </c>
      <c r="AC506" s="70">
        <f t="shared" si="153"/>
        <v>0</v>
      </c>
      <c r="AD506" s="71">
        <f t="shared" si="154"/>
        <v>0</v>
      </c>
      <c r="AE506" s="49"/>
      <c r="AF506" s="21"/>
      <c r="AG506" s="69"/>
      <c r="AH506" s="70"/>
      <c r="AI506" s="70"/>
      <c r="AJ506" s="70"/>
      <c r="AK506" s="70"/>
      <c r="AL506" s="70"/>
      <c r="AM506" s="70"/>
      <c r="AN506" s="70" t="str">
        <f t="shared" si="155"/>
        <v>---</v>
      </c>
      <c r="AO506" s="70" t="str">
        <f t="shared" si="156"/>
        <v>---</v>
      </c>
      <c r="AP506" s="70" t="str">
        <f t="shared" si="157"/>
        <v>---</v>
      </c>
      <c r="AQ506" s="70" t="str">
        <f t="shared" si="158"/>
        <v>---</v>
      </c>
      <c r="AR506" s="70" t="str">
        <f t="shared" si="159"/>
        <v>---</v>
      </c>
      <c r="AS506" s="70" t="str">
        <f t="shared" si="160"/>
        <v>---</v>
      </c>
      <c r="AT506" s="71" t="str">
        <f t="shared" si="161"/>
        <v>---</v>
      </c>
    </row>
    <row r="507" spans="1:46" ht="30" customHeight="1" x14ac:dyDescent="0.3">
      <c r="A507" s="123">
        <f t="shared" si="145"/>
        <v>503</v>
      </c>
      <c r="B507" s="140">
        <f>INDEX('PEER GROUP'!B:B,MATCH($A507,'PEER GROUP'!$A:$A,0))</f>
        <v>0</v>
      </c>
      <c r="C507" s="83">
        <f>INDEX('PEER GROUP'!C:C,MATCH($A507,'PEER GROUP'!$A:$A,0))</f>
        <v>0</v>
      </c>
      <c r="D507" s="83">
        <f>INDEX('PEER GROUP'!D:D,MATCH($A507,'PEER GROUP'!$A:$A,0))</f>
        <v>0</v>
      </c>
      <c r="E507" s="83">
        <f>INDEX('PEER GROUP'!E:E,MATCH(A507,'PEER GROUP'!$A:$A,0))</f>
        <v>0</v>
      </c>
      <c r="F507" s="84">
        <f>INDEX('PEER GROUP'!F:F,MATCH($A507,'PEER GROUP'!$A:$A,0))</f>
        <v>0</v>
      </c>
      <c r="G507" s="84">
        <f>INDEX('PEER GROUP'!G:G,MATCH($A507,'PEER GROUP'!$A:$A,0))</f>
        <v>0</v>
      </c>
      <c r="H507" s="85"/>
      <c r="I507" s="85"/>
      <c r="J507" s="70">
        <f>INDEX('PEER GROUP'!K:K,MATCH($A507,'PEER GROUP'!$A:$A,0))</f>
        <v>0</v>
      </c>
      <c r="K507" s="70">
        <f>INDEX('PEER GROUP'!L:L,MATCH($A507,'PEER GROUP'!$A:$A,0))</f>
        <v>0</v>
      </c>
      <c r="L507" s="70">
        <f>INDEX('PEER GROUP'!M:M,MATCH($A507,'PEER GROUP'!$A:$A,0))</f>
        <v>0</v>
      </c>
      <c r="M507" s="86">
        <f>INDEX('PEER GROUP'!N:N,MATCH($A507,'PEER GROUP'!$A:$A,0))</f>
        <v>0</v>
      </c>
      <c r="N507" s="118"/>
      <c r="O507" s="115"/>
      <c r="P507" s="117"/>
      <c r="Q507" s="87"/>
      <c r="R507" s="87">
        <f t="shared" si="146"/>
        <v>0</v>
      </c>
      <c r="S507" s="87"/>
      <c r="T507" s="87"/>
      <c r="U507" s="87"/>
      <c r="V507" s="87">
        <f t="shared" si="147"/>
        <v>0</v>
      </c>
      <c r="W507" s="113">
        <f t="shared" si="144"/>
        <v>36.913096727263202</v>
      </c>
      <c r="X507" s="69">
        <f t="shared" si="148"/>
        <v>0</v>
      </c>
      <c r="Y507" s="70">
        <f t="shared" si="149"/>
        <v>0</v>
      </c>
      <c r="Z507" s="70">
        <f t="shared" si="150"/>
        <v>0</v>
      </c>
      <c r="AA507" s="70">
        <f t="shared" si="151"/>
        <v>0</v>
      </c>
      <c r="AB507" s="70">
        <f t="shared" si="152"/>
        <v>0</v>
      </c>
      <c r="AC507" s="70">
        <f t="shared" si="153"/>
        <v>0</v>
      </c>
      <c r="AD507" s="71">
        <f t="shared" si="154"/>
        <v>0</v>
      </c>
      <c r="AE507" s="49"/>
      <c r="AF507" s="21"/>
      <c r="AG507" s="69"/>
      <c r="AH507" s="70"/>
      <c r="AI507" s="70"/>
      <c r="AJ507" s="70"/>
      <c r="AK507" s="70"/>
      <c r="AL507" s="70"/>
      <c r="AM507" s="70"/>
      <c r="AN507" s="70" t="str">
        <f t="shared" si="155"/>
        <v>---</v>
      </c>
      <c r="AO507" s="70" t="str">
        <f t="shared" si="156"/>
        <v>---</v>
      </c>
      <c r="AP507" s="70" t="str">
        <f t="shared" si="157"/>
        <v>---</v>
      </c>
      <c r="AQ507" s="70" t="str">
        <f t="shared" si="158"/>
        <v>---</v>
      </c>
      <c r="AR507" s="70" t="str">
        <f t="shared" si="159"/>
        <v>---</v>
      </c>
      <c r="AS507" s="70" t="str">
        <f t="shared" si="160"/>
        <v>---</v>
      </c>
      <c r="AT507" s="71" t="str">
        <f t="shared" si="161"/>
        <v>---</v>
      </c>
    </row>
    <row r="508" spans="1:46" ht="30" customHeight="1" x14ac:dyDescent="0.3">
      <c r="A508" s="123">
        <f t="shared" si="145"/>
        <v>504</v>
      </c>
      <c r="B508" s="140">
        <f>INDEX('PEER GROUP'!B:B,MATCH($A508,'PEER GROUP'!$A:$A,0))</f>
        <v>0</v>
      </c>
      <c r="C508" s="83">
        <f>INDEX('PEER GROUP'!C:C,MATCH($A508,'PEER GROUP'!$A:$A,0))</f>
        <v>0</v>
      </c>
      <c r="D508" s="83">
        <f>INDEX('PEER GROUP'!D:D,MATCH($A508,'PEER GROUP'!$A:$A,0))</f>
        <v>0</v>
      </c>
      <c r="E508" s="83">
        <f>INDEX('PEER GROUP'!E:E,MATCH(A508,'PEER GROUP'!$A:$A,0))</f>
        <v>0</v>
      </c>
      <c r="F508" s="84">
        <f>INDEX('PEER GROUP'!F:F,MATCH($A508,'PEER GROUP'!$A:$A,0))</f>
        <v>0</v>
      </c>
      <c r="G508" s="84">
        <f>INDEX('PEER GROUP'!G:G,MATCH($A508,'PEER GROUP'!$A:$A,0))</f>
        <v>0</v>
      </c>
      <c r="H508" s="85"/>
      <c r="I508" s="85"/>
      <c r="J508" s="70">
        <f>INDEX('PEER GROUP'!K:K,MATCH($A508,'PEER GROUP'!$A:$A,0))</f>
        <v>0</v>
      </c>
      <c r="K508" s="70">
        <f>INDEX('PEER GROUP'!L:L,MATCH($A508,'PEER GROUP'!$A:$A,0))</f>
        <v>0</v>
      </c>
      <c r="L508" s="70">
        <f>INDEX('PEER GROUP'!M:M,MATCH($A508,'PEER GROUP'!$A:$A,0))</f>
        <v>0</v>
      </c>
      <c r="M508" s="86">
        <f>INDEX('PEER GROUP'!N:N,MATCH($A508,'PEER GROUP'!$A:$A,0))</f>
        <v>0</v>
      </c>
      <c r="N508" s="118"/>
      <c r="O508" s="115"/>
      <c r="P508" s="117"/>
      <c r="Q508" s="87"/>
      <c r="R508" s="87">
        <f t="shared" si="146"/>
        <v>0</v>
      </c>
      <c r="S508" s="87"/>
      <c r="T508" s="87"/>
      <c r="U508" s="87"/>
      <c r="V508" s="87">
        <f t="shared" si="147"/>
        <v>0</v>
      </c>
      <c r="W508" s="113">
        <f t="shared" si="144"/>
        <v>36.913096727263202</v>
      </c>
      <c r="X508" s="69">
        <f t="shared" si="148"/>
        <v>0</v>
      </c>
      <c r="Y508" s="70">
        <f t="shared" si="149"/>
        <v>0</v>
      </c>
      <c r="Z508" s="70">
        <f t="shared" si="150"/>
        <v>0</v>
      </c>
      <c r="AA508" s="70">
        <f t="shared" si="151"/>
        <v>0</v>
      </c>
      <c r="AB508" s="70">
        <f t="shared" si="152"/>
        <v>0</v>
      </c>
      <c r="AC508" s="70">
        <f t="shared" si="153"/>
        <v>0</v>
      </c>
      <c r="AD508" s="71">
        <f t="shared" si="154"/>
        <v>0</v>
      </c>
      <c r="AE508" s="49"/>
      <c r="AF508" s="21"/>
      <c r="AG508" s="69"/>
      <c r="AH508" s="70"/>
      <c r="AI508" s="70"/>
      <c r="AJ508" s="70"/>
      <c r="AK508" s="70"/>
      <c r="AL508" s="70"/>
      <c r="AM508" s="70"/>
      <c r="AN508" s="70" t="str">
        <f t="shared" si="155"/>
        <v>---</v>
      </c>
      <c r="AO508" s="70" t="str">
        <f t="shared" si="156"/>
        <v>---</v>
      </c>
      <c r="AP508" s="70" t="str">
        <f t="shared" si="157"/>
        <v>---</v>
      </c>
      <c r="AQ508" s="70" t="str">
        <f t="shared" si="158"/>
        <v>---</v>
      </c>
      <c r="AR508" s="70" t="str">
        <f t="shared" si="159"/>
        <v>---</v>
      </c>
      <c r="AS508" s="70" t="str">
        <f t="shared" si="160"/>
        <v>---</v>
      </c>
      <c r="AT508" s="71" t="str">
        <f t="shared" si="161"/>
        <v>---</v>
      </c>
    </row>
    <row r="509" spans="1:46" ht="30" customHeight="1" x14ac:dyDescent="0.3">
      <c r="A509" s="123">
        <f t="shared" si="145"/>
        <v>505</v>
      </c>
      <c r="B509" s="140">
        <f>INDEX('PEER GROUP'!B:B,MATCH($A509,'PEER GROUP'!$A:$A,0))</f>
        <v>0</v>
      </c>
      <c r="C509" s="83">
        <f>INDEX('PEER GROUP'!C:C,MATCH($A509,'PEER GROUP'!$A:$A,0))</f>
        <v>0</v>
      </c>
      <c r="D509" s="83">
        <f>INDEX('PEER GROUP'!D:D,MATCH($A509,'PEER GROUP'!$A:$A,0))</f>
        <v>0</v>
      </c>
      <c r="E509" s="83">
        <f>INDEX('PEER GROUP'!E:E,MATCH(A509,'PEER GROUP'!$A:$A,0))</f>
        <v>0</v>
      </c>
      <c r="F509" s="84">
        <f>INDEX('PEER GROUP'!F:F,MATCH($A509,'PEER GROUP'!$A:$A,0))</f>
        <v>0</v>
      </c>
      <c r="G509" s="84">
        <f>INDEX('PEER GROUP'!G:G,MATCH($A509,'PEER GROUP'!$A:$A,0))</f>
        <v>0</v>
      </c>
      <c r="H509" s="85"/>
      <c r="I509" s="85"/>
      <c r="J509" s="70">
        <f>INDEX('PEER GROUP'!K:K,MATCH($A509,'PEER GROUP'!$A:$A,0))</f>
        <v>0</v>
      </c>
      <c r="K509" s="70">
        <f>INDEX('PEER GROUP'!L:L,MATCH($A509,'PEER GROUP'!$A:$A,0))</f>
        <v>0</v>
      </c>
      <c r="L509" s="70">
        <f>INDEX('PEER GROUP'!M:M,MATCH($A509,'PEER GROUP'!$A:$A,0))</f>
        <v>0</v>
      </c>
      <c r="M509" s="86">
        <f>INDEX('PEER GROUP'!N:N,MATCH($A509,'PEER GROUP'!$A:$A,0))</f>
        <v>0</v>
      </c>
      <c r="N509" s="118"/>
      <c r="O509" s="115"/>
      <c r="P509" s="117"/>
      <c r="Q509" s="87"/>
      <c r="R509" s="87">
        <f t="shared" si="146"/>
        <v>0</v>
      </c>
      <c r="S509" s="87"/>
      <c r="T509" s="87"/>
      <c r="U509" s="87"/>
      <c r="V509" s="87">
        <f t="shared" si="147"/>
        <v>0</v>
      </c>
      <c r="W509" s="113">
        <f t="shared" si="144"/>
        <v>36.913096727263202</v>
      </c>
      <c r="X509" s="69">
        <f t="shared" si="148"/>
        <v>0</v>
      </c>
      <c r="Y509" s="70">
        <f t="shared" si="149"/>
        <v>0</v>
      </c>
      <c r="Z509" s="70">
        <f t="shared" si="150"/>
        <v>0</v>
      </c>
      <c r="AA509" s="70">
        <f t="shared" si="151"/>
        <v>0</v>
      </c>
      <c r="AB509" s="70">
        <f t="shared" si="152"/>
        <v>0</v>
      </c>
      <c r="AC509" s="70">
        <f t="shared" si="153"/>
        <v>0</v>
      </c>
      <c r="AD509" s="71">
        <f t="shared" si="154"/>
        <v>0</v>
      </c>
      <c r="AE509" s="49"/>
      <c r="AF509" s="21"/>
      <c r="AG509" s="69"/>
      <c r="AH509" s="70"/>
      <c r="AI509" s="70"/>
      <c r="AJ509" s="70"/>
      <c r="AK509" s="70"/>
      <c r="AL509" s="70"/>
      <c r="AM509" s="70"/>
      <c r="AN509" s="70" t="str">
        <f t="shared" si="155"/>
        <v>---</v>
      </c>
      <c r="AO509" s="70" t="str">
        <f t="shared" si="156"/>
        <v>---</v>
      </c>
      <c r="AP509" s="70" t="str">
        <f t="shared" si="157"/>
        <v>---</v>
      </c>
      <c r="AQ509" s="70" t="str">
        <f t="shared" si="158"/>
        <v>---</v>
      </c>
      <c r="AR509" s="70" t="str">
        <f t="shared" si="159"/>
        <v>---</v>
      </c>
      <c r="AS509" s="70" t="str">
        <f t="shared" si="160"/>
        <v>---</v>
      </c>
      <c r="AT509" s="71" t="str">
        <f t="shared" si="161"/>
        <v>---</v>
      </c>
    </row>
    <row r="510" spans="1:46" ht="30" customHeight="1" x14ac:dyDescent="0.3">
      <c r="A510" s="123">
        <f t="shared" si="145"/>
        <v>506</v>
      </c>
      <c r="B510" s="140">
        <f>INDEX('PEER GROUP'!B:B,MATCH($A510,'PEER GROUP'!$A:$A,0))</f>
        <v>0</v>
      </c>
      <c r="C510" s="83">
        <f>INDEX('PEER GROUP'!C:C,MATCH($A510,'PEER GROUP'!$A:$A,0))</f>
        <v>0</v>
      </c>
      <c r="D510" s="83">
        <f>INDEX('PEER GROUP'!D:D,MATCH($A510,'PEER GROUP'!$A:$A,0))</f>
        <v>0</v>
      </c>
      <c r="E510" s="83">
        <f>INDEX('PEER GROUP'!E:E,MATCH(A510,'PEER GROUP'!$A:$A,0))</f>
        <v>0</v>
      </c>
      <c r="F510" s="84">
        <f>INDEX('PEER GROUP'!F:F,MATCH($A510,'PEER GROUP'!$A:$A,0))</f>
        <v>0</v>
      </c>
      <c r="G510" s="84">
        <f>INDEX('PEER GROUP'!G:G,MATCH($A510,'PEER GROUP'!$A:$A,0))</f>
        <v>0</v>
      </c>
      <c r="H510" s="85"/>
      <c r="I510" s="85"/>
      <c r="J510" s="70">
        <f>INDEX('PEER GROUP'!K:K,MATCH($A510,'PEER GROUP'!$A:$A,0))</f>
        <v>0</v>
      </c>
      <c r="K510" s="70">
        <f>INDEX('PEER GROUP'!L:L,MATCH($A510,'PEER GROUP'!$A:$A,0))</f>
        <v>0</v>
      </c>
      <c r="L510" s="70">
        <f>INDEX('PEER GROUP'!M:M,MATCH($A510,'PEER GROUP'!$A:$A,0))</f>
        <v>0</v>
      </c>
      <c r="M510" s="86">
        <f>INDEX('PEER GROUP'!N:N,MATCH($A510,'PEER GROUP'!$A:$A,0))</f>
        <v>0</v>
      </c>
      <c r="N510" s="118"/>
      <c r="O510" s="115"/>
      <c r="P510" s="117"/>
      <c r="Q510" s="87"/>
      <c r="R510" s="87">
        <f t="shared" si="146"/>
        <v>0</v>
      </c>
      <c r="S510" s="87"/>
      <c r="T510" s="87"/>
      <c r="U510" s="87"/>
      <c r="V510" s="87">
        <f t="shared" si="147"/>
        <v>0</v>
      </c>
      <c r="W510" s="113">
        <f t="shared" si="144"/>
        <v>36.913096727263202</v>
      </c>
      <c r="X510" s="69">
        <f t="shared" si="148"/>
        <v>0</v>
      </c>
      <c r="Y510" s="70">
        <f t="shared" si="149"/>
        <v>0</v>
      </c>
      <c r="Z510" s="70">
        <f t="shared" si="150"/>
        <v>0</v>
      </c>
      <c r="AA510" s="70">
        <f t="shared" si="151"/>
        <v>0</v>
      </c>
      <c r="AB510" s="70">
        <f t="shared" si="152"/>
        <v>0</v>
      </c>
      <c r="AC510" s="70">
        <f t="shared" si="153"/>
        <v>0</v>
      </c>
      <c r="AD510" s="71">
        <f t="shared" si="154"/>
        <v>0</v>
      </c>
      <c r="AE510" s="49"/>
      <c r="AF510" s="21"/>
      <c r="AG510" s="69"/>
      <c r="AH510" s="70"/>
      <c r="AI510" s="70"/>
      <c r="AJ510" s="70"/>
      <c r="AK510" s="70"/>
      <c r="AL510" s="70"/>
      <c r="AM510" s="70"/>
      <c r="AN510" s="70" t="str">
        <f t="shared" si="155"/>
        <v>---</v>
      </c>
      <c r="AO510" s="70" t="str">
        <f t="shared" si="156"/>
        <v>---</v>
      </c>
      <c r="AP510" s="70" t="str">
        <f t="shared" si="157"/>
        <v>---</v>
      </c>
      <c r="AQ510" s="70" t="str">
        <f t="shared" si="158"/>
        <v>---</v>
      </c>
      <c r="AR510" s="70" t="str">
        <f t="shared" si="159"/>
        <v>---</v>
      </c>
      <c r="AS510" s="70" t="str">
        <f t="shared" si="160"/>
        <v>---</v>
      </c>
      <c r="AT510" s="71" t="str">
        <f t="shared" si="161"/>
        <v>---</v>
      </c>
    </row>
    <row r="511" spans="1:46" ht="30" customHeight="1" x14ac:dyDescent="0.3">
      <c r="A511" s="123">
        <f t="shared" si="145"/>
        <v>507</v>
      </c>
      <c r="B511" s="140">
        <f>INDEX('PEER GROUP'!B:B,MATCH($A511,'PEER GROUP'!$A:$A,0))</f>
        <v>0</v>
      </c>
      <c r="C511" s="83">
        <f>INDEX('PEER GROUP'!C:C,MATCH($A511,'PEER GROUP'!$A:$A,0))</f>
        <v>0</v>
      </c>
      <c r="D511" s="83">
        <f>INDEX('PEER GROUP'!D:D,MATCH($A511,'PEER GROUP'!$A:$A,0))</f>
        <v>0</v>
      </c>
      <c r="E511" s="83">
        <f>INDEX('PEER GROUP'!E:E,MATCH(A511,'PEER GROUP'!$A:$A,0))</f>
        <v>0</v>
      </c>
      <c r="F511" s="84">
        <f>INDEX('PEER GROUP'!F:F,MATCH($A511,'PEER GROUP'!$A:$A,0))</f>
        <v>0</v>
      </c>
      <c r="G511" s="84">
        <f>INDEX('PEER GROUP'!G:G,MATCH($A511,'PEER GROUP'!$A:$A,0))</f>
        <v>0</v>
      </c>
      <c r="H511" s="85"/>
      <c r="I511" s="85"/>
      <c r="J511" s="70">
        <f>INDEX('PEER GROUP'!K:K,MATCH($A511,'PEER GROUP'!$A:$A,0))</f>
        <v>0</v>
      </c>
      <c r="K511" s="70">
        <f>INDEX('PEER GROUP'!L:L,MATCH($A511,'PEER GROUP'!$A:$A,0))</f>
        <v>0</v>
      </c>
      <c r="L511" s="70">
        <f>INDEX('PEER GROUP'!M:M,MATCH($A511,'PEER GROUP'!$A:$A,0))</f>
        <v>0</v>
      </c>
      <c r="M511" s="86">
        <f>INDEX('PEER GROUP'!N:N,MATCH($A511,'PEER GROUP'!$A:$A,0))</f>
        <v>0</v>
      </c>
      <c r="N511" s="118"/>
      <c r="O511" s="115"/>
      <c r="P511" s="117"/>
      <c r="Q511" s="87"/>
      <c r="R511" s="87">
        <f t="shared" si="146"/>
        <v>0</v>
      </c>
      <c r="S511" s="87"/>
      <c r="T511" s="87"/>
      <c r="U511" s="87"/>
      <c r="V511" s="87">
        <f t="shared" si="147"/>
        <v>0</v>
      </c>
      <c r="W511" s="113">
        <f t="shared" si="144"/>
        <v>36.913096727263202</v>
      </c>
      <c r="X511" s="69">
        <f t="shared" si="148"/>
        <v>0</v>
      </c>
      <c r="Y511" s="70">
        <f t="shared" si="149"/>
        <v>0</v>
      </c>
      <c r="Z511" s="70">
        <f t="shared" si="150"/>
        <v>0</v>
      </c>
      <c r="AA511" s="70">
        <f t="shared" si="151"/>
        <v>0</v>
      </c>
      <c r="AB511" s="70">
        <f t="shared" si="152"/>
        <v>0</v>
      </c>
      <c r="AC511" s="70">
        <f t="shared" si="153"/>
        <v>0</v>
      </c>
      <c r="AD511" s="71">
        <f t="shared" si="154"/>
        <v>0</v>
      </c>
      <c r="AE511" s="49"/>
      <c r="AF511" s="21"/>
      <c r="AG511" s="69"/>
      <c r="AH511" s="70"/>
      <c r="AI511" s="70"/>
      <c r="AJ511" s="70"/>
      <c r="AK511" s="70"/>
      <c r="AL511" s="70"/>
      <c r="AM511" s="70"/>
      <c r="AN511" s="70" t="str">
        <f t="shared" si="155"/>
        <v>---</v>
      </c>
      <c r="AO511" s="70" t="str">
        <f t="shared" si="156"/>
        <v>---</v>
      </c>
      <c r="AP511" s="70" t="str">
        <f t="shared" si="157"/>
        <v>---</v>
      </c>
      <c r="AQ511" s="70" t="str">
        <f t="shared" si="158"/>
        <v>---</v>
      </c>
      <c r="AR511" s="70" t="str">
        <f t="shared" si="159"/>
        <v>---</v>
      </c>
      <c r="AS511" s="70" t="str">
        <f t="shared" si="160"/>
        <v>---</v>
      </c>
      <c r="AT511" s="71" t="str">
        <f t="shared" si="161"/>
        <v>---</v>
      </c>
    </row>
    <row r="512" spans="1:46" ht="30" customHeight="1" x14ac:dyDescent="0.3">
      <c r="A512" s="123">
        <f t="shared" si="145"/>
        <v>508</v>
      </c>
      <c r="B512" s="140">
        <f>INDEX('PEER GROUP'!B:B,MATCH($A512,'PEER GROUP'!$A:$A,0))</f>
        <v>0</v>
      </c>
      <c r="C512" s="83">
        <f>INDEX('PEER GROUP'!C:C,MATCH($A512,'PEER GROUP'!$A:$A,0))</f>
        <v>0</v>
      </c>
      <c r="D512" s="83">
        <f>INDEX('PEER GROUP'!D:D,MATCH($A512,'PEER GROUP'!$A:$A,0))</f>
        <v>0</v>
      </c>
      <c r="E512" s="83">
        <f>INDEX('PEER GROUP'!E:E,MATCH(A512,'PEER GROUP'!$A:$A,0))</f>
        <v>0</v>
      </c>
      <c r="F512" s="84">
        <f>INDEX('PEER GROUP'!F:F,MATCH($A512,'PEER GROUP'!$A:$A,0))</f>
        <v>0</v>
      </c>
      <c r="G512" s="84">
        <f>INDEX('PEER GROUP'!G:G,MATCH($A512,'PEER GROUP'!$A:$A,0))</f>
        <v>0</v>
      </c>
      <c r="H512" s="85"/>
      <c r="I512" s="85"/>
      <c r="J512" s="70">
        <f>INDEX('PEER GROUP'!K:K,MATCH($A512,'PEER GROUP'!$A:$A,0))</f>
        <v>0</v>
      </c>
      <c r="K512" s="70">
        <f>INDEX('PEER GROUP'!L:L,MATCH($A512,'PEER GROUP'!$A:$A,0))</f>
        <v>0</v>
      </c>
      <c r="L512" s="70">
        <f>INDEX('PEER GROUP'!M:M,MATCH($A512,'PEER GROUP'!$A:$A,0))</f>
        <v>0</v>
      </c>
      <c r="M512" s="86">
        <f>INDEX('PEER GROUP'!N:N,MATCH($A512,'PEER GROUP'!$A:$A,0))</f>
        <v>0</v>
      </c>
      <c r="N512" s="118"/>
      <c r="O512" s="115"/>
      <c r="P512" s="117"/>
      <c r="Q512" s="87"/>
      <c r="R512" s="87">
        <f t="shared" si="146"/>
        <v>0</v>
      </c>
      <c r="S512" s="87"/>
      <c r="T512" s="87"/>
      <c r="U512" s="87"/>
      <c r="V512" s="87">
        <f t="shared" si="147"/>
        <v>0</v>
      </c>
      <c r="W512" s="113">
        <f t="shared" si="144"/>
        <v>36.913096727263202</v>
      </c>
      <c r="X512" s="69">
        <f t="shared" si="148"/>
        <v>0</v>
      </c>
      <c r="Y512" s="70">
        <f t="shared" si="149"/>
        <v>0</v>
      </c>
      <c r="Z512" s="70">
        <f t="shared" si="150"/>
        <v>0</v>
      </c>
      <c r="AA512" s="70">
        <f t="shared" si="151"/>
        <v>0</v>
      </c>
      <c r="AB512" s="70">
        <f t="shared" si="152"/>
        <v>0</v>
      </c>
      <c r="AC512" s="70">
        <f t="shared" si="153"/>
        <v>0</v>
      </c>
      <c r="AD512" s="71">
        <f t="shared" si="154"/>
        <v>0</v>
      </c>
      <c r="AE512" s="49"/>
      <c r="AF512" s="21"/>
      <c r="AG512" s="69"/>
      <c r="AH512" s="70"/>
      <c r="AI512" s="70"/>
      <c r="AJ512" s="70"/>
      <c r="AK512" s="70"/>
      <c r="AL512" s="70"/>
      <c r="AM512" s="70"/>
      <c r="AN512" s="70" t="str">
        <f t="shared" si="155"/>
        <v>---</v>
      </c>
      <c r="AO512" s="70" t="str">
        <f t="shared" si="156"/>
        <v>---</v>
      </c>
      <c r="AP512" s="70" t="str">
        <f t="shared" si="157"/>
        <v>---</v>
      </c>
      <c r="AQ512" s="70" t="str">
        <f t="shared" si="158"/>
        <v>---</v>
      </c>
      <c r="AR512" s="70" t="str">
        <f t="shared" si="159"/>
        <v>---</v>
      </c>
      <c r="AS512" s="70" t="str">
        <f t="shared" si="160"/>
        <v>---</v>
      </c>
      <c r="AT512" s="71" t="str">
        <f t="shared" si="161"/>
        <v>---</v>
      </c>
    </row>
    <row r="513" spans="1:46" ht="30" customHeight="1" x14ac:dyDescent="0.3">
      <c r="A513" s="123">
        <f t="shared" si="145"/>
        <v>509</v>
      </c>
      <c r="B513" s="140">
        <f>INDEX('PEER GROUP'!B:B,MATCH($A513,'PEER GROUP'!$A:$A,0))</f>
        <v>0</v>
      </c>
      <c r="C513" s="83">
        <f>INDEX('PEER GROUP'!C:C,MATCH($A513,'PEER GROUP'!$A:$A,0))</f>
        <v>0</v>
      </c>
      <c r="D513" s="83">
        <f>INDEX('PEER GROUP'!D:D,MATCH($A513,'PEER GROUP'!$A:$A,0))</f>
        <v>0</v>
      </c>
      <c r="E513" s="83">
        <f>INDEX('PEER GROUP'!E:E,MATCH(A513,'PEER GROUP'!$A:$A,0))</f>
        <v>0</v>
      </c>
      <c r="F513" s="84">
        <f>INDEX('PEER GROUP'!F:F,MATCH($A513,'PEER GROUP'!$A:$A,0))</f>
        <v>0</v>
      </c>
      <c r="G513" s="84">
        <f>INDEX('PEER GROUP'!G:G,MATCH($A513,'PEER GROUP'!$A:$A,0))</f>
        <v>0</v>
      </c>
      <c r="H513" s="85"/>
      <c r="I513" s="85"/>
      <c r="J513" s="70">
        <f>INDEX('PEER GROUP'!K:K,MATCH($A513,'PEER GROUP'!$A:$A,0))</f>
        <v>0</v>
      </c>
      <c r="K513" s="70">
        <f>INDEX('PEER GROUP'!L:L,MATCH($A513,'PEER GROUP'!$A:$A,0))</f>
        <v>0</v>
      </c>
      <c r="L513" s="70">
        <f>INDEX('PEER GROUP'!M:M,MATCH($A513,'PEER GROUP'!$A:$A,0))</f>
        <v>0</v>
      </c>
      <c r="M513" s="86">
        <f>INDEX('PEER GROUP'!N:N,MATCH($A513,'PEER GROUP'!$A:$A,0))</f>
        <v>0</v>
      </c>
      <c r="N513" s="118"/>
      <c r="O513" s="115"/>
      <c r="P513" s="117"/>
      <c r="Q513" s="87"/>
      <c r="R513" s="87">
        <f t="shared" si="146"/>
        <v>0</v>
      </c>
      <c r="S513" s="87"/>
      <c r="T513" s="87"/>
      <c r="U513" s="87"/>
      <c r="V513" s="87">
        <f t="shared" si="147"/>
        <v>0</v>
      </c>
      <c r="W513" s="113">
        <f t="shared" si="144"/>
        <v>36.913096727263202</v>
      </c>
      <c r="X513" s="69">
        <f t="shared" si="148"/>
        <v>0</v>
      </c>
      <c r="Y513" s="70">
        <f t="shared" si="149"/>
        <v>0</v>
      </c>
      <c r="Z513" s="70">
        <f t="shared" si="150"/>
        <v>0</v>
      </c>
      <c r="AA513" s="70">
        <f t="shared" si="151"/>
        <v>0</v>
      </c>
      <c r="AB513" s="70">
        <f t="shared" si="152"/>
        <v>0</v>
      </c>
      <c r="AC513" s="70">
        <f t="shared" si="153"/>
        <v>0</v>
      </c>
      <c r="AD513" s="71">
        <f t="shared" si="154"/>
        <v>0</v>
      </c>
      <c r="AE513" s="49"/>
      <c r="AF513" s="21"/>
      <c r="AG513" s="69"/>
      <c r="AH513" s="70"/>
      <c r="AI513" s="70"/>
      <c r="AJ513" s="70"/>
      <c r="AK513" s="70"/>
      <c r="AL513" s="70"/>
      <c r="AM513" s="70"/>
      <c r="AN513" s="70" t="str">
        <f t="shared" si="155"/>
        <v>---</v>
      </c>
      <c r="AO513" s="70" t="str">
        <f t="shared" si="156"/>
        <v>---</v>
      </c>
      <c r="AP513" s="70" t="str">
        <f t="shared" si="157"/>
        <v>---</v>
      </c>
      <c r="AQ513" s="70" t="str">
        <f t="shared" si="158"/>
        <v>---</v>
      </c>
      <c r="AR513" s="70" t="str">
        <f t="shared" si="159"/>
        <v>---</v>
      </c>
      <c r="AS513" s="70" t="str">
        <f t="shared" si="160"/>
        <v>---</v>
      </c>
      <c r="AT513" s="71" t="str">
        <f t="shared" si="161"/>
        <v>---</v>
      </c>
    </row>
    <row r="514" spans="1:46" ht="30" customHeight="1" x14ac:dyDescent="0.3">
      <c r="A514" s="123">
        <f t="shared" si="145"/>
        <v>510</v>
      </c>
      <c r="B514" s="140">
        <f>INDEX('PEER GROUP'!B:B,MATCH($A514,'PEER GROUP'!$A:$A,0))</f>
        <v>0</v>
      </c>
      <c r="C514" s="83">
        <f>INDEX('PEER GROUP'!C:C,MATCH($A514,'PEER GROUP'!$A:$A,0))</f>
        <v>0</v>
      </c>
      <c r="D514" s="83">
        <f>INDEX('PEER GROUP'!D:D,MATCH($A514,'PEER GROUP'!$A:$A,0))</f>
        <v>0</v>
      </c>
      <c r="E514" s="83">
        <f>INDEX('PEER GROUP'!E:E,MATCH(A514,'PEER GROUP'!$A:$A,0))</f>
        <v>0</v>
      </c>
      <c r="F514" s="84">
        <f>INDEX('PEER GROUP'!F:F,MATCH($A514,'PEER GROUP'!$A:$A,0))</f>
        <v>0</v>
      </c>
      <c r="G514" s="84">
        <f>INDEX('PEER GROUP'!G:G,MATCH($A514,'PEER GROUP'!$A:$A,0))</f>
        <v>0</v>
      </c>
      <c r="H514" s="85"/>
      <c r="I514" s="85"/>
      <c r="J514" s="70">
        <f>INDEX('PEER GROUP'!K:K,MATCH($A514,'PEER GROUP'!$A:$A,0))</f>
        <v>0</v>
      </c>
      <c r="K514" s="70">
        <f>INDEX('PEER GROUP'!L:L,MATCH($A514,'PEER GROUP'!$A:$A,0))</f>
        <v>0</v>
      </c>
      <c r="L514" s="70">
        <f>INDEX('PEER GROUP'!M:M,MATCH($A514,'PEER GROUP'!$A:$A,0))</f>
        <v>0</v>
      </c>
      <c r="M514" s="86">
        <f>INDEX('PEER GROUP'!N:N,MATCH($A514,'PEER GROUP'!$A:$A,0))</f>
        <v>0</v>
      </c>
      <c r="N514" s="118"/>
      <c r="O514" s="115"/>
      <c r="P514" s="117"/>
      <c r="Q514" s="87"/>
      <c r="R514" s="87">
        <f t="shared" si="146"/>
        <v>0</v>
      </c>
      <c r="S514" s="87"/>
      <c r="T514" s="87"/>
      <c r="U514" s="87"/>
      <c r="V514" s="87">
        <f t="shared" si="147"/>
        <v>0</v>
      </c>
      <c r="W514" s="113">
        <f t="shared" si="144"/>
        <v>36.913096727263202</v>
      </c>
      <c r="X514" s="69">
        <f t="shared" si="148"/>
        <v>0</v>
      </c>
      <c r="Y514" s="70">
        <f t="shared" si="149"/>
        <v>0</v>
      </c>
      <c r="Z514" s="70">
        <f t="shared" si="150"/>
        <v>0</v>
      </c>
      <c r="AA514" s="70">
        <f t="shared" si="151"/>
        <v>0</v>
      </c>
      <c r="AB514" s="70">
        <f t="shared" si="152"/>
        <v>0</v>
      </c>
      <c r="AC514" s="70">
        <f t="shared" si="153"/>
        <v>0</v>
      </c>
      <c r="AD514" s="71">
        <f t="shared" si="154"/>
        <v>0</v>
      </c>
      <c r="AE514" s="49"/>
      <c r="AF514" s="21"/>
      <c r="AG514" s="69"/>
      <c r="AH514" s="70"/>
      <c r="AI514" s="70"/>
      <c r="AJ514" s="70"/>
      <c r="AK514" s="70"/>
      <c r="AL514" s="70"/>
      <c r="AM514" s="70"/>
      <c r="AN514" s="70" t="str">
        <f t="shared" si="155"/>
        <v>---</v>
      </c>
      <c r="AO514" s="70" t="str">
        <f t="shared" si="156"/>
        <v>---</v>
      </c>
      <c r="AP514" s="70" t="str">
        <f t="shared" si="157"/>
        <v>---</v>
      </c>
      <c r="AQ514" s="70" t="str">
        <f t="shared" si="158"/>
        <v>---</v>
      </c>
      <c r="AR514" s="70" t="str">
        <f t="shared" si="159"/>
        <v>---</v>
      </c>
      <c r="AS514" s="70" t="str">
        <f t="shared" si="160"/>
        <v>---</v>
      </c>
      <c r="AT514" s="71" t="str">
        <f t="shared" si="161"/>
        <v>---</v>
      </c>
    </row>
    <row r="515" spans="1:46" ht="30" customHeight="1" x14ac:dyDescent="0.3">
      <c r="A515" s="123">
        <f t="shared" si="145"/>
        <v>511</v>
      </c>
      <c r="B515" s="140">
        <f>INDEX('PEER GROUP'!B:B,MATCH($A515,'PEER GROUP'!$A:$A,0))</f>
        <v>0</v>
      </c>
      <c r="C515" s="83">
        <f>INDEX('PEER GROUP'!C:C,MATCH($A515,'PEER GROUP'!$A:$A,0))</f>
        <v>0</v>
      </c>
      <c r="D515" s="83">
        <f>INDEX('PEER GROUP'!D:D,MATCH($A515,'PEER GROUP'!$A:$A,0))</f>
        <v>0</v>
      </c>
      <c r="E515" s="83">
        <f>INDEX('PEER GROUP'!E:E,MATCH(A515,'PEER GROUP'!$A:$A,0))</f>
        <v>0</v>
      </c>
      <c r="F515" s="84">
        <f>INDEX('PEER GROUP'!F:F,MATCH($A515,'PEER GROUP'!$A:$A,0))</f>
        <v>0</v>
      </c>
      <c r="G515" s="84">
        <f>INDEX('PEER GROUP'!G:G,MATCH($A515,'PEER GROUP'!$A:$A,0))</f>
        <v>0</v>
      </c>
      <c r="H515" s="85"/>
      <c r="I515" s="85"/>
      <c r="J515" s="70">
        <f>INDEX('PEER GROUP'!K:K,MATCH($A515,'PEER GROUP'!$A:$A,0))</f>
        <v>0</v>
      </c>
      <c r="K515" s="70">
        <f>INDEX('PEER GROUP'!L:L,MATCH($A515,'PEER GROUP'!$A:$A,0))</f>
        <v>0</v>
      </c>
      <c r="L515" s="70">
        <f>INDEX('PEER GROUP'!M:M,MATCH($A515,'PEER GROUP'!$A:$A,0))</f>
        <v>0</v>
      </c>
      <c r="M515" s="86">
        <f>INDEX('PEER GROUP'!N:N,MATCH($A515,'PEER GROUP'!$A:$A,0))</f>
        <v>0</v>
      </c>
      <c r="N515" s="118"/>
      <c r="O515" s="115"/>
      <c r="P515" s="117"/>
      <c r="Q515" s="87"/>
      <c r="R515" s="87">
        <f t="shared" si="146"/>
        <v>0</v>
      </c>
      <c r="S515" s="87"/>
      <c r="T515" s="87"/>
      <c r="U515" s="87"/>
      <c r="V515" s="87">
        <f t="shared" si="147"/>
        <v>0</v>
      </c>
      <c r="W515" s="113">
        <f t="shared" si="144"/>
        <v>36.913096727263202</v>
      </c>
      <c r="X515" s="69">
        <f t="shared" si="148"/>
        <v>0</v>
      </c>
      <c r="Y515" s="70">
        <f t="shared" si="149"/>
        <v>0</v>
      </c>
      <c r="Z515" s="70">
        <f t="shared" si="150"/>
        <v>0</v>
      </c>
      <c r="AA515" s="70">
        <f t="shared" si="151"/>
        <v>0</v>
      </c>
      <c r="AB515" s="70">
        <f t="shared" si="152"/>
        <v>0</v>
      </c>
      <c r="AC515" s="70">
        <f t="shared" si="153"/>
        <v>0</v>
      </c>
      <c r="AD515" s="71">
        <f t="shared" si="154"/>
        <v>0</v>
      </c>
      <c r="AE515" s="49"/>
      <c r="AF515" s="21"/>
      <c r="AG515" s="69"/>
      <c r="AH515" s="70"/>
      <c r="AI515" s="70"/>
      <c r="AJ515" s="70"/>
      <c r="AK515" s="70"/>
      <c r="AL515" s="70"/>
      <c r="AM515" s="70"/>
      <c r="AN515" s="70" t="str">
        <f t="shared" si="155"/>
        <v>---</v>
      </c>
      <c r="AO515" s="70" t="str">
        <f t="shared" si="156"/>
        <v>---</v>
      </c>
      <c r="AP515" s="70" t="str">
        <f t="shared" si="157"/>
        <v>---</v>
      </c>
      <c r="AQ515" s="70" t="str">
        <f t="shared" si="158"/>
        <v>---</v>
      </c>
      <c r="AR515" s="70" t="str">
        <f t="shared" si="159"/>
        <v>---</v>
      </c>
      <c r="AS515" s="70" t="str">
        <f t="shared" si="160"/>
        <v>---</v>
      </c>
      <c r="AT515" s="71" t="str">
        <f t="shared" si="161"/>
        <v>---</v>
      </c>
    </row>
    <row r="516" spans="1:46" ht="30" customHeight="1" x14ac:dyDescent="0.3">
      <c r="A516" s="123">
        <f t="shared" si="145"/>
        <v>512</v>
      </c>
      <c r="B516" s="140">
        <f>INDEX('PEER GROUP'!B:B,MATCH($A516,'PEER GROUP'!$A:$A,0))</f>
        <v>0</v>
      </c>
      <c r="C516" s="83">
        <f>INDEX('PEER GROUP'!C:C,MATCH($A516,'PEER GROUP'!$A:$A,0))</f>
        <v>0</v>
      </c>
      <c r="D516" s="83">
        <f>INDEX('PEER GROUP'!D:D,MATCH($A516,'PEER GROUP'!$A:$A,0))</f>
        <v>0</v>
      </c>
      <c r="E516" s="83">
        <f>INDEX('PEER GROUP'!E:E,MATCH(A516,'PEER GROUP'!$A:$A,0))</f>
        <v>0</v>
      </c>
      <c r="F516" s="84">
        <f>INDEX('PEER GROUP'!F:F,MATCH($A516,'PEER GROUP'!$A:$A,0))</f>
        <v>0</v>
      </c>
      <c r="G516" s="84">
        <f>INDEX('PEER GROUP'!G:G,MATCH($A516,'PEER GROUP'!$A:$A,0))</f>
        <v>0</v>
      </c>
      <c r="H516" s="85"/>
      <c r="I516" s="85"/>
      <c r="J516" s="70">
        <f>INDEX('PEER GROUP'!K:K,MATCH($A516,'PEER GROUP'!$A:$A,0))</f>
        <v>0</v>
      </c>
      <c r="K516" s="70">
        <f>INDEX('PEER GROUP'!L:L,MATCH($A516,'PEER GROUP'!$A:$A,0))</f>
        <v>0</v>
      </c>
      <c r="L516" s="70">
        <f>INDEX('PEER GROUP'!M:M,MATCH($A516,'PEER GROUP'!$A:$A,0))</f>
        <v>0</v>
      </c>
      <c r="M516" s="86">
        <f>INDEX('PEER GROUP'!N:N,MATCH($A516,'PEER GROUP'!$A:$A,0))</f>
        <v>0</v>
      </c>
      <c r="N516" s="118"/>
      <c r="O516" s="115"/>
      <c r="P516" s="117"/>
      <c r="Q516" s="87"/>
      <c r="R516" s="87">
        <f t="shared" si="146"/>
        <v>0</v>
      </c>
      <c r="S516" s="87"/>
      <c r="T516" s="87"/>
      <c r="U516" s="87"/>
      <c r="V516" s="87">
        <f t="shared" si="147"/>
        <v>0</v>
      </c>
      <c r="W516" s="113">
        <f t="shared" si="144"/>
        <v>36.913096727263202</v>
      </c>
      <c r="X516" s="69">
        <f t="shared" si="148"/>
        <v>0</v>
      </c>
      <c r="Y516" s="70">
        <f t="shared" si="149"/>
        <v>0</v>
      </c>
      <c r="Z516" s="70">
        <f t="shared" si="150"/>
        <v>0</v>
      </c>
      <c r="AA516" s="70">
        <f t="shared" si="151"/>
        <v>0</v>
      </c>
      <c r="AB516" s="70">
        <f t="shared" si="152"/>
        <v>0</v>
      </c>
      <c r="AC516" s="70">
        <f t="shared" si="153"/>
        <v>0</v>
      </c>
      <c r="AD516" s="71">
        <f t="shared" si="154"/>
        <v>0</v>
      </c>
      <c r="AE516" s="49"/>
      <c r="AF516" s="21"/>
      <c r="AG516" s="69"/>
      <c r="AH516" s="70"/>
      <c r="AI516" s="70"/>
      <c r="AJ516" s="70"/>
      <c r="AK516" s="70"/>
      <c r="AL516" s="70"/>
      <c r="AM516" s="70"/>
      <c r="AN516" s="70" t="str">
        <f t="shared" si="155"/>
        <v>---</v>
      </c>
      <c r="AO516" s="70" t="str">
        <f t="shared" si="156"/>
        <v>---</v>
      </c>
      <c r="AP516" s="70" t="str">
        <f t="shared" si="157"/>
        <v>---</v>
      </c>
      <c r="AQ516" s="70" t="str">
        <f t="shared" si="158"/>
        <v>---</v>
      </c>
      <c r="AR516" s="70" t="str">
        <f t="shared" si="159"/>
        <v>---</v>
      </c>
      <c r="AS516" s="70" t="str">
        <f t="shared" si="160"/>
        <v>---</v>
      </c>
      <c r="AT516" s="71" t="str">
        <f t="shared" si="161"/>
        <v>---</v>
      </c>
    </row>
    <row r="517" spans="1:46" ht="30" customHeight="1" x14ac:dyDescent="0.3">
      <c r="A517" s="123">
        <f t="shared" si="145"/>
        <v>513</v>
      </c>
      <c r="B517" s="140">
        <f>INDEX('PEER GROUP'!B:B,MATCH($A517,'PEER GROUP'!$A:$A,0))</f>
        <v>0</v>
      </c>
      <c r="C517" s="83">
        <f>INDEX('PEER GROUP'!C:C,MATCH($A517,'PEER GROUP'!$A:$A,0))</f>
        <v>0</v>
      </c>
      <c r="D517" s="83">
        <f>INDEX('PEER GROUP'!D:D,MATCH($A517,'PEER GROUP'!$A:$A,0))</f>
        <v>0</v>
      </c>
      <c r="E517" s="83">
        <f>INDEX('PEER GROUP'!E:E,MATCH(A517,'PEER GROUP'!$A:$A,0))</f>
        <v>0</v>
      </c>
      <c r="F517" s="84">
        <f>INDEX('PEER GROUP'!F:F,MATCH($A517,'PEER GROUP'!$A:$A,0))</f>
        <v>0</v>
      </c>
      <c r="G517" s="84">
        <f>INDEX('PEER GROUP'!G:G,MATCH($A517,'PEER GROUP'!$A:$A,0))</f>
        <v>0</v>
      </c>
      <c r="H517" s="85"/>
      <c r="I517" s="85"/>
      <c r="J517" s="70">
        <f>INDEX('PEER GROUP'!K:K,MATCH($A517,'PEER GROUP'!$A:$A,0))</f>
        <v>0</v>
      </c>
      <c r="K517" s="70">
        <f>INDEX('PEER GROUP'!L:L,MATCH($A517,'PEER GROUP'!$A:$A,0))</f>
        <v>0</v>
      </c>
      <c r="L517" s="70">
        <f>INDEX('PEER GROUP'!M:M,MATCH($A517,'PEER GROUP'!$A:$A,0))</f>
        <v>0</v>
      </c>
      <c r="M517" s="86">
        <f>INDEX('PEER GROUP'!N:N,MATCH($A517,'PEER GROUP'!$A:$A,0))</f>
        <v>0</v>
      </c>
      <c r="N517" s="118"/>
      <c r="O517" s="115"/>
      <c r="P517" s="117"/>
      <c r="Q517" s="87"/>
      <c r="R517" s="87">
        <f t="shared" si="146"/>
        <v>0</v>
      </c>
      <c r="S517" s="87"/>
      <c r="T517" s="87"/>
      <c r="U517" s="87"/>
      <c r="V517" s="87">
        <f t="shared" si="147"/>
        <v>0</v>
      </c>
      <c r="W517" s="113">
        <f t="shared" si="144"/>
        <v>36.913096727263202</v>
      </c>
      <c r="X517" s="69">
        <f t="shared" si="148"/>
        <v>0</v>
      </c>
      <c r="Y517" s="70">
        <f t="shared" si="149"/>
        <v>0</v>
      </c>
      <c r="Z517" s="70">
        <f t="shared" si="150"/>
        <v>0</v>
      </c>
      <c r="AA517" s="70">
        <f t="shared" si="151"/>
        <v>0</v>
      </c>
      <c r="AB517" s="70">
        <f t="shared" si="152"/>
        <v>0</v>
      </c>
      <c r="AC517" s="70">
        <f t="shared" si="153"/>
        <v>0</v>
      </c>
      <c r="AD517" s="71">
        <f t="shared" si="154"/>
        <v>0</v>
      </c>
      <c r="AE517" s="49"/>
      <c r="AF517" s="21"/>
      <c r="AG517" s="69"/>
      <c r="AH517" s="70"/>
      <c r="AI517" s="70"/>
      <c r="AJ517" s="70"/>
      <c r="AK517" s="70"/>
      <c r="AL517" s="70"/>
      <c r="AM517" s="70"/>
      <c r="AN517" s="70" t="str">
        <f t="shared" si="155"/>
        <v>---</v>
      </c>
      <c r="AO517" s="70" t="str">
        <f t="shared" si="156"/>
        <v>---</v>
      </c>
      <c r="AP517" s="70" t="str">
        <f t="shared" si="157"/>
        <v>---</v>
      </c>
      <c r="AQ517" s="70" t="str">
        <f t="shared" si="158"/>
        <v>---</v>
      </c>
      <c r="AR517" s="70" t="str">
        <f t="shared" si="159"/>
        <v>---</v>
      </c>
      <c r="AS517" s="70" t="str">
        <f t="shared" si="160"/>
        <v>---</v>
      </c>
      <c r="AT517" s="71" t="str">
        <f t="shared" si="161"/>
        <v>---</v>
      </c>
    </row>
    <row r="518" spans="1:46" ht="30" customHeight="1" x14ac:dyDescent="0.3">
      <c r="A518" s="123">
        <f t="shared" si="145"/>
        <v>514</v>
      </c>
      <c r="B518" s="140">
        <f>INDEX('PEER GROUP'!B:B,MATCH($A518,'PEER GROUP'!$A:$A,0))</f>
        <v>0</v>
      </c>
      <c r="C518" s="83">
        <f>INDEX('PEER GROUP'!C:C,MATCH($A518,'PEER GROUP'!$A:$A,0))</f>
        <v>0</v>
      </c>
      <c r="D518" s="83">
        <f>INDEX('PEER GROUP'!D:D,MATCH($A518,'PEER GROUP'!$A:$A,0))</f>
        <v>0</v>
      </c>
      <c r="E518" s="83">
        <f>INDEX('PEER GROUP'!E:E,MATCH(A518,'PEER GROUP'!$A:$A,0))</f>
        <v>0</v>
      </c>
      <c r="F518" s="84">
        <f>INDEX('PEER GROUP'!F:F,MATCH($A518,'PEER GROUP'!$A:$A,0))</f>
        <v>0</v>
      </c>
      <c r="G518" s="84">
        <f>INDEX('PEER GROUP'!G:G,MATCH($A518,'PEER GROUP'!$A:$A,0))</f>
        <v>0</v>
      </c>
      <c r="H518" s="85"/>
      <c r="I518" s="85"/>
      <c r="J518" s="70">
        <f>INDEX('PEER GROUP'!K:K,MATCH($A518,'PEER GROUP'!$A:$A,0))</f>
        <v>0</v>
      </c>
      <c r="K518" s="70">
        <f>INDEX('PEER GROUP'!L:L,MATCH($A518,'PEER GROUP'!$A:$A,0))</f>
        <v>0</v>
      </c>
      <c r="L518" s="70">
        <f>INDEX('PEER GROUP'!M:M,MATCH($A518,'PEER GROUP'!$A:$A,0))</f>
        <v>0</v>
      </c>
      <c r="M518" s="86">
        <f>INDEX('PEER GROUP'!N:N,MATCH($A518,'PEER GROUP'!$A:$A,0))</f>
        <v>0</v>
      </c>
      <c r="N518" s="118"/>
      <c r="O518" s="115"/>
      <c r="P518" s="117"/>
      <c r="Q518" s="87"/>
      <c r="R518" s="87">
        <f t="shared" si="146"/>
        <v>0</v>
      </c>
      <c r="S518" s="87"/>
      <c r="T518" s="87"/>
      <c r="U518" s="87"/>
      <c r="V518" s="87">
        <f t="shared" si="147"/>
        <v>0</v>
      </c>
      <c r="W518" s="113">
        <f t="shared" si="144"/>
        <v>36.913096727263202</v>
      </c>
      <c r="X518" s="69">
        <f t="shared" si="148"/>
        <v>0</v>
      </c>
      <c r="Y518" s="70">
        <f t="shared" si="149"/>
        <v>0</v>
      </c>
      <c r="Z518" s="70">
        <f t="shared" si="150"/>
        <v>0</v>
      </c>
      <c r="AA518" s="70">
        <f t="shared" si="151"/>
        <v>0</v>
      </c>
      <c r="AB518" s="70">
        <f t="shared" si="152"/>
        <v>0</v>
      </c>
      <c r="AC518" s="70">
        <f t="shared" si="153"/>
        <v>0</v>
      </c>
      <c r="AD518" s="71">
        <f t="shared" si="154"/>
        <v>0</v>
      </c>
      <c r="AE518" s="49"/>
      <c r="AF518" s="21"/>
      <c r="AG518" s="69"/>
      <c r="AH518" s="70"/>
      <c r="AI518" s="70"/>
      <c r="AJ518" s="70"/>
      <c r="AK518" s="70"/>
      <c r="AL518" s="70"/>
      <c r="AM518" s="70"/>
      <c r="AN518" s="70" t="str">
        <f t="shared" si="155"/>
        <v>---</v>
      </c>
      <c r="AO518" s="70" t="str">
        <f t="shared" si="156"/>
        <v>---</v>
      </c>
      <c r="AP518" s="70" t="str">
        <f t="shared" si="157"/>
        <v>---</v>
      </c>
      <c r="AQ518" s="70" t="str">
        <f t="shared" si="158"/>
        <v>---</v>
      </c>
      <c r="AR518" s="70" t="str">
        <f t="shared" si="159"/>
        <v>---</v>
      </c>
      <c r="AS518" s="70" t="str">
        <f t="shared" si="160"/>
        <v>---</v>
      </c>
      <c r="AT518" s="71" t="str">
        <f t="shared" si="161"/>
        <v>---</v>
      </c>
    </row>
    <row r="519" spans="1:46" ht="30" customHeight="1" x14ac:dyDescent="0.3">
      <c r="A519" s="123">
        <f t="shared" si="145"/>
        <v>515</v>
      </c>
      <c r="B519" s="140">
        <f>INDEX('PEER GROUP'!B:B,MATCH($A519,'PEER GROUP'!$A:$A,0))</f>
        <v>0</v>
      </c>
      <c r="C519" s="83">
        <f>INDEX('PEER GROUP'!C:C,MATCH($A519,'PEER GROUP'!$A:$A,0))</f>
        <v>0</v>
      </c>
      <c r="D519" s="83">
        <f>INDEX('PEER GROUP'!D:D,MATCH($A519,'PEER GROUP'!$A:$A,0))</f>
        <v>0</v>
      </c>
      <c r="E519" s="83">
        <f>INDEX('PEER GROUP'!E:E,MATCH(A519,'PEER GROUP'!$A:$A,0))</f>
        <v>0</v>
      </c>
      <c r="F519" s="84">
        <f>INDEX('PEER GROUP'!F:F,MATCH($A519,'PEER GROUP'!$A:$A,0))</f>
        <v>0</v>
      </c>
      <c r="G519" s="84">
        <f>INDEX('PEER GROUP'!G:G,MATCH($A519,'PEER GROUP'!$A:$A,0))</f>
        <v>0</v>
      </c>
      <c r="H519" s="85"/>
      <c r="I519" s="85"/>
      <c r="J519" s="70">
        <f>INDEX('PEER GROUP'!K:K,MATCH($A519,'PEER GROUP'!$A:$A,0))</f>
        <v>0</v>
      </c>
      <c r="K519" s="70">
        <f>INDEX('PEER GROUP'!L:L,MATCH($A519,'PEER GROUP'!$A:$A,0))</f>
        <v>0</v>
      </c>
      <c r="L519" s="70">
        <f>INDEX('PEER GROUP'!M:M,MATCH($A519,'PEER GROUP'!$A:$A,0))</f>
        <v>0</v>
      </c>
      <c r="M519" s="86">
        <f>INDEX('PEER GROUP'!N:N,MATCH($A519,'PEER GROUP'!$A:$A,0))</f>
        <v>0</v>
      </c>
      <c r="N519" s="118"/>
      <c r="O519" s="115"/>
      <c r="P519" s="117"/>
      <c r="Q519" s="87"/>
      <c r="R519" s="87">
        <f t="shared" si="146"/>
        <v>0</v>
      </c>
      <c r="S519" s="87"/>
      <c r="T519" s="87"/>
      <c r="U519" s="87"/>
      <c r="V519" s="87">
        <f t="shared" si="147"/>
        <v>0</v>
      </c>
      <c r="W519" s="113">
        <f t="shared" si="144"/>
        <v>36.913096727263202</v>
      </c>
      <c r="X519" s="69">
        <f t="shared" si="148"/>
        <v>0</v>
      </c>
      <c r="Y519" s="70">
        <f t="shared" si="149"/>
        <v>0</v>
      </c>
      <c r="Z519" s="70">
        <f t="shared" si="150"/>
        <v>0</v>
      </c>
      <c r="AA519" s="70">
        <f t="shared" si="151"/>
        <v>0</v>
      </c>
      <c r="AB519" s="70">
        <f t="shared" si="152"/>
        <v>0</v>
      </c>
      <c r="AC519" s="70">
        <f t="shared" si="153"/>
        <v>0</v>
      </c>
      <c r="AD519" s="71">
        <f t="shared" si="154"/>
        <v>0</v>
      </c>
      <c r="AE519" s="49"/>
      <c r="AF519" s="21"/>
      <c r="AG519" s="69"/>
      <c r="AH519" s="70"/>
      <c r="AI519" s="70"/>
      <c r="AJ519" s="70"/>
      <c r="AK519" s="70"/>
      <c r="AL519" s="70"/>
      <c r="AM519" s="70"/>
      <c r="AN519" s="70" t="str">
        <f t="shared" si="155"/>
        <v>---</v>
      </c>
      <c r="AO519" s="70" t="str">
        <f t="shared" si="156"/>
        <v>---</v>
      </c>
      <c r="AP519" s="70" t="str">
        <f t="shared" si="157"/>
        <v>---</v>
      </c>
      <c r="AQ519" s="70" t="str">
        <f t="shared" si="158"/>
        <v>---</v>
      </c>
      <c r="AR519" s="70" t="str">
        <f t="shared" si="159"/>
        <v>---</v>
      </c>
      <c r="AS519" s="70" t="str">
        <f t="shared" si="160"/>
        <v>---</v>
      </c>
      <c r="AT519" s="71" t="str">
        <f t="shared" si="161"/>
        <v>---</v>
      </c>
    </row>
    <row r="520" spans="1:46" ht="30" customHeight="1" x14ac:dyDescent="0.3">
      <c r="A520" s="123">
        <f t="shared" si="145"/>
        <v>516</v>
      </c>
      <c r="B520" s="140">
        <f>INDEX('PEER GROUP'!B:B,MATCH($A520,'PEER GROUP'!$A:$A,0))</f>
        <v>0</v>
      </c>
      <c r="C520" s="83">
        <f>INDEX('PEER GROUP'!C:C,MATCH($A520,'PEER GROUP'!$A:$A,0))</f>
        <v>0</v>
      </c>
      <c r="D520" s="83">
        <f>INDEX('PEER GROUP'!D:D,MATCH($A520,'PEER GROUP'!$A:$A,0))</f>
        <v>0</v>
      </c>
      <c r="E520" s="83">
        <f>INDEX('PEER GROUP'!E:E,MATCH(A520,'PEER GROUP'!$A:$A,0))</f>
        <v>0</v>
      </c>
      <c r="F520" s="84">
        <f>INDEX('PEER GROUP'!F:F,MATCH($A520,'PEER GROUP'!$A:$A,0))</f>
        <v>0</v>
      </c>
      <c r="G520" s="84">
        <f>INDEX('PEER GROUP'!G:G,MATCH($A520,'PEER GROUP'!$A:$A,0))</f>
        <v>0</v>
      </c>
      <c r="H520" s="85"/>
      <c r="I520" s="85"/>
      <c r="J520" s="70">
        <f>INDEX('PEER GROUP'!K:K,MATCH($A520,'PEER GROUP'!$A:$A,0))</f>
        <v>0</v>
      </c>
      <c r="K520" s="70">
        <f>INDEX('PEER GROUP'!L:L,MATCH($A520,'PEER GROUP'!$A:$A,0))</f>
        <v>0</v>
      </c>
      <c r="L520" s="70">
        <f>INDEX('PEER GROUP'!M:M,MATCH($A520,'PEER GROUP'!$A:$A,0))</f>
        <v>0</v>
      </c>
      <c r="M520" s="86">
        <f>INDEX('PEER GROUP'!N:N,MATCH($A520,'PEER GROUP'!$A:$A,0))</f>
        <v>0</v>
      </c>
      <c r="N520" s="118"/>
      <c r="O520" s="115"/>
      <c r="P520" s="117"/>
      <c r="Q520" s="87"/>
      <c r="R520" s="87">
        <f t="shared" si="146"/>
        <v>0</v>
      </c>
      <c r="S520" s="87"/>
      <c r="T520" s="87"/>
      <c r="U520" s="87"/>
      <c r="V520" s="87">
        <f t="shared" si="147"/>
        <v>0</v>
      </c>
      <c r="W520" s="113">
        <f t="shared" si="144"/>
        <v>36.913096727263202</v>
      </c>
      <c r="X520" s="69">
        <f t="shared" si="148"/>
        <v>0</v>
      </c>
      <c r="Y520" s="70">
        <f t="shared" si="149"/>
        <v>0</v>
      </c>
      <c r="Z520" s="70">
        <f t="shared" si="150"/>
        <v>0</v>
      </c>
      <c r="AA520" s="70">
        <f t="shared" si="151"/>
        <v>0</v>
      </c>
      <c r="AB520" s="70">
        <f t="shared" si="152"/>
        <v>0</v>
      </c>
      <c r="AC520" s="70">
        <f t="shared" si="153"/>
        <v>0</v>
      </c>
      <c r="AD520" s="71">
        <f t="shared" si="154"/>
        <v>0</v>
      </c>
      <c r="AE520" s="49"/>
      <c r="AF520" s="21"/>
      <c r="AG520" s="69"/>
      <c r="AH520" s="70"/>
      <c r="AI520" s="70"/>
      <c r="AJ520" s="70"/>
      <c r="AK520" s="70"/>
      <c r="AL520" s="70"/>
      <c r="AM520" s="70"/>
      <c r="AN520" s="70" t="str">
        <f t="shared" si="155"/>
        <v>---</v>
      </c>
      <c r="AO520" s="70" t="str">
        <f t="shared" si="156"/>
        <v>---</v>
      </c>
      <c r="AP520" s="70" t="str">
        <f t="shared" si="157"/>
        <v>---</v>
      </c>
      <c r="AQ520" s="70" t="str">
        <f t="shared" si="158"/>
        <v>---</v>
      </c>
      <c r="AR520" s="70" t="str">
        <f t="shared" si="159"/>
        <v>---</v>
      </c>
      <c r="AS520" s="70" t="str">
        <f t="shared" si="160"/>
        <v>---</v>
      </c>
      <c r="AT520" s="71" t="str">
        <f t="shared" si="161"/>
        <v>---</v>
      </c>
    </row>
    <row r="521" spans="1:46" ht="30" customHeight="1" x14ac:dyDescent="0.3">
      <c r="A521" s="123">
        <f t="shared" si="145"/>
        <v>517</v>
      </c>
      <c r="B521" s="140">
        <f>INDEX('PEER GROUP'!B:B,MATCH($A521,'PEER GROUP'!$A:$A,0))</f>
        <v>0</v>
      </c>
      <c r="C521" s="83">
        <f>INDEX('PEER GROUP'!C:C,MATCH($A521,'PEER GROUP'!$A:$A,0))</f>
        <v>0</v>
      </c>
      <c r="D521" s="83">
        <f>INDEX('PEER GROUP'!D:D,MATCH($A521,'PEER GROUP'!$A:$A,0))</f>
        <v>0</v>
      </c>
      <c r="E521" s="83">
        <f>INDEX('PEER GROUP'!E:E,MATCH(A521,'PEER GROUP'!$A:$A,0))</f>
        <v>0</v>
      </c>
      <c r="F521" s="84">
        <f>INDEX('PEER GROUP'!F:F,MATCH($A521,'PEER GROUP'!$A:$A,0))</f>
        <v>0</v>
      </c>
      <c r="G521" s="84">
        <f>INDEX('PEER GROUP'!G:G,MATCH($A521,'PEER GROUP'!$A:$A,0))</f>
        <v>0</v>
      </c>
      <c r="H521" s="85"/>
      <c r="I521" s="85"/>
      <c r="J521" s="70">
        <f>INDEX('PEER GROUP'!K:K,MATCH($A521,'PEER GROUP'!$A:$A,0))</f>
        <v>0</v>
      </c>
      <c r="K521" s="70">
        <f>INDEX('PEER GROUP'!L:L,MATCH($A521,'PEER GROUP'!$A:$A,0))</f>
        <v>0</v>
      </c>
      <c r="L521" s="70">
        <f>INDEX('PEER GROUP'!M:M,MATCH($A521,'PEER GROUP'!$A:$A,0))</f>
        <v>0</v>
      </c>
      <c r="M521" s="86">
        <f>INDEX('PEER GROUP'!N:N,MATCH($A521,'PEER GROUP'!$A:$A,0))</f>
        <v>0</v>
      </c>
      <c r="N521" s="118"/>
      <c r="O521" s="115"/>
      <c r="P521" s="117"/>
      <c r="Q521" s="87"/>
      <c r="R521" s="87">
        <f t="shared" si="146"/>
        <v>0</v>
      </c>
      <c r="S521" s="87"/>
      <c r="T521" s="87"/>
      <c r="U521" s="87"/>
      <c r="V521" s="87">
        <f t="shared" si="147"/>
        <v>0</v>
      </c>
      <c r="W521" s="113">
        <f t="shared" si="144"/>
        <v>36.913096727263202</v>
      </c>
      <c r="X521" s="69">
        <f t="shared" si="148"/>
        <v>0</v>
      </c>
      <c r="Y521" s="70">
        <f t="shared" si="149"/>
        <v>0</v>
      </c>
      <c r="Z521" s="70">
        <f t="shared" si="150"/>
        <v>0</v>
      </c>
      <c r="AA521" s="70">
        <f t="shared" si="151"/>
        <v>0</v>
      </c>
      <c r="AB521" s="70">
        <f t="shared" si="152"/>
        <v>0</v>
      </c>
      <c r="AC521" s="70">
        <f t="shared" si="153"/>
        <v>0</v>
      </c>
      <c r="AD521" s="71">
        <f t="shared" si="154"/>
        <v>0</v>
      </c>
      <c r="AE521" s="49"/>
      <c r="AF521" s="21"/>
      <c r="AG521" s="69"/>
      <c r="AH521" s="70"/>
      <c r="AI521" s="70"/>
      <c r="AJ521" s="70"/>
      <c r="AK521" s="70"/>
      <c r="AL521" s="70"/>
      <c r="AM521" s="70"/>
      <c r="AN521" s="70" t="str">
        <f t="shared" si="155"/>
        <v>---</v>
      </c>
      <c r="AO521" s="70" t="str">
        <f t="shared" si="156"/>
        <v>---</v>
      </c>
      <c r="AP521" s="70" t="str">
        <f t="shared" si="157"/>
        <v>---</v>
      </c>
      <c r="AQ521" s="70" t="str">
        <f t="shared" si="158"/>
        <v>---</v>
      </c>
      <c r="AR521" s="70" t="str">
        <f t="shared" si="159"/>
        <v>---</v>
      </c>
      <c r="AS521" s="70" t="str">
        <f t="shared" si="160"/>
        <v>---</v>
      </c>
      <c r="AT521" s="71" t="str">
        <f t="shared" si="161"/>
        <v>---</v>
      </c>
    </row>
    <row r="522" spans="1:46" ht="30" customHeight="1" x14ac:dyDescent="0.3">
      <c r="A522" s="123">
        <f t="shared" si="145"/>
        <v>518</v>
      </c>
      <c r="B522" s="140">
        <f>INDEX('PEER GROUP'!B:B,MATCH($A522,'PEER GROUP'!$A:$A,0))</f>
        <v>0</v>
      </c>
      <c r="C522" s="83">
        <f>INDEX('PEER GROUP'!C:C,MATCH($A522,'PEER GROUP'!$A:$A,0))</f>
        <v>0</v>
      </c>
      <c r="D522" s="83">
        <f>INDEX('PEER GROUP'!D:D,MATCH($A522,'PEER GROUP'!$A:$A,0))</f>
        <v>0</v>
      </c>
      <c r="E522" s="83">
        <f>INDEX('PEER GROUP'!E:E,MATCH(A522,'PEER GROUP'!$A:$A,0))</f>
        <v>0</v>
      </c>
      <c r="F522" s="84">
        <f>INDEX('PEER GROUP'!F:F,MATCH($A522,'PEER GROUP'!$A:$A,0))</f>
        <v>0</v>
      </c>
      <c r="G522" s="84">
        <f>INDEX('PEER GROUP'!G:G,MATCH($A522,'PEER GROUP'!$A:$A,0))</f>
        <v>0</v>
      </c>
      <c r="H522" s="85"/>
      <c r="I522" s="85"/>
      <c r="J522" s="70">
        <f>INDEX('PEER GROUP'!K:K,MATCH($A522,'PEER GROUP'!$A:$A,0))</f>
        <v>0</v>
      </c>
      <c r="K522" s="70">
        <f>INDEX('PEER GROUP'!L:L,MATCH($A522,'PEER GROUP'!$A:$A,0))</f>
        <v>0</v>
      </c>
      <c r="L522" s="70">
        <f>INDEX('PEER GROUP'!M:M,MATCH($A522,'PEER GROUP'!$A:$A,0))</f>
        <v>0</v>
      </c>
      <c r="M522" s="86">
        <f>INDEX('PEER GROUP'!N:N,MATCH($A522,'PEER GROUP'!$A:$A,0))</f>
        <v>0</v>
      </c>
      <c r="N522" s="118"/>
      <c r="O522" s="115"/>
      <c r="P522" s="117"/>
      <c r="Q522" s="87"/>
      <c r="R522" s="87">
        <f t="shared" si="146"/>
        <v>0</v>
      </c>
      <c r="S522" s="87"/>
      <c r="T522" s="87"/>
      <c r="U522" s="87"/>
      <c r="V522" s="87">
        <f t="shared" si="147"/>
        <v>0</v>
      </c>
      <c r="W522" s="113">
        <f t="shared" si="144"/>
        <v>36.913096727263202</v>
      </c>
      <c r="X522" s="69">
        <f t="shared" si="148"/>
        <v>0</v>
      </c>
      <c r="Y522" s="70">
        <f t="shared" si="149"/>
        <v>0</v>
      </c>
      <c r="Z522" s="70">
        <f t="shared" si="150"/>
        <v>0</v>
      </c>
      <c r="AA522" s="70">
        <f t="shared" si="151"/>
        <v>0</v>
      </c>
      <c r="AB522" s="70">
        <f t="shared" si="152"/>
        <v>0</v>
      </c>
      <c r="AC522" s="70">
        <f t="shared" si="153"/>
        <v>0</v>
      </c>
      <c r="AD522" s="71">
        <f t="shared" si="154"/>
        <v>0</v>
      </c>
      <c r="AE522" s="49"/>
      <c r="AF522" s="21"/>
      <c r="AG522" s="69"/>
      <c r="AH522" s="70"/>
      <c r="AI522" s="70"/>
      <c r="AJ522" s="70"/>
      <c r="AK522" s="70"/>
      <c r="AL522" s="70"/>
      <c r="AM522" s="70"/>
      <c r="AN522" s="70" t="str">
        <f t="shared" si="155"/>
        <v>---</v>
      </c>
      <c r="AO522" s="70" t="str">
        <f t="shared" si="156"/>
        <v>---</v>
      </c>
      <c r="AP522" s="70" t="str">
        <f t="shared" si="157"/>
        <v>---</v>
      </c>
      <c r="AQ522" s="70" t="str">
        <f t="shared" si="158"/>
        <v>---</v>
      </c>
      <c r="AR522" s="70" t="str">
        <f t="shared" si="159"/>
        <v>---</v>
      </c>
      <c r="AS522" s="70" t="str">
        <f t="shared" si="160"/>
        <v>---</v>
      </c>
      <c r="AT522" s="71" t="str">
        <f t="shared" si="161"/>
        <v>---</v>
      </c>
    </row>
    <row r="523" spans="1:46" ht="30" customHeight="1" x14ac:dyDescent="0.3">
      <c r="A523" s="123">
        <f t="shared" si="145"/>
        <v>519</v>
      </c>
      <c r="B523" s="140">
        <f>INDEX('PEER GROUP'!B:B,MATCH($A523,'PEER GROUP'!$A:$A,0))</f>
        <v>0</v>
      </c>
      <c r="C523" s="83">
        <f>INDEX('PEER GROUP'!C:C,MATCH($A523,'PEER GROUP'!$A:$A,0))</f>
        <v>0</v>
      </c>
      <c r="D523" s="83">
        <f>INDEX('PEER GROUP'!D:D,MATCH($A523,'PEER GROUP'!$A:$A,0))</f>
        <v>0</v>
      </c>
      <c r="E523" s="83">
        <f>INDEX('PEER GROUP'!E:E,MATCH(A523,'PEER GROUP'!$A:$A,0))</f>
        <v>0</v>
      </c>
      <c r="F523" s="84">
        <f>INDEX('PEER GROUP'!F:F,MATCH($A523,'PEER GROUP'!$A:$A,0))</f>
        <v>0</v>
      </c>
      <c r="G523" s="84">
        <f>INDEX('PEER GROUP'!G:G,MATCH($A523,'PEER GROUP'!$A:$A,0))</f>
        <v>0</v>
      </c>
      <c r="H523" s="85"/>
      <c r="I523" s="85"/>
      <c r="J523" s="70">
        <f>INDEX('PEER GROUP'!K:K,MATCH($A523,'PEER GROUP'!$A:$A,0))</f>
        <v>0</v>
      </c>
      <c r="K523" s="70">
        <f>INDEX('PEER GROUP'!L:L,MATCH($A523,'PEER GROUP'!$A:$A,0))</f>
        <v>0</v>
      </c>
      <c r="L523" s="70">
        <f>INDEX('PEER GROUP'!M:M,MATCH($A523,'PEER GROUP'!$A:$A,0))</f>
        <v>0</v>
      </c>
      <c r="M523" s="86">
        <f>INDEX('PEER GROUP'!N:N,MATCH($A523,'PEER GROUP'!$A:$A,0))</f>
        <v>0</v>
      </c>
      <c r="N523" s="118"/>
      <c r="O523" s="115"/>
      <c r="P523" s="117"/>
      <c r="Q523" s="87"/>
      <c r="R523" s="87">
        <f t="shared" si="146"/>
        <v>0</v>
      </c>
      <c r="S523" s="87"/>
      <c r="T523" s="87"/>
      <c r="U523" s="87"/>
      <c r="V523" s="87">
        <f t="shared" si="147"/>
        <v>0</v>
      </c>
      <c r="W523" s="113">
        <f t="shared" si="144"/>
        <v>36.913096727263202</v>
      </c>
      <c r="X523" s="69">
        <f t="shared" si="148"/>
        <v>0</v>
      </c>
      <c r="Y523" s="70">
        <f t="shared" si="149"/>
        <v>0</v>
      </c>
      <c r="Z523" s="70">
        <f t="shared" si="150"/>
        <v>0</v>
      </c>
      <c r="AA523" s="70">
        <f t="shared" si="151"/>
        <v>0</v>
      </c>
      <c r="AB523" s="70">
        <f t="shared" si="152"/>
        <v>0</v>
      </c>
      <c r="AC523" s="70">
        <f t="shared" si="153"/>
        <v>0</v>
      </c>
      <c r="AD523" s="71">
        <f t="shared" si="154"/>
        <v>0</v>
      </c>
      <c r="AE523" s="49"/>
      <c r="AF523" s="21"/>
      <c r="AG523" s="69"/>
      <c r="AH523" s="70"/>
      <c r="AI523" s="70"/>
      <c r="AJ523" s="70"/>
      <c r="AK523" s="70"/>
      <c r="AL523" s="70"/>
      <c r="AM523" s="70"/>
      <c r="AN523" s="70" t="str">
        <f t="shared" si="155"/>
        <v>---</v>
      </c>
      <c r="AO523" s="70" t="str">
        <f t="shared" si="156"/>
        <v>---</v>
      </c>
      <c r="AP523" s="70" t="str">
        <f t="shared" si="157"/>
        <v>---</v>
      </c>
      <c r="AQ523" s="70" t="str">
        <f t="shared" si="158"/>
        <v>---</v>
      </c>
      <c r="AR523" s="70" t="str">
        <f t="shared" si="159"/>
        <v>---</v>
      </c>
      <c r="AS523" s="70" t="str">
        <f t="shared" si="160"/>
        <v>---</v>
      </c>
      <c r="AT523" s="71" t="str">
        <f t="shared" si="161"/>
        <v>---</v>
      </c>
    </row>
    <row r="524" spans="1:46" ht="30" customHeight="1" x14ac:dyDescent="0.3">
      <c r="A524" s="123">
        <f t="shared" si="145"/>
        <v>520</v>
      </c>
      <c r="B524" s="140">
        <f>INDEX('PEER GROUP'!B:B,MATCH($A524,'PEER GROUP'!$A:$A,0))</f>
        <v>0</v>
      </c>
      <c r="C524" s="83">
        <f>INDEX('PEER GROUP'!C:C,MATCH($A524,'PEER GROUP'!$A:$A,0))</f>
        <v>0</v>
      </c>
      <c r="D524" s="83">
        <f>INDEX('PEER GROUP'!D:D,MATCH($A524,'PEER GROUP'!$A:$A,0))</f>
        <v>0</v>
      </c>
      <c r="E524" s="83">
        <f>INDEX('PEER GROUP'!E:E,MATCH(A524,'PEER GROUP'!$A:$A,0))</f>
        <v>0</v>
      </c>
      <c r="F524" s="84">
        <f>INDEX('PEER GROUP'!F:F,MATCH($A524,'PEER GROUP'!$A:$A,0))</f>
        <v>0</v>
      </c>
      <c r="G524" s="84">
        <f>INDEX('PEER GROUP'!G:G,MATCH($A524,'PEER GROUP'!$A:$A,0))</f>
        <v>0</v>
      </c>
      <c r="H524" s="85"/>
      <c r="I524" s="85"/>
      <c r="J524" s="70">
        <f>INDEX('PEER GROUP'!K:K,MATCH($A524,'PEER GROUP'!$A:$A,0))</f>
        <v>0</v>
      </c>
      <c r="K524" s="70">
        <f>INDEX('PEER GROUP'!L:L,MATCH($A524,'PEER GROUP'!$A:$A,0))</f>
        <v>0</v>
      </c>
      <c r="L524" s="70">
        <f>INDEX('PEER GROUP'!M:M,MATCH($A524,'PEER GROUP'!$A:$A,0))</f>
        <v>0</v>
      </c>
      <c r="M524" s="86">
        <f>INDEX('PEER GROUP'!N:N,MATCH($A524,'PEER GROUP'!$A:$A,0))</f>
        <v>0</v>
      </c>
      <c r="N524" s="118"/>
      <c r="O524" s="115"/>
      <c r="P524" s="117"/>
      <c r="Q524" s="87"/>
      <c r="R524" s="87">
        <f t="shared" si="146"/>
        <v>0</v>
      </c>
      <c r="S524" s="87"/>
      <c r="T524" s="87"/>
      <c r="U524" s="87"/>
      <c r="V524" s="87">
        <f t="shared" si="147"/>
        <v>0</v>
      </c>
      <c r="W524" s="113">
        <f t="shared" si="144"/>
        <v>36.913096727263202</v>
      </c>
      <c r="X524" s="69">
        <f t="shared" si="148"/>
        <v>0</v>
      </c>
      <c r="Y524" s="70">
        <f t="shared" si="149"/>
        <v>0</v>
      </c>
      <c r="Z524" s="70">
        <f t="shared" si="150"/>
        <v>0</v>
      </c>
      <c r="AA524" s="70">
        <f t="shared" si="151"/>
        <v>0</v>
      </c>
      <c r="AB524" s="70">
        <f t="shared" si="152"/>
        <v>0</v>
      </c>
      <c r="AC524" s="70">
        <f t="shared" si="153"/>
        <v>0</v>
      </c>
      <c r="AD524" s="71">
        <f t="shared" si="154"/>
        <v>0</v>
      </c>
      <c r="AE524" s="49"/>
      <c r="AF524" s="21"/>
      <c r="AG524" s="69"/>
      <c r="AH524" s="70"/>
      <c r="AI524" s="70"/>
      <c r="AJ524" s="70"/>
      <c r="AK524" s="70"/>
      <c r="AL524" s="70"/>
      <c r="AM524" s="70"/>
      <c r="AN524" s="70" t="str">
        <f t="shared" si="155"/>
        <v>---</v>
      </c>
      <c r="AO524" s="70" t="str">
        <f t="shared" si="156"/>
        <v>---</v>
      </c>
      <c r="AP524" s="70" t="str">
        <f t="shared" si="157"/>
        <v>---</v>
      </c>
      <c r="AQ524" s="70" t="str">
        <f t="shared" si="158"/>
        <v>---</v>
      </c>
      <c r="AR524" s="70" t="str">
        <f t="shared" si="159"/>
        <v>---</v>
      </c>
      <c r="AS524" s="70" t="str">
        <f t="shared" si="160"/>
        <v>---</v>
      </c>
      <c r="AT524" s="71" t="str">
        <f t="shared" si="161"/>
        <v>---</v>
      </c>
    </row>
    <row r="525" spans="1:46" ht="30" customHeight="1" x14ac:dyDescent="0.3">
      <c r="A525" s="123">
        <f t="shared" si="145"/>
        <v>521</v>
      </c>
      <c r="B525" s="140">
        <f>INDEX('PEER GROUP'!B:B,MATCH($A525,'PEER GROUP'!$A:$A,0))</f>
        <v>0</v>
      </c>
      <c r="C525" s="83">
        <f>INDEX('PEER GROUP'!C:C,MATCH($A525,'PEER GROUP'!$A:$A,0))</f>
        <v>0</v>
      </c>
      <c r="D525" s="83">
        <f>INDEX('PEER GROUP'!D:D,MATCH($A525,'PEER GROUP'!$A:$A,0))</f>
        <v>0</v>
      </c>
      <c r="E525" s="83">
        <f>INDEX('PEER GROUP'!E:E,MATCH(A525,'PEER GROUP'!$A:$A,0))</f>
        <v>0</v>
      </c>
      <c r="F525" s="84">
        <f>INDEX('PEER GROUP'!F:F,MATCH($A525,'PEER GROUP'!$A:$A,0))</f>
        <v>0</v>
      </c>
      <c r="G525" s="84">
        <f>INDEX('PEER GROUP'!G:G,MATCH($A525,'PEER GROUP'!$A:$A,0))</f>
        <v>0</v>
      </c>
      <c r="H525" s="85"/>
      <c r="I525" s="85"/>
      <c r="J525" s="70">
        <f>INDEX('PEER GROUP'!K:K,MATCH($A525,'PEER GROUP'!$A:$A,0))</f>
        <v>0</v>
      </c>
      <c r="K525" s="70">
        <f>INDEX('PEER GROUP'!L:L,MATCH($A525,'PEER GROUP'!$A:$A,0))</f>
        <v>0</v>
      </c>
      <c r="L525" s="70">
        <f>INDEX('PEER GROUP'!M:M,MATCH($A525,'PEER GROUP'!$A:$A,0))</f>
        <v>0</v>
      </c>
      <c r="M525" s="86">
        <f>INDEX('PEER GROUP'!N:N,MATCH($A525,'PEER GROUP'!$A:$A,0))</f>
        <v>0</v>
      </c>
      <c r="N525" s="118"/>
      <c r="O525" s="115"/>
      <c r="P525" s="117"/>
      <c r="Q525" s="87"/>
      <c r="R525" s="87">
        <f t="shared" si="146"/>
        <v>0</v>
      </c>
      <c r="S525" s="87"/>
      <c r="T525" s="87"/>
      <c r="U525" s="87"/>
      <c r="V525" s="87">
        <f t="shared" si="147"/>
        <v>0</v>
      </c>
      <c r="W525" s="113">
        <f t="shared" si="144"/>
        <v>36.913096727263202</v>
      </c>
      <c r="X525" s="69">
        <f t="shared" si="148"/>
        <v>0</v>
      </c>
      <c r="Y525" s="70">
        <f t="shared" si="149"/>
        <v>0</v>
      </c>
      <c r="Z525" s="70">
        <f t="shared" si="150"/>
        <v>0</v>
      </c>
      <c r="AA525" s="70">
        <f t="shared" si="151"/>
        <v>0</v>
      </c>
      <c r="AB525" s="70">
        <f t="shared" si="152"/>
        <v>0</v>
      </c>
      <c r="AC525" s="70">
        <f t="shared" si="153"/>
        <v>0</v>
      </c>
      <c r="AD525" s="71">
        <f t="shared" si="154"/>
        <v>0</v>
      </c>
      <c r="AE525" s="49"/>
      <c r="AF525" s="21"/>
      <c r="AG525" s="69"/>
      <c r="AH525" s="70"/>
      <c r="AI525" s="70"/>
      <c r="AJ525" s="70"/>
      <c r="AK525" s="70"/>
      <c r="AL525" s="70"/>
      <c r="AM525" s="70"/>
      <c r="AN525" s="70" t="str">
        <f t="shared" si="155"/>
        <v>---</v>
      </c>
      <c r="AO525" s="70" t="str">
        <f t="shared" si="156"/>
        <v>---</v>
      </c>
      <c r="AP525" s="70" t="str">
        <f t="shared" si="157"/>
        <v>---</v>
      </c>
      <c r="AQ525" s="70" t="str">
        <f t="shared" si="158"/>
        <v>---</v>
      </c>
      <c r="AR525" s="70" t="str">
        <f t="shared" si="159"/>
        <v>---</v>
      </c>
      <c r="AS525" s="70" t="str">
        <f t="shared" si="160"/>
        <v>---</v>
      </c>
      <c r="AT525" s="71" t="str">
        <f t="shared" si="161"/>
        <v>---</v>
      </c>
    </row>
    <row r="526" spans="1:46" ht="30" customHeight="1" x14ac:dyDescent="0.3">
      <c r="A526" s="123">
        <f t="shared" si="145"/>
        <v>522</v>
      </c>
      <c r="B526" s="140">
        <f>INDEX('PEER GROUP'!B:B,MATCH($A526,'PEER GROUP'!$A:$A,0))</f>
        <v>0</v>
      </c>
      <c r="C526" s="83">
        <f>INDEX('PEER GROUP'!C:C,MATCH($A526,'PEER GROUP'!$A:$A,0))</f>
        <v>0</v>
      </c>
      <c r="D526" s="83">
        <f>INDEX('PEER GROUP'!D:D,MATCH($A526,'PEER GROUP'!$A:$A,0))</f>
        <v>0</v>
      </c>
      <c r="E526" s="83">
        <f>INDEX('PEER GROUP'!E:E,MATCH(A526,'PEER GROUP'!$A:$A,0))</f>
        <v>0</v>
      </c>
      <c r="F526" s="84">
        <f>INDEX('PEER GROUP'!F:F,MATCH($A526,'PEER GROUP'!$A:$A,0))</f>
        <v>0</v>
      </c>
      <c r="G526" s="84">
        <f>INDEX('PEER GROUP'!G:G,MATCH($A526,'PEER GROUP'!$A:$A,0))</f>
        <v>0</v>
      </c>
      <c r="H526" s="85"/>
      <c r="I526" s="85"/>
      <c r="J526" s="70">
        <f>INDEX('PEER GROUP'!K:K,MATCH($A526,'PEER GROUP'!$A:$A,0))</f>
        <v>0</v>
      </c>
      <c r="K526" s="70">
        <f>INDEX('PEER GROUP'!L:L,MATCH($A526,'PEER GROUP'!$A:$A,0))</f>
        <v>0</v>
      </c>
      <c r="L526" s="70">
        <f>INDEX('PEER GROUP'!M:M,MATCH($A526,'PEER GROUP'!$A:$A,0))</f>
        <v>0</v>
      </c>
      <c r="M526" s="86">
        <f>INDEX('PEER GROUP'!N:N,MATCH($A526,'PEER GROUP'!$A:$A,0))</f>
        <v>0</v>
      </c>
      <c r="N526" s="118"/>
      <c r="O526" s="115"/>
      <c r="P526" s="117"/>
      <c r="Q526" s="87"/>
      <c r="R526" s="87">
        <f t="shared" si="146"/>
        <v>0</v>
      </c>
      <c r="S526" s="87"/>
      <c r="T526" s="87"/>
      <c r="U526" s="87"/>
      <c r="V526" s="87">
        <f t="shared" si="147"/>
        <v>0</v>
      </c>
      <c r="W526" s="113">
        <f t="shared" si="144"/>
        <v>36.913096727263202</v>
      </c>
      <c r="X526" s="69">
        <f t="shared" si="148"/>
        <v>0</v>
      </c>
      <c r="Y526" s="70">
        <f t="shared" si="149"/>
        <v>0</v>
      </c>
      <c r="Z526" s="70">
        <f t="shared" si="150"/>
        <v>0</v>
      </c>
      <c r="AA526" s="70">
        <f t="shared" si="151"/>
        <v>0</v>
      </c>
      <c r="AB526" s="70">
        <f t="shared" si="152"/>
        <v>0</v>
      </c>
      <c r="AC526" s="70">
        <f t="shared" si="153"/>
        <v>0</v>
      </c>
      <c r="AD526" s="71">
        <f t="shared" si="154"/>
        <v>0</v>
      </c>
      <c r="AE526" s="49"/>
      <c r="AF526" s="21"/>
      <c r="AG526" s="69"/>
      <c r="AH526" s="70"/>
      <c r="AI526" s="70"/>
      <c r="AJ526" s="70"/>
      <c r="AK526" s="70"/>
      <c r="AL526" s="70"/>
      <c r="AM526" s="70"/>
      <c r="AN526" s="70" t="str">
        <f t="shared" si="155"/>
        <v>---</v>
      </c>
      <c r="AO526" s="70" t="str">
        <f t="shared" si="156"/>
        <v>---</v>
      </c>
      <c r="AP526" s="70" t="str">
        <f t="shared" si="157"/>
        <v>---</v>
      </c>
      <c r="AQ526" s="70" t="str">
        <f t="shared" si="158"/>
        <v>---</v>
      </c>
      <c r="AR526" s="70" t="str">
        <f t="shared" si="159"/>
        <v>---</v>
      </c>
      <c r="AS526" s="70" t="str">
        <f t="shared" si="160"/>
        <v>---</v>
      </c>
      <c r="AT526" s="71" t="str">
        <f t="shared" si="161"/>
        <v>---</v>
      </c>
    </row>
    <row r="527" spans="1:46" ht="30" customHeight="1" x14ac:dyDescent="0.3">
      <c r="A527" s="123">
        <f t="shared" si="145"/>
        <v>523</v>
      </c>
      <c r="B527" s="140">
        <f>INDEX('PEER GROUP'!B:B,MATCH($A527,'PEER GROUP'!$A:$A,0))</f>
        <v>0</v>
      </c>
      <c r="C527" s="83">
        <f>INDEX('PEER GROUP'!C:C,MATCH($A527,'PEER GROUP'!$A:$A,0))</f>
        <v>0</v>
      </c>
      <c r="D527" s="83">
        <f>INDEX('PEER GROUP'!D:D,MATCH($A527,'PEER GROUP'!$A:$A,0))</f>
        <v>0</v>
      </c>
      <c r="E527" s="83">
        <f>INDEX('PEER GROUP'!E:E,MATCH(A527,'PEER GROUP'!$A:$A,0))</f>
        <v>0</v>
      </c>
      <c r="F527" s="84">
        <f>INDEX('PEER GROUP'!F:F,MATCH($A527,'PEER GROUP'!$A:$A,0))</f>
        <v>0</v>
      </c>
      <c r="G527" s="84">
        <f>INDEX('PEER GROUP'!G:G,MATCH($A527,'PEER GROUP'!$A:$A,0))</f>
        <v>0</v>
      </c>
      <c r="H527" s="85"/>
      <c r="I527" s="85"/>
      <c r="J527" s="70">
        <f>INDEX('PEER GROUP'!K:K,MATCH($A527,'PEER GROUP'!$A:$A,0))</f>
        <v>0</v>
      </c>
      <c r="K527" s="70">
        <f>INDEX('PEER GROUP'!L:L,MATCH($A527,'PEER GROUP'!$A:$A,0))</f>
        <v>0</v>
      </c>
      <c r="L527" s="70">
        <f>INDEX('PEER GROUP'!M:M,MATCH($A527,'PEER GROUP'!$A:$A,0))</f>
        <v>0</v>
      </c>
      <c r="M527" s="86">
        <f>INDEX('PEER GROUP'!N:N,MATCH($A527,'PEER GROUP'!$A:$A,0))</f>
        <v>0</v>
      </c>
      <c r="N527" s="118"/>
      <c r="O527" s="115"/>
      <c r="P527" s="117"/>
      <c r="Q527" s="87"/>
      <c r="R527" s="87">
        <f t="shared" si="146"/>
        <v>0</v>
      </c>
      <c r="S527" s="87"/>
      <c r="T527" s="87"/>
      <c r="U527" s="87"/>
      <c r="V527" s="87">
        <f t="shared" si="147"/>
        <v>0</v>
      </c>
      <c r="W527" s="113">
        <f t="shared" si="144"/>
        <v>36.913096727263202</v>
      </c>
      <c r="X527" s="69">
        <f t="shared" si="148"/>
        <v>0</v>
      </c>
      <c r="Y527" s="70">
        <f t="shared" si="149"/>
        <v>0</v>
      </c>
      <c r="Z527" s="70">
        <f t="shared" si="150"/>
        <v>0</v>
      </c>
      <c r="AA527" s="70">
        <f t="shared" si="151"/>
        <v>0</v>
      </c>
      <c r="AB527" s="70">
        <f t="shared" si="152"/>
        <v>0</v>
      </c>
      <c r="AC527" s="70">
        <f t="shared" si="153"/>
        <v>0</v>
      </c>
      <c r="AD527" s="71">
        <f t="shared" si="154"/>
        <v>0</v>
      </c>
      <c r="AE527" s="49"/>
      <c r="AF527" s="21"/>
      <c r="AG527" s="69"/>
      <c r="AH527" s="70"/>
      <c r="AI527" s="70"/>
      <c r="AJ527" s="70"/>
      <c r="AK527" s="70"/>
      <c r="AL527" s="70"/>
      <c r="AM527" s="70"/>
      <c r="AN527" s="70" t="str">
        <f t="shared" si="155"/>
        <v>---</v>
      </c>
      <c r="AO527" s="70" t="str">
        <f t="shared" si="156"/>
        <v>---</v>
      </c>
      <c r="AP527" s="70" t="str">
        <f t="shared" si="157"/>
        <v>---</v>
      </c>
      <c r="AQ527" s="70" t="str">
        <f t="shared" si="158"/>
        <v>---</v>
      </c>
      <c r="AR527" s="70" t="str">
        <f t="shared" si="159"/>
        <v>---</v>
      </c>
      <c r="AS527" s="70" t="str">
        <f t="shared" si="160"/>
        <v>---</v>
      </c>
      <c r="AT527" s="71" t="str">
        <f t="shared" si="161"/>
        <v>---</v>
      </c>
    </row>
    <row r="528" spans="1:46" ht="30" customHeight="1" x14ac:dyDescent="0.3">
      <c r="A528" s="123">
        <f t="shared" si="145"/>
        <v>524</v>
      </c>
      <c r="B528" s="140">
        <f>INDEX('PEER GROUP'!B:B,MATCH($A528,'PEER GROUP'!$A:$A,0))</f>
        <v>0</v>
      </c>
      <c r="C528" s="83">
        <f>INDEX('PEER GROUP'!C:C,MATCH($A528,'PEER GROUP'!$A:$A,0))</f>
        <v>0</v>
      </c>
      <c r="D528" s="83">
        <f>INDEX('PEER GROUP'!D:D,MATCH($A528,'PEER GROUP'!$A:$A,0))</f>
        <v>0</v>
      </c>
      <c r="E528" s="83">
        <f>INDEX('PEER GROUP'!E:E,MATCH(A528,'PEER GROUP'!$A:$A,0))</f>
        <v>0</v>
      </c>
      <c r="F528" s="84">
        <f>INDEX('PEER GROUP'!F:F,MATCH($A528,'PEER GROUP'!$A:$A,0))</f>
        <v>0</v>
      </c>
      <c r="G528" s="84">
        <f>INDEX('PEER GROUP'!G:G,MATCH($A528,'PEER GROUP'!$A:$A,0))</f>
        <v>0</v>
      </c>
      <c r="H528" s="85"/>
      <c r="I528" s="85"/>
      <c r="J528" s="70">
        <f>INDEX('PEER GROUP'!K:K,MATCH($A528,'PEER GROUP'!$A:$A,0))</f>
        <v>0</v>
      </c>
      <c r="K528" s="70">
        <f>INDEX('PEER GROUP'!L:L,MATCH($A528,'PEER GROUP'!$A:$A,0))</f>
        <v>0</v>
      </c>
      <c r="L528" s="70">
        <f>INDEX('PEER GROUP'!M:M,MATCH($A528,'PEER GROUP'!$A:$A,0))</f>
        <v>0</v>
      </c>
      <c r="M528" s="86">
        <f>INDEX('PEER GROUP'!N:N,MATCH($A528,'PEER GROUP'!$A:$A,0))</f>
        <v>0</v>
      </c>
      <c r="N528" s="118"/>
      <c r="O528" s="115"/>
      <c r="P528" s="117"/>
      <c r="Q528" s="87"/>
      <c r="R528" s="87">
        <f t="shared" si="146"/>
        <v>0</v>
      </c>
      <c r="S528" s="87"/>
      <c r="T528" s="87"/>
      <c r="U528" s="87"/>
      <c r="V528" s="87">
        <f t="shared" si="147"/>
        <v>0</v>
      </c>
      <c r="W528" s="113">
        <f t="shared" si="144"/>
        <v>36.913096727263202</v>
      </c>
      <c r="X528" s="69">
        <f t="shared" si="148"/>
        <v>0</v>
      </c>
      <c r="Y528" s="70">
        <f t="shared" si="149"/>
        <v>0</v>
      </c>
      <c r="Z528" s="70">
        <f t="shared" si="150"/>
        <v>0</v>
      </c>
      <c r="AA528" s="70">
        <f t="shared" si="151"/>
        <v>0</v>
      </c>
      <c r="AB528" s="70">
        <f t="shared" si="152"/>
        <v>0</v>
      </c>
      <c r="AC528" s="70">
        <f t="shared" si="153"/>
        <v>0</v>
      </c>
      <c r="AD528" s="71">
        <f t="shared" si="154"/>
        <v>0</v>
      </c>
      <c r="AE528" s="49"/>
      <c r="AF528" s="21"/>
      <c r="AG528" s="69"/>
      <c r="AH528" s="70"/>
      <c r="AI528" s="70"/>
      <c r="AJ528" s="70"/>
      <c r="AK528" s="70"/>
      <c r="AL528" s="70"/>
      <c r="AM528" s="70"/>
      <c r="AN528" s="70" t="str">
        <f t="shared" si="155"/>
        <v>---</v>
      </c>
      <c r="AO528" s="70" t="str">
        <f t="shared" si="156"/>
        <v>---</v>
      </c>
      <c r="AP528" s="70" t="str">
        <f t="shared" si="157"/>
        <v>---</v>
      </c>
      <c r="AQ528" s="70" t="str">
        <f t="shared" si="158"/>
        <v>---</v>
      </c>
      <c r="AR528" s="70" t="str">
        <f t="shared" si="159"/>
        <v>---</v>
      </c>
      <c r="AS528" s="70" t="str">
        <f t="shared" si="160"/>
        <v>---</v>
      </c>
      <c r="AT528" s="71" t="str">
        <f t="shared" si="161"/>
        <v>---</v>
      </c>
    </row>
    <row r="529" spans="1:46" ht="30" customHeight="1" x14ac:dyDescent="0.3">
      <c r="A529" s="123">
        <f t="shared" si="145"/>
        <v>525</v>
      </c>
      <c r="B529" s="140">
        <f>INDEX('PEER GROUP'!B:B,MATCH($A529,'PEER GROUP'!$A:$A,0))</f>
        <v>0</v>
      </c>
      <c r="C529" s="83">
        <f>INDEX('PEER GROUP'!C:C,MATCH($A529,'PEER GROUP'!$A:$A,0))</f>
        <v>0</v>
      </c>
      <c r="D529" s="83">
        <f>INDEX('PEER GROUP'!D:D,MATCH($A529,'PEER GROUP'!$A:$A,0))</f>
        <v>0</v>
      </c>
      <c r="E529" s="83">
        <f>INDEX('PEER GROUP'!E:E,MATCH(A529,'PEER GROUP'!$A:$A,0))</f>
        <v>0</v>
      </c>
      <c r="F529" s="84">
        <f>INDEX('PEER GROUP'!F:F,MATCH($A529,'PEER GROUP'!$A:$A,0))</f>
        <v>0</v>
      </c>
      <c r="G529" s="84">
        <f>INDEX('PEER GROUP'!G:G,MATCH($A529,'PEER GROUP'!$A:$A,0))</f>
        <v>0</v>
      </c>
      <c r="H529" s="85"/>
      <c r="I529" s="85"/>
      <c r="J529" s="70">
        <f>INDEX('PEER GROUP'!K:K,MATCH($A529,'PEER GROUP'!$A:$A,0))</f>
        <v>0</v>
      </c>
      <c r="K529" s="70">
        <f>INDEX('PEER GROUP'!L:L,MATCH($A529,'PEER GROUP'!$A:$A,0))</f>
        <v>0</v>
      </c>
      <c r="L529" s="70">
        <f>INDEX('PEER GROUP'!M:M,MATCH($A529,'PEER GROUP'!$A:$A,0))</f>
        <v>0</v>
      </c>
      <c r="M529" s="86">
        <f>INDEX('PEER GROUP'!N:N,MATCH($A529,'PEER GROUP'!$A:$A,0))</f>
        <v>0</v>
      </c>
      <c r="N529" s="118"/>
      <c r="O529" s="115"/>
      <c r="P529" s="117"/>
      <c r="Q529" s="87"/>
      <c r="R529" s="87">
        <f t="shared" si="146"/>
        <v>0</v>
      </c>
      <c r="S529" s="87"/>
      <c r="T529" s="87"/>
      <c r="U529" s="87"/>
      <c r="V529" s="87">
        <f t="shared" si="147"/>
        <v>0</v>
      </c>
      <c r="W529" s="113">
        <f t="shared" si="144"/>
        <v>36.913096727263202</v>
      </c>
      <c r="X529" s="69">
        <f t="shared" si="148"/>
        <v>0</v>
      </c>
      <c r="Y529" s="70">
        <f t="shared" si="149"/>
        <v>0</v>
      </c>
      <c r="Z529" s="70">
        <f t="shared" si="150"/>
        <v>0</v>
      </c>
      <c r="AA529" s="70">
        <f t="shared" si="151"/>
        <v>0</v>
      </c>
      <c r="AB529" s="70">
        <f t="shared" si="152"/>
        <v>0</v>
      </c>
      <c r="AC529" s="70">
        <f t="shared" si="153"/>
        <v>0</v>
      </c>
      <c r="AD529" s="71">
        <f t="shared" si="154"/>
        <v>0</v>
      </c>
      <c r="AE529" s="49"/>
      <c r="AF529" s="21"/>
      <c r="AG529" s="69"/>
      <c r="AH529" s="70"/>
      <c r="AI529" s="70"/>
      <c r="AJ529" s="70"/>
      <c r="AK529" s="70"/>
      <c r="AL529" s="70"/>
      <c r="AM529" s="70"/>
      <c r="AN529" s="70" t="str">
        <f t="shared" si="155"/>
        <v>---</v>
      </c>
      <c r="AO529" s="70" t="str">
        <f t="shared" si="156"/>
        <v>---</v>
      </c>
      <c r="AP529" s="70" t="str">
        <f t="shared" si="157"/>
        <v>---</v>
      </c>
      <c r="AQ529" s="70" t="str">
        <f t="shared" si="158"/>
        <v>---</v>
      </c>
      <c r="AR529" s="70" t="str">
        <f t="shared" si="159"/>
        <v>---</v>
      </c>
      <c r="AS529" s="70" t="str">
        <f t="shared" si="160"/>
        <v>---</v>
      </c>
      <c r="AT529" s="71" t="str">
        <f t="shared" si="161"/>
        <v>---</v>
      </c>
    </row>
    <row r="530" spans="1:46" ht="30" customHeight="1" x14ac:dyDescent="0.3">
      <c r="A530" s="123">
        <f t="shared" si="145"/>
        <v>526</v>
      </c>
      <c r="B530" s="140">
        <f>INDEX('PEER GROUP'!B:B,MATCH($A530,'PEER GROUP'!$A:$A,0))</f>
        <v>0</v>
      </c>
      <c r="C530" s="83">
        <f>INDEX('PEER GROUP'!C:C,MATCH($A530,'PEER GROUP'!$A:$A,0))</f>
        <v>0</v>
      </c>
      <c r="D530" s="83">
        <f>INDEX('PEER GROUP'!D:D,MATCH($A530,'PEER GROUP'!$A:$A,0))</f>
        <v>0</v>
      </c>
      <c r="E530" s="83">
        <f>INDEX('PEER GROUP'!E:E,MATCH(A530,'PEER GROUP'!$A:$A,0))</f>
        <v>0</v>
      </c>
      <c r="F530" s="84">
        <f>INDEX('PEER GROUP'!F:F,MATCH($A530,'PEER GROUP'!$A:$A,0))</f>
        <v>0</v>
      </c>
      <c r="G530" s="84">
        <f>INDEX('PEER GROUP'!G:G,MATCH($A530,'PEER GROUP'!$A:$A,0))</f>
        <v>0</v>
      </c>
      <c r="H530" s="85"/>
      <c r="I530" s="85"/>
      <c r="J530" s="70">
        <f>INDEX('PEER GROUP'!K:K,MATCH($A530,'PEER GROUP'!$A:$A,0))</f>
        <v>0</v>
      </c>
      <c r="K530" s="70">
        <f>INDEX('PEER GROUP'!L:L,MATCH($A530,'PEER GROUP'!$A:$A,0))</f>
        <v>0</v>
      </c>
      <c r="L530" s="70">
        <f>INDEX('PEER GROUP'!M:M,MATCH($A530,'PEER GROUP'!$A:$A,0))</f>
        <v>0</v>
      </c>
      <c r="M530" s="86">
        <f>INDEX('PEER GROUP'!N:N,MATCH($A530,'PEER GROUP'!$A:$A,0))</f>
        <v>0</v>
      </c>
      <c r="N530" s="118"/>
      <c r="O530" s="115"/>
      <c r="P530" s="117"/>
      <c r="Q530" s="87"/>
      <c r="R530" s="87">
        <f t="shared" si="146"/>
        <v>0</v>
      </c>
      <c r="S530" s="87"/>
      <c r="T530" s="87"/>
      <c r="U530" s="87"/>
      <c r="V530" s="87">
        <f t="shared" si="147"/>
        <v>0</v>
      </c>
      <c r="W530" s="113">
        <f t="shared" si="144"/>
        <v>36.913096727263202</v>
      </c>
      <c r="X530" s="69">
        <f t="shared" si="148"/>
        <v>0</v>
      </c>
      <c r="Y530" s="70">
        <f t="shared" si="149"/>
        <v>0</v>
      </c>
      <c r="Z530" s="70">
        <f t="shared" si="150"/>
        <v>0</v>
      </c>
      <c r="AA530" s="70">
        <f t="shared" si="151"/>
        <v>0</v>
      </c>
      <c r="AB530" s="70">
        <f t="shared" si="152"/>
        <v>0</v>
      </c>
      <c r="AC530" s="70">
        <f t="shared" si="153"/>
        <v>0</v>
      </c>
      <c r="AD530" s="71">
        <f t="shared" si="154"/>
        <v>0</v>
      </c>
      <c r="AE530" s="49"/>
      <c r="AF530" s="21"/>
      <c r="AG530" s="69"/>
      <c r="AH530" s="70"/>
      <c r="AI530" s="70"/>
      <c r="AJ530" s="70"/>
      <c r="AK530" s="70"/>
      <c r="AL530" s="70"/>
      <c r="AM530" s="70"/>
      <c r="AN530" s="70" t="str">
        <f t="shared" si="155"/>
        <v>---</v>
      </c>
      <c r="AO530" s="70" t="str">
        <f t="shared" si="156"/>
        <v>---</v>
      </c>
      <c r="AP530" s="70" t="str">
        <f t="shared" si="157"/>
        <v>---</v>
      </c>
      <c r="AQ530" s="70" t="str">
        <f t="shared" si="158"/>
        <v>---</v>
      </c>
      <c r="AR530" s="70" t="str">
        <f t="shared" si="159"/>
        <v>---</v>
      </c>
      <c r="AS530" s="70" t="str">
        <f t="shared" si="160"/>
        <v>---</v>
      </c>
      <c r="AT530" s="71" t="str">
        <f t="shared" si="161"/>
        <v>---</v>
      </c>
    </row>
    <row r="531" spans="1:46" ht="30" customHeight="1" x14ac:dyDescent="0.3">
      <c r="A531" s="123">
        <f t="shared" si="145"/>
        <v>527</v>
      </c>
      <c r="B531" s="140">
        <f>INDEX('PEER GROUP'!B:B,MATCH($A531,'PEER GROUP'!$A:$A,0))</f>
        <v>0</v>
      </c>
      <c r="C531" s="83">
        <f>INDEX('PEER GROUP'!C:C,MATCH($A531,'PEER GROUP'!$A:$A,0))</f>
        <v>0</v>
      </c>
      <c r="D531" s="83">
        <f>INDEX('PEER GROUP'!D:D,MATCH($A531,'PEER GROUP'!$A:$A,0))</f>
        <v>0</v>
      </c>
      <c r="E531" s="83">
        <f>INDEX('PEER GROUP'!E:E,MATCH(A531,'PEER GROUP'!$A:$A,0))</f>
        <v>0</v>
      </c>
      <c r="F531" s="84">
        <f>INDEX('PEER GROUP'!F:F,MATCH($A531,'PEER GROUP'!$A:$A,0))</f>
        <v>0</v>
      </c>
      <c r="G531" s="84">
        <f>INDEX('PEER GROUP'!G:G,MATCH($A531,'PEER GROUP'!$A:$A,0))</f>
        <v>0</v>
      </c>
      <c r="H531" s="85"/>
      <c r="I531" s="85"/>
      <c r="J531" s="70">
        <f>INDEX('PEER GROUP'!K:K,MATCH($A531,'PEER GROUP'!$A:$A,0))</f>
        <v>0</v>
      </c>
      <c r="K531" s="70">
        <f>INDEX('PEER GROUP'!L:L,MATCH($A531,'PEER GROUP'!$A:$A,0))</f>
        <v>0</v>
      </c>
      <c r="L531" s="70">
        <f>INDEX('PEER GROUP'!M:M,MATCH($A531,'PEER GROUP'!$A:$A,0))</f>
        <v>0</v>
      </c>
      <c r="M531" s="86">
        <f>INDEX('PEER GROUP'!N:N,MATCH($A531,'PEER GROUP'!$A:$A,0))</f>
        <v>0</v>
      </c>
      <c r="N531" s="118"/>
      <c r="O531" s="115"/>
      <c r="P531" s="117"/>
      <c r="Q531" s="87"/>
      <c r="R531" s="87">
        <f t="shared" si="146"/>
        <v>0</v>
      </c>
      <c r="S531" s="87"/>
      <c r="T531" s="87"/>
      <c r="U531" s="87"/>
      <c r="V531" s="87">
        <f t="shared" si="147"/>
        <v>0</v>
      </c>
      <c r="W531" s="113">
        <f t="shared" si="144"/>
        <v>36.913096727263202</v>
      </c>
      <c r="X531" s="69">
        <f t="shared" si="148"/>
        <v>0</v>
      </c>
      <c r="Y531" s="70">
        <f t="shared" si="149"/>
        <v>0</v>
      </c>
      <c r="Z531" s="70">
        <f t="shared" si="150"/>
        <v>0</v>
      </c>
      <c r="AA531" s="70">
        <f t="shared" si="151"/>
        <v>0</v>
      </c>
      <c r="AB531" s="70">
        <f t="shared" si="152"/>
        <v>0</v>
      </c>
      <c r="AC531" s="70">
        <f t="shared" si="153"/>
        <v>0</v>
      </c>
      <c r="AD531" s="71">
        <f t="shared" si="154"/>
        <v>0</v>
      </c>
      <c r="AE531" s="49"/>
      <c r="AF531" s="21"/>
      <c r="AG531" s="69"/>
      <c r="AH531" s="70"/>
      <c r="AI531" s="70"/>
      <c r="AJ531" s="70"/>
      <c r="AK531" s="70"/>
      <c r="AL531" s="70"/>
      <c r="AM531" s="70"/>
      <c r="AN531" s="70" t="str">
        <f t="shared" si="155"/>
        <v>---</v>
      </c>
      <c r="AO531" s="70" t="str">
        <f t="shared" si="156"/>
        <v>---</v>
      </c>
      <c r="AP531" s="70" t="str">
        <f t="shared" si="157"/>
        <v>---</v>
      </c>
      <c r="AQ531" s="70" t="str">
        <f t="shared" si="158"/>
        <v>---</v>
      </c>
      <c r="AR531" s="70" t="str">
        <f t="shared" si="159"/>
        <v>---</v>
      </c>
      <c r="AS531" s="70" t="str">
        <f t="shared" si="160"/>
        <v>---</v>
      </c>
      <c r="AT531" s="71" t="str">
        <f t="shared" si="161"/>
        <v>---</v>
      </c>
    </row>
    <row r="532" spans="1:46" ht="30" customHeight="1" x14ac:dyDescent="0.3">
      <c r="A532" s="123">
        <f t="shared" si="145"/>
        <v>528</v>
      </c>
      <c r="B532" s="140">
        <f>INDEX('PEER GROUP'!B:B,MATCH($A532,'PEER GROUP'!$A:$A,0))</f>
        <v>0</v>
      </c>
      <c r="C532" s="83">
        <f>INDEX('PEER GROUP'!C:C,MATCH($A532,'PEER GROUP'!$A:$A,0))</f>
        <v>0</v>
      </c>
      <c r="D532" s="83">
        <f>INDEX('PEER GROUP'!D:D,MATCH($A532,'PEER GROUP'!$A:$A,0))</f>
        <v>0</v>
      </c>
      <c r="E532" s="83">
        <f>INDEX('PEER GROUP'!E:E,MATCH(A532,'PEER GROUP'!$A:$A,0))</f>
        <v>0</v>
      </c>
      <c r="F532" s="84">
        <f>INDEX('PEER GROUP'!F:F,MATCH($A532,'PEER GROUP'!$A:$A,0))</f>
        <v>0</v>
      </c>
      <c r="G532" s="84">
        <f>INDEX('PEER GROUP'!G:G,MATCH($A532,'PEER GROUP'!$A:$A,0))</f>
        <v>0</v>
      </c>
      <c r="H532" s="85"/>
      <c r="I532" s="85"/>
      <c r="J532" s="70">
        <f>INDEX('PEER GROUP'!K:K,MATCH($A532,'PEER GROUP'!$A:$A,0))</f>
        <v>0</v>
      </c>
      <c r="K532" s="70">
        <f>INDEX('PEER GROUP'!L:L,MATCH($A532,'PEER GROUP'!$A:$A,0))</f>
        <v>0</v>
      </c>
      <c r="L532" s="70">
        <f>INDEX('PEER GROUP'!M:M,MATCH($A532,'PEER GROUP'!$A:$A,0))</f>
        <v>0</v>
      </c>
      <c r="M532" s="86">
        <f>INDEX('PEER GROUP'!N:N,MATCH($A532,'PEER GROUP'!$A:$A,0))</f>
        <v>0</v>
      </c>
      <c r="N532" s="118"/>
      <c r="O532" s="115"/>
      <c r="P532" s="117"/>
      <c r="Q532" s="87"/>
      <c r="R532" s="87">
        <f t="shared" si="146"/>
        <v>0</v>
      </c>
      <c r="S532" s="87"/>
      <c r="T532" s="87"/>
      <c r="U532" s="87"/>
      <c r="V532" s="87">
        <f t="shared" si="147"/>
        <v>0</v>
      </c>
      <c r="W532" s="113">
        <f t="shared" si="144"/>
        <v>36.913096727263202</v>
      </c>
      <c r="X532" s="69">
        <f t="shared" si="148"/>
        <v>0</v>
      </c>
      <c r="Y532" s="70">
        <f t="shared" si="149"/>
        <v>0</v>
      </c>
      <c r="Z532" s="70">
        <f t="shared" si="150"/>
        <v>0</v>
      </c>
      <c r="AA532" s="70">
        <f t="shared" si="151"/>
        <v>0</v>
      </c>
      <c r="AB532" s="70">
        <f t="shared" si="152"/>
        <v>0</v>
      </c>
      <c r="AC532" s="70">
        <f t="shared" si="153"/>
        <v>0</v>
      </c>
      <c r="AD532" s="71">
        <f t="shared" si="154"/>
        <v>0</v>
      </c>
      <c r="AE532" s="49"/>
      <c r="AF532" s="21"/>
      <c r="AG532" s="69"/>
      <c r="AH532" s="70"/>
      <c r="AI532" s="70"/>
      <c r="AJ532" s="70"/>
      <c r="AK532" s="70"/>
      <c r="AL532" s="70"/>
      <c r="AM532" s="70"/>
      <c r="AN532" s="70" t="str">
        <f t="shared" si="155"/>
        <v>---</v>
      </c>
      <c r="AO532" s="70" t="str">
        <f t="shared" si="156"/>
        <v>---</v>
      </c>
      <c r="AP532" s="70" t="str">
        <f t="shared" si="157"/>
        <v>---</v>
      </c>
      <c r="AQ532" s="70" t="str">
        <f t="shared" si="158"/>
        <v>---</v>
      </c>
      <c r="AR532" s="70" t="str">
        <f t="shared" si="159"/>
        <v>---</v>
      </c>
      <c r="AS532" s="70" t="str">
        <f t="shared" si="160"/>
        <v>---</v>
      </c>
      <c r="AT532" s="71" t="str">
        <f t="shared" si="161"/>
        <v>---</v>
      </c>
    </row>
    <row r="533" spans="1:46" ht="30" customHeight="1" x14ac:dyDescent="0.3">
      <c r="A533" s="123">
        <f t="shared" si="145"/>
        <v>529</v>
      </c>
      <c r="B533" s="140">
        <f>INDEX('PEER GROUP'!B:B,MATCH($A533,'PEER GROUP'!$A:$A,0))</f>
        <v>0</v>
      </c>
      <c r="C533" s="83">
        <f>INDEX('PEER GROUP'!C:C,MATCH($A533,'PEER GROUP'!$A:$A,0))</f>
        <v>0</v>
      </c>
      <c r="D533" s="83">
        <f>INDEX('PEER GROUP'!D:D,MATCH($A533,'PEER GROUP'!$A:$A,0))</f>
        <v>0</v>
      </c>
      <c r="E533" s="83">
        <f>INDEX('PEER GROUP'!E:E,MATCH(A533,'PEER GROUP'!$A:$A,0))</f>
        <v>0</v>
      </c>
      <c r="F533" s="84">
        <f>INDEX('PEER GROUP'!F:F,MATCH($A533,'PEER GROUP'!$A:$A,0))</f>
        <v>0</v>
      </c>
      <c r="G533" s="84">
        <f>INDEX('PEER GROUP'!G:G,MATCH($A533,'PEER GROUP'!$A:$A,0))</f>
        <v>0</v>
      </c>
      <c r="H533" s="85"/>
      <c r="I533" s="85"/>
      <c r="J533" s="70">
        <f>INDEX('PEER GROUP'!K:K,MATCH($A533,'PEER GROUP'!$A:$A,0))</f>
        <v>0</v>
      </c>
      <c r="K533" s="70">
        <f>INDEX('PEER GROUP'!L:L,MATCH($A533,'PEER GROUP'!$A:$A,0))</f>
        <v>0</v>
      </c>
      <c r="L533" s="70">
        <f>INDEX('PEER GROUP'!M:M,MATCH($A533,'PEER GROUP'!$A:$A,0))</f>
        <v>0</v>
      </c>
      <c r="M533" s="86">
        <f>INDEX('PEER GROUP'!N:N,MATCH($A533,'PEER GROUP'!$A:$A,0))</f>
        <v>0</v>
      </c>
      <c r="N533" s="118"/>
      <c r="O533" s="115"/>
      <c r="P533" s="117"/>
      <c r="Q533" s="87"/>
      <c r="R533" s="87">
        <f t="shared" si="146"/>
        <v>0</v>
      </c>
      <c r="S533" s="87"/>
      <c r="T533" s="87"/>
      <c r="U533" s="87"/>
      <c r="V533" s="87">
        <f t="shared" si="147"/>
        <v>0</v>
      </c>
      <c r="W533" s="113">
        <f t="shared" si="144"/>
        <v>36.913096727263202</v>
      </c>
      <c r="X533" s="69">
        <f t="shared" si="148"/>
        <v>0</v>
      </c>
      <c r="Y533" s="70">
        <f t="shared" si="149"/>
        <v>0</v>
      </c>
      <c r="Z533" s="70">
        <f t="shared" si="150"/>
        <v>0</v>
      </c>
      <c r="AA533" s="70">
        <f t="shared" si="151"/>
        <v>0</v>
      </c>
      <c r="AB533" s="70">
        <f t="shared" si="152"/>
        <v>0</v>
      </c>
      <c r="AC533" s="70">
        <f t="shared" si="153"/>
        <v>0</v>
      </c>
      <c r="AD533" s="71">
        <f t="shared" si="154"/>
        <v>0</v>
      </c>
      <c r="AE533" s="49"/>
      <c r="AF533" s="21"/>
      <c r="AG533" s="69"/>
      <c r="AH533" s="70"/>
      <c r="AI533" s="70"/>
      <c r="AJ533" s="70"/>
      <c r="AK533" s="70"/>
      <c r="AL533" s="70"/>
      <c r="AM533" s="70"/>
      <c r="AN533" s="70" t="str">
        <f t="shared" si="155"/>
        <v>---</v>
      </c>
      <c r="AO533" s="70" t="str">
        <f t="shared" si="156"/>
        <v>---</v>
      </c>
      <c r="AP533" s="70" t="str">
        <f t="shared" si="157"/>
        <v>---</v>
      </c>
      <c r="AQ533" s="70" t="str">
        <f t="shared" si="158"/>
        <v>---</v>
      </c>
      <c r="AR533" s="70" t="str">
        <f t="shared" si="159"/>
        <v>---</v>
      </c>
      <c r="AS533" s="70" t="str">
        <f t="shared" si="160"/>
        <v>---</v>
      </c>
      <c r="AT533" s="71" t="str">
        <f t="shared" si="161"/>
        <v>---</v>
      </c>
    </row>
    <row r="534" spans="1:46" ht="30" customHeight="1" x14ac:dyDescent="0.3">
      <c r="A534" s="123">
        <f t="shared" si="145"/>
        <v>530</v>
      </c>
      <c r="B534" s="140">
        <f>INDEX('PEER GROUP'!B:B,MATCH($A534,'PEER GROUP'!$A:$A,0))</f>
        <v>0</v>
      </c>
      <c r="C534" s="83">
        <f>INDEX('PEER GROUP'!C:C,MATCH($A534,'PEER GROUP'!$A:$A,0))</f>
        <v>0</v>
      </c>
      <c r="D534" s="83">
        <f>INDEX('PEER GROUP'!D:D,MATCH($A534,'PEER GROUP'!$A:$A,0))</f>
        <v>0</v>
      </c>
      <c r="E534" s="83">
        <f>INDEX('PEER GROUP'!E:E,MATCH(A534,'PEER GROUP'!$A:$A,0))</f>
        <v>0</v>
      </c>
      <c r="F534" s="84">
        <f>INDEX('PEER GROUP'!F:F,MATCH($A534,'PEER GROUP'!$A:$A,0))</f>
        <v>0</v>
      </c>
      <c r="G534" s="84">
        <f>INDEX('PEER GROUP'!G:G,MATCH($A534,'PEER GROUP'!$A:$A,0))</f>
        <v>0</v>
      </c>
      <c r="H534" s="85"/>
      <c r="I534" s="85"/>
      <c r="J534" s="70">
        <f>INDEX('PEER GROUP'!K:K,MATCH($A534,'PEER GROUP'!$A:$A,0))</f>
        <v>0</v>
      </c>
      <c r="K534" s="70">
        <f>INDEX('PEER GROUP'!L:L,MATCH($A534,'PEER GROUP'!$A:$A,0))</f>
        <v>0</v>
      </c>
      <c r="L534" s="70">
        <f>INDEX('PEER GROUP'!M:M,MATCH($A534,'PEER GROUP'!$A:$A,0))</f>
        <v>0</v>
      </c>
      <c r="M534" s="86">
        <f>INDEX('PEER GROUP'!N:N,MATCH($A534,'PEER GROUP'!$A:$A,0))</f>
        <v>0</v>
      </c>
      <c r="N534" s="118"/>
      <c r="O534" s="115"/>
      <c r="P534" s="117"/>
      <c r="Q534" s="87"/>
      <c r="R534" s="87">
        <f t="shared" si="146"/>
        <v>0</v>
      </c>
      <c r="S534" s="87"/>
      <c r="T534" s="87"/>
      <c r="U534" s="87"/>
      <c r="V534" s="87">
        <f t="shared" si="147"/>
        <v>0</v>
      </c>
      <c r="W534" s="113">
        <f t="shared" si="144"/>
        <v>36.913096727263202</v>
      </c>
      <c r="X534" s="69">
        <f t="shared" si="148"/>
        <v>0</v>
      </c>
      <c r="Y534" s="70">
        <f t="shared" si="149"/>
        <v>0</v>
      </c>
      <c r="Z534" s="70">
        <f t="shared" si="150"/>
        <v>0</v>
      </c>
      <c r="AA534" s="70">
        <f t="shared" si="151"/>
        <v>0</v>
      </c>
      <c r="AB534" s="70">
        <f t="shared" si="152"/>
        <v>0</v>
      </c>
      <c r="AC534" s="70">
        <f t="shared" si="153"/>
        <v>0</v>
      </c>
      <c r="AD534" s="71">
        <f t="shared" si="154"/>
        <v>0</v>
      </c>
      <c r="AE534" s="49"/>
      <c r="AF534" s="21"/>
      <c r="AG534" s="69"/>
      <c r="AH534" s="70"/>
      <c r="AI534" s="70"/>
      <c r="AJ534" s="70"/>
      <c r="AK534" s="70"/>
      <c r="AL534" s="70"/>
      <c r="AM534" s="70"/>
      <c r="AN534" s="70" t="str">
        <f t="shared" si="155"/>
        <v>---</v>
      </c>
      <c r="AO534" s="70" t="str">
        <f t="shared" si="156"/>
        <v>---</v>
      </c>
      <c r="AP534" s="70" t="str">
        <f t="shared" si="157"/>
        <v>---</v>
      </c>
      <c r="AQ534" s="70" t="str">
        <f t="shared" si="158"/>
        <v>---</v>
      </c>
      <c r="AR534" s="70" t="str">
        <f t="shared" si="159"/>
        <v>---</v>
      </c>
      <c r="AS534" s="70" t="str">
        <f t="shared" si="160"/>
        <v>---</v>
      </c>
      <c r="AT534" s="71" t="str">
        <f t="shared" si="161"/>
        <v>---</v>
      </c>
    </row>
    <row r="535" spans="1:46" ht="30" customHeight="1" x14ac:dyDescent="0.3">
      <c r="A535" s="123">
        <f t="shared" si="145"/>
        <v>531</v>
      </c>
      <c r="B535" s="140">
        <f>INDEX('PEER GROUP'!B:B,MATCH($A535,'PEER GROUP'!$A:$A,0))</f>
        <v>0</v>
      </c>
      <c r="C535" s="83">
        <f>INDEX('PEER GROUP'!C:C,MATCH($A535,'PEER GROUP'!$A:$A,0))</f>
        <v>0</v>
      </c>
      <c r="D535" s="83">
        <f>INDEX('PEER GROUP'!D:D,MATCH($A535,'PEER GROUP'!$A:$A,0))</f>
        <v>0</v>
      </c>
      <c r="E535" s="83">
        <f>INDEX('PEER GROUP'!E:E,MATCH(A535,'PEER GROUP'!$A:$A,0))</f>
        <v>0</v>
      </c>
      <c r="F535" s="84">
        <f>INDEX('PEER GROUP'!F:F,MATCH($A535,'PEER GROUP'!$A:$A,0))</f>
        <v>0</v>
      </c>
      <c r="G535" s="84">
        <f>INDEX('PEER GROUP'!G:G,MATCH($A535,'PEER GROUP'!$A:$A,0))</f>
        <v>0</v>
      </c>
      <c r="H535" s="85"/>
      <c r="I535" s="85"/>
      <c r="J535" s="70">
        <f>INDEX('PEER GROUP'!K:K,MATCH($A535,'PEER GROUP'!$A:$A,0))</f>
        <v>0</v>
      </c>
      <c r="K535" s="70">
        <f>INDEX('PEER GROUP'!L:L,MATCH($A535,'PEER GROUP'!$A:$A,0))</f>
        <v>0</v>
      </c>
      <c r="L535" s="70">
        <f>INDEX('PEER GROUP'!M:M,MATCH($A535,'PEER GROUP'!$A:$A,0))</f>
        <v>0</v>
      </c>
      <c r="M535" s="86">
        <f>INDEX('PEER GROUP'!N:N,MATCH($A535,'PEER GROUP'!$A:$A,0))</f>
        <v>0</v>
      </c>
      <c r="N535" s="118"/>
      <c r="O535" s="115"/>
      <c r="P535" s="117"/>
      <c r="Q535" s="87"/>
      <c r="R535" s="87">
        <f t="shared" si="146"/>
        <v>0</v>
      </c>
      <c r="S535" s="87"/>
      <c r="T535" s="87"/>
      <c r="U535" s="87"/>
      <c r="V535" s="87">
        <f t="shared" si="147"/>
        <v>0</v>
      </c>
      <c r="W535" s="113">
        <f t="shared" si="144"/>
        <v>36.913096727263202</v>
      </c>
      <c r="X535" s="69">
        <f t="shared" si="148"/>
        <v>0</v>
      </c>
      <c r="Y535" s="70">
        <f t="shared" si="149"/>
        <v>0</v>
      </c>
      <c r="Z535" s="70">
        <f t="shared" si="150"/>
        <v>0</v>
      </c>
      <c r="AA535" s="70">
        <f t="shared" si="151"/>
        <v>0</v>
      </c>
      <c r="AB535" s="70">
        <f t="shared" si="152"/>
        <v>0</v>
      </c>
      <c r="AC535" s="70">
        <f t="shared" si="153"/>
        <v>0</v>
      </c>
      <c r="AD535" s="71">
        <f t="shared" si="154"/>
        <v>0</v>
      </c>
      <c r="AE535" s="49"/>
      <c r="AF535" s="21"/>
      <c r="AG535" s="69"/>
      <c r="AH535" s="70"/>
      <c r="AI535" s="70"/>
      <c r="AJ535" s="70"/>
      <c r="AK535" s="70"/>
      <c r="AL535" s="70"/>
      <c r="AM535" s="70"/>
      <c r="AN535" s="70" t="str">
        <f t="shared" si="155"/>
        <v>---</v>
      </c>
      <c r="AO535" s="70" t="str">
        <f t="shared" si="156"/>
        <v>---</v>
      </c>
      <c r="AP535" s="70" t="str">
        <f t="shared" si="157"/>
        <v>---</v>
      </c>
      <c r="AQ535" s="70" t="str">
        <f t="shared" si="158"/>
        <v>---</v>
      </c>
      <c r="AR535" s="70" t="str">
        <f t="shared" si="159"/>
        <v>---</v>
      </c>
      <c r="AS535" s="70" t="str">
        <f t="shared" si="160"/>
        <v>---</v>
      </c>
      <c r="AT535" s="71" t="str">
        <f t="shared" si="161"/>
        <v>---</v>
      </c>
    </row>
    <row r="536" spans="1:46" ht="30" customHeight="1" x14ac:dyDescent="0.3">
      <c r="A536" s="123">
        <f t="shared" si="145"/>
        <v>532</v>
      </c>
      <c r="B536" s="140">
        <f>INDEX('PEER GROUP'!B:B,MATCH($A536,'PEER GROUP'!$A:$A,0))</f>
        <v>0</v>
      </c>
      <c r="C536" s="83">
        <f>INDEX('PEER GROUP'!C:C,MATCH($A536,'PEER GROUP'!$A:$A,0))</f>
        <v>0</v>
      </c>
      <c r="D536" s="83">
        <f>INDEX('PEER GROUP'!D:D,MATCH($A536,'PEER GROUP'!$A:$A,0))</f>
        <v>0</v>
      </c>
      <c r="E536" s="83">
        <f>INDEX('PEER GROUP'!E:E,MATCH(A536,'PEER GROUP'!$A:$A,0))</f>
        <v>0</v>
      </c>
      <c r="F536" s="84">
        <f>INDEX('PEER GROUP'!F:F,MATCH($A536,'PEER GROUP'!$A:$A,0))</f>
        <v>0</v>
      </c>
      <c r="G536" s="84">
        <f>INDEX('PEER GROUP'!G:G,MATCH($A536,'PEER GROUP'!$A:$A,0))</f>
        <v>0</v>
      </c>
      <c r="H536" s="85"/>
      <c r="I536" s="85"/>
      <c r="J536" s="70">
        <f>INDEX('PEER GROUP'!K:K,MATCH($A536,'PEER GROUP'!$A:$A,0))</f>
        <v>0</v>
      </c>
      <c r="K536" s="70">
        <f>INDEX('PEER GROUP'!L:L,MATCH($A536,'PEER GROUP'!$A:$A,0))</f>
        <v>0</v>
      </c>
      <c r="L536" s="70">
        <f>INDEX('PEER GROUP'!M:M,MATCH($A536,'PEER GROUP'!$A:$A,0))</f>
        <v>0</v>
      </c>
      <c r="M536" s="86">
        <f>INDEX('PEER GROUP'!N:N,MATCH($A536,'PEER GROUP'!$A:$A,0))</f>
        <v>0</v>
      </c>
      <c r="N536" s="118"/>
      <c r="O536" s="115"/>
      <c r="P536" s="117"/>
      <c r="Q536" s="87"/>
      <c r="R536" s="87">
        <f t="shared" si="146"/>
        <v>0</v>
      </c>
      <c r="S536" s="87"/>
      <c r="T536" s="87"/>
      <c r="U536" s="87"/>
      <c r="V536" s="87">
        <f t="shared" si="147"/>
        <v>0</v>
      </c>
      <c r="W536" s="113">
        <f t="shared" si="144"/>
        <v>36.913096727263202</v>
      </c>
      <c r="X536" s="69">
        <f t="shared" si="148"/>
        <v>0</v>
      </c>
      <c r="Y536" s="70">
        <f t="shared" si="149"/>
        <v>0</v>
      </c>
      <c r="Z536" s="70">
        <f t="shared" si="150"/>
        <v>0</v>
      </c>
      <c r="AA536" s="70">
        <f t="shared" si="151"/>
        <v>0</v>
      </c>
      <c r="AB536" s="70">
        <f t="shared" si="152"/>
        <v>0</v>
      </c>
      <c r="AC536" s="70">
        <f t="shared" si="153"/>
        <v>0</v>
      </c>
      <c r="AD536" s="71">
        <f t="shared" si="154"/>
        <v>0</v>
      </c>
      <c r="AE536" s="49"/>
      <c r="AF536" s="21"/>
      <c r="AG536" s="69"/>
      <c r="AH536" s="70"/>
      <c r="AI536" s="70"/>
      <c r="AJ536" s="70"/>
      <c r="AK536" s="70"/>
      <c r="AL536" s="70"/>
      <c r="AM536" s="70"/>
      <c r="AN536" s="70" t="str">
        <f t="shared" si="155"/>
        <v>---</v>
      </c>
      <c r="AO536" s="70" t="str">
        <f t="shared" si="156"/>
        <v>---</v>
      </c>
      <c r="AP536" s="70" t="str">
        <f t="shared" si="157"/>
        <v>---</v>
      </c>
      <c r="AQ536" s="70" t="str">
        <f t="shared" si="158"/>
        <v>---</v>
      </c>
      <c r="AR536" s="70" t="str">
        <f t="shared" si="159"/>
        <v>---</v>
      </c>
      <c r="AS536" s="70" t="str">
        <f t="shared" si="160"/>
        <v>---</v>
      </c>
      <c r="AT536" s="71" t="str">
        <f t="shared" si="161"/>
        <v>---</v>
      </c>
    </row>
    <row r="537" spans="1:46" ht="30" customHeight="1" x14ac:dyDescent="0.3">
      <c r="A537" s="123">
        <f t="shared" si="145"/>
        <v>533</v>
      </c>
      <c r="B537" s="140">
        <f>INDEX('PEER GROUP'!B:B,MATCH($A537,'PEER GROUP'!$A:$A,0))</f>
        <v>0</v>
      </c>
      <c r="C537" s="83">
        <f>INDEX('PEER GROUP'!C:C,MATCH($A537,'PEER GROUP'!$A:$A,0))</f>
        <v>0</v>
      </c>
      <c r="D537" s="83">
        <f>INDEX('PEER GROUP'!D:D,MATCH($A537,'PEER GROUP'!$A:$A,0))</f>
        <v>0</v>
      </c>
      <c r="E537" s="83">
        <f>INDEX('PEER GROUP'!E:E,MATCH(A537,'PEER GROUP'!$A:$A,0))</f>
        <v>0</v>
      </c>
      <c r="F537" s="84">
        <f>INDEX('PEER GROUP'!F:F,MATCH($A537,'PEER GROUP'!$A:$A,0))</f>
        <v>0</v>
      </c>
      <c r="G537" s="84">
        <f>INDEX('PEER GROUP'!G:G,MATCH($A537,'PEER GROUP'!$A:$A,0))</f>
        <v>0</v>
      </c>
      <c r="H537" s="85"/>
      <c r="I537" s="85"/>
      <c r="J537" s="70">
        <f>INDEX('PEER GROUP'!K:K,MATCH($A537,'PEER GROUP'!$A:$A,0))</f>
        <v>0</v>
      </c>
      <c r="K537" s="70">
        <f>INDEX('PEER GROUP'!L:L,MATCH($A537,'PEER GROUP'!$A:$A,0))</f>
        <v>0</v>
      </c>
      <c r="L537" s="70">
        <f>INDEX('PEER GROUP'!M:M,MATCH($A537,'PEER GROUP'!$A:$A,0))</f>
        <v>0</v>
      </c>
      <c r="M537" s="86">
        <f>INDEX('PEER GROUP'!N:N,MATCH($A537,'PEER GROUP'!$A:$A,0))</f>
        <v>0</v>
      </c>
      <c r="N537" s="118"/>
      <c r="O537" s="115"/>
      <c r="P537" s="117"/>
      <c r="Q537" s="87"/>
      <c r="R537" s="87">
        <f t="shared" si="146"/>
        <v>0</v>
      </c>
      <c r="S537" s="87"/>
      <c r="T537" s="87"/>
      <c r="U537" s="87"/>
      <c r="V537" s="87">
        <f t="shared" si="147"/>
        <v>0</v>
      </c>
      <c r="W537" s="113">
        <f t="shared" si="144"/>
        <v>36.913096727263202</v>
      </c>
      <c r="X537" s="69">
        <f t="shared" si="148"/>
        <v>0</v>
      </c>
      <c r="Y537" s="70">
        <f t="shared" si="149"/>
        <v>0</v>
      </c>
      <c r="Z537" s="70">
        <f t="shared" si="150"/>
        <v>0</v>
      </c>
      <c r="AA537" s="70">
        <f t="shared" si="151"/>
        <v>0</v>
      </c>
      <c r="AB537" s="70">
        <f t="shared" si="152"/>
        <v>0</v>
      </c>
      <c r="AC537" s="70">
        <f t="shared" si="153"/>
        <v>0</v>
      </c>
      <c r="AD537" s="71">
        <f t="shared" si="154"/>
        <v>0</v>
      </c>
      <c r="AE537" s="49"/>
      <c r="AF537" s="21"/>
      <c r="AG537" s="69"/>
      <c r="AH537" s="70"/>
      <c r="AI537" s="70"/>
      <c r="AJ537" s="70"/>
      <c r="AK537" s="70"/>
      <c r="AL537" s="70"/>
      <c r="AM537" s="70"/>
      <c r="AN537" s="70" t="str">
        <f t="shared" si="155"/>
        <v>---</v>
      </c>
      <c r="AO537" s="70" t="str">
        <f t="shared" si="156"/>
        <v>---</v>
      </c>
      <c r="AP537" s="70" t="str">
        <f t="shared" si="157"/>
        <v>---</v>
      </c>
      <c r="AQ537" s="70" t="str">
        <f t="shared" si="158"/>
        <v>---</v>
      </c>
      <c r="AR537" s="70" t="str">
        <f t="shared" si="159"/>
        <v>---</v>
      </c>
      <c r="AS537" s="70" t="str">
        <f t="shared" si="160"/>
        <v>---</v>
      </c>
      <c r="AT537" s="71" t="str">
        <f t="shared" si="161"/>
        <v>---</v>
      </c>
    </row>
    <row r="538" spans="1:46" ht="30" customHeight="1" x14ac:dyDescent="0.3">
      <c r="A538" s="123">
        <f t="shared" si="145"/>
        <v>534</v>
      </c>
      <c r="B538" s="140">
        <f>INDEX('PEER GROUP'!B:B,MATCH($A538,'PEER GROUP'!$A:$A,0))</f>
        <v>0</v>
      </c>
      <c r="C538" s="83">
        <f>INDEX('PEER GROUP'!C:C,MATCH($A538,'PEER GROUP'!$A:$A,0))</f>
        <v>0</v>
      </c>
      <c r="D538" s="83">
        <f>INDEX('PEER GROUP'!D:D,MATCH($A538,'PEER GROUP'!$A:$A,0))</f>
        <v>0</v>
      </c>
      <c r="E538" s="83">
        <f>INDEX('PEER GROUP'!E:E,MATCH(A538,'PEER GROUP'!$A:$A,0))</f>
        <v>0</v>
      </c>
      <c r="F538" s="84">
        <f>INDEX('PEER GROUP'!F:F,MATCH($A538,'PEER GROUP'!$A:$A,0))</f>
        <v>0</v>
      </c>
      <c r="G538" s="84">
        <f>INDEX('PEER GROUP'!G:G,MATCH($A538,'PEER GROUP'!$A:$A,0))</f>
        <v>0</v>
      </c>
      <c r="H538" s="85"/>
      <c r="I538" s="85"/>
      <c r="J538" s="70">
        <f>INDEX('PEER GROUP'!K:K,MATCH($A538,'PEER GROUP'!$A:$A,0))</f>
        <v>0</v>
      </c>
      <c r="K538" s="70">
        <f>INDEX('PEER GROUP'!L:L,MATCH($A538,'PEER GROUP'!$A:$A,0))</f>
        <v>0</v>
      </c>
      <c r="L538" s="70">
        <f>INDEX('PEER GROUP'!M:M,MATCH($A538,'PEER GROUP'!$A:$A,0))</f>
        <v>0</v>
      </c>
      <c r="M538" s="86">
        <f>INDEX('PEER GROUP'!N:N,MATCH($A538,'PEER GROUP'!$A:$A,0))</f>
        <v>0</v>
      </c>
      <c r="N538" s="118"/>
      <c r="O538" s="115"/>
      <c r="P538" s="117"/>
      <c r="Q538" s="87"/>
      <c r="R538" s="87">
        <f t="shared" si="146"/>
        <v>0</v>
      </c>
      <c r="S538" s="87"/>
      <c r="T538" s="87"/>
      <c r="U538" s="87"/>
      <c r="V538" s="87">
        <f t="shared" si="147"/>
        <v>0</v>
      </c>
      <c r="W538" s="113">
        <f t="shared" si="144"/>
        <v>36.913096727263202</v>
      </c>
      <c r="X538" s="69">
        <f t="shared" si="148"/>
        <v>0</v>
      </c>
      <c r="Y538" s="70">
        <f t="shared" si="149"/>
        <v>0</v>
      </c>
      <c r="Z538" s="70">
        <f t="shared" si="150"/>
        <v>0</v>
      </c>
      <c r="AA538" s="70">
        <f t="shared" si="151"/>
        <v>0</v>
      </c>
      <c r="AB538" s="70">
        <f t="shared" si="152"/>
        <v>0</v>
      </c>
      <c r="AC538" s="70">
        <f t="shared" si="153"/>
        <v>0</v>
      </c>
      <c r="AD538" s="71">
        <f t="shared" si="154"/>
        <v>0</v>
      </c>
      <c r="AE538" s="49"/>
      <c r="AF538" s="21"/>
      <c r="AG538" s="69"/>
      <c r="AH538" s="70"/>
      <c r="AI538" s="70"/>
      <c r="AJ538" s="70"/>
      <c r="AK538" s="70"/>
      <c r="AL538" s="70"/>
      <c r="AM538" s="70"/>
      <c r="AN538" s="70" t="str">
        <f t="shared" si="155"/>
        <v>---</v>
      </c>
      <c r="AO538" s="70" t="str">
        <f t="shared" si="156"/>
        <v>---</v>
      </c>
      <c r="AP538" s="70" t="str">
        <f t="shared" si="157"/>
        <v>---</v>
      </c>
      <c r="AQ538" s="70" t="str">
        <f t="shared" si="158"/>
        <v>---</v>
      </c>
      <c r="AR538" s="70" t="str">
        <f t="shared" si="159"/>
        <v>---</v>
      </c>
      <c r="AS538" s="70" t="str">
        <f t="shared" si="160"/>
        <v>---</v>
      </c>
      <c r="AT538" s="71" t="str">
        <f t="shared" si="161"/>
        <v>---</v>
      </c>
    </row>
    <row r="539" spans="1:46" ht="30" customHeight="1" x14ac:dyDescent="0.3">
      <c r="A539" s="123">
        <f t="shared" si="145"/>
        <v>535</v>
      </c>
      <c r="B539" s="140">
        <f>INDEX('PEER GROUP'!B:B,MATCH($A539,'PEER GROUP'!$A:$A,0))</f>
        <v>0</v>
      </c>
      <c r="C539" s="83">
        <f>INDEX('PEER GROUP'!C:C,MATCH($A539,'PEER GROUP'!$A:$A,0))</f>
        <v>0</v>
      </c>
      <c r="D539" s="83">
        <f>INDEX('PEER GROUP'!D:D,MATCH($A539,'PEER GROUP'!$A:$A,0))</f>
        <v>0</v>
      </c>
      <c r="E539" s="83">
        <f>INDEX('PEER GROUP'!E:E,MATCH(A539,'PEER GROUP'!$A:$A,0))</f>
        <v>0</v>
      </c>
      <c r="F539" s="84">
        <f>INDEX('PEER GROUP'!F:F,MATCH($A539,'PEER GROUP'!$A:$A,0))</f>
        <v>0</v>
      </c>
      <c r="G539" s="84">
        <f>INDEX('PEER GROUP'!G:G,MATCH($A539,'PEER GROUP'!$A:$A,0))</f>
        <v>0</v>
      </c>
      <c r="H539" s="85"/>
      <c r="I539" s="85"/>
      <c r="J539" s="70">
        <f>INDEX('PEER GROUP'!K:K,MATCH($A539,'PEER GROUP'!$A:$A,0))</f>
        <v>0</v>
      </c>
      <c r="K539" s="70">
        <f>INDEX('PEER GROUP'!L:L,MATCH($A539,'PEER GROUP'!$A:$A,0))</f>
        <v>0</v>
      </c>
      <c r="L539" s="70">
        <f>INDEX('PEER GROUP'!M:M,MATCH($A539,'PEER GROUP'!$A:$A,0))</f>
        <v>0</v>
      </c>
      <c r="M539" s="86">
        <f>INDEX('PEER GROUP'!N:N,MATCH($A539,'PEER GROUP'!$A:$A,0))</f>
        <v>0</v>
      </c>
      <c r="N539" s="118"/>
      <c r="O539" s="115"/>
      <c r="P539" s="117"/>
      <c r="Q539" s="87"/>
      <c r="R539" s="87">
        <f t="shared" si="146"/>
        <v>0</v>
      </c>
      <c r="S539" s="87"/>
      <c r="T539" s="87"/>
      <c r="U539" s="87"/>
      <c r="V539" s="87">
        <f t="shared" si="147"/>
        <v>0</v>
      </c>
      <c r="W539" s="113">
        <f t="shared" si="144"/>
        <v>36.913096727263202</v>
      </c>
      <c r="X539" s="69">
        <f t="shared" si="148"/>
        <v>0</v>
      </c>
      <c r="Y539" s="70">
        <f t="shared" si="149"/>
        <v>0</v>
      </c>
      <c r="Z539" s="70">
        <f t="shared" si="150"/>
        <v>0</v>
      </c>
      <c r="AA539" s="70">
        <f t="shared" si="151"/>
        <v>0</v>
      </c>
      <c r="AB539" s="70">
        <f t="shared" si="152"/>
        <v>0</v>
      </c>
      <c r="AC539" s="70">
        <f t="shared" si="153"/>
        <v>0</v>
      </c>
      <c r="AD539" s="71">
        <f t="shared" si="154"/>
        <v>0</v>
      </c>
      <c r="AE539" s="49"/>
      <c r="AF539" s="21"/>
      <c r="AG539" s="69"/>
      <c r="AH539" s="70"/>
      <c r="AI539" s="70"/>
      <c r="AJ539" s="70"/>
      <c r="AK539" s="70"/>
      <c r="AL539" s="70"/>
      <c r="AM539" s="70"/>
      <c r="AN539" s="70" t="str">
        <f t="shared" si="155"/>
        <v>---</v>
      </c>
      <c r="AO539" s="70" t="str">
        <f t="shared" si="156"/>
        <v>---</v>
      </c>
      <c r="AP539" s="70" t="str">
        <f t="shared" si="157"/>
        <v>---</v>
      </c>
      <c r="AQ539" s="70" t="str">
        <f t="shared" si="158"/>
        <v>---</v>
      </c>
      <c r="AR539" s="70" t="str">
        <f t="shared" si="159"/>
        <v>---</v>
      </c>
      <c r="AS539" s="70" t="str">
        <f t="shared" si="160"/>
        <v>---</v>
      </c>
      <c r="AT539" s="71" t="str">
        <f t="shared" si="161"/>
        <v>---</v>
      </c>
    </row>
    <row r="540" spans="1:46" ht="30" customHeight="1" x14ac:dyDescent="0.3">
      <c r="A540" s="123">
        <f t="shared" si="145"/>
        <v>536</v>
      </c>
      <c r="B540" s="140">
        <f>INDEX('PEER GROUP'!B:B,MATCH($A540,'PEER GROUP'!$A:$A,0))</f>
        <v>0</v>
      </c>
      <c r="C540" s="83">
        <f>INDEX('PEER GROUP'!C:C,MATCH($A540,'PEER GROUP'!$A:$A,0))</f>
        <v>0</v>
      </c>
      <c r="D540" s="83">
        <f>INDEX('PEER GROUP'!D:D,MATCH($A540,'PEER GROUP'!$A:$A,0))</f>
        <v>0</v>
      </c>
      <c r="E540" s="83">
        <f>INDEX('PEER GROUP'!E:E,MATCH(A540,'PEER GROUP'!$A:$A,0))</f>
        <v>0</v>
      </c>
      <c r="F540" s="84">
        <f>INDEX('PEER GROUP'!F:F,MATCH($A540,'PEER GROUP'!$A:$A,0))</f>
        <v>0</v>
      </c>
      <c r="G540" s="84">
        <f>INDEX('PEER GROUP'!G:G,MATCH($A540,'PEER GROUP'!$A:$A,0))</f>
        <v>0</v>
      </c>
      <c r="H540" s="85"/>
      <c r="I540" s="85"/>
      <c r="J540" s="70">
        <f>INDEX('PEER GROUP'!K:K,MATCH($A540,'PEER GROUP'!$A:$A,0))</f>
        <v>0</v>
      </c>
      <c r="K540" s="70">
        <f>INDEX('PEER GROUP'!L:L,MATCH($A540,'PEER GROUP'!$A:$A,0))</f>
        <v>0</v>
      </c>
      <c r="L540" s="70">
        <f>INDEX('PEER GROUP'!M:M,MATCH($A540,'PEER GROUP'!$A:$A,0))</f>
        <v>0</v>
      </c>
      <c r="M540" s="86">
        <f>INDEX('PEER GROUP'!N:N,MATCH($A540,'PEER GROUP'!$A:$A,0))</f>
        <v>0</v>
      </c>
      <c r="N540" s="118"/>
      <c r="O540" s="115"/>
      <c r="P540" s="117"/>
      <c r="Q540" s="87"/>
      <c r="R540" s="87">
        <f t="shared" si="146"/>
        <v>0</v>
      </c>
      <c r="S540" s="87"/>
      <c r="T540" s="87"/>
      <c r="U540" s="87"/>
      <c r="V540" s="87">
        <f t="shared" si="147"/>
        <v>0</v>
      </c>
      <c r="W540" s="113">
        <f t="shared" si="144"/>
        <v>36.913096727263202</v>
      </c>
      <c r="X540" s="69">
        <f t="shared" si="148"/>
        <v>0</v>
      </c>
      <c r="Y540" s="70">
        <f t="shared" si="149"/>
        <v>0</v>
      </c>
      <c r="Z540" s="70">
        <f t="shared" si="150"/>
        <v>0</v>
      </c>
      <c r="AA540" s="70">
        <f t="shared" si="151"/>
        <v>0</v>
      </c>
      <c r="AB540" s="70">
        <f t="shared" si="152"/>
        <v>0</v>
      </c>
      <c r="AC540" s="70">
        <f t="shared" si="153"/>
        <v>0</v>
      </c>
      <c r="AD540" s="71">
        <f t="shared" si="154"/>
        <v>0</v>
      </c>
      <c r="AE540" s="49"/>
      <c r="AF540" s="21"/>
      <c r="AG540" s="69"/>
      <c r="AH540" s="70"/>
      <c r="AI540" s="70"/>
      <c r="AJ540" s="70"/>
      <c r="AK540" s="70"/>
      <c r="AL540" s="70"/>
      <c r="AM540" s="70"/>
      <c r="AN540" s="70" t="str">
        <f t="shared" si="155"/>
        <v>---</v>
      </c>
      <c r="AO540" s="70" t="str">
        <f t="shared" si="156"/>
        <v>---</v>
      </c>
      <c r="AP540" s="70" t="str">
        <f t="shared" si="157"/>
        <v>---</v>
      </c>
      <c r="AQ540" s="70" t="str">
        <f t="shared" si="158"/>
        <v>---</v>
      </c>
      <c r="AR540" s="70" t="str">
        <f t="shared" si="159"/>
        <v>---</v>
      </c>
      <c r="AS540" s="70" t="str">
        <f t="shared" si="160"/>
        <v>---</v>
      </c>
      <c r="AT540" s="71" t="str">
        <f t="shared" si="161"/>
        <v>---</v>
      </c>
    </row>
    <row r="541" spans="1:46" ht="30" customHeight="1" x14ac:dyDescent="0.3">
      <c r="A541" s="123">
        <f t="shared" si="145"/>
        <v>537</v>
      </c>
      <c r="B541" s="140">
        <f>INDEX('PEER GROUP'!B:B,MATCH($A541,'PEER GROUP'!$A:$A,0))</f>
        <v>0</v>
      </c>
      <c r="C541" s="83">
        <f>INDEX('PEER GROUP'!C:C,MATCH($A541,'PEER GROUP'!$A:$A,0))</f>
        <v>0</v>
      </c>
      <c r="D541" s="83">
        <f>INDEX('PEER GROUP'!D:D,MATCH($A541,'PEER GROUP'!$A:$A,0))</f>
        <v>0</v>
      </c>
      <c r="E541" s="83">
        <f>INDEX('PEER GROUP'!E:E,MATCH(A541,'PEER GROUP'!$A:$A,0))</f>
        <v>0</v>
      </c>
      <c r="F541" s="84">
        <f>INDEX('PEER GROUP'!F:F,MATCH($A541,'PEER GROUP'!$A:$A,0))</f>
        <v>0</v>
      </c>
      <c r="G541" s="84">
        <f>INDEX('PEER GROUP'!G:G,MATCH($A541,'PEER GROUP'!$A:$A,0))</f>
        <v>0</v>
      </c>
      <c r="H541" s="85"/>
      <c r="I541" s="85"/>
      <c r="J541" s="70">
        <f>INDEX('PEER GROUP'!K:K,MATCH($A541,'PEER GROUP'!$A:$A,0))</f>
        <v>0</v>
      </c>
      <c r="K541" s="70">
        <f>INDEX('PEER GROUP'!L:L,MATCH($A541,'PEER GROUP'!$A:$A,0))</f>
        <v>0</v>
      </c>
      <c r="L541" s="70">
        <f>INDEX('PEER GROUP'!M:M,MATCH($A541,'PEER GROUP'!$A:$A,0))</f>
        <v>0</v>
      </c>
      <c r="M541" s="86">
        <f>INDEX('PEER GROUP'!N:N,MATCH($A541,'PEER GROUP'!$A:$A,0))</f>
        <v>0</v>
      </c>
      <c r="N541" s="118"/>
      <c r="O541" s="115"/>
      <c r="P541" s="117"/>
      <c r="Q541" s="87"/>
      <c r="R541" s="87">
        <f t="shared" si="146"/>
        <v>0</v>
      </c>
      <c r="S541" s="87"/>
      <c r="T541" s="87"/>
      <c r="U541" s="87"/>
      <c r="V541" s="87">
        <f t="shared" si="147"/>
        <v>0</v>
      </c>
      <c r="W541" s="113">
        <f t="shared" si="144"/>
        <v>36.913096727263202</v>
      </c>
      <c r="X541" s="69">
        <f t="shared" si="148"/>
        <v>0</v>
      </c>
      <c r="Y541" s="70">
        <f t="shared" si="149"/>
        <v>0</v>
      </c>
      <c r="Z541" s="70">
        <f t="shared" si="150"/>
        <v>0</v>
      </c>
      <c r="AA541" s="70">
        <f t="shared" si="151"/>
        <v>0</v>
      </c>
      <c r="AB541" s="70">
        <f t="shared" si="152"/>
        <v>0</v>
      </c>
      <c r="AC541" s="70">
        <f t="shared" si="153"/>
        <v>0</v>
      </c>
      <c r="AD541" s="71">
        <f t="shared" si="154"/>
        <v>0</v>
      </c>
      <c r="AE541" s="49"/>
      <c r="AF541" s="21"/>
      <c r="AG541" s="69"/>
      <c r="AH541" s="70"/>
      <c r="AI541" s="70"/>
      <c r="AJ541" s="70"/>
      <c r="AK541" s="70"/>
      <c r="AL541" s="70"/>
      <c r="AM541" s="70"/>
      <c r="AN541" s="70" t="str">
        <f t="shared" si="155"/>
        <v>---</v>
      </c>
      <c r="AO541" s="70" t="str">
        <f t="shared" si="156"/>
        <v>---</v>
      </c>
      <c r="AP541" s="70" t="str">
        <f t="shared" si="157"/>
        <v>---</v>
      </c>
      <c r="AQ541" s="70" t="str">
        <f t="shared" si="158"/>
        <v>---</v>
      </c>
      <c r="AR541" s="70" t="str">
        <f t="shared" si="159"/>
        <v>---</v>
      </c>
      <c r="AS541" s="70" t="str">
        <f t="shared" si="160"/>
        <v>---</v>
      </c>
      <c r="AT541" s="71" t="str">
        <f t="shared" si="161"/>
        <v>---</v>
      </c>
    </row>
    <row r="542" spans="1:46" ht="30" customHeight="1" x14ac:dyDescent="0.3">
      <c r="A542" s="123">
        <f t="shared" si="145"/>
        <v>538</v>
      </c>
      <c r="B542" s="140">
        <f>INDEX('PEER GROUP'!B:B,MATCH($A542,'PEER GROUP'!$A:$A,0))</f>
        <v>0</v>
      </c>
      <c r="C542" s="83">
        <f>INDEX('PEER GROUP'!C:C,MATCH($A542,'PEER GROUP'!$A:$A,0))</f>
        <v>0</v>
      </c>
      <c r="D542" s="83">
        <f>INDEX('PEER GROUP'!D:D,MATCH($A542,'PEER GROUP'!$A:$A,0))</f>
        <v>0</v>
      </c>
      <c r="E542" s="83">
        <f>INDEX('PEER GROUP'!E:E,MATCH(A542,'PEER GROUP'!$A:$A,0))</f>
        <v>0</v>
      </c>
      <c r="F542" s="84">
        <f>INDEX('PEER GROUP'!F:F,MATCH($A542,'PEER GROUP'!$A:$A,0))</f>
        <v>0</v>
      </c>
      <c r="G542" s="84">
        <f>INDEX('PEER GROUP'!G:G,MATCH($A542,'PEER GROUP'!$A:$A,0))</f>
        <v>0</v>
      </c>
      <c r="H542" s="85"/>
      <c r="I542" s="85"/>
      <c r="J542" s="70">
        <f>INDEX('PEER GROUP'!K:K,MATCH($A542,'PEER GROUP'!$A:$A,0))</f>
        <v>0</v>
      </c>
      <c r="K542" s="70">
        <f>INDEX('PEER GROUP'!L:L,MATCH($A542,'PEER GROUP'!$A:$A,0))</f>
        <v>0</v>
      </c>
      <c r="L542" s="70">
        <f>INDEX('PEER GROUP'!M:M,MATCH($A542,'PEER GROUP'!$A:$A,0))</f>
        <v>0</v>
      </c>
      <c r="M542" s="86">
        <f>INDEX('PEER GROUP'!N:N,MATCH($A542,'PEER GROUP'!$A:$A,0))</f>
        <v>0</v>
      </c>
      <c r="N542" s="118"/>
      <c r="O542" s="115"/>
      <c r="P542" s="117"/>
      <c r="Q542" s="87"/>
      <c r="R542" s="87">
        <f t="shared" si="146"/>
        <v>0</v>
      </c>
      <c r="S542" s="87"/>
      <c r="T542" s="87"/>
      <c r="U542" s="87"/>
      <c r="V542" s="87">
        <f t="shared" si="147"/>
        <v>0</v>
      </c>
      <c r="W542" s="113">
        <f t="shared" si="144"/>
        <v>36.913096727263202</v>
      </c>
      <c r="X542" s="69">
        <f t="shared" si="148"/>
        <v>0</v>
      </c>
      <c r="Y542" s="70">
        <f t="shared" si="149"/>
        <v>0</v>
      </c>
      <c r="Z542" s="70">
        <f t="shared" si="150"/>
        <v>0</v>
      </c>
      <c r="AA542" s="70">
        <f t="shared" si="151"/>
        <v>0</v>
      </c>
      <c r="AB542" s="70">
        <f t="shared" si="152"/>
        <v>0</v>
      </c>
      <c r="AC542" s="70">
        <f t="shared" si="153"/>
        <v>0</v>
      </c>
      <c r="AD542" s="71">
        <f t="shared" si="154"/>
        <v>0</v>
      </c>
      <c r="AE542" s="49"/>
      <c r="AF542" s="21"/>
      <c r="AG542" s="69"/>
      <c r="AH542" s="70"/>
      <c r="AI542" s="70"/>
      <c r="AJ542" s="70"/>
      <c r="AK542" s="70"/>
      <c r="AL542" s="70"/>
      <c r="AM542" s="70"/>
      <c r="AN542" s="70" t="str">
        <f t="shared" si="155"/>
        <v>---</v>
      </c>
      <c r="AO542" s="70" t="str">
        <f t="shared" si="156"/>
        <v>---</v>
      </c>
      <c r="AP542" s="70" t="str">
        <f t="shared" si="157"/>
        <v>---</v>
      </c>
      <c r="AQ542" s="70" t="str">
        <f t="shared" si="158"/>
        <v>---</v>
      </c>
      <c r="AR542" s="70" t="str">
        <f t="shared" si="159"/>
        <v>---</v>
      </c>
      <c r="AS542" s="70" t="str">
        <f t="shared" si="160"/>
        <v>---</v>
      </c>
      <c r="AT542" s="71" t="str">
        <f t="shared" si="161"/>
        <v>---</v>
      </c>
    </row>
    <row r="543" spans="1:46" ht="30" customHeight="1" x14ac:dyDescent="0.3">
      <c r="A543" s="123">
        <f t="shared" si="145"/>
        <v>539</v>
      </c>
      <c r="B543" s="140">
        <f>INDEX('PEER GROUP'!B:B,MATCH($A543,'PEER GROUP'!$A:$A,0))</f>
        <v>0</v>
      </c>
      <c r="C543" s="83">
        <f>INDEX('PEER GROUP'!C:C,MATCH($A543,'PEER GROUP'!$A:$A,0))</f>
        <v>0</v>
      </c>
      <c r="D543" s="83">
        <f>INDEX('PEER GROUP'!D:D,MATCH($A543,'PEER GROUP'!$A:$A,0))</f>
        <v>0</v>
      </c>
      <c r="E543" s="83">
        <f>INDEX('PEER GROUP'!E:E,MATCH(A543,'PEER GROUP'!$A:$A,0))</f>
        <v>0</v>
      </c>
      <c r="F543" s="84">
        <f>INDEX('PEER GROUP'!F:F,MATCH($A543,'PEER GROUP'!$A:$A,0))</f>
        <v>0</v>
      </c>
      <c r="G543" s="84">
        <f>INDEX('PEER GROUP'!G:G,MATCH($A543,'PEER GROUP'!$A:$A,0))</f>
        <v>0</v>
      </c>
      <c r="H543" s="85"/>
      <c r="I543" s="85"/>
      <c r="J543" s="70">
        <f>INDEX('PEER GROUP'!K:K,MATCH($A543,'PEER GROUP'!$A:$A,0))</f>
        <v>0</v>
      </c>
      <c r="K543" s="70">
        <f>INDEX('PEER GROUP'!L:L,MATCH($A543,'PEER GROUP'!$A:$A,0))</f>
        <v>0</v>
      </c>
      <c r="L543" s="70">
        <f>INDEX('PEER GROUP'!M:M,MATCH($A543,'PEER GROUP'!$A:$A,0))</f>
        <v>0</v>
      </c>
      <c r="M543" s="86">
        <f>INDEX('PEER GROUP'!N:N,MATCH($A543,'PEER GROUP'!$A:$A,0))</f>
        <v>0</v>
      </c>
      <c r="N543" s="118"/>
      <c r="O543" s="115"/>
      <c r="P543" s="117"/>
      <c r="Q543" s="87"/>
      <c r="R543" s="87">
        <f t="shared" si="146"/>
        <v>0</v>
      </c>
      <c r="S543" s="87"/>
      <c r="T543" s="87"/>
      <c r="U543" s="87"/>
      <c r="V543" s="87">
        <f t="shared" si="147"/>
        <v>0</v>
      </c>
      <c r="W543" s="113">
        <f t="shared" si="144"/>
        <v>36.913096727263202</v>
      </c>
      <c r="X543" s="69">
        <f t="shared" si="148"/>
        <v>0</v>
      </c>
      <c r="Y543" s="70">
        <f t="shared" si="149"/>
        <v>0</v>
      </c>
      <c r="Z543" s="70">
        <f t="shared" si="150"/>
        <v>0</v>
      </c>
      <c r="AA543" s="70">
        <f t="shared" si="151"/>
        <v>0</v>
      </c>
      <c r="AB543" s="70">
        <f t="shared" si="152"/>
        <v>0</v>
      </c>
      <c r="AC543" s="70">
        <f t="shared" si="153"/>
        <v>0</v>
      </c>
      <c r="AD543" s="71">
        <f t="shared" si="154"/>
        <v>0</v>
      </c>
      <c r="AE543" s="49"/>
      <c r="AF543" s="21"/>
      <c r="AG543" s="69"/>
      <c r="AH543" s="70"/>
      <c r="AI543" s="70"/>
      <c r="AJ543" s="70"/>
      <c r="AK543" s="70"/>
      <c r="AL543" s="70"/>
      <c r="AM543" s="70"/>
      <c r="AN543" s="70" t="str">
        <f t="shared" si="155"/>
        <v>---</v>
      </c>
      <c r="AO543" s="70" t="str">
        <f t="shared" si="156"/>
        <v>---</v>
      </c>
      <c r="AP543" s="70" t="str">
        <f t="shared" si="157"/>
        <v>---</v>
      </c>
      <c r="AQ543" s="70" t="str">
        <f t="shared" si="158"/>
        <v>---</v>
      </c>
      <c r="AR543" s="70" t="str">
        <f t="shared" si="159"/>
        <v>---</v>
      </c>
      <c r="AS543" s="70" t="str">
        <f t="shared" si="160"/>
        <v>---</v>
      </c>
      <c r="AT543" s="71" t="str">
        <f t="shared" si="161"/>
        <v>---</v>
      </c>
    </row>
    <row r="544" spans="1:46" ht="30" customHeight="1" x14ac:dyDescent="0.3">
      <c r="A544" s="123">
        <f t="shared" si="145"/>
        <v>540</v>
      </c>
      <c r="B544" s="140">
        <f>INDEX('PEER GROUP'!B:B,MATCH($A544,'PEER GROUP'!$A:$A,0))</f>
        <v>0</v>
      </c>
      <c r="C544" s="83">
        <f>INDEX('PEER GROUP'!C:C,MATCH($A544,'PEER GROUP'!$A:$A,0))</f>
        <v>0</v>
      </c>
      <c r="D544" s="83">
        <f>INDEX('PEER GROUP'!D:D,MATCH($A544,'PEER GROUP'!$A:$A,0))</f>
        <v>0</v>
      </c>
      <c r="E544" s="83">
        <f>INDEX('PEER GROUP'!E:E,MATCH(A544,'PEER GROUP'!$A:$A,0))</f>
        <v>0</v>
      </c>
      <c r="F544" s="84">
        <f>INDEX('PEER GROUP'!F:F,MATCH($A544,'PEER GROUP'!$A:$A,0))</f>
        <v>0</v>
      </c>
      <c r="G544" s="84">
        <f>INDEX('PEER GROUP'!G:G,MATCH($A544,'PEER GROUP'!$A:$A,0))</f>
        <v>0</v>
      </c>
      <c r="H544" s="85"/>
      <c r="I544" s="85"/>
      <c r="J544" s="70">
        <f>INDEX('PEER GROUP'!K:K,MATCH($A544,'PEER GROUP'!$A:$A,0))</f>
        <v>0</v>
      </c>
      <c r="K544" s="70">
        <f>INDEX('PEER GROUP'!L:L,MATCH($A544,'PEER GROUP'!$A:$A,0))</f>
        <v>0</v>
      </c>
      <c r="L544" s="70">
        <f>INDEX('PEER GROUP'!M:M,MATCH($A544,'PEER GROUP'!$A:$A,0))</f>
        <v>0</v>
      </c>
      <c r="M544" s="86">
        <f>INDEX('PEER GROUP'!N:N,MATCH($A544,'PEER GROUP'!$A:$A,0))</f>
        <v>0</v>
      </c>
      <c r="N544" s="118"/>
      <c r="O544" s="115"/>
      <c r="P544" s="117"/>
      <c r="Q544" s="87"/>
      <c r="R544" s="87">
        <f t="shared" si="146"/>
        <v>0</v>
      </c>
      <c r="S544" s="87"/>
      <c r="T544" s="87"/>
      <c r="U544" s="87"/>
      <c r="V544" s="87">
        <f t="shared" si="147"/>
        <v>0</v>
      </c>
      <c r="W544" s="113">
        <f t="shared" si="144"/>
        <v>36.913096727263202</v>
      </c>
      <c r="X544" s="69">
        <f t="shared" si="148"/>
        <v>0</v>
      </c>
      <c r="Y544" s="70">
        <f t="shared" si="149"/>
        <v>0</v>
      </c>
      <c r="Z544" s="70">
        <f t="shared" si="150"/>
        <v>0</v>
      </c>
      <c r="AA544" s="70">
        <f t="shared" si="151"/>
        <v>0</v>
      </c>
      <c r="AB544" s="70">
        <f t="shared" si="152"/>
        <v>0</v>
      </c>
      <c r="AC544" s="70">
        <f t="shared" si="153"/>
        <v>0</v>
      </c>
      <c r="AD544" s="71">
        <f t="shared" si="154"/>
        <v>0</v>
      </c>
      <c r="AE544" s="49"/>
      <c r="AF544" s="21"/>
      <c r="AG544" s="69"/>
      <c r="AH544" s="70"/>
      <c r="AI544" s="70"/>
      <c r="AJ544" s="70"/>
      <c r="AK544" s="70"/>
      <c r="AL544" s="70"/>
      <c r="AM544" s="70"/>
      <c r="AN544" s="70" t="str">
        <f t="shared" si="155"/>
        <v>---</v>
      </c>
      <c r="AO544" s="70" t="str">
        <f t="shared" si="156"/>
        <v>---</v>
      </c>
      <c r="AP544" s="70" t="str">
        <f t="shared" si="157"/>
        <v>---</v>
      </c>
      <c r="AQ544" s="70" t="str">
        <f t="shared" si="158"/>
        <v>---</v>
      </c>
      <c r="AR544" s="70" t="str">
        <f t="shared" si="159"/>
        <v>---</v>
      </c>
      <c r="AS544" s="70" t="str">
        <f t="shared" si="160"/>
        <v>---</v>
      </c>
      <c r="AT544" s="71" t="str">
        <f t="shared" si="161"/>
        <v>---</v>
      </c>
    </row>
    <row r="545" spans="1:46" ht="30" customHeight="1" x14ac:dyDescent="0.3">
      <c r="A545" s="123">
        <f t="shared" si="145"/>
        <v>541</v>
      </c>
      <c r="B545" s="140">
        <f>INDEX('PEER GROUP'!B:B,MATCH($A545,'PEER GROUP'!$A:$A,0))</f>
        <v>0</v>
      </c>
      <c r="C545" s="83">
        <f>INDEX('PEER GROUP'!C:C,MATCH($A545,'PEER GROUP'!$A:$A,0))</f>
        <v>0</v>
      </c>
      <c r="D545" s="83">
        <f>INDEX('PEER GROUP'!D:D,MATCH($A545,'PEER GROUP'!$A:$A,0))</f>
        <v>0</v>
      </c>
      <c r="E545" s="83">
        <f>INDEX('PEER GROUP'!E:E,MATCH(A545,'PEER GROUP'!$A:$A,0))</f>
        <v>0</v>
      </c>
      <c r="F545" s="84">
        <f>INDEX('PEER GROUP'!F:F,MATCH($A545,'PEER GROUP'!$A:$A,0))</f>
        <v>0</v>
      </c>
      <c r="G545" s="84">
        <f>INDEX('PEER GROUP'!G:G,MATCH($A545,'PEER GROUP'!$A:$A,0))</f>
        <v>0</v>
      </c>
      <c r="H545" s="85"/>
      <c r="I545" s="85"/>
      <c r="J545" s="70">
        <f>INDEX('PEER GROUP'!K:K,MATCH($A545,'PEER GROUP'!$A:$A,0))</f>
        <v>0</v>
      </c>
      <c r="K545" s="70">
        <f>INDEX('PEER GROUP'!L:L,MATCH($A545,'PEER GROUP'!$A:$A,0))</f>
        <v>0</v>
      </c>
      <c r="L545" s="70">
        <f>INDEX('PEER GROUP'!M:M,MATCH($A545,'PEER GROUP'!$A:$A,0))</f>
        <v>0</v>
      </c>
      <c r="M545" s="86">
        <f>INDEX('PEER GROUP'!N:N,MATCH($A545,'PEER GROUP'!$A:$A,0))</f>
        <v>0</v>
      </c>
      <c r="N545" s="118"/>
      <c r="O545" s="115"/>
      <c r="P545" s="117"/>
      <c r="Q545" s="87"/>
      <c r="R545" s="87">
        <f t="shared" si="146"/>
        <v>0</v>
      </c>
      <c r="S545" s="87"/>
      <c r="T545" s="87"/>
      <c r="U545" s="87"/>
      <c r="V545" s="87">
        <f t="shared" si="147"/>
        <v>0</v>
      </c>
      <c r="W545" s="113">
        <f t="shared" si="144"/>
        <v>36.913096727263202</v>
      </c>
      <c r="X545" s="69">
        <f t="shared" si="148"/>
        <v>0</v>
      </c>
      <c r="Y545" s="70">
        <f t="shared" si="149"/>
        <v>0</v>
      </c>
      <c r="Z545" s="70">
        <f t="shared" si="150"/>
        <v>0</v>
      </c>
      <c r="AA545" s="70">
        <f t="shared" si="151"/>
        <v>0</v>
      </c>
      <c r="AB545" s="70">
        <f t="shared" si="152"/>
        <v>0</v>
      </c>
      <c r="AC545" s="70">
        <f t="shared" si="153"/>
        <v>0</v>
      </c>
      <c r="AD545" s="71">
        <f t="shared" si="154"/>
        <v>0</v>
      </c>
      <c r="AE545" s="49"/>
      <c r="AF545" s="21"/>
      <c r="AG545" s="69"/>
      <c r="AH545" s="70"/>
      <c r="AI545" s="70"/>
      <c r="AJ545" s="70"/>
      <c r="AK545" s="70"/>
      <c r="AL545" s="70"/>
      <c r="AM545" s="70"/>
      <c r="AN545" s="70" t="str">
        <f t="shared" si="155"/>
        <v>---</v>
      </c>
      <c r="AO545" s="70" t="str">
        <f t="shared" si="156"/>
        <v>---</v>
      </c>
      <c r="AP545" s="70" t="str">
        <f t="shared" si="157"/>
        <v>---</v>
      </c>
      <c r="AQ545" s="70" t="str">
        <f t="shared" si="158"/>
        <v>---</v>
      </c>
      <c r="AR545" s="70" t="str">
        <f t="shared" si="159"/>
        <v>---</v>
      </c>
      <c r="AS545" s="70" t="str">
        <f t="shared" si="160"/>
        <v>---</v>
      </c>
      <c r="AT545" s="71" t="str">
        <f t="shared" si="161"/>
        <v>---</v>
      </c>
    </row>
    <row r="546" spans="1:46" ht="30" customHeight="1" x14ac:dyDescent="0.3">
      <c r="A546" s="123">
        <f t="shared" si="145"/>
        <v>542</v>
      </c>
      <c r="B546" s="140">
        <f>INDEX('PEER GROUP'!B:B,MATCH($A546,'PEER GROUP'!$A:$A,0))</f>
        <v>0</v>
      </c>
      <c r="C546" s="83">
        <f>INDEX('PEER GROUP'!C:C,MATCH($A546,'PEER GROUP'!$A:$A,0))</f>
        <v>0</v>
      </c>
      <c r="D546" s="83">
        <f>INDEX('PEER GROUP'!D:D,MATCH($A546,'PEER GROUP'!$A:$A,0))</f>
        <v>0</v>
      </c>
      <c r="E546" s="83">
        <f>INDEX('PEER GROUP'!E:E,MATCH(A546,'PEER GROUP'!$A:$A,0))</f>
        <v>0</v>
      </c>
      <c r="F546" s="84">
        <f>INDEX('PEER GROUP'!F:F,MATCH($A546,'PEER GROUP'!$A:$A,0))</f>
        <v>0</v>
      </c>
      <c r="G546" s="84">
        <f>INDEX('PEER GROUP'!G:G,MATCH($A546,'PEER GROUP'!$A:$A,0))</f>
        <v>0</v>
      </c>
      <c r="H546" s="85"/>
      <c r="I546" s="85"/>
      <c r="J546" s="70">
        <f>INDEX('PEER GROUP'!K:K,MATCH($A546,'PEER GROUP'!$A:$A,0))</f>
        <v>0</v>
      </c>
      <c r="K546" s="70">
        <f>INDEX('PEER GROUP'!L:L,MATCH($A546,'PEER GROUP'!$A:$A,0))</f>
        <v>0</v>
      </c>
      <c r="L546" s="70">
        <f>INDEX('PEER GROUP'!M:M,MATCH($A546,'PEER GROUP'!$A:$A,0))</f>
        <v>0</v>
      </c>
      <c r="M546" s="86">
        <f>INDEX('PEER GROUP'!N:N,MATCH($A546,'PEER GROUP'!$A:$A,0))</f>
        <v>0</v>
      </c>
      <c r="N546" s="118"/>
      <c r="O546" s="115"/>
      <c r="P546" s="117"/>
      <c r="Q546" s="87"/>
      <c r="R546" s="87">
        <f t="shared" si="146"/>
        <v>0</v>
      </c>
      <c r="S546" s="87"/>
      <c r="T546" s="87"/>
      <c r="U546" s="87"/>
      <c r="V546" s="87">
        <f t="shared" si="147"/>
        <v>0</v>
      </c>
      <c r="W546" s="113">
        <f t="shared" si="144"/>
        <v>36.913096727263202</v>
      </c>
      <c r="X546" s="69">
        <f t="shared" si="148"/>
        <v>0</v>
      </c>
      <c r="Y546" s="70">
        <f t="shared" si="149"/>
        <v>0</v>
      </c>
      <c r="Z546" s="70">
        <f t="shared" si="150"/>
        <v>0</v>
      </c>
      <c r="AA546" s="70">
        <f t="shared" si="151"/>
        <v>0</v>
      </c>
      <c r="AB546" s="70">
        <f t="shared" si="152"/>
        <v>0</v>
      </c>
      <c r="AC546" s="70">
        <f t="shared" si="153"/>
        <v>0</v>
      </c>
      <c r="AD546" s="71">
        <f t="shared" si="154"/>
        <v>0</v>
      </c>
      <c r="AE546" s="49"/>
      <c r="AF546" s="21"/>
      <c r="AG546" s="69"/>
      <c r="AH546" s="70"/>
      <c r="AI546" s="70"/>
      <c r="AJ546" s="70"/>
      <c r="AK546" s="70"/>
      <c r="AL546" s="70"/>
      <c r="AM546" s="70"/>
      <c r="AN546" s="70" t="str">
        <f t="shared" si="155"/>
        <v>---</v>
      </c>
      <c r="AO546" s="70" t="str">
        <f t="shared" si="156"/>
        <v>---</v>
      </c>
      <c r="AP546" s="70" t="str">
        <f t="shared" si="157"/>
        <v>---</v>
      </c>
      <c r="AQ546" s="70" t="str">
        <f t="shared" si="158"/>
        <v>---</v>
      </c>
      <c r="AR546" s="70" t="str">
        <f t="shared" si="159"/>
        <v>---</v>
      </c>
      <c r="AS546" s="70" t="str">
        <f t="shared" si="160"/>
        <v>---</v>
      </c>
      <c r="AT546" s="71" t="str">
        <f t="shared" si="161"/>
        <v>---</v>
      </c>
    </row>
    <row r="547" spans="1:46" ht="30" customHeight="1" x14ac:dyDescent="0.3">
      <c r="A547" s="123">
        <f t="shared" si="145"/>
        <v>543</v>
      </c>
      <c r="B547" s="140">
        <f>INDEX('PEER GROUP'!B:B,MATCH($A547,'PEER GROUP'!$A:$A,0))</f>
        <v>0</v>
      </c>
      <c r="C547" s="83">
        <f>INDEX('PEER GROUP'!C:C,MATCH($A547,'PEER GROUP'!$A:$A,0))</f>
        <v>0</v>
      </c>
      <c r="D547" s="83">
        <f>INDEX('PEER GROUP'!D:D,MATCH($A547,'PEER GROUP'!$A:$A,0))</f>
        <v>0</v>
      </c>
      <c r="E547" s="83">
        <f>INDEX('PEER GROUP'!E:E,MATCH(A547,'PEER GROUP'!$A:$A,0))</f>
        <v>0</v>
      </c>
      <c r="F547" s="84">
        <f>INDEX('PEER GROUP'!F:F,MATCH($A547,'PEER GROUP'!$A:$A,0))</f>
        <v>0</v>
      </c>
      <c r="G547" s="84">
        <f>INDEX('PEER GROUP'!G:G,MATCH($A547,'PEER GROUP'!$A:$A,0))</f>
        <v>0</v>
      </c>
      <c r="H547" s="85"/>
      <c r="I547" s="85"/>
      <c r="J547" s="70">
        <f>INDEX('PEER GROUP'!K:K,MATCH($A547,'PEER GROUP'!$A:$A,0))</f>
        <v>0</v>
      </c>
      <c r="K547" s="70">
        <f>INDEX('PEER GROUP'!L:L,MATCH($A547,'PEER GROUP'!$A:$A,0))</f>
        <v>0</v>
      </c>
      <c r="L547" s="70">
        <f>INDEX('PEER GROUP'!M:M,MATCH($A547,'PEER GROUP'!$A:$A,0))</f>
        <v>0</v>
      </c>
      <c r="M547" s="86">
        <f>INDEX('PEER GROUP'!N:N,MATCH($A547,'PEER GROUP'!$A:$A,0))</f>
        <v>0</v>
      </c>
      <c r="N547" s="118"/>
      <c r="O547" s="115"/>
      <c r="P547" s="117"/>
      <c r="Q547" s="87"/>
      <c r="R547" s="87">
        <f t="shared" si="146"/>
        <v>0</v>
      </c>
      <c r="S547" s="87"/>
      <c r="T547" s="87"/>
      <c r="U547" s="87"/>
      <c r="V547" s="87">
        <f t="shared" si="147"/>
        <v>0</v>
      </c>
      <c r="W547" s="113">
        <f t="shared" ref="W547:W610" si="162">IF(DataEffDate&gt;DATE(2022,1,1),
IF(E547&lt;DATE(2022,1,1),
(1+UpdateFactor)^(IF(E547&lt;DataEffDate,1,-1)*YEARFRAC(E547,DATE(2022,1,1),1))+(1+UpdateFactor_TEMP)^(IF(DATE(2022,1,1)&lt;DataEffDate,1,-1)*YEARFRAC(DATE(2022,1,1),DataEffDate,1))-1,
(1+UpdateFactor_TEMP)^(IF(E547&lt;DataEffDate,1,-1)*YEARFRAC(E547,DataEffDate,1))),
(1+UpdateFactor)^(IF(E547&lt;DataEffDate,1,-1)*YEARFRAC(E547,DataEffDate,1)))</f>
        <v>36.913096727263202</v>
      </c>
      <c r="X547" s="69">
        <f t="shared" si="148"/>
        <v>0</v>
      </c>
      <c r="Y547" s="70">
        <f t="shared" si="149"/>
        <v>0</v>
      </c>
      <c r="Z547" s="70">
        <f t="shared" si="150"/>
        <v>0</v>
      </c>
      <c r="AA547" s="70">
        <f t="shared" si="151"/>
        <v>0</v>
      </c>
      <c r="AB547" s="70">
        <f t="shared" si="152"/>
        <v>0</v>
      </c>
      <c r="AC547" s="70">
        <f t="shared" si="153"/>
        <v>0</v>
      </c>
      <c r="AD547" s="71">
        <f t="shared" si="154"/>
        <v>0</v>
      </c>
      <c r="AE547" s="49"/>
      <c r="AF547" s="21"/>
      <c r="AG547" s="69"/>
      <c r="AH547" s="70"/>
      <c r="AI547" s="70"/>
      <c r="AJ547" s="70"/>
      <c r="AK547" s="70"/>
      <c r="AL547" s="70"/>
      <c r="AM547" s="70"/>
      <c r="AN547" s="70" t="str">
        <f t="shared" si="155"/>
        <v>---</v>
      </c>
      <c r="AO547" s="70" t="str">
        <f t="shared" si="156"/>
        <v>---</v>
      </c>
      <c r="AP547" s="70" t="str">
        <f t="shared" si="157"/>
        <v>---</v>
      </c>
      <c r="AQ547" s="70" t="str">
        <f t="shared" si="158"/>
        <v>---</v>
      </c>
      <c r="AR547" s="70" t="str">
        <f t="shared" si="159"/>
        <v>---</v>
      </c>
      <c r="AS547" s="70" t="str">
        <f t="shared" si="160"/>
        <v>---</v>
      </c>
      <c r="AT547" s="71" t="str">
        <f t="shared" si="161"/>
        <v>---</v>
      </c>
    </row>
    <row r="548" spans="1:46" ht="30" customHeight="1" x14ac:dyDescent="0.3">
      <c r="A548" s="123">
        <f t="shared" ref="A548:A611" si="163">A547+1</f>
        <v>544</v>
      </c>
      <c r="B548" s="140">
        <f>INDEX('PEER GROUP'!B:B,MATCH($A548,'PEER GROUP'!$A:$A,0))</f>
        <v>0</v>
      </c>
      <c r="C548" s="83">
        <f>INDEX('PEER GROUP'!C:C,MATCH($A548,'PEER GROUP'!$A:$A,0))</f>
        <v>0</v>
      </c>
      <c r="D548" s="83">
        <f>INDEX('PEER GROUP'!D:D,MATCH($A548,'PEER GROUP'!$A:$A,0))</f>
        <v>0</v>
      </c>
      <c r="E548" s="83">
        <f>INDEX('PEER GROUP'!E:E,MATCH(A548,'PEER GROUP'!$A:$A,0))</f>
        <v>0</v>
      </c>
      <c r="F548" s="84">
        <f>INDEX('PEER GROUP'!F:F,MATCH($A548,'PEER GROUP'!$A:$A,0))</f>
        <v>0</v>
      </c>
      <c r="G548" s="84">
        <f>INDEX('PEER GROUP'!G:G,MATCH($A548,'PEER GROUP'!$A:$A,0))</f>
        <v>0</v>
      </c>
      <c r="H548" s="85"/>
      <c r="I548" s="85"/>
      <c r="J548" s="70">
        <f>INDEX('PEER GROUP'!K:K,MATCH($A548,'PEER GROUP'!$A:$A,0))</f>
        <v>0</v>
      </c>
      <c r="K548" s="70">
        <f>INDEX('PEER GROUP'!L:L,MATCH($A548,'PEER GROUP'!$A:$A,0))</f>
        <v>0</v>
      </c>
      <c r="L548" s="70">
        <f>INDEX('PEER GROUP'!M:M,MATCH($A548,'PEER GROUP'!$A:$A,0))</f>
        <v>0</v>
      </c>
      <c r="M548" s="86">
        <f>INDEX('PEER GROUP'!N:N,MATCH($A548,'PEER GROUP'!$A:$A,0))</f>
        <v>0</v>
      </c>
      <c r="N548" s="118"/>
      <c r="O548" s="115"/>
      <c r="P548" s="117"/>
      <c r="Q548" s="87"/>
      <c r="R548" s="87">
        <f t="shared" ref="R548:R611" si="164">SUM(P548:Q548)</f>
        <v>0</v>
      </c>
      <c r="S548" s="87"/>
      <c r="T548" s="87"/>
      <c r="U548" s="87"/>
      <c r="V548" s="87">
        <f t="shared" ref="V548:V611" si="165">SUM(R548:U548)</f>
        <v>0</v>
      </c>
      <c r="W548" s="113">
        <f t="shared" si="162"/>
        <v>36.913096727263202</v>
      </c>
      <c r="X548" s="69">
        <f t="shared" ref="X548:X611" si="166">P548*$W548</f>
        <v>0</v>
      </c>
      <c r="Y548" s="70">
        <f t="shared" ref="Y548:Y611" si="167">Q548*$W548</f>
        <v>0</v>
      </c>
      <c r="Z548" s="70">
        <f t="shared" ref="Z548:Z611" si="168">SUM(X548:Y548)</f>
        <v>0</v>
      </c>
      <c r="AA548" s="70">
        <f t="shared" ref="AA548:AA611" si="169">S548*$W548</f>
        <v>0</v>
      </c>
      <c r="AB548" s="70">
        <f t="shared" ref="AB548:AB611" si="170">T548*$W548</f>
        <v>0</v>
      </c>
      <c r="AC548" s="70">
        <f t="shared" ref="AC548:AC611" si="171">U548*$W548</f>
        <v>0</v>
      </c>
      <c r="AD548" s="71">
        <f t="shared" ref="AD548:AD611" si="172">SUM(Z548:AC548)</f>
        <v>0</v>
      </c>
      <c r="AE548" s="49"/>
      <c r="AF548" s="21"/>
      <c r="AG548" s="69"/>
      <c r="AH548" s="70"/>
      <c r="AI548" s="70"/>
      <c r="AJ548" s="70"/>
      <c r="AK548" s="70"/>
      <c r="AL548" s="70"/>
      <c r="AM548" s="70"/>
      <c r="AN548" s="70" t="str">
        <f t="shared" ref="AN548:AN611" si="173">IFERROR(P548/AG548-1,"---")</f>
        <v>---</v>
      </c>
      <c r="AO548" s="70" t="str">
        <f t="shared" ref="AO548:AO611" si="174">IFERROR(Q548/AH548-1,"---")</f>
        <v>---</v>
      </c>
      <c r="AP548" s="70" t="str">
        <f t="shared" ref="AP548:AP611" si="175">IFERROR(R548/AI548-1,"---")</f>
        <v>---</v>
      </c>
      <c r="AQ548" s="70" t="str">
        <f t="shared" ref="AQ548:AQ611" si="176">IFERROR(S548/AJ548-1,"---")</f>
        <v>---</v>
      </c>
      <c r="AR548" s="70" t="str">
        <f t="shared" ref="AR548:AR611" si="177">IFERROR(T548/AK548-1,"---")</f>
        <v>---</v>
      </c>
      <c r="AS548" s="70" t="str">
        <f t="shared" ref="AS548:AS611" si="178">IFERROR(U548/AL548-1,"---")</f>
        <v>---</v>
      </c>
      <c r="AT548" s="71" t="str">
        <f t="shared" ref="AT548:AT611" si="179">IFERROR(V548/AM548-1,"---")</f>
        <v>---</v>
      </c>
    </row>
    <row r="549" spans="1:46" ht="30" customHeight="1" x14ac:dyDescent="0.3">
      <c r="A549" s="123">
        <f t="shared" si="163"/>
        <v>545</v>
      </c>
      <c r="B549" s="140">
        <f>INDEX('PEER GROUP'!B:B,MATCH($A549,'PEER GROUP'!$A:$A,0))</f>
        <v>0</v>
      </c>
      <c r="C549" s="83">
        <f>INDEX('PEER GROUP'!C:C,MATCH($A549,'PEER GROUP'!$A:$A,0))</f>
        <v>0</v>
      </c>
      <c r="D549" s="83">
        <f>INDEX('PEER GROUP'!D:D,MATCH($A549,'PEER GROUP'!$A:$A,0))</f>
        <v>0</v>
      </c>
      <c r="E549" s="83">
        <f>INDEX('PEER GROUP'!E:E,MATCH(A549,'PEER GROUP'!$A:$A,0))</f>
        <v>0</v>
      </c>
      <c r="F549" s="84">
        <f>INDEX('PEER GROUP'!F:F,MATCH($A549,'PEER GROUP'!$A:$A,0))</f>
        <v>0</v>
      </c>
      <c r="G549" s="84">
        <f>INDEX('PEER GROUP'!G:G,MATCH($A549,'PEER GROUP'!$A:$A,0))</f>
        <v>0</v>
      </c>
      <c r="H549" s="85"/>
      <c r="I549" s="85"/>
      <c r="J549" s="70">
        <f>INDEX('PEER GROUP'!K:K,MATCH($A549,'PEER GROUP'!$A:$A,0))</f>
        <v>0</v>
      </c>
      <c r="K549" s="70">
        <f>INDEX('PEER GROUP'!L:L,MATCH($A549,'PEER GROUP'!$A:$A,0))</f>
        <v>0</v>
      </c>
      <c r="L549" s="70">
        <f>INDEX('PEER GROUP'!M:M,MATCH($A549,'PEER GROUP'!$A:$A,0))</f>
        <v>0</v>
      </c>
      <c r="M549" s="86">
        <f>INDEX('PEER GROUP'!N:N,MATCH($A549,'PEER GROUP'!$A:$A,0))</f>
        <v>0</v>
      </c>
      <c r="N549" s="118"/>
      <c r="O549" s="115"/>
      <c r="P549" s="117"/>
      <c r="Q549" s="87"/>
      <c r="R549" s="87">
        <f t="shared" si="164"/>
        <v>0</v>
      </c>
      <c r="S549" s="87"/>
      <c r="T549" s="87"/>
      <c r="U549" s="87"/>
      <c r="V549" s="87">
        <f t="shared" si="165"/>
        <v>0</v>
      </c>
      <c r="W549" s="113">
        <f t="shared" si="162"/>
        <v>36.913096727263202</v>
      </c>
      <c r="X549" s="69">
        <f t="shared" si="166"/>
        <v>0</v>
      </c>
      <c r="Y549" s="70">
        <f t="shared" si="167"/>
        <v>0</v>
      </c>
      <c r="Z549" s="70">
        <f t="shared" si="168"/>
        <v>0</v>
      </c>
      <c r="AA549" s="70">
        <f t="shared" si="169"/>
        <v>0</v>
      </c>
      <c r="AB549" s="70">
        <f t="shared" si="170"/>
        <v>0</v>
      </c>
      <c r="AC549" s="70">
        <f t="shared" si="171"/>
        <v>0</v>
      </c>
      <c r="AD549" s="71">
        <f t="shared" si="172"/>
        <v>0</v>
      </c>
      <c r="AE549" s="49"/>
      <c r="AF549" s="21"/>
      <c r="AG549" s="69"/>
      <c r="AH549" s="70"/>
      <c r="AI549" s="70"/>
      <c r="AJ549" s="70"/>
      <c r="AK549" s="70"/>
      <c r="AL549" s="70"/>
      <c r="AM549" s="70"/>
      <c r="AN549" s="70" t="str">
        <f t="shared" si="173"/>
        <v>---</v>
      </c>
      <c r="AO549" s="70" t="str">
        <f t="shared" si="174"/>
        <v>---</v>
      </c>
      <c r="AP549" s="70" t="str">
        <f t="shared" si="175"/>
        <v>---</v>
      </c>
      <c r="AQ549" s="70" t="str">
        <f t="shared" si="176"/>
        <v>---</v>
      </c>
      <c r="AR549" s="70" t="str">
        <f t="shared" si="177"/>
        <v>---</v>
      </c>
      <c r="AS549" s="70" t="str">
        <f t="shared" si="178"/>
        <v>---</v>
      </c>
      <c r="AT549" s="71" t="str">
        <f t="shared" si="179"/>
        <v>---</v>
      </c>
    </row>
    <row r="550" spans="1:46" ht="30" customHeight="1" x14ac:dyDescent="0.3">
      <c r="A550" s="123">
        <f t="shared" si="163"/>
        <v>546</v>
      </c>
      <c r="B550" s="140">
        <f>INDEX('PEER GROUP'!B:B,MATCH($A550,'PEER GROUP'!$A:$A,0))</f>
        <v>0</v>
      </c>
      <c r="C550" s="83">
        <f>INDEX('PEER GROUP'!C:C,MATCH($A550,'PEER GROUP'!$A:$A,0))</f>
        <v>0</v>
      </c>
      <c r="D550" s="83">
        <f>INDEX('PEER GROUP'!D:D,MATCH($A550,'PEER GROUP'!$A:$A,0))</f>
        <v>0</v>
      </c>
      <c r="E550" s="83">
        <f>INDEX('PEER GROUP'!E:E,MATCH(A550,'PEER GROUP'!$A:$A,0))</f>
        <v>0</v>
      </c>
      <c r="F550" s="84">
        <f>INDEX('PEER GROUP'!F:F,MATCH($A550,'PEER GROUP'!$A:$A,0))</f>
        <v>0</v>
      </c>
      <c r="G550" s="84">
        <f>INDEX('PEER GROUP'!G:G,MATCH($A550,'PEER GROUP'!$A:$A,0))</f>
        <v>0</v>
      </c>
      <c r="H550" s="85"/>
      <c r="I550" s="85"/>
      <c r="J550" s="70">
        <f>INDEX('PEER GROUP'!K:K,MATCH($A550,'PEER GROUP'!$A:$A,0))</f>
        <v>0</v>
      </c>
      <c r="K550" s="70">
        <f>INDEX('PEER GROUP'!L:L,MATCH($A550,'PEER GROUP'!$A:$A,0))</f>
        <v>0</v>
      </c>
      <c r="L550" s="70">
        <f>INDEX('PEER GROUP'!M:M,MATCH($A550,'PEER GROUP'!$A:$A,0))</f>
        <v>0</v>
      </c>
      <c r="M550" s="86">
        <f>INDEX('PEER GROUP'!N:N,MATCH($A550,'PEER GROUP'!$A:$A,0))</f>
        <v>0</v>
      </c>
      <c r="N550" s="118"/>
      <c r="O550" s="115"/>
      <c r="P550" s="117"/>
      <c r="Q550" s="87"/>
      <c r="R550" s="87">
        <f t="shared" si="164"/>
        <v>0</v>
      </c>
      <c r="S550" s="87"/>
      <c r="T550" s="87"/>
      <c r="U550" s="87"/>
      <c r="V550" s="87">
        <f t="shared" si="165"/>
        <v>0</v>
      </c>
      <c r="W550" s="113">
        <f t="shared" si="162"/>
        <v>36.913096727263202</v>
      </c>
      <c r="X550" s="69">
        <f t="shared" si="166"/>
        <v>0</v>
      </c>
      <c r="Y550" s="70">
        <f t="shared" si="167"/>
        <v>0</v>
      </c>
      <c r="Z550" s="70">
        <f t="shared" si="168"/>
        <v>0</v>
      </c>
      <c r="AA550" s="70">
        <f t="shared" si="169"/>
        <v>0</v>
      </c>
      <c r="AB550" s="70">
        <f t="shared" si="170"/>
        <v>0</v>
      </c>
      <c r="AC550" s="70">
        <f t="shared" si="171"/>
        <v>0</v>
      </c>
      <c r="AD550" s="71">
        <f t="shared" si="172"/>
        <v>0</v>
      </c>
      <c r="AE550" s="49"/>
      <c r="AF550" s="21"/>
      <c r="AG550" s="69"/>
      <c r="AH550" s="70"/>
      <c r="AI550" s="70"/>
      <c r="AJ550" s="70"/>
      <c r="AK550" s="70"/>
      <c r="AL550" s="70"/>
      <c r="AM550" s="70"/>
      <c r="AN550" s="70" t="str">
        <f t="shared" si="173"/>
        <v>---</v>
      </c>
      <c r="AO550" s="70" t="str">
        <f t="shared" si="174"/>
        <v>---</v>
      </c>
      <c r="AP550" s="70" t="str">
        <f t="shared" si="175"/>
        <v>---</v>
      </c>
      <c r="AQ550" s="70" t="str">
        <f t="shared" si="176"/>
        <v>---</v>
      </c>
      <c r="AR550" s="70" t="str">
        <f t="shared" si="177"/>
        <v>---</v>
      </c>
      <c r="AS550" s="70" t="str">
        <f t="shared" si="178"/>
        <v>---</v>
      </c>
      <c r="AT550" s="71" t="str">
        <f t="shared" si="179"/>
        <v>---</v>
      </c>
    </row>
    <row r="551" spans="1:46" ht="30" customHeight="1" x14ac:dyDescent="0.3">
      <c r="A551" s="123">
        <f t="shared" si="163"/>
        <v>547</v>
      </c>
      <c r="B551" s="140">
        <f>INDEX('PEER GROUP'!B:B,MATCH($A551,'PEER GROUP'!$A:$A,0))</f>
        <v>0</v>
      </c>
      <c r="C551" s="83">
        <f>INDEX('PEER GROUP'!C:C,MATCH($A551,'PEER GROUP'!$A:$A,0))</f>
        <v>0</v>
      </c>
      <c r="D551" s="83">
        <f>INDEX('PEER GROUP'!D:D,MATCH($A551,'PEER GROUP'!$A:$A,0))</f>
        <v>0</v>
      </c>
      <c r="E551" s="83">
        <f>INDEX('PEER GROUP'!E:E,MATCH(A551,'PEER GROUP'!$A:$A,0))</f>
        <v>0</v>
      </c>
      <c r="F551" s="84">
        <f>INDEX('PEER GROUP'!F:F,MATCH($A551,'PEER GROUP'!$A:$A,0))</f>
        <v>0</v>
      </c>
      <c r="G551" s="84">
        <f>INDEX('PEER GROUP'!G:G,MATCH($A551,'PEER GROUP'!$A:$A,0))</f>
        <v>0</v>
      </c>
      <c r="H551" s="85"/>
      <c r="I551" s="85"/>
      <c r="J551" s="70">
        <f>INDEX('PEER GROUP'!K:K,MATCH($A551,'PEER GROUP'!$A:$A,0))</f>
        <v>0</v>
      </c>
      <c r="K551" s="70">
        <f>INDEX('PEER GROUP'!L:L,MATCH($A551,'PEER GROUP'!$A:$A,0))</f>
        <v>0</v>
      </c>
      <c r="L551" s="70">
        <f>INDEX('PEER GROUP'!M:M,MATCH($A551,'PEER GROUP'!$A:$A,0))</f>
        <v>0</v>
      </c>
      <c r="M551" s="86">
        <f>INDEX('PEER GROUP'!N:N,MATCH($A551,'PEER GROUP'!$A:$A,0))</f>
        <v>0</v>
      </c>
      <c r="N551" s="118"/>
      <c r="O551" s="115"/>
      <c r="P551" s="117"/>
      <c r="Q551" s="87"/>
      <c r="R551" s="87">
        <f t="shared" si="164"/>
        <v>0</v>
      </c>
      <c r="S551" s="87"/>
      <c r="T551" s="87"/>
      <c r="U551" s="87"/>
      <c r="V551" s="87">
        <f t="shared" si="165"/>
        <v>0</v>
      </c>
      <c r="W551" s="113">
        <f t="shared" si="162"/>
        <v>36.913096727263202</v>
      </c>
      <c r="X551" s="69">
        <f t="shared" si="166"/>
        <v>0</v>
      </c>
      <c r="Y551" s="70">
        <f t="shared" si="167"/>
        <v>0</v>
      </c>
      <c r="Z551" s="70">
        <f t="shared" si="168"/>
        <v>0</v>
      </c>
      <c r="AA551" s="70">
        <f t="shared" si="169"/>
        <v>0</v>
      </c>
      <c r="AB551" s="70">
        <f t="shared" si="170"/>
        <v>0</v>
      </c>
      <c r="AC551" s="70">
        <f t="shared" si="171"/>
        <v>0</v>
      </c>
      <c r="AD551" s="71">
        <f t="shared" si="172"/>
        <v>0</v>
      </c>
      <c r="AE551" s="49"/>
      <c r="AF551" s="21"/>
      <c r="AG551" s="69"/>
      <c r="AH551" s="70"/>
      <c r="AI551" s="70"/>
      <c r="AJ551" s="70"/>
      <c r="AK551" s="70"/>
      <c r="AL551" s="70"/>
      <c r="AM551" s="70"/>
      <c r="AN551" s="70" t="str">
        <f t="shared" si="173"/>
        <v>---</v>
      </c>
      <c r="AO551" s="70" t="str">
        <f t="shared" si="174"/>
        <v>---</v>
      </c>
      <c r="AP551" s="70" t="str">
        <f t="shared" si="175"/>
        <v>---</v>
      </c>
      <c r="AQ551" s="70" t="str">
        <f t="shared" si="176"/>
        <v>---</v>
      </c>
      <c r="AR551" s="70" t="str">
        <f t="shared" si="177"/>
        <v>---</v>
      </c>
      <c r="AS551" s="70" t="str">
        <f t="shared" si="178"/>
        <v>---</v>
      </c>
      <c r="AT551" s="71" t="str">
        <f t="shared" si="179"/>
        <v>---</v>
      </c>
    </row>
    <row r="552" spans="1:46" ht="30" customHeight="1" x14ac:dyDescent="0.3">
      <c r="A552" s="123">
        <f t="shared" si="163"/>
        <v>548</v>
      </c>
      <c r="B552" s="140">
        <f>INDEX('PEER GROUP'!B:B,MATCH($A552,'PEER GROUP'!$A:$A,0))</f>
        <v>0</v>
      </c>
      <c r="C552" s="83">
        <f>INDEX('PEER GROUP'!C:C,MATCH($A552,'PEER GROUP'!$A:$A,0))</f>
        <v>0</v>
      </c>
      <c r="D552" s="83">
        <f>INDEX('PEER GROUP'!D:D,MATCH($A552,'PEER GROUP'!$A:$A,0))</f>
        <v>0</v>
      </c>
      <c r="E552" s="83">
        <f>INDEX('PEER GROUP'!E:E,MATCH(A552,'PEER GROUP'!$A:$A,0))</f>
        <v>0</v>
      </c>
      <c r="F552" s="84">
        <f>INDEX('PEER GROUP'!F:F,MATCH($A552,'PEER GROUP'!$A:$A,0))</f>
        <v>0</v>
      </c>
      <c r="G552" s="84">
        <f>INDEX('PEER GROUP'!G:G,MATCH($A552,'PEER GROUP'!$A:$A,0))</f>
        <v>0</v>
      </c>
      <c r="H552" s="85"/>
      <c r="I552" s="85"/>
      <c r="J552" s="70">
        <f>INDEX('PEER GROUP'!K:K,MATCH($A552,'PEER GROUP'!$A:$A,0))</f>
        <v>0</v>
      </c>
      <c r="K552" s="70">
        <f>INDEX('PEER GROUP'!L:L,MATCH($A552,'PEER GROUP'!$A:$A,0))</f>
        <v>0</v>
      </c>
      <c r="L552" s="70">
        <f>INDEX('PEER GROUP'!M:M,MATCH($A552,'PEER GROUP'!$A:$A,0))</f>
        <v>0</v>
      </c>
      <c r="M552" s="86">
        <f>INDEX('PEER GROUP'!N:N,MATCH($A552,'PEER GROUP'!$A:$A,0))</f>
        <v>0</v>
      </c>
      <c r="N552" s="118"/>
      <c r="O552" s="115"/>
      <c r="P552" s="117"/>
      <c r="Q552" s="87"/>
      <c r="R552" s="87">
        <f t="shared" si="164"/>
        <v>0</v>
      </c>
      <c r="S552" s="87"/>
      <c r="T552" s="87"/>
      <c r="U552" s="87"/>
      <c r="V552" s="87">
        <f t="shared" si="165"/>
        <v>0</v>
      </c>
      <c r="W552" s="113">
        <f t="shared" si="162"/>
        <v>36.913096727263202</v>
      </c>
      <c r="X552" s="69">
        <f t="shared" si="166"/>
        <v>0</v>
      </c>
      <c r="Y552" s="70">
        <f t="shared" si="167"/>
        <v>0</v>
      </c>
      <c r="Z552" s="70">
        <f t="shared" si="168"/>
        <v>0</v>
      </c>
      <c r="AA552" s="70">
        <f t="shared" si="169"/>
        <v>0</v>
      </c>
      <c r="AB552" s="70">
        <f t="shared" si="170"/>
        <v>0</v>
      </c>
      <c r="AC552" s="70">
        <f t="shared" si="171"/>
        <v>0</v>
      </c>
      <c r="AD552" s="71">
        <f t="shared" si="172"/>
        <v>0</v>
      </c>
      <c r="AE552" s="49"/>
      <c r="AF552" s="21"/>
      <c r="AG552" s="69"/>
      <c r="AH552" s="70"/>
      <c r="AI552" s="70"/>
      <c r="AJ552" s="70"/>
      <c r="AK552" s="70"/>
      <c r="AL552" s="70"/>
      <c r="AM552" s="70"/>
      <c r="AN552" s="70" t="str">
        <f t="shared" si="173"/>
        <v>---</v>
      </c>
      <c r="AO552" s="70" t="str">
        <f t="shared" si="174"/>
        <v>---</v>
      </c>
      <c r="AP552" s="70" t="str">
        <f t="shared" si="175"/>
        <v>---</v>
      </c>
      <c r="AQ552" s="70" t="str">
        <f t="shared" si="176"/>
        <v>---</v>
      </c>
      <c r="AR552" s="70" t="str">
        <f t="shared" si="177"/>
        <v>---</v>
      </c>
      <c r="AS552" s="70" t="str">
        <f t="shared" si="178"/>
        <v>---</v>
      </c>
      <c r="AT552" s="71" t="str">
        <f t="shared" si="179"/>
        <v>---</v>
      </c>
    </row>
    <row r="553" spans="1:46" ht="30" customHeight="1" x14ac:dyDescent="0.3">
      <c r="A553" s="123">
        <f t="shared" si="163"/>
        <v>549</v>
      </c>
      <c r="B553" s="140">
        <f>INDEX('PEER GROUP'!B:B,MATCH($A553,'PEER GROUP'!$A:$A,0))</f>
        <v>0</v>
      </c>
      <c r="C553" s="83">
        <f>INDEX('PEER GROUP'!C:C,MATCH($A553,'PEER GROUP'!$A:$A,0))</f>
        <v>0</v>
      </c>
      <c r="D553" s="83">
        <f>INDEX('PEER GROUP'!D:D,MATCH($A553,'PEER GROUP'!$A:$A,0))</f>
        <v>0</v>
      </c>
      <c r="E553" s="83">
        <f>INDEX('PEER GROUP'!E:E,MATCH(A553,'PEER GROUP'!$A:$A,0))</f>
        <v>0</v>
      </c>
      <c r="F553" s="84">
        <f>INDEX('PEER GROUP'!F:F,MATCH($A553,'PEER GROUP'!$A:$A,0))</f>
        <v>0</v>
      </c>
      <c r="G553" s="84">
        <f>INDEX('PEER GROUP'!G:G,MATCH($A553,'PEER GROUP'!$A:$A,0))</f>
        <v>0</v>
      </c>
      <c r="H553" s="85"/>
      <c r="I553" s="85"/>
      <c r="J553" s="70">
        <f>INDEX('PEER GROUP'!K:K,MATCH($A553,'PEER GROUP'!$A:$A,0))</f>
        <v>0</v>
      </c>
      <c r="K553" s="70">
        <f>INDEX('PEER GROUP'!L:L,MATCH($A553,'PEER GROUP'!$A:$A,0))</f>
        <v>0</v>
      </c>
      <c r="L553" s="70">
        <f>INDEX('PEER GROUP'!M:M,MATCH($A553,'PEER GROUP'!$A:$A,0))</f>
        <v>0</v>
      </c>
      <c r="M553" s="86">
        <f>INDEX('PEER GROUP'!N:N,MATCH($A553,'PEER GROUP'!$A:$A,0))</f>
        <v>0</v>
      </c>
      <c r="N553" s="118"/>
      <c r="O553" s="115"/>
      <c r="P553" s="117"/>
      <c r="Q553" s="87"/>
      <c r="R553" s="87">
        <f t="shared" si="164"/>
        <v>0</v>
      </c>
      <c r="S553" s="87"/>
      <c r="T553" s="87"/>
      <c r="U553" s="87"/>
      <c r="V553" s="87">
        <f t="shared" si="165"/>
        <v>0</v>
      </c>
      <c r="W553" s="113">
        <f t="shared" si="162"/>
        <v>36.913096727263202</v>
      </c>
      <c r="X553" s="69">
        <f t="shared" si="166"/>
        <v>0</v>
      </c>
      <c r="Y553" s="70">
        <f t="shared" si="167"/>
        <v>0</v>
      </c>
      <c r="Z553" s="70">
        <f t="shared" si="168"/>
        <v>0</v>
      </c>
      <c r="AA553" s="70">
        <f t="shared" si="169"/>
        <v>0</v>
      </c>
      <c r="AB553" s="70">
        <f t="shared" si="170"/>
        <v>0</v>
      </c>
      <c r="AC553" s="70">
        <f t="shared" si="171"/>
        <v>0</v>
      </c>
      <c r="AD553" s="71">
        <f t="shared" si="172"/>
        <v>0</v>
      </c>
      <c r="AE553" s="49"/>
      <c r="AF553" s="21"/>
      <c r="AG553" s="69"/>
      <c r="AH553" s="70"/>
      <c r="AI553" s="70"/>
      <c r="AJ553" s="70"/>
      <c r="AK553" s="70"/>
      <c r="AL553" s="70"/>
      <c r="AM553" s="70"/>
      <c r="AN553" s="70" t="str">
        <f t="shared" si="173"/>
        <v>---</v>
      </c>
      <c r="AO553" s="70" t="str">
        <f t="shared" si="174"/>
        <v>---</v>
      </c>
      <c r="AP553" s="70" t="str">
        <f t="shared" si="175"/>
        <v>---</v>
      </c>
      <c r="AQ553" s="70" t="str">
        <f t="shared" si="176"/>
        <v>---</v>
      </c>
      <c r="AR553" s="70" t="str">
        <f t="shared" si="177"/>
        <v>---</v>
      </c>
      <c r="AS553" s="70" t="str">
        <f t="shared" si="178"/>
        <v>---</v>
      </c>
      <c r="AT553" s="71" t="str">
        <f t="shared" si="179"/>
        <v>---</v>
      </c>
    </row>
    <row r="554" spans="1:46" ht="30" customHeight="1" x14ac:dyDescent="0.3">
      <c r="A554" s="123">
        <f t="shared" si="163"/>
        <v>550</v>
      </c>
      <c r="B554" s="140">
        <f>INDEX('PEER GROUP'!B:B,MATCH($A554,'PEER GROUP'!$A:$A,0))</f>
        <v>0</v>
      </c>
      <c r="C554" s="83">
        <f>INDEX('PEER GROUP'!C:C,MATCH($A554,'PEER GROUP'!$A:$A,0))</f>
        <v>0</v>
      </c>
      <c r="D554" s="83">
        <f>INDEX('PEER GROUP'!D:D,MATCH($A554,'PEER GROUP'!$A:$A,0))</f>
        <v>0</v>
      </c>
      <c r="E554" s="83">
        <f>INDEX('PEER GROUP'!E:E,MATCH(A554,'PEER GROUP'!$A:$A,0))</f>
        <v>0</v>
      </c>
      <c r="F554" s="84">
        <f>INDEX('PEER GROUP'!F:F,MATCH($A554,'PEER GROUP'!$A:$A,0))</f>
        <v>0</v>
      </c>
      <c r="G554" s="84">
        <f>INDEX('PEER GROUP'!G:G,MATCH($A554,'PEER GROUP'!$A:$A,0))</f>
        <v>0</v>
      </c>
      <c r="H554" s="85"/>
      <c r="I554" s="85"/>
      <c r="J554" s="70">
        <f>INDEX('PEER GROUP'!K:K,MATCH($A554,'PEER GROUP'!$A:$A,0))</f>
        <v>0</v>
      </c>
      <c r="K554" s="70">
        <f>INDEX('PEER GROUP'!L:L,MATCH($A554,'PEER GROUP'!$A:$A,0))</f>
        <v>0</v>
      </c>
      <c r="L554" s="70">
        <f>INDEX('PEER GROUP'!M:M,MATCH($A554,'PEER GROUP'!$A:$A,0))</f>
        <v>0</v>
      </c>
      <c r="M554" s="86">
        <f>INDEX('PEER GROUP'!N:N,MATCH($A554,'PEER GROUP'!$A:$A,0))</f>
        <v>0</v>
      </c>
      <c r="N554" s="118"/>
      <c r="O554" s="115"/>
      <c r="P554" s="117"/>
      <c r="Q554" s="87"/>
      <c r="R554" s="87">
        <f t="shared" si="164"/>
        <v>0</v>
      </c>
      <c r="S554" s="87"/>
      <c r="T554" s="87"/>
      <c r="U554" s="87"/>
      <c r="V554" s="87">
        <f t="shared" si="165"/>
        <v>0</v>
      </c>
      <c r="W554" s="113">
        <f t="shared" si="162"/>
        <v>36.913096727263202</v>
      </c>
      <c r="X554" s="69">
        <f t="shared" si="166"/>
        <v>0</v>
      </c>
      <c r="Y554" s="70">
        <f t="shared" si="167"/>
        <v>0</v>
      </c>
      <c r="Z554" s="70">
        <f t="shared" si="168"/>
        <v>0</v>
      </c>
      <c r="AA554" s="70">
        <f t="shared" si="169"/>
        <v>0</v>
      </c>
      <c r="AB554" s="70">
        <f t="shared" si="170"/>
        <v>0</v>
      </c>
      <c r="AC554" s="70">
        <f t="shared" si="171"/>
        <v>0</v>
      </c>
      <c r="AD554" s="71">
        <f t="shared" si="172"/>
        <v>0</v>
      </c>
      <c r="AE554" s="49"/>
      <c r="AF554" s="21"/>
      <c r="AG554" s="69"/>
      <c r="AH554" s="70"/>
      <c r="AI554" s="70"/>
      <c r="AJ554" s="70"/>
      <c r="AK554" s="70"/>
      <c r="AL554" s="70"/>
      <c r="AM554" s="70"/>
      <c r="AN554" s="70" t="str">
        <f t="shared" si="173"/>
        <v>---</v>
      </c>
      <c r="AO554" s="70" t="str">
        <f t="shared" si="174"/>
        <v>---</v>
      </c>
      <c r="AP554" s="70" t="str">
        <f t="shared" si="175"/>
        <v>---</v>
      </c>
      <c r="AQ554" s="70" t="str">
        <f t="shared" si="176"/>
        <v>---</v>
      </c>
      <c r="AR554" s="70" t="str">
        <f t="shared" si="177"/>
        <v>---</v>
      </c>
      <c r="AS554" s="70" t="str">
        <f t="shared" si="178"/>
        <v>---</v>
      </c>
      <c r="AT554" s="71" t="str">
        <f t="shared" si="179"/>
        <v>---</v>
      </c>
    </row>
    <row r="555" spans="1:46" ht="30" customHeight="1" x14ac:dyDescent="0.3">
      <c r="A555" s="123">
        <f t="shared" si="163"/>
        <v>551</v>
      </c>
      <c r="B555" s="140">
        <f>INDEX('PEER GROUP'!B:B,MATCH($A555,'PEER GROUP'!$A:$A,0))</f>
        <v>0</v>
      </c>
      <c r="C555" s="83">
        <f>INDEX('PEER GROUP'!C:C,MATCH($A555,'PEER GROUP'!$A:$A,0))</f>
        <v>0</v>
      </c>
      <c r="D555" s="83">
        <f>INDEX('PEER GROUP'!D:D,MATCH($A555,'PEER GROUP'!$A:$A,0))</f>
        <v>0</v>
      </c>
      <c r="E555" s="83">
        <f>INDEX('PEER GROUP'!E:E,MATCH(A555,'PEER GROUP'!$A:$A,0))</f>
        <v>0</v>
      </c>
      <c r="F555" s="84">
        <f>INDEX('PEER GROUP'!F:F,MATCH($A555,'PEER GROUP'!$A:$A,0))</f>
        <v>0</v>
      </c>
      <c r="G555" s="84">
        <f>INDEX('PEER GROUP'!G:G,MATCH($A555,'PEER GROUP'!$A:$A,0))</f>
        <v>0</v>
      </c>
      <c r="H555" s="85"/>
      <c r="I555" s="85"/>
      <c r="J555" s="70">
        <f>INDEX('PEER GROUP'!K:K,MATCH($A555,'PEER GROUP'!$A:$A,0))</f>
        <v>0</v>
      </c>
      <c r="K555" s="70">
        <f>INDEX('PEER GROUP'!L:L,MATCH($A555,'PEER GROUP'!$A:$A,0))</f>
        <v>0</v>
      </c>
      <c r="L555" s="70">
        <f>INDEX('PEER GROUP'!M:M,MATCH($A555,'PEER GROUP'!$A:$A,0))</f>
        <v>0</v>
      </c>
      <c r="M555" s="86">
        <f>INDEX('PEER GROUP'!N:N,MATCH($A555,'PEER GROUP'!$A:$A,0))</f>
        <v>0</v>
      </c>
      <c r="N555" s="118"/>
      <c r="O555" s="115"/>
      <c r="P555" s="117"/>
      <c r="Q555" s="87"/>
      <c r="R555" s="87">
        <f t="shared" si="164"/>
        <v>0</v>
      </c>
      <c r="S555" s="87"/>
      <c r="T555" s="87"/>
      <c r="U555" s="87"/>
      <c r="V555" s="87">
        <f t="shared" si="165"/>
        <v>0</v>
      </c>
      <c r="W555" s="113">
        <f t="shared" si="162"/>
        <v>36.913096727263202</v>
      </c>
      <c r="X555" s="69">
        <f t="shared" si="166"/>
        <v>0</v>
      </c>
      <c r="Y555" s="70">
        <f t="shared" si="167"/>
        <v>0</v>
      </c>
      <c r="Z555" s="70">
        <f t="shared" si="168"/>
        <v>0</v>
      </c>
      <c r="AA555" s="70">
        <f t="shared" si="169"/>
        <v>0</v>
      </c>
      <c r="AB555" s="70">
        <f t="shared" si="170"/>
        <v>0</v>
      </c>
      <c r="AC555" s="70">
        <f t="shared" si="171"/>
        <v>0</v>
      </c>
      <c r="AD555" s="71">
        <f t="shared" si="172"/>
        <v>0</v>
      </c>
      <c r="AE555" s="49"/>
      <c r="AF555" s="21"/>
      <c r="AG555" s="69"/>
      <c r="AH555" s="70"/>
      <c r="AI555" s="70"/>
      <c r="AJ555" s="70"/>
      <c r="AK555" s="70"/>
      <c r="AL555" s="70"/>
      <c r="AM555" s="70"/>
      <c r="AN555" s="70" t="str">
        <f t="shared" si="173"/>
        <v>---</v>
      </c>
      <c r="AO555" s="70" t="str">
        <f t="shared" si="174"/>
        <v>---</v>
      </c>
      <c r="AP555" s="70" t="str">
        <f t="shared" si="175"/>
        <v>---</v>
      </c>
      <c r="AQ555" s="70" t="str">
        <f t="shared" si="176"/>
        <v>---</v>
      </c>
      <c r="AR555" s="70" t="str">
        <f t="shared" si="177"/>
        <v>---</v>
      </c>
      <c r="AS555" s="70" t="str">
        <f t="shared" si="178"/>
        <v>---</v>
      </c>
      <c r="AT555" s="71" t="str">
        <f t="shared" si="179"/>
        <v>---</v>
      </c>
    </row>
    <row r="556" spans="1:46" ht="30" customHeight="1" x14ac:dyDescent="0.3">
      <c r="A556" s="123">
        <f t="shared" si="163"/>
        <v>552</v>
      </c>
      <c r="B556" s="140">
        <f>INDEX('PEER GROUP'!B:B,MATCH($A556,'PEER GROUP'!$A:$A,0))</f>
        <v>0</v>
      </c>
      <c r="C556" s="83">
        <f>INDEX('PEER GROUP'!C:C,MATCH($A556,'PEER GROUP'!$A:$A,0))</f>
        <v>0</v>
      </c>
      <c r="D556" s="83">
        <f>INDEX('PEER GROUP'!D:D,MATCH($A556,'PEER GROUP'!$A:$A,0))</f>
        <v>0</v>
      </c>
      <c r="E556" s="83">
        <f>INDEX('PEER GROUP'!E:E,MATCH(A556,'PEER GROUP'!$A:$A,0))</f>
        <v>0</v>
      </c>
      <c r="F556" s="84">
        <f>INDEX('PEER GROUP'!F:F,MATCH($A556,'PEER GROUP'!$A:$A,0))</f>
        <v>0</v>
      </c>
      <c r="G556" s="84">
        <f>INDEX('PEER GROUP'!G:G,MATCH($A556,'PEER GROUP'!$A:$A,0))</f>
        <v>0</v>
      </c>
      <c r="H556" s="85"/>
      <c r="I556" s="85"/>
      <c r="J556" s="70">
        <f>INDEX('PEER GROUP'!K:K,MATCH($A556,'PEER GROUP'!$A:$A,0))</f>
        <v>0</v>
      </c>
      <c r="K556" s="70">
        <f>INDEX('PEER GROUP'!L:L,MATCH($A556,'PEER GROUP'!$A:$A,0))</f>
        <v>0</v>
      </c>
      <c r="L556" s="70">
        <f>INDEX('PEER GROUP'!M:M,MATCH($A556,'PEER GROUP'!$A:$A,0))</f>
        <v>0</v>
      </c>
      <c r="M556" s="86">
        <f>INDEX('PEER GROUP'!N:N,MATCH($A556,'PEER GROUP'!$A:$A,0))</f>
        <v>0</v>
      </c>
      <c r="N556" s="118"/>
      <c r="O556" s="115"/>
      <c r="P556" s="117"/>
      <c r="Q556" s="87"/>
      <c r="R556" s="87">
        <f t="shared" si="164"/>
        <v>0</v>
      </c>
      <c r="S556" s="87"/>
      <c r="T556" s="87"/>
      <c r="U556" s="87"/>
      <c r="V556" s="87">
        <f t="shared" si="165"/>
        <v>0</v>
      </c>
      <c r="W556" s="113">
        <f t="shared" si="162"/>
        <v>36.913096727263202</v>
      </c>
      <c r="X556" s="69">
        <f t="shared" si="166"/>
        <v>0</v>
      </c>
      <c r="Y556" s="70">
        <f t="shared" si="167"/>
        <v>0</v>
      </c>
      <c r="Z556" s="70">
        <f t="shared" si="168"/>
        <v>0</v>
      </c>
      <c r="AA556" s="70">
        <f t="shared" si="169"/>
        <v>0</v>
      </c>
      <c r="AB556" s="70">
        <f t="shared" si="170"/>
        <v>0</v>
      </c>
      <c r="AC556" s="70">
        <f t="shared" si="171"/>
        <v>0</v>
      </c>
      <c r="AD556" s="71">
        <f t="shared" si="172"/>
        <v>0</v>
      </c>
      <c r="AE556" s="49"/>
      <c r="AF556" s="21"/>
      <c r="AG556" s="69"/>
      <c r="AH556" s="70"/>
      <c r="AI556" s="70"/>
      <c r="AJ556" s="70"/>
      <c r="AK556" s="70"/>
      <c r="AL556" s="70"/>
      <c r="AM556" s="70"/>
      <c r="AN556" s="70" t="str">
        <f t="shared" si="173"/>
        <v>---</v>
      </c>
      <c r="AO556" s="70" t="str">
        <f t="shared" si="174"/>
        <v>---</v>
      </c>
      <c r="AP556" s="70" t="str">
        <f t="shared" si="175"/>
        <v>---</v>
      </c>
      <c r="AQ556" s="70" t="str">
        <f t="shared" si="176"/>
        <v>---</v>
      </c>
      <c r="AR556" s="70" t="str">
        <f t="shared" si="177"/>
        <v>---</v>
      </c>
      <c r="AS556" s="70" t="str">
        <f t="shared" si="178"/>
        <v>---</v>
      </c>
      <c r="AT556" s="71" t="str">
        <f t="shared" si="179"/>
        <v>---</v>
      </c>
    </row>
    <row r="557" spans="1:46" ht="30" customHeight="1" x14ac:dyDescent="0.3">
      <c r="A557" s="123">
        <f t="shared" si="163"/>
        <v>553</v>
      </c>
      <c r="B557" s="140">
        <f>INDEX('PEER GROUP'!B:B,MATCH($A557,'PEER GROUP'!$A:$A,0))</f>
        <v>0</v>
      </c>
      <c r="C557" s="83">
        <f>INDEX('PEER GROUP'!C:C,MATCH($A557,'PEER GROUP'!$A:$A,0))</f>
        <v>0</v>
      </c>
      <c r="D557" s="83">
        <f>INDEX('PEER GROUP'!D:D,MATCH($A557,'PEER GROUP'!$A:$A,0))</f>
        <v>0</v>
      </c>
      <c r="E557" s="83">
        <f>INDEX('PEER GROUP'!E:E,MATCH(A557,'PEER GROUP'!$A:$A,0))</f>
        <v>0</v>
      </c>
      <c r="F557" s="84">
        <f>INDEX('PEER GROUP'!F:F,MATCH($A557,'PEER GROUP'!$A:$A,0))</f>
        <v>0</v>
      </c>
      <c r="G557" s="84">
        <f>INDEX('PEER GROUP'!G:G,MATCH($A557,'PEER GROUP'!$A:$A,0))</f>
        <v>0</v>
      </c>
      <c r="H557" s="85"/>
      <c r="I557" s="85"/>
      <c r="J557" s="70">
        <f>INDEX('PEER GROUP'!K:K,MATCH($A557,'PEER GROUP'!$A:$A,0))</f>
        <v>0</v>
      </c>
      <c r="K557" s="70">
        <f>INDEX('PEER GROUP'!L:L,MATCH($A557,'PEER GROUP'!$A:$A,0))</f>
        <v>0</v>
      </c>
      <c r="L557" s="70">
        <f>INDEX('PEER GROUP'!M:M,MATCH($A557,'PEER GROUP'!$A:$A,0))</f>
        <v>0</v>
      </c>
      <c r="M557" s="86">
        <f>INDEX('PEER GROUP'!N:N,MATCH($A557,'PEER GROUP'!$A:$A,0))</f>
        <v>0</v>
      </c>
      <c r="N557" s="118"/>
      <c r="O557" s="115"/>
      <c r="P557" s="117"/>
      <c r="Q557" s="87"/>
      <c r="R557" s="87">
        <f t="shared" si="164"/>
        <v>0</v>
      </c>
      <c r="S557" s="87"/>
      <c r="T557" s="87"/>
      <c r="U557" s="87"/>
      <c r="V557" s="87">
        <f t="shared" si="165"/>
        <v>0</v>
      </c>
      <c r="W557" s="113">
        <f t="shared" si="162"/>
        <v>36.913096727263202</v>
      </c>
      <c r="X557" s="69">
        <f t="shared" si="166"/>
        <v>0</v>
      </c>
      <c r="Y557" s="70">
        <f t="shared" si="167"/>
        <v>0</v>
      </c>
      <c r="Z557" s="70">
        <f t="shared" si="168"/>
        <v>0</v>
      </c>
      <c r="AA557" s="70">
        <f t="shared" si="169"/>
        <v>0</v>
      </c>
      <c r="AB557" s="70">
        <f t="shared" si="170"/>
        <v>0</v>
      </c>
      <c r="AC557" s="70">
        <f t="shared" si="171"/>
        <v>0</v>
      </c>
      <c r="AD557" s="71">
        <f t="shared" si="172"/>
        <v>0</v>
      </c>
      <c r="AE557" s="49"/>
      <c r="AF557" s="21"/>
      <c r="AG557" s="69"/>
      <c r="AH557" s="70"/>
      <c r="AI557" s="70"/>
      <c r="AJ557" s="70"/>
      <c r="AK557" s="70"/>
      <c r="AL557" s="70"/>
      <c r="AM557" s="70"/>
      <c r="AN557" s="70" t="str">
        <f t="shared" si="173"/>
        <v>---</v>
      </c>
      <c r="AO557" s="70" t="str">
        <f t="shared" si="174"/>
        <v>---</v>
      </c>
      <c r="AP557" s="70" t="str">
        <f t="shared" si="175"/>
        <v>---</v>
      </c>
      <c r="AQ557" s="70" t="str">
        <f t="shared" si="176"/>
        <v>---</v>
      </c>
      <c r="AR557" s="70" t="str">
        <f t="shared" si="177"/>
        <v>---</v>
      </c>
      <c r="AS557" s="70" t="str">
        <f t="shared" si="178"/>
        <v>---</v>
      </c>
      <c r="AT557" s="71" t="str">
        <f t="shared" si="179"/>
        <v>---</v>
      </c>
    </row>
    <row r="558" spans="1:46" ht="30" customHeight="1" x14ac:dyDescent="0.3">
      <c r="A558" s="123">
        <f t="shared" si="163"/>
        <v>554</v>
      </c>
      <c r="B558" s="140">
        <f>INDEX('PEER GROUP'!B:B,MATCH($A558,'PEER GROUP'!$A:$A,0))</f>
        <v>0</v>
      </c>
      <c r="C558" s="83">
        <f>INDEX('PEER GROUP'!C:C,MATCH($A558,'PEER GROUP'!$A:$A,0))</f>
        <v>0</v>
      </c>
      <c r="D558" s="83">
        <f>INDEX('PEER GROUP'!D:D,MATCH($A558,'PEER GROUP'!$A:$A,0))</f>
        <v>0</v>
      </c>
      <c r="E558" s="83">
        <f>INDEX('PEER GROUP'!E:E,MATCH(A558,'PEER GROUP'!$A:$A,0))</f>
        <v>0</v>
      </c>
      <c r="F558" s="84">
        <f>INDEX('PEER GROUP'!F:F,MATCH($A558,'PEER GROUP'!$A:$A,0))</f>
        <v>0</v>
      </c>
      <c r="G558" s="84">
        <f>INDEX('PEER GROUP'!G:G,MATCH($A558,'PEER GROUP'!$A:$A,0))</f>
        <v>0</v>
      </c>
      <c r="H558" s="85"/>
      <c r="I558" s="85"/>
      <c r="J558" s="70">
        <f>INDEX('PEER GROUP'!K:K,MATCH($A558,'PEER GROUP'!$A:$A,0))</f>
        <v>0</v>
      </c>
      <c r="K558" s="70">
        <f>INDEX('PEER GROUP'!L:L,MATCH($A558,'PEER GROUP'!$A:$A,0))</f>
        <v>0</v>
      </c>
      <c r="L558" s="70">
        <f>INDEX('PEER GROUP'!M:M,MATCH($A558,'PEER GROUP'!$A:$A,0))</f>
        <v>0</v>
      </c>
      <c r="M558" s="86">
        <f>INDEX('PEER GROUP'!N:N,MATCH($A558,'PEER GROUP'!$A:$A,0))</f>
        <v>0</v>
      </c>
      <c r="N558" s="118"/>
      <c r="O558" s="115"/>
      <c r="P558" s="117"/>
      <c r="Q558" s="87"/>
      <c r="R558" s="87">
        <f t="shared" si="164"/>
        <v>0</v>
      </c>
      <c r="S558" s="87"/>
      <c r="T558" s="87"/>
      <c r="U558" s="87"/>
      <c r="V558" s="87">
        <f t="shared" si="165"/>
        <v>0</v>
      </c>
      <c r="W558" s="113">
        <f t="shared" si="162"/>
        <v>36.913096727263202</v>
      </c>
      <c r="X558" s="69">
        <f t="shared" si="166"/>
        <v>0</v>
      </c>
      <c r="Y558" s="70">
        <f t="shared" si="167"/>
        <v>0</v>
      </c>
      <c r="Z558" s="70">
        <f t="shared" si="168"/>
        <v>0</v>
      </c>
      <c r="AA558" s="70">
        <f t="shared" si="169"/>
        <v>0</v>
      </c>
      <c r="AB558" s="70">
        <f t="shared" si="170"/>
        <v>0</v>
      </c>
      <c r="AC558" s="70">
        <f t="shared" si="171"/>
        <v>0</v>
      </c>
      <c r="AD558" s="71">
        <f t="shared" si="172"/>
        <v>0</v>
      </c>
      <c r="AE558" s="49"/>
      <c r="AF558" s="21"/>
      <c r="AG558" s="69"/>
      <c r="AH558" s="70"/>
      <c r="AI558" s="70"/>
      <c r="AJ558" s="70"/>
      <c r="AK558" s="70"/>
      <c r="AL558" s="70"/>
      <c r="AM558" s="70"/>
      <c r="AN558" s="70" t="str">
        <f t="shared" si="173"/>
        <v>---</v>
      </c>
      <c r="AO558" s="70" t="str">
        <f t="shared" si="174"/>
        <v>---</v>
      </c>
      <c r="AP558" s="70" t="str">
        <f t="shared" si="175"/>
        <v>---</v>
      </c>
      <c r="AQ558" s="70" t="str">
        <f t="shared" si="176"/>
        <v>---</v>
      </c>
      <c r="AR558" s="70" t="str">
        <f t="shared" si="177"/>
        <v>---</v>
      </c>
      <c r="AS558" s="70" t="str">
        <f t="shared" si="178"/>
        <v>---</v>
      </c>
      <c r="AT558" s="71" t="str">
        <f t="shared" si="179"/>
        <v>---</v>
      </c>
    </row>
    <row r="559" spans="1:46" ht="30" customHeight="1" x14ac:dyDescent="0.3">
      <c r="A559" s="123">
        <f t="shared" si="163"/>
        <v>555</v>
      </c>
      <c r="B559" s="140">
        <f>INDEX('PEER GROUP'!B:B,MATCH($A559,'PEER GROUP'!$A:$A,0))</f>
        <v>0</v>
      </c>
      <c r="C559" s="83">
        <f>INDEX('PEER GROUP'!C:C,MATCH($A559,'PEER GROUP'!$A:$A,0))</f>
        <v>0</v>
      </c>
      <c r="D559" s="83">
        <f>INDEX('PEER GROUP'!D:D,MATCH($A559,'PEER GROUP'!$A:$A,0))</f>
        <v>0</v>
      </c>
      <c r="E559" s="83">
        <f>INDEX('PEER GROUP'!E:E,MATCH(A559,'PEER GROUP'!$A:$A,0))</f>
        <v>0</v>
      </c>
      <c r="F559" s="84">
        <f>INDEX('PEER GROUP'!F:F,MATCH($A559,'PEER GROUP'!$A:$A,0))</f>
        <v>0</v>
      </c>
      <c r="G559" s="84">
        <f>INDEX('PEER GROUP'!G:G,MATCH($A559,'PEER GROUP'!$A:$A,0))</f>
        <v>0</v>
      </c>
      <c r="H559" s="85"/>
      <c r="I559" s="85"/>
      <c r="J559" s="70">
        <f>INDEX('PEER GROUP'!K:K,MATCH($A559,'PEER GROUP'!$A:$A,0))</f>
        <v>0</v>
      </c>
      <c r="K559" s="70">
        <f>INDEX('PEER GROUP'!L:L,MATCH($A559,'PEER GROUP'!$A:$A,0))</f>
        <v>0</v>
      </c>
      <c r="L559" s="70">
        <f>INDEX('PEER GROUP'!M:M,MATCH($A559,'PEER GROUP'!$A:$A,0))</f>
        <v>0</v>
      </c>
      <c r="M559" s="86">
        <f>INDEX('PEER GROUP'!N:N,MATCH($A559,'PEER GROUP'!$A:$A,0))</f>
        <v>0</v>
      </c>
      <c r="N559" s="118"/>
      <c r="O559" s="115"/>
      <c r="P559" s="117"/>
      <c r="Q559" s="87"/>
      <c r="R559" s="87">
        <f t="shared" si="164"/>
        <v>0</v>
      </c>
      <c r="S559" s="87"/>
      <c r="T559" s="87"/>
      <c r="U559" s="87"/>
      <c r="V559" s="87">
        <f t="shared" si="165"/>
        <v>0</v>
      </c>
      <c r="W559" s="113">
        <f t="shared" si="162"/>
        <v>36.913096727263202</v>
      </c>
      <c r="X559" s="69">
        <f t="shared" si="166"/>
        <v>0</v>
      </c>
      <c r="Y559" s="70">
        <f t="shared" si="167"/>
        <v>0</v>
      </c>
      <c r="Z559" s="70">
        <f t="shared" si="168"/>
        <v>0</v>
      </c>
      <c r="AA559" s="70">
        <f t="shared" si="169"/>
        <v>0</v>
      </c>
      <c r="AB559" s="70">
        <f t="shared" si="170"/>
        <v>0</v>
      </c>
      <c r="AC559" s="70">
        <f t="shared" si="171"/>
        <v>0</v>
      </c>
      <c r="AD559" s="71">
        <f t="shared" si="172"/>
        <v>0</v>
      </c>
      <c r="AE559" s="49"/>
      <c r="AF559" s="21"/>
      <c r="AG559" s="69"/>
      <c r="AH559" s="70"/>
      <c r="AI559" s="70"/>
      <c r="AJ559" s="70"/>
      <c r="AK559" s="70"/>
      <c r="AL559" s="70"/>
      <c r="AM559" s="70"/>
      <c r="AN559" s="70" t="str">
        <f t="shared" si="173"/>
        <v>---</v>
      </c>
      <c r="AO559" s="70" t="str">
        <f t="shared" si="174"/>
        <v>---</v>
      </c>
      <c r="AP559" s="70" t="str">
        <f t="shared" si="175"/>
        <v>---</v>
      </c>
      <c r="AQ559" s="70" t="str">
        <f t="shared" si="176"/>
        <v>---</v>
      </c>
      <c r="AR559" s="70" t="str">
        <f t="shared" si="177"/>
        <v>---</v>
      </c>
      <c r="AS559" s="70" t="str">
        <f t="shared" si="178"/>
        <v>---</v>
      </c>
      <c r="AT559" s="71" t="str">
        <f t="shared" si="179"/>
        <v>---</v>
      </c>
    </row>
    <row r="560" spans="1:46" ht="30" customHeight="1" x14ac:dyDescent="0.3">
      <c r="A560" s="123">
        <f t="shared" si="163"/>
        <v>556</v>
      </c>
      <c r="B560" s="140">
        <f>INDEX('PEER GROUP'!B:B,MATCH($A560,'PEER GROUP'!$A:$A,0))</f>
        <v>0</v>
      </c>
      <c r="C560" s="83">
        <f>INDEX('PEER GROUP'!C:C,MATCH($A560,'PEER GROUP'!$A:$A,0))</f>
        <v>0</v>
      </c>
      <c r="D560" s="83">
        <f>INDEX('PEER GROUP'!D:D,MATCH($A560,'PEER GROUP'!$A:$A,0))</f>
        <v>0</v>
      </c>
      <c r="E560" s="83">
        <f>INDEX('PEER GROUP'!E:E,MATCH(A560,'PEER GROUP'!$A:$A,0))</f>
        <v>0</v>
      </c>
      <c r="F560" s="84">
        <f>INDEX('PEER GROUP'!F:F,MATCH($A560,'PEER GROUP'!$A:$A,0))</f>
        <v>0</v>
      </c>
      <c r="G560" s="84">
        <f>INDEX('PEER GROUP'!G:G,MATCH($A560,'PEER GROUP'!$A:$A,0))</f>
        <v>0</v>
      </c>
      <c r="H560" s="85"/>
      <c r="I560" s="85"/>
      <c r="J560" s="70">
        <f>INDEX('PEER GROUP'!K:K,MATCH($A560,'PEER GROUP'!$A:$A,0))</f>
        <v>0</v>
      </c>
      <c r="K560" s="70">
        <f>INDEX('PEER GROUP'!L:L,MATCH($A560,'PEER GROUP'!$A:$A,0))</f>
        <v>0</v>
      </c>
      <c r="L560" s="70">
        <f>INDEX('PEER GROUP'!M:M,MATCH($A560,'PEER GROUP'!$A:$A,0))</f>
        <v>0</v>
      </c>
      <c r="M560" s="86">
        <f>INDEX('PEER GROUP'!N:N,MATCH($A560,'PEER GROUP'!$A:$A,0))</f>
        <v>0</v>
      </c>
      <c r="N560" s="118"/>
      <c r="O560" s="115"/>
      <c r="P560" s="117"/>
      <c r="Q560" s="87"/>
      <c r="R560" s="87">
        <f t="shared" si="164"/>
        <v>0</v>
      </c>
      <c r="S560" s="87"/>
      <c r="T560" s="87"/>
      <c r="U560" s="87"/>
      <c r="V560" s="87">
        <f t="shared" si="165"/>
        <v>0</v>
      </c>
      <c r="W560" s="113">
        <f t="shared" si="162"/>
        <v>36.913096727263202</v>
      </c>
      <c r="X560" s="69">
        <f t="shared" si="166"/>
        <v>0</v>
      </c>
      <c r="Y560" s="70">
        <f t="shared" si="167"/>
        <v>0</v>
      </c>
      <c r="Z560" s="70">
        <f t="shared" si="168"/>
        <v>0</v>
      </c>
      <c r="AA560" s="70">
        <f t="shared" si="169"/>
        <v>0</v>
      </c>
      <c r="AB560" s="70">
        <f t="shared" si="170"/>
        <v>0</v>
      </c>
      <c r="AC560" s="70">
        <f t="shared" si="171"/>
        <v>0</v>
      </c>
      <c r="AD560" s="71">
        <f t="shared" si="172"/>
        <v>0</v>
      </c>
      <c r="AE560" s="49"/>
      <c r="AF560" s="21"/>
      <c r="AG560" s="69"/>
      <c r="AH560" s="70"/>
      <c r="AI560" s="70"/>
      <c r="AJ560" s="70"/>
      <c r="AK560" s="70"/>
      <c r="AL560" s="70"/>
      <c r="AM560" s="70"/>
      <c r="AN560" s="70" t="str">
        <f t="shared" si="173"/>
        <v>---</v>
      </c>
      <c r="AO560" s="70" t="str">
        <f t="shared" si="174"/>
        <v>---</v>
      </c>
      <c r="AP560" s="70" t="str">
        <f t="shared" si="175"/>
        <v>---</v>
      </c>
      <c r="AQ560" s="70" t="str">
        <f t="shared" si="176"/>
        <v>---</v>
      </c>
      <c r="AR560" s="70" t="str">
        <f t="shared" si="177"/>
        <v>---</v>
      </c>
      <c r="AS560" s="70" t="str">
        <f t="shared" si="178"/>
        <v>---</v>
      </c>
      <c r="AT560" s="71" t="str">
        <f t="shared" si="179"/>
        <v>---</v>
      </c>
    </row>
    <row r="561" spans="1:46" ht="30" customHeight="1" x14ac:dyDescent="0.3">
      <c r="A561" s="123">
        <f t="shared" si="163"/>
        <v>557</v>
      </c>
      <c r="B561" s="140">
        <f>INDEX('PEER GROUP'!B:B,MATCH($A561,'PEER GROUP'!$A:$A,0))</f>
        <v>0</v>
      </c>
      <c r="C561" s="83">
        <f>INDEX('PEER GROUP'!C:C,MATCH($A561,'PEER GROUP'!$A:$A,0))</f>
        <v>0</v>
      </c>
      <c r="D561" s="83">
        <f>INDEX('PEER GROUP'!D:D,MATCH($A561,'PEER GROUP'!$A:$A,0))</f>
        <v>0</v>
      </c>
      <c r="E561" s="83">
        <f>INDEX('PEER GROUP'!E:E,MATCH(A561,'PEER GROUP'!$A:$A,0))</f>
        <v>0</v>
      </c>
      <c r="F561" s="84">
        <f>INDEX('PEER GROUP'!F:F,MATCH($A561,'PEER GROUP'!$A:$A,0))</f>
        <v>0</v>
      </c>
      <c r="G561" s="84">
        <f>INDEX('PEER GROUP'!G:G,MATCH($A561,'PEER GROUP'!$A:$A,0))</f>
        <v>0</v>
      </c>
      <c r="H561" s="85"/>
      <c r="I561" s="85"/>
      <c r="J561" s="70">
        <f>INDEX('PEER GROUP'!K:K,MATCH($A561,'PEER GROUP'!$A:$A,0))</f>
        <v>0</v>
      </c>
      <c r="K561" s="70">
        <f>INDEX('PEER GROUP'!L:L,MATCH($A561,'PEER GROUP'!$A:$A,0))</f>
        <v>0</v>
      </c>
      <c r="L561" s="70">
        <f>INDEX('PEER GROUP'!M:M,MATCH($A561,'PEER GROUP'!$A:$A,0))</f>
        <v>0</v>
      </c>
      <c r="M561" s="86">
        <f>INDEX('PEER GROUP'!N:N,MATCH($A561,'PEER GROUP'!$A:$A,0))</f>
        <v>0</v>
      </c>
      <c r="N561" s="118"/>
      <c r="O561" s="115"/>
      <c r="P561" s="117"/>
      <c r="Q561" s="87"/>
      <c r="R561" s="87">
        <f t="shared" si="164"/>
        <v>0</v>
      </c>
      <c r="S561" s="87"/>
      <c r="T561" s="87"/>
      <c r="U561" s="87"/>
      <c r="V561" s="87">
        <f t="shared" si="165"/>
        <v>0</v>
      </c>
      <c r="W561" s="113">
        <f t="shared" si="162"/>
        <v>36.913096727263202</v>
      </c>
      <c r="X561" s="69">
        <f t="shared" si="166"/>
        <v>0</v>
      </c>
      <c r="Y561" s="70">
        <f t="shared" si="167"/>
        <v>0</v>
      </c>
      <c r="Z561" s="70">
        <f t="shared" si="168"/>
        <v>0</v>
      </c>
      <c r="AA561" s="70">
        <f t="shared" si="169"/>
        <v>0</v>
      </c>
      <c r="AB561" s="70">
        <f t="shared" si="170"/>
        <v>0</v>
      </c>
      <c r="AC561" s="70">
        <f t="shared" si="171"/>
        <v>0</v>
      </c>
      <c r="AD561" s="71">
        <f t="shared" si="172"/>
        <v>0</v>
      </c>
      <c r="AE561" s="49"/>
      <c r="AF561" s="21"/>
      <c r="AG561" s="69"/>
      <c r="AH561" s="70"/>
      <c r="AI561" s="70"/>
      <c r="AJ561" s="70"/>
      <c r="AK561" s="70"/>
      <c r="AL561" s="70"/>
      <c r="AM561" s="70"/>
      <c r="AN561" s="70" t="str">
        <f t="shared" si="173"/>
        <v>---</v>
      </c>
      <c r="AO561" s="70" t="str">
        <f t="shared" si="174"/>
        <v>---</v>
      </c>
      <c r="AP561" s="70" t="str">
        <f t="shared" si="175"/>
        <v>---</v>
      </c>
      <c r="AQ561" s="70" t="str">
        <f t="shared" si="176"/>
        <v>---</v>
      </c>
      <c r="AR561" s="70" t="str">
        <f t="shared" si="177"/>
        <v>---</v>
      </c>
      <c r="AS561" s="70" t="str">
        <f t="shared" si="178"/>
        <v>---</v>
      </c>
      <c r="AT561" s="71" t="str">
        <f t="shared" si="179"/>
        <v>---</v>
      </c>
    </row>
    <row r="562" spans="1:46" ht="30" customHeight="1" x14ac:dyDescent="0.3">
      <c r="A562" s="123">
        <f t="shared" si="163"/>
        <v>558</v>
      </c>
      <c r="B562" s="140">
        <f>INDEX('PEER GROUP'!B:B,MATCH($A562,'PEER GROUP'!$A:$A,0))</f>
        <v>0</v>
      </c>
      <c r="C562" s="83">
        <f>INDEX('PEER GROUP'!C:C,MATCH($A562,'PEER GROUP'!$A:$A,0))</f>
        <v>0</v>
      </c>
      <c r="D562" s="83">
        <f>INDEX('PEER GROUP'!D:D,MATCH($A562,'PEER GROUP'!$A:$A,0))</f>
        <v>0</v>
      </c>
      <c r="E562" s="83">
        <f>INDEX('PEER GROUP'!E:E,MATCH(A562,'PEER GROUP'!$A:$A,0))</f>
        <v>0</v>
      </c>
      <c r="F562" s="84">
        <f>INDEX('PEER GROUP'!F:F,MATCH($A562,'PEER GROUP'!$A:$A,0))</f>
        <v>0</v>
      </c>
      <c r="G562" s="84">
        <f>INDEX('PEER GROUP'!G:G,MATCH($A562,'PEER GROUP'!$A:$A,0))</f>
        <v>0</v>
      </c>
      <c r="H562" s="85"/>
      <c r="I562" s="85"/>
      <c r="J562" s="70">
        <f>INDEX('PEER GROUP'!K:K,MATCH($A562,'PEER GROUP'!$A:$A,0))</f>
        <v>0</v>
      </c>
      <c r="K562" s="70">
        <f>INDEX('PEER GROUP'!L:L,MATCH($A562,'PEER GROUP'!$A:$A,0))</f>
        <v>0</v>
      </c>
      <c r="L562" s="70">
        <f>INDEX('PEER GROUP'!M:M,MATCH($A562,'PEER GROUP'!$A:$A,0))</f>
        <v>0</v>
      </c>
      <c r="M562" s="86">
        <f>INDEX('PEER GROUP'!N:N,MATCH($A562,'PEER GROUP'!$A:$A,0))</f>
        <v>0</v>
      </c>
      <c r="N562" s="118"/>
      <c r="O562" s="115"/>
      <c r="P562" s="117"/>
      <c r="Q562" s="87"/>
      <c r="R562" s="87">
        <f t="shared" si="164"/>
        <v>0</v>
      </c>
      <c r="S562" s="87"/>
      <c r="T562" s="87"/>
      <c r="U562" s="87"/>
      <c r="V562" s="87">
        <f t="shared" si="165"/>
        <v>0</v>
      </c>
      <c r="W562" s="113">
        <f t="shared" si="162"/>
        <v>36.913096727263202</v>
      </c>
      <c r="X562" s="69">
        <f t="shared" si="166"/>
        <v>0</v>
      </c>
      <c r="Y562" s="70">
        <f t="shared" si="167"/>
        <v>0</v>
      </c>
      <c r="Z562" s="70">
        <f t="shared" si="168"/>
        <v>0</v>
      </c>
      <c r="AA562" s="70">
        <f t="shared" si="169"/>
        <v>0</v>
      </c>
      <c r="AB562" s="70">
        <f t="shared" si="170"/>
        <v>0</v>
      </c>
      <c r="AC562" s="70">
        <f t="shared" si="171"/>
        <v>0</v>
      </c>
      <c r="AD562" s="71">
        <f t="shared" si="172"/>
        <v>0</v>
      </c>
      <c r="AE562" s="49"/>
      <c r="AF562" s="21"/>
      <c r="AG562" s="69"/>
      <c r="AH562" s="70"/>
      <c r="AI562" s="70"/>
      <c r="AJ562" s="70"/>
      <c r="AK562" s="70"/>
      <c r="AL562" s="70"/>
      <c r="AM562" s="70"/>
      <c r="AN562" s="70" t="str">
        <f t="shared" si="173"/>
        <v>---</v>
      </c>
      <c r="AO562" s="70" t="str">
        <f t="shared" si="174"/>
        <v>---</v>
      </c>
      <c r="AP562" s="70" t="str">
        <f t="shared" si="175"/>
        <v>---</v>
      </c>
      <c r="AQ562" s="70" t="str">
        <f t="shared" si="176"/>
        <v>---</v>
      </c>
      <c r="AR562" s="70" t="str">
        <f t="shared" si="177"/>
        <v>---</v>
      </c>
      <c r="AS562" s="70" t="str">
        <f t="shared" si="178"/>
        <v>---</v>
      </c>
      <c r="AT562" s="71" t="str">
        <f t="shared" si="179"/>
        <v>---</v>
      </c>
    </row>
    <row r="563" spans="1:46" ht="30" customHeight="1" x14ac:dyDescent="0.3">
      <c r="A563" s="123">
        <f t="shared" si="163"/>
        <v>559</v>
      </c>
      <c r="B563" s="140">
        <f>INDEX('PEER GROUP'!B:B,MATCH($A563,'PEER GROUP'!$A:$A,0))</f>
        <v>0</v>
      </c>
      <c r="C563" s="83">
        <f>INDEX('PEER GROUP'!C:C,MATCH($A563,'PEER GROUP'!$A:$A,0))</f>
        <v>0</v>
      </c>
      <c r="D563" s="83">
        <f>INDEX('PEER GROUP'!D:D,MATCH($A563,'PEER GROUP'!$A:$A,0))</f>
        <v>0</v>
      </c>
      <c r="E563" s="83">
        <f>INDEX('PEER GROUP'!E:E,MATCH(A563,'PEER GROUP'!$A:$A,0))</f>
        <v>0</v>
      </c>
      <c r="F563" s="84">
        <f>INDEX('PEER GROUP'!F:F,MATCH($A563,'PEER GROUP'!$A:$A,0))</f>
        <v>0</v>
      </c>
      <c r="G563" s="84">
        <f>INDEX('PEER GROUP'!G:G,MATCH($A563,'PEER GROUP'!$A:$A,0))</f>
        <v>0</v>
      </c>
      <c r="H563" s="85"/>
      <c r="I563" s="85"/>
      <c r="J563" s="70">
        <f>INDEX('PEER GROUP'!K:K,MATCH($A563,'PEER GROUP'!$A:$A,0))</f>
        <v>0</v>
      </c>
      <c r="K563" s="70">
        <f>INDEX('PEER GROUP'!L:L,MATCH($A563,'PEER GROUP'!$A:$A,0))</f>
        <v>0</v>
      </c>
      <c r="L563" s="70">
        <f>INDEX('PEER GROUP'!M:M,MATCH($A563,'PEER GROUP'!$A:$A,0))</f>
        <v>0</v>
      </c>
      <c r="M563" s="86">
        <f>INDEX('PEER GROUP'!N:N,MATCH($A563,'PEER GROUP'!$A:$A,0))</f>
        <v>0</v>
      </c>
      <c r="N563" s="118"/>
      <c r="O563" s="115"/>
      <c r="P563" s="117"/>
      <c r="Q563" s="87"/>
      <c r="R563" s="87">
        <f t="shared" si="164"/>
        <v>0</v>
      </c>
      <c r="S563" s="87"/>
      <c r="T563" s="87"/>
      <c r="U563" s="87"/>
      <c r="V563" s="87">
        <f t="shared" si="165"/>
        <v>0</v>
      </c>
      <c r="W563" s="113">
        <f t="shared" si="162"/>
        <v>36.913096727263202</v>
      </c>
      <c r="X563" s="69">
        <f t="shared" si="166"/>
        <v>0</v>
      </c>
      <c r="Y563" s="70">
        <f t="shared" si="167"/>
        <v>0</v>
      </c>
      <c r="Z563" s="70">
        <f t="shared" si="168"/>
        <v>0</v>
      </c>
      <c r="AA563" s="70">
        <f t="shared" si="169"/>
        <v>0</v>
      </c>
      <c r="AB563" s="70">
        <f t="shared" si="170"/>
        <v>0</v>
      </c>
      <c r="AC563" s="70">
        <f t="shared" si="171"/>
        <v>0</v>
      </c>
      <c r="AD563" s="71">
        <f t="shared" si="172"/>
        <v>0</v>
      </c>
      <c r="AE563" s="49"/>
      <c r="AF563" s="21"/>
      <c r="AG563" s="69"/>
      <c r="AH563" s="70"/>
      <c r="AI563" s="70"/>
      <c r="AJ563" s="70"/>
      <c r="AK563" s="70"/>
      <c r="AL563" s="70"/>
      <c r="AM563" s="70"/>
      <c r="AN563" s="70" t="str">
        <f t="shared" si="173"/>
        <v>---</v>
      </c>
      <c r="AO563" s="70" t="str">
        <f t="shared" si="174"/>
        <v>---</v>
      </c>
      <c r="AP563" s="70" t="str">
        <f t="shared" si="175"/>
        <v>---</v>
      </c>
      <c r="AQ563" s="70" t="str">
        <f t="shared" si="176"/>
        <v>---</v>
      </c>
      <c r="AR563" s="70" t="str">
        <f t="shared" si="177"/>
        <v>---</v>
      </c>
      <c r="AS563" s="70" t="str">
        <f t="shared" si="178"/>
        <v>---</v>
      </c>
      <c r="AT563" s="71" t="str">
        <f t="shared" si="179"/>
        <v>---</v>
      </c>
    </row>
    <row r="564" spans="1:46" ht="30" customHeight="1" x14ac:dyDescent="0.3">
      <c r="A564" s="123">
        <f t="shared" si="163"/>
        <v>560</v>
      </c>
      <c r="B564" s="140">
        <f>INDEX('PEER GROUP'!B:B,MATCH($A564,'PEER GROUP'!$A:$A,0))</f>
        <v>0</v>
      </c>
      <c r="C564" s="83">
        <f>INDEX('PEER GROUP'!C:C,MATCH($A564,'PEER GROUP'!$A:$A,0))</f>
        <v>0</v>
      </c>
      <c r="D564" s="83">
        <f>INDEX('PEER GROUP'!D:D,MATCH($A564,'PEER GROUP'!$A:$A,0))</f>
        <v>0</v>
      </c>
      <c r="E564" s="83">
        <f>INDEX('PEER GROUP'!E:E,MATCH(A564,'PEER GROUP'!$A:$A,0))</f>
        <v>0</v>
      </c>
      <c r="F564" s="84">
        <f>INDEX('PEER GROUP'!F:F,MATCH($A564,'PEER GROUP'!$A:$A,0))</f>
        <v>0</v>
      </c>
      <c r="G564" s="84">
        <f>INDEX('PEER GROUP'!G:G,MATCH($A564,'PEER GROUP'!$A:$A,0))</f>
        <v>0</v>
      </c>
      <c r="H564" s="85"/>
      <c r="I564" s="85"/>
      <c r="J564" s="70">
        <f>INDEX('PEER GROUP'!K:K,MATCH($A564,'PEER GROUP'!$A:$A,0))</f>
        <v>0</v>
      </c>
      <c r="K564" s="70">
        <f>INDEX('PEER GROUP'!L:L,MATCH($A564,'PEER GROUP'!$A:$A,0))</f>
        <v>0</v>
      </c>
      <c r="L564" s="70">
        <f>INDEX('PEER GROUP'!M:M,MATCH($A564,'PEER GROUP'!$A:$A,0))</f>
        <v>0</v>
      </c>
      <c r="M564" s="86">
        <f>INDEX('PEER GROUP'!N:N,MATCH($A564,'PEER GROUP'!$A:$A,0))</f>
        <v>0</v>
      </c>
      <c r="N564" s="118"/>
      <c r="O564" s="115"/>
      <c r="P564" s="117"/>
      <c r="Q564" s="87"/>
      <c r="R564" s="87">
        <f t="shared" si="164"/>
        <v>0</v>
      </c>
      <c r="S564" s="87"/>
      <c r="T564" s="87"/>
      <c r="U564" s="87"/>
      <c r="V564" s="87">
        <f t="shared" si="165"/>
        <v>0</v>
      </c>
      <c r="W564" s="113">
        <f t="shared" si="162"/>
        <v>36.913096727263202</v>
      </c>
      <c r="X564" s="69">
        <f t="shared" si="166"/>
        <v>0</v>
      </c>
      <c r="Y564" s="70">
        <f t="shared" si="167"/>
        <v>0</v>
      </c>
      <c r="Z564" s="70">
        <f t="shared" si="168"/>
        <v>0</v>
      </c>
      <c r="AA564" s="70">
        <f t="shared" si="169"/>
        <v>0</v>
      </c>
      <c r="AB564" s="70">
        <f t="shared" si="170"/>
        <v>0</v>
      </c>
      <c r="AC564" s="70">
        <f t="shared" si="171"/>
        <v>0</v>
      </c>
      <c r="AD564" s="71">
        <f t="shared" si="172"/>
        <v>0</v>
      </c>
      <c r="AE564" s="49"/>
      <c r="AF564" s="21"/>
      <c r="AG564" s="69"/>
      <c r="AH564" s="70"/>
      <c r="AI564" s="70"/>
      <c r="AJ564" s="70"/>
      <c r="AK564" s="70"/>
      <c r="AL564" s="70"/>
      <c r="AM564" s="70"/>
      <c r="AN564" s="70" t="str">
        <f t="shared" si="173"/>
        <v>---</v>
      </c>
      <c r="AO564" s="70" t="str">
        <f t="shared" si="174"/>
        <v>---</v>
      </c>
      <c r="AP564" s="70" t="str">
        <f t="shared" si="175"/>
        <v>---</v>
      </c>
      <c r="AQ564" s="70" t="str">
        <f t="shared" si="176"/>
        <v>---</v>
      </c>
      <c r="AR564" s="70" t="str">
        <f t="shared" si="177"/>
        <v>---</v>
      </c>
      <c r="AS564" s="70" t="str">
        <f t="shared" si="178"/>
        <v>---</v>
      </c>
      <c r="AT564" s="71" t="str">
        <f t="shared" si="179"/>
        <v>---</v>
      </c>
    </row>
    <row r="565" spans="1:46" ht="30" customHeight="1" x14ac:dyDescent="0.3">
      <c r="A565" s="123">
        <f t="shared" si="163"/>
        <v>561</v>
      </c>
      <c r="B565" s="140">
        <f>INDEX('PEER GROUP'!B:B,MATCH($A565,'PEER GROUP'!$A:$A,0))</f>
        <v>0</v>
      </c>
      <c r="C565" s="83">
        <f>INDEX('PEER GROUP'!C:C,MATCH($A565,'PEER GROUP'!$A:$A,0))</f>
        <v>0</v>
      </c>
      <c r="D565" s="83">
        <f>INDEX('PEER GROUP'!D:D,MATCH($A565,'PEER GROUP'!$A:$A,0))</f>
        <v>0</v>
      </c>
      <c r="E565" s="83">
        <f>INDEX('PEER GROUP'!E:E,MATCH(A565,'PEER GROUP'!$A:$A,0))</f>
        <v>0</v>
      </c>
      <c r="F565" s="84">
        <f>INDEX('PEER GROUP'!F:F,MATCH($A565,'PEER GROUP'!$A:$A,0))</f>
        <v>0</v>
      </c>
      <c r="G565" s="84">
        <f>INDEX('PEER GROUP'!G:G,MATCH($A565,'PEER GROUP'!$A:$A,0))</f>
        <v>0</v>
      </c>
      <c r="H565" s="85"/>
      <c r="I565" s="85"/>
      <c r="J565" s="70">
        <f>INDEX('PEER GROUP'!K:K,MATCH($A565,'PEER GROUP'!$A:$A,0))</f>
        <v>0</v>
      </c>
      <c r="K565" s="70">
        <f>INDEX('PEER GROUP'!L:L,MATCH($A565,'PEER GROUP'!$A:$A,0))</f>
        <v>0</v>
      </c>
      <c r="L565" s="70">
        <f>INDEX('PEER GROUP'!M:M,MATCH($A565,'PEER GROUP'!$A:$A,0))</f>
        <v>0</v>
      </c>
      <c r="M565" s="86">
        <f>INDEX('PEER GROUP'!N:N,MATCH($A565,'PEER GROUP'!$A:$A,0))</f>
        <v>0</v>
      </c>
      <c r="N565" s="118"/>
      <c r="O565" s="115"/>
      <c r="P565" s="117"/>
      <c r="Q565" s="87"/>
      <c r="R565" s="87">
        <f t="shared" si="164"/>
        <v>0</v>
      </c>
      <c r="S565" s="87"/>
      <c r="T565" s="87"/>
      <c r="U565" s="87"/>
      <c r="V565" s="87">
        <f t="shared" si="165"/>
        <v>0</v>
      </c>
      <c r="W565" s="113">
        <f t="shared" si="162"/>
        <v>36.913096727263202</v>
      </c>
      <c r="X565" s="69">
        <f t="shared" si="166"/>
        <v>0</v>
      </c>
      <c r="Y565" s="70">
        <f t="shared" si="167"/>
        <v>0</v>
      </c>
      <c r="Z565" s="70">
        <f t="shared" si="168"/>
        <v>0</v>
      </c>
      <c r="AA565" s="70">
        <f t="shared" si="169"/>
        <v>0</v>
      </c>
      <c r="AB565" s="70">
        <f t="shared" si="170"/>
        <v>0</v>
      </c>
      <c r="AC565" s="70">
        <f t="shared" si="171"/>
        <v>0</v>
      </c>
      <c r="AD565" s="71">
        <f t="shared" si="172"/>
        <v>0</v>
      </c>
      <c r="AE565" s="49"/>
      <c r="AF565" s="21"/>
      <c r="AG565" s="69"/>
      <c r="AH565" s="70"/>
      <c r="AI565" s="70"/>
      <c r="AJ565" s="70"/>
      <c r="AK565" s="70"/>
      <c r="AL565" s="70"/>
      <c r="AM565" s="70"/>
      <c r="AN565" s="70" t="str">
        <f t="shared" si="173"/>
        <v>---</v>
      </c>
      <c r="AO565" s="70" t="str">
        <f t="shared" si="174"/>
        <v>---</v>
      </c>
      <c r="AP565" s="70" t="str">
        <f t="shared" si="175"/>
        <v>---</v>
      </c>
      <c r="AQ565" s="70" t="str">
        <f t="shared" si="176"/>
        <v>---</v>
      </c>
      <c r="AR565" s="70" t="str">
        <f t="shared" si="177"/>
        <v>---</v>
      </c>
      <c r="AS565" s="70" t="str">
        <f t="shared" si="178"/>
        <v>---</v>
      </c>
      <c r="AT565" s="71" t="str">
        <f t="shared" si="179"/>
        <v>---</v>
      </c>
    </row>
    <row r="566" spans="1:46" ht="30" customHeight="1" x14ac:dyDescent="0.3">
      <c r="A566" s="123">
        <f t="shared" si="163"/>
        <v>562</v>
      </c>
      <c r="B566" s="140">
        <f>INDEX('PEER GROUP'!B:B,MATCH($A566,'PEER GROUP'!$A:$A,0))</f>
        <v>0</v>
      </c>
      <c r="C566" s="83">
        <f>INDEX('PEER GROUP'!C:C,MATCH($A566,'PEER GROUP'!$A:$A,0))</f>
        <v>0</v>
      </c>
      <c r="D566" s="83">
        <f>INDEX('PEER GROUP'!D:D,MATCH($A566,'PEER GROUP'!$A:$A,0))</f>
        <v>0</v>
      </c>
      <c r="E566" s="83">
        <f>INDEX('PEER GROUP'!E:E,MATCH(A566,'PEER GROUP'!$A:$A,0))</f>
        <v>0</v>
      </c>
      <c r="F566" s="84">
        <f>INDEX('PEER GROUP'!F:F,MATCH($A566,'PEER GROUP'!$A:$A,0))</f>
        <v>0</v>
      </c>
      <c r="G566" s="84">
        <f>INDEX('PEER GROUP'!G:G,MATCH($A566,'PEER GROUP'!$A:$A,0))</f>
        <v>0</v>
      </c>
      <c r="H566" s="85"/>
      <c r="I566" s="85"/>
      <c r="J566" s="70">
        <f>INDEX('PEER GROUP'!K:K,MATCH($A566,'PEER GROUP'!$A:$A,0))</f>
        <v>0</v>
      </c>
      <c r="K566" s="70">
        <f>INDEX('PEER GROUP'!L:L,MATCH($A566,'PEER GROUP'!$A:$A,0))</f>
        <v>0</v>
      </c>
      <c r="L566" s="70">
        <f>INDEX('PEER GROUP'!M:M,MATCH($A566,'PEER GROUP'!$A:$A,0))</f>
        <v>0</v>
      </c>
      <c r="M566" s="86">
        <f>INDEX('PEER GROUP'!N:N,MATCH($A566,'PEER GROUP'!$A:$A,0))</f>
        <v>0</v>
      </c>
      <c r="N566" s="118"/>
      <c r="O566" s="115"/>
      <c r="P566" s="117"/>
      <c r="Q566" s="87"/>
      <c r="R566" s="87">
        <f t="shared" si="164"/>
        <v>0</v>
      </c>
      <c r="S566" s="87"/>
      <c r="T566" s="87"/>
      <c r="U566" s="87"/>
      <c r="V566" s="87">
        <f t="shared" si="165"/>
        <v>0</v>
      </c>
      <c r="W566" s="113">
        <f t="shared" si="162"/>
        <v>36.913096727263202</v>
      </c>
      <c r="X566" s="69">
        <f t="shared" si="166"/>
        <v>0</v>
      </c>
      <c r="Y566" s="70">
        <f t="shared" si="167"/>
        <v>0</v>
      </c>
      <c r="Z566" s="70">
        <f t="shared" si="168"/>
        <v>0</v>
      </c>
      <c r="AA566" s="70">
        <f t="shared" si="169"/>
        <v>0</v>
      </c>
      <c r="AB566" s="70">
        <f t="shared" si="170"/>
        <v>0</v>
      </c>
      <c r="AC566" s="70">
        <f t="shared" si="171"/>
        <v>0</v>
      </c>
      <c r="AD566" s="71">
        <f t="shared" si="172"/>
        <v>0</v>
      </c>
      <c r="AE566" s="49"/>
      <c r="AF566" s="21"/>
      <c r="AG566" s="69"/>
      <c r="AH566" s="70"/>
      <c r="AI566" s="70"/>
      <c r="AJ566" s="70"/>
      <c r="AK566" s="70"/>
      <c r="AL566" s="70"/>
      <c r="AM566" s="70"/>
      <c r="AN566" s="70" t="str">
        <f t="shared" si="173"/>
        <v>---</v>
      </c>
      <c r="AO566" s="70" t="str">
        <f t="shared" si="174"/>
        <v>---</v>
      </c>
      <c r="AP566" s="70" t="str">
        <f t="shared" si="175"/>
        <v>---</v>
      </c>
      <c r="AQ566" s="70" t="str">
        <f t="shared" si="176"/>
        <v>---</v>
      </c>
      <c r="AR566" s="70" t="str">
        <f t="shared" si="177"/>
        <v>---</v>
      </c>
      <c r="AS566" s="70" t="str">
        <f t="shared" si="178"/>
        <v>---</v>
      </c>
      <c r="AT566" s="71" t="str">
        <f t="shared" si="179"/>
        <v>---</v>
      </c>
    </row>
    <row r="567" spans="1:46" ht="30" customHeight="1" x14ac:dyDescent="0.3">
      <c r="A567" s="123">
        <f t="shared" si="163"/>
        <v>563</v>
      </c>
      <c r="B567" s="140">
        <f>INDEX('PEER GROUP'!B:B,MATCH($A567,'PEER GROUP'!$A:$A,0))</f>
        <v>0</v>
      </c>
      <c r="C567" s="83">
        <f>INDEX('PEER GROUP'!C:C,MATCH($A567,'PEER GROUP'!$A:$A,0))</f>
        <v>0</v>
      </c>
      <c r="D567" s="83">
        <f>INDEX('PEER GROUP'!D:D,MATCH($A567,'PEER GROUP'!$A:$A,0))</f>
        <v>0</v>
      </c>
      <c r="E567" s="83">
        <f>INDEX('PEER GROUP'!E:E,MATCH(A567,'PEER GROUP'!$A:$A,0))</f>
        <v>0</v>
      </c>
      <c r="F567" s="84">
        <f>INDEX('PEER GROUP'!F:F,MATCH($A567,'PEER GROUP'!$A:$A,0))</f>
        <v>0</v>
      </c>
      <c r="G567" s="84">
        <f>INDEX('PEER GROUP'!G:G,MATCH($A567,'PEER GROUP'!$A:$A,0))</f>
        <v>0</v>
      </c>
      <c r="H567" s="85"/>
      <c r="I567" s="85"/>
      <c r="J567" s="70">
        <f>INDEX('PEER GROUP'!K:K,MATCH($A567,'PEER GROUP'!$A:$A,0))</f>
        <v>0</v>
      </c>
      <c r="K567" s="70">
        <f>INDEX('PEER GROUP'!L:L,MATCH($A567,'PEER GROUP'!$A:$A,0))</f>
        <v>0</v>
      </c>
      <c r="L567" s="70">
        <f>INDEX('PEER GROUP'!M:M,MATCH($A567,'PEER GROUP'!$A:$A,0))</f>
        <v>0</v>
      </c>
      <c r="M567" s="86">
        <f>INDEX('PEER GROUP'!N:N,MATCH($A567,'PEER GROUP'!$A:$A,0))</f>
        <v>0</v>
      </c>
      <c r="N567" s="118"/>
      <c r="O567" s="115"/>
      <c r="P567" s="117"/>
      <c r="Q567" s="87"/>
      <c r="R567" s="87">
        <f t="shared" si="164"/>
        <v>0</v>
      </c>
      <c r="S567" s="87"/>
      <c r="T567" s="87"/>
      <c r="U567" s="87"/>
      <c r="V567" s="87">
        <f t="shared" si="165"/>
        <v>0</v>
      </c>
      <c r="W567" s="113">
        <f t="shared" si="162"/>
        <v>36.913096727263202</v>
      </c>
      <c r="X567" s="69">
        <f t="shared" si="166"/>
        <v>0</v>
      </c>
      <c r="Y567" s="70">
        <f t="shared" si="167"/>
        <v>0</v>
      </c>
      <c r="Z567" s="70">
        <f t="shared" si="168"/>
        <v>0</v>
      </c>
      <c r="AA567" s="70">
        <f t="shared" si="169"/>
        <v>0</v>
      </c>
      <c r="AB567" s="70">
        <f t="shared" si="170"/>
        <v>0</v>
      </c>
      <c r="AC567" s="70">
        <f t="shared" si="171"/>
        <v>0</v>
      </c>
      <c r="AD567" s="71">
        <f t="shared" si="172"/>
        <v>0</v>
      </c>
      <c r="AE567" s="49"/>
      <c r="AF567" s="21"/>
      <c r="AG567" s="69"/>
      <c r="AH567" s="70"/>
      <c r="AI567" s="70"/>
      <c r="AJ567" s="70"/>
      <c r="AK567" s="70"/>
      <c r="AL567" s="70"/>
      <c r="AM567" s="70"/>
      <c r="AN567" s="70" t="str">
        <f t="shared" si="173"/>
        <v>---</v>
      </c>
      <c r="AO567" s="70" t="str">
        <f t="shared" si="174"/>
        <v>---</v>
      </c>
      <c r="AP567" s="70" t="str">
        <f t="shared" si="175"/>
        <v>---</v>
      </c>
      <c r="AQ567" s="70" t="str">
        <f t="shared" si="176"/>
        <v>---</v>
      </c>
      <c r="AR567" s="70" t="str">
        <f t="shared" si="177"/>
        <v>---</v>
      </c>
      <c r="AS567" s="70" t="str">
        <f t="shared" si="178"/>
        <v>---</v>
      </c>
      <c r="AT567" s="71" t="str">
        <f t="shared" si="179"/>
        <v>---</v>
      </c>
    </row>
    <row r="568" spans="1:46" ht="30" customHeight="1" x14ac:dyDescent="0.3">
      <c r="A568" s="123">
        <f t="shared" si="163"/>
        <v>564</v>
      </c>
      <c r="B568" s="140">
        <f>INDEX('PEER GROUP'!B:B,MATCH($A568,'PEER GROUP'!$A:$A,0))</f>
        <v>0</v>
      </c>
      <c r="C568" s="83">
        <f>INDEX('PEER GROUP'!C:C,MATCH($A568,'PEER GROUP'!$A:$A,0))</f>
        <v>0</v>
      </c>
      <c r="D568" s="83">
        <f>INDEX('PEER GROUP'!D:D,MATCH($A568,'PEER GROUP'!$A:$A,0))</f>
        <v>0</v>
      </c>
      <c r="E568" s="83">
        <f>INDEX('PEER GROUP'!E:E,MATCH(A568,'PEER GROUP'!$A:$A,0))</f>
        <v>0</v>
      </c>
      <c r="F568" s="84">
        <f>INDEX('PEER GROUP'!F:F,MATCH($A568,'PEER GROUP'!$A:$A,0))</f>
        <v>0</v>
      </c>
      <c r="G568" s="84">
        <f>INDEX('PEER GROUP'!G:G,MATCH($A568,'PEER GROUP'!$A:$A,0))</f>
        <v>0</v>
      </c>
      <c r="H568" s="85"/>
      <c r="I568" s="85"/>
      <c r="J568" s="70">
        <f>INDEX('PEER GROUP'!K:K,MATCH($A568,'PEER GROUP'!$A:$A,0))</f>
        <v>0</v>
      </c>
      <c r="K568" s="70">
        <f>INDEX('PEER GROUP'!L:L,MATCH($A568,'PEER GROUP'!$A:$A,0))</f>
        <v>0</v>
      </c>
      <c r="L568" s="70">
        <f>INDEX('PEER GROUP'!M:M,MATCH($A568,'PEER GROUP'!$A:$A,0))</f>
        <v>0</v>
      </c>
      <c r="M568" s="86">
        <f>INDEX('PEER GROUP'!N:N,MATCH($A568,'PEER GROUP'!$A:$A,0))</f>
        <v>0</v>
      </c>
      <c r="N568" s="118"/>
      <c r="O568" s="115"/>
      <c r="P568" s="117"/>
      <c r="Q568" s="87"/>
      <c r="R568" s="87">
        <f t="shared" si="164"/>
        <v>0</v>
      </c>
      <c r="S568" s="87"/>
      <c r="T568" s="87"/>
      <c r="U568" s="87"/>
      <c r="V568" s="87">
        <f t="shared" si="165"/>
        <v>0</v>
      </c>
      <c r="W568" s="113">
        <f t="shared" si="162"/>
        <v>36.913096727263202</v>
      </c>
      <c r="X568" s="69">
        <f t="shared" si="166"/>
        <v>0</v>
      </c>
      <c r="Y568" s="70">
        <f t="shared" si="167"/>
        <v>0</v>
      </c>
      <c r="Z568" s="70">
        <f t="shared" si="168"/>
        <v>0</v>
      </c>
      <c r="AA568" s="70">
        <f t="shared" si="169"/>
        <v>0</v>
      </c>
      <c r="AB568" s="70">
        <f t="shared" si="170"/>
        <v>0</v>
      </c>
      <c r="AC568" s="70">
        <f t="shared" si="171"/>
        <v>0</v>
      </c>
      <c r="AD568" s="71">
        <f t="shared" si="172"/>
        <v>0</v>
      </c>
      <c r="AE568" s="49"/>
      <c r="AF568" s="21"/>
      <c r="AG568" s="69"/>
      <c r="AH568" s="70"/>
      <c r="AI568" s="70"/>
      <c r="AJ568" s="70"/>
      <c r="AK568" s="70"/>
      <c r="AL568" s="70"/>
      <c r="AM568" s="70"/>
      <c r="AN568" s="70" t="str">
        <f t="shared" si="173"/>
        <v>---</v>
      </c>
      <c r="AO568" s="70" t="str">
        <f t="shared" si="174"/>
        <v>---</v>
      </c>
      <c r="AP568" s="70" t="str">
        <f t="shared" si="175"/>
        <v>---</v>
      </c>
      <c r="AQ568" s="70" t="str">
        <f t="shared" si="176"/>
        <v>---</v>
      </c>
      <c r="AR568" s="70" t="str">
        <f t="shared" si="177"/>
        <v>---</v>
      </c>
      <c r="AS568" s="70" t="str">
        <f t="shared" si="178"/>
        <v>---</v>
      </c>
      <c r="AT568" s="71" t="str">
        <f t="shared" si="179"/>
        <v>---</v>
      </c>
    </row>
    <row r="569" spans="1:46" ht="30" customHeight="1" x14ac:dyDescent="0.3">
      <c r="A569" s="123">
        <f t="shared" si="163"/>
        <v>565</v>
      </c>
      <c r="B569" s="140">
        <f>INDEX('PEER GROUP'!B:B,MATCH($A569,'PEER GROUP'!$A:$A,0))</f>
        <v>0</v>
      </c>
      <c r="C569" s="83">
        <f>INDEX('PEER GROUP'!C:C,MATCH($A569,'PEER GROUP'!$A:$A,0))</f>
        <v>0</v>
      </c>
      <c r="D569" s="83">
        <f>INDEX('PEER GROUP'!D:D,MATCH($A569,'PEER GROUP'!$A:$A,0))</f>
        <v>0</v>
      </c>
      <c r="E569" s="83">
        <f>INDEX('PEER GROUP'!E:E,MATCH(A569,'PEER GROUP'!$A:$A,0))</f>
        <v>0</v>
      </c>
      <c r="F569" s="84">
        <f>INDEX('PEER GROUP'!F:F,MATCH($A569,'PEER GROUP'!$A:$A,0))</f>
        <v>0</v>
      </c>
      <c r="G569" s="84">
        <f>INDEX('PEER GROUP'!G:G,MATCH($A569,'PEER GROUP'!$A:$A,0))</f>
        <v>0</v>
      </c>
      <c r="H569" s="85"/>
      <c r="I569" s="85"/>
      <c r="J569" s="70">
        <f>INDEX('PEER GROUP'!K:K,MATCH($A569,'PEER GROUP'!$A:$A,0))</f>
        <v>0</v>
      </c>
      <c r="K569" s="70">
        <f>INDEX('PEER GROUP'!L:L,MATCH($A569,'PEER GROUP'!$A:$A,0))</f>
        <v>0</v>
      </c>
      <c r="L569" s="70">
        <f>INDEX('PEER GROUP'!M:M,MATCH($A569,'PEER GROUP'!$A:$A,0))</f>
        <v>0</v>
      </c>
      <c r="M569" s="86">
        <f>INDEX('PEER GROUP'!N:N,MATCH($A569,'PEER GROUP'!$A:$A,0))</f>
        <v>0</v>
      </c>
      <c r="N569" s="118"/>
      <c r="O569" s="115"/>
      <c r="P569" s="117"/>
      <c r="Q569" s="87"/>
      <c r="R569" s="87">
        <f t="shared" si="164"/>
        <v>0</v>
      </c>
      <c r="S569" s="87"/>
      <c r="T569" s="87"/>
      <c r="U569" s="87"/>
      <c r="V569" s="87">
        <f t="shared" si="165"/>
        <v>0</v>
      </c>
      <c r="W569" s="113">
        <f t="shared" si="162"/>
        <v>36.913096727263202</v>
      </c>
      <c r="X569" s="69">
        <f t="shared" si="166"/>
        <v>0</v>
      </c>
      <c r="Y569" s="70">
        <f t="shared" si="167"/>
        <v>0</v>
      </c>
      <c r="Z569" s="70">
        <f t="shared" si="168"/>
        <v>0</v>
      </c>
      <c r="AA569" s="70">
        <f t="shared" si="169"/>
        <v>0</v>
      </c>
      <c r="AB569" s="70">
        <f t="shared" si="170"/>
        <v>0</v>
      </c>
      <c r="AC569" s="70">
        <f t="shared" si="171"/>
        <v>0</v>
      </c>
      <c r="AD569" s="71">
        <f t="shared" si="172"/>
        <v>0</v>
      </c>
      <c r="AE569" s="49"/>
      <c r="AF569" s="21"/>
      <c r="AG569" s="69"/>
      <c r="AH569" s="70"/>
      <c r="AI569" s="70"/>
      <c r="AJ569" s="70"/>
      <c r="AK569" s="70"/>
      <c r="AL569" s="70"/>
      <c r="AM569" s="70"/>
      <c r="AN569" s="70" t="str">
        <f t="shared" si="173"/>
        <v>---</v>
      </c>
      <c r="AO569" s="70" t="str">
        <f t="shared" si="174"/>
        <v>---</v>
      </c>
      <c r="AP569" s="70" t="str">
        <f t="shared" si="175"/>
        <v>---</v>
      </c>
      <c r="AQ569" s="70" t="str">
        <f t="shared" si="176"/>
        <v>---</v>
      </c>
      <c r="AR569" s="70" t="str">
        <f t="shared" si="177"/>
        <v>---</v>
      </c>
      <c r="AS569" s="70" t="str">
        <f t="shared" si="178"/>
        <v>---</v>
      </c>
      <c r="AT569" s="71" t="str">
        <f t="shared" si="179"/>
        <v>---</v>
      </c>
    </row>
    <row r="570" spans="1:46" ht="30" customHeight="1" x14ac:dyDescent="0.3">
      <c r="A570" s="123">
        <f t="shared" si="163"/>
        <v>566</v>
      </c>
      <c r="B570" s="140">
        <f>INDEX('PEER GROUP'!B:B,MATCH($A570,'PEER GROUP'!$A:$A,0))</f>
        <v>0</v>
      </c>
      <c r="C570" s="83">
        <f>INDEX('PEER GROUP'!C:C,MATCH($A570,'PEER GROUP'!$A:$A,0))</f>
        <v>0</v>
      </c>
      <c r="D570" s="83">
        <f>INDEX('PEER GROUP'!D:D,MATCH($A570,'PEER GROUP'!$A:$A,0))</f>
        <v>0</v>
      </c>
      <c r="E570" s="83">
        <f>INDEX('PEER GROUP'!E:E,MATCH(A570,'PEER GROUP'!$A:$A,0))</f>
        <v>0</v>
      </c>
      <c r="F570" s="84">
        <f>INDEX('PEER GROUP'!F:F,MATCH($A570,'PEER GROUP'!$A:$A,0))</f>
        <v>0</v>
      </c>
      <c r="G570" s="84">
        <f>INDEX('PEER GROUP'!G:G,MATCH($A570,'PEER GROUP'!$A:$A,0))</f>
        <v>0</v>
      </c>
      <c r="H570" s="85"/>
      <c r="I570" s="85"/>
      <c r="J570" s="70">
        <f>INDEX('PEER GROUP'!K:K,MATCH($A570,'PEER GROUP'!$A:$A,0))</f>
        <v>0</v>
      </c>
      <c r="K570" s="70">
        <f>INDEX('PEER GROUP'!L:L,MATCH($A570,'PEER GROUP'!$A:$A,0))</f>
        <v>0</v>
      </c>
      <c r="L570" s="70">
        <f>INDEX('PEER GROUP'!M:M,MATCH($A570,'PEER GROUP'!$A:$A,0))</f>
        <v>0</v>
      </c>
      <c r="M570" s="86">
        <f>INDEX('PEER GROUP'!N:N,MATCH($A570,'PEER GROUP'!$A:$A,0))</f>
        <v>0</v>
      </c>
      <c r="N570" s="118"/>
      <c r="O570" s="115"/>
      <c r="P570" s="117"/>
      <c r="Q570" s="87"/>
      <c r="R570" s="87">
        <f t="shared" si="164"/>
        <v>0</v>
      </c>
      <c r="S570" s="87"/>
      <c r="T570" s="87"/>
      <c r="U570" s="87"/>
      <c r="V570" s="87">
        <f t="shared" si="165"/>
        <v>0</v>
      </c>
      <c r="W570" s="113">
        <f t="shared" si="162"/>
        <v>36.913096727263202</v>
      </c>
      <c r="X570" s="69">
        <f t="shared" si="166"/>
        <v>0</v>
      </c>
      <c r="Y570" s="70">
        <f t="shared" si="167"/>
        <v>0</v>
      </c>
      <c r="Z570" s="70">
        <f t="shared" si="168"/>
        <v>0</v>
      </c>
      <c r="AA570" s="70">
        <f t="shared" si="169"/>
        <v>0</v>
      </c>
      <c r="AB570" s="70">
        <f t="shared" si="170"/>
        <v>0</v>
      </c>
      <c r="AC570" s="70">
        <f t="shared" si="171"/>
        <v>0</v>
      </c>
      <c r="AD570" s="71">
        <f t="shared" si="172"/>
        <v>0</v>
      </c>
      <c r="AE570" s="49"/>
      <c r="AF570" s="21"/>
      <c r="AG570" s="69"/>
      <c r="AH570" s="70"/>
      <c r="AI570" s="70"/>
      <c r="AJ570" s="70"/>
      <c r="AK570" s="70"/>
      <c r="AL570" s="70"/>
      <c r="AM570" s="70"/>
      <c r="AN570" s="70" t="str">
        <f t="shared" si="173"/>
        <v>---</v>
      </c>
      <c r="AO570" s="70" t="str">
        <f t="shared" si="174"/>
        <v>---</v>
      </c>
      <c r="AP570" s="70" t="str">
        <f t="shared" si="175"/>
        <v>---</v>
      </c>
      <c r="AQ570" s="70" t="str">
        <f t="shared" si="176"/>
        <v>---</v>
      </c>
      <c r="AR570" s="70" t="str">
        <f t="shared" si="177"/>
        <v>---</v>
      </c>
      <c r="AS570" s="70" t="str">
        <f t="shared" si="178"/>
        <v>---</v>
      </c>
      <c r="AT570" s="71" t="str">
        <f t="shared" si="179"/>
        <v>---</v>
      </c>
    </row>
    <row r="571" spans="1:46" ht="30" customHeight="1" x14ac:dyDescent="0.3">
      <c r="A571" s="123">
        <f t="shared" si="163"/>
        <v>567</v>
      </c>
      <c r="B571" s="140">
        <f>INDEX('PEER GROUP'!B:B,MATCH($A571,'PEER GROUP'!$A:$A,0))</f>
        <v>0</v>
      </c>
      <c r="C571" s="83">
        <f>INDEX('PEER GROUP'!C:C,MATCH($A571,'PEER GROUP'!$A:$A,0))</f>
        <v>0</v>
      </c>
      <c r="D571" s="83">
        <f>INDEX('PEER GROUP'!D:D,MATCH($A571,'PEER GROUP'!$A:$A,0))</f>
        <v>0</v>
      </c>
      <c r="E571" s="83">
        <f>INDEX('PEER GROUP'!E:E,MATCH(A571,'PEER GROUP'!$A:$A,0))</f>
        <v>0</v>
      </c>
      <c r="F571" s="84">
        <f>INDEX('PEER GROUP'!F:F,MATCH($A571,'PEER GROUP'!$A:$A,0))</f>
        <v>0</v>
      </c>
      <c r="G571" s="84">
        <f>INDEX('PEER GROUP'!G:G,MATCH($A571,'PEER GROUP'!$A:$A,0))</f>
        <v>0</v>
      </c>
      <c r="H571" s="85"/>
      <c r="I571" s="85"/>
      <c r="J571" s="70">
        <f>INDEX('PEER GROUP'!K:K,MATCH($A571,'PEER GROUP'!$A:$A,0))</f>
        <v>0</v>
      </c>
      <c r="K571" s="70">
        <f>INDEX('PEER GROUP'!L:L,MATCH($A571,'PEER GROUP'!$A:$A,0))</f>
        <v>0</v>
      </c>
      <c r="L571" s="70">
        <f>INDEX('PEER GROUP'!M:M,MATCH($A571,'PEER GROUP'!$A:$A,0))</f>
        <v>0</v>
      </c>
      <c r="M571" s="86">
        <f>INDEX('PEER GROUP'!N:N,MATCH($A571,'PEER GROUP'!$A:$A,0))</f>
        <v>0</v>
      </c>
      <c r="N571" s="118"/>
      <c r="O571" s="115"/>
      <c r="P571" s="117"/>
      <c r="Q571" s="87"/>
      <c r="R571" s="87">
        <f t="shared" si="164"/>
        <v>0</v>
      </c>
      <c r="S571" s="87"/>
      <c r="T571" s="87"/>
      <c r="U571" s="87"/>
      <c r="V571" s="87">
        <f t="shared" si="165"/>
        <v>0</v>
      </c>
      <c r="W571" s="113">
        <f t="shared" si="162"/>
        <v>36.913096727263202</v>
      </c>
      <c r="X571" s="69">
        <f t="shared" si="166"/>
        <v>0</v>
      </c>
      <c r="Y571" s="70">
        <f t="shared" si="167"/>
        <v>0</v>
      </c>
      <c r="Z571" s="70">
        <f t="shared" si="168"/>
        <v>0</v>
      </c>
      <c r="AA571" s="70">
        <f t="shared" si="169"/>
        <v>0</v>
      </c>
      <c r="AB571" s="70">
        <f t="shared" si="170"/>
        <v>0</v>
      </c>
      <c r="AC571" s="70">
        <f t="shared" si="171"/>
        <v>0</v>
      </c>
      <c r="AD571" s="71">
        <f t="shared" si="172"/>
        <v>0</v>
      </c>
      <c r="AE571" s="49"/>
      <c r="AF571" s="21"/>
      <c r="AG571" s="69"/>
      <c r="AH571" s="70"/>
      <c r="AI571" s="70"/>
      <c r="AJ571" s="70"/>
      <c r="AK571" s="70"/>
      <c r="AL571" s="70"/>
      <c r="AM571" s="70"/>
      <c r="AN571" s="70" t="str">
        <f t="shared" si="173"/>
        <v>---</v>
      </c>
      <c r="AO571" s="70" t="str">
        <f t="shared" si="174"/>
        <v>---</v>
      </c>
      <c r="AP571" s="70" t="str">
        <f t="shared" si="175"/>
        <v>---</v>
      </c>
      <c r="AQ571" s="70" t="str">
        <f t="shared" si="176"/>
        <v>---</v>
      </c>
      <c r="AR571" s="70" t="str">
        <f t="shared" si="177"/>
        <v>---</v>
      </c>
      <c r="AS571" s="70" t="str">
        <f t="shared" si="178"/>
        <v>---</v>
      </c>
      <c r="AT571" s="71" t="str">
        <f t="shared" si="179"/>
        <v>---</v>
      </c>
    </row>
    <row r="572" spans="1:46" ht="30" customHeight="1" x14ac:dyDescent="0.3">
      <c r="A572" s="123">
        <f t="shared" si="163"/>
        <v>568</v>
      </c>
      <c r="B572" s="140">
        <f>INDEX('PEER GROUP'!B:B,MATCH($A572,'PEER GROUP'!$A:$A,0))</f>
        <v>0</v>
      </c>
      <c r="C572" s="83">
        <f>INDEX('PEER GROUP'!C:C,MATCH($A572,'PEER GROUP'!$A:$A,0))</f>
        <v>0</v>
      </c>
      <c r="D572" s="83">
        <f>INDEX('PEER GROUP'!D:D,MATCH($A572,'PEER GROUP'!$A:$A,0))</f>
        <v>0</v>
      </c>
      <c r="E572" s="83">
        <f>INDEX('PEER GROUP'!E:E,MATCH(A572,'PEER GROUP'!$A:$A,0))</f>
        <v>0</v>
      </c>
      <c r="F572" s="84">
        <f>INDEX('PEER GROUP'!F:F,MATCH($A572,'PEER GROUP'!$A:$A,0))</f>
        <v>0</v>
      </c>
      <c r="G572" s="84">
        <f>INDEX('PEER GROUP'!G:G,MATCH($A572,'PEER GROUP'!$A:$A,0))</f>
        <v>0</v>
      </c>
      <c r="H572" s="85"/>
      <c r="I572" s="85"/>
      <c r="J572" s="70">
        <f>INDEX('PEER GROUP'!K:K,MATCH($A572,'PEER GROUP'!$A:$A,0))</f>
        <v>0</v>
      </c>
      <c r="K572" s="70">
        <f>INDEX('PEER GROUP'!L:L,MATCH($A572,'PEER GROUP'!$A:$A,0))</f>
        <v>0</v>
      </c>
      <c r="L572" s="70">
        <f>INDEX('PEER GROUP'!M:M,MATCH($A572,'PEER GROUP'!$A:$A,0))</f>
        <v>0</v>
      </c>
      <c r="M572" s="86">
        <f>INDEX('PEER GROUP'!N:N,MATCH($A572,'PEER GROUP'!$A:$A,0))</f>
        <v>0</v>
      </c>
      <c r="N572" s="118"/>
      <c r="O572" s="115"/>
      <c r="P572" s="117"/>
      <c r="Q572" s="87"/>
      <c r="R572" s="87">
        <f t="shared" si="164"/>
        <v>0</v>
      </c>
      <c r="S572" s="87"/>
      <c r="T572" s="87"/>
      <c r="U572" s="87"/>
      <c r="V572" s="87">
        <f t="shared" si="165"/>
        <v>0</v>
      </c>
      <c r="W572" s="113">
        <f t="shared" si="162"/>
        <v>36.913096727263202</v>
      </c>
      <c r="X572" s="69">
        <f t="shared" si="166"/>
        <v>0</v>
      </c>
      <c r="Y572" s="70">
        <f t="shared" si="167"/>
        <v>0</v>
      </c>
      <c r="Z572" s="70">
        <f t="shared" si="168"/>
        <v>0</v>
      </c>
      <c r="AA572" s="70">
        <f t="shared" si="169"/>
        <v>0</v>
      </c>
      <c r="AB572" s="70">
        <f t="shared" si="170"/>
        <v>0</v>
      </c>
      <c r="AC572" s="70">
        <f t="shared" si="171"/>
        <v>0</v>
      </c>
      <c r="AD572" s="71">
        <f t="shared" si="172"/>
        <v>0</v>
      </c>
      <c r="AE572" s="49"/>
      <c r="AF572" s="21"/>
      <c r="AG572" s="69"/>
      <c r="AH572" s="70"/>
      <c r="AI572" s="70"/>
      <c r="AJ572" s="70"/>
      <c r="AK572" s="70"/>
      <c r="AL572" s="70"/>
      <c r="AM572" s="70"/>
      <c r="AN572" s="70" t="str">
        <f t="shared" si="173"/>
        <v>---</v>
      </c>
      <c r="AO572" s="70" t="str">
        <f t="shared" si="174"/>
        <v>---</v>
      </c>
      <c r="AP572" s="70" t="str">
        <f t="shared" si="175"/>
        <v>---</v>
      </c>
      <c r="AQ572" s="70" t="str">
        <f t="shared" si="176"/>
        <v>---</v>
      </c>
      <c r="AR572" s="70" t="str">
        <f t="shared" si="177"/>
        <v>---</v>
      </c>
      <c r="AS572" s="70" t="str">
        <f t="shared" si="178"/>
        <v>---</v>
      </c>
      <c r="AT572" s="71" t="str">
        <f t="shared" si="179"/>
        <v>---</v>
      </c>
    </row>
    <row r="573" spans="1:46" ht="30" customHeight="1" x14ac:dyDescent="0.3">
      <c r="A573" s="123">
        <f t="shared" si="163"/>
        <v>569</v>
      </c>
      <c r="B573" s="140">
        <f>INDEX('PEER GROUP'!B:B,MATCH($A573,'PEER GROUP'!$A:$A,0))</f>
        <v>0</v>
      </c>
      <c r="C573" s="83">
        <f>INDEX('PEER GROUP'!C:C,MATCH($A573,'PEER GROUP'!$A:$A,0))</f>
        <v>0</v>
      </c>
      <c r="D573" s="83">
        <f>INDEX('PEER GROUP'!D:D,MATCH($A573,'PEER GROUP'!$A:$A,0))</f>
        <v>0</v>
      </c>
      <c r="E573" s="83">
        <f>INDEX('PEER GROUP'!E:E,MATCH(A573,'PEER GROUP'!$A:$A,0))</f>
        <v>0</v>
      </c>
      <c r="F573" s="84">
        <f>INDEX('PEER GROUP'!F:F,MATCH($A573,'PEER GROUP'!$A:$A,0))</f>
        <v>0</v>
      </c>
      <c r="G573" s="84">
        <f>INDEX('PEER GROUP'!G:G,MATCH($A573,'PEER GROUP'!$A:$A,0))</f>
        <v>0</v>
      </c>
      <c r="H573" s="85"/>
      <c r="I573" s="85"/>
      <c r="J573" s="70">
        <f>INDEX('PEER GROUP'!K:K,MATCH($A573,'PEER GROUP'!$A:$A,0))</f>
        <v>0</v>
      </c>
      <c r="K573" s="70">
        <f>INDEX('PEER GROUP'!L:L,MATCH($A573,'PEER GROUP'!$A:$A,0))</f>
        <v>0</v>
      </c>
      <c r="L573" s="70">
        <f>INDEX('PEER GROUP'!M:M,MATCH($A573,'PEER GROUP'!$A:$A,0))</f>
        <v>0</v>
      </c>
      <c r="M573" s="86">
        <f>INDEX('PEER GROUP'!N:N,MATCH($A573,'PEER GROUP'!$A:$A,0))</f>
        <v>0</v>
      </c>
      <c r="N573" s="118"/>
      <c r="O573" s="115"/>
      <c r="P573" s="117"/>
      <c r="Q573" s="87"/>
      <c r="R573" s="87">
        <f t="shared" si="164"/>
        <v>0</v>
      </c>
      <c r="S573" s="87"/>
      <c r="T573" s="87"/>
      <c r="U573" s="87"/>
      <c r="V573" s="87">
        <f t="shared" si="165"/>
        <v>0</v>
      </c>
      <c r="W573" s="113">
        <f t="shared" si="162"/>
        <v>36.913096727263202</v>
      </c>
      <c r="X573" s="69">
        <f t="shared" si="166"/>
        <v>0</v>
      </c>
      <c r="Y573" s="70">
        <f t="shared" si="167"/>
        <v>0</v>
      </c>
      <c r="Z573" s="70">
        <f t="shared" si="168"/>
        <v>0</v>
      </c>
      <c r="AA573" s="70">
        <f t="shared" si="169"/>
        <v>0</v>
      </c>
      <c r="AB573" s="70">
        <f t="shared" si="170"/>
        <v>0</v>
      </c>
      <c r="AC573" s="70">
        <f t="shared" si="171"/>
        <v>0</v>
      </c>
      <c r="AD573" s="71">
        <f t="shared" si="172"/>
        <v>0</v>
      </c>
      <c r="AE573" s="49"/>
      <c r="AF573" s="21"/>
      <c r="AG573" s="69"/>
      <c r="AH573" s="70"/>
      <c r="AI573" s="70"/>
      <c r="AJ573" s="70"/>
      <c r="AK573" s="70"/>
      <c r="AL573" s="70"/>
      <c r="AM573" s="70"/>
      <c r="AN573" s="70" t="str">
        <f t="shared" si="173"/>
        <v>---</v>
      </c>
      <c r="AO573" s="70" t="str">
        <f t="shared" si="174"/>
        <v>---</v>
      </c>
      <c r="AP573" s="70" t="str">
        <f t="shared" si="175"/>
        <v>---</v>
      </c>
      <c r="AQ573" s="70" t="str">
        <f t="shared" si="176"/>
        <v>---</v>
      </c>
      <c r="AR573" s="70" t="str">
        <f t="shared" si="177"/>
        <v>---</v>
      </c>
      <c r="AS573" s="70" t="str">
        <f t="shared" si="178"/>
        <v>---</v>
      </c>
      <c r="AT573" s="71" t="str">
        <f t="shared" si="179"/>
        <v>---</v>
      </c>
    </row>
    <row r="574" spans="1:46" ht="30" customHeight="1" x14ac:dyDescent="0.3">
      <c r="A574" s="123">
        <f t="shared" si="163"/>
        <v>570</v>
      </c>
      <c r="B574" s="140">
        <f>INDEX('PEER GROUP'!B:B,MATCH($A574,'PEER GROUP'!$A:$A,0))</f>
        <v>0</v>
      </c>
      <c r="C574" s="83">
        <f>INDEX('PEER GROUP'!C:C,MATCH($A574,'PEER GROUP'!$A:$A,0))</f>
        <v>0</v>
      </c>
      <c r="D574" s="83">
        <f>INDEX('PEER GROUP'!D:D,MATCH($A574,'PEER GROUP'!$A:$A,0))</f>
        <v>0</v>
      </c>
      <c r="E574" s="83">
        <f>INDEX('PEER GROUP'!E:E,MATCH(A574,'PEER GROUP'!$A:$A,0))</f>
        <v>0</v>
      </c>
      <c r="F574" s="84">
        <f>INDEX('PEER GROUP'!F:F,MATCH($A574,'PEER GROUP'!$A:$A,0))</f>
        <v>0</v>
      </c>
      <c r="G574" s="84">
        <f>INDEX('PEER GROUP'!G:G,MATCH($A574,'PEER GROUP'!$A:$A,0))</f>
        <v>0</v>
      </c>
      <c r="H574" s="85"/>
      <c r="I574" s="85"/>
      <c r="J574" s="70">
        <f>INDEX('PEER GROUP'!K:K,MATCH($A574,'PEER GROUP'!$A:$A,0))</f>
        <v>0</v>
      </c>
      <c r="K574" s="70">
        <f>INDEX('PEER GROUP'!L:L,MATCH($A574,'PEER GROUP'!$A:$A,0))</f>
        <v>0</v>
      </c>
      <c r="L574" s="70">
        <f>INDEX('PEER GROUP'!M:M,MATCH($A574,'PEER GROUP'!$A:$A,0))</f>
        <v>0</v>
      </c>
      <c r="M574" s="86">
        <f>INDEX('PEER GROUP'!N:N,MATCH($A574,'PEER GROUP'!$A:$A,0))</f>
        <v>0</v>
      </c>
      <c r="N574" s="118"/>
      <c r="O574" s="115"/>
      <c r="P574" s="117"/>
      <c r="Q574" s="87"/>
      <c r="R574" s="87">
        <f t="shared" si="164"/>
        <v>0</v>
      </c>
      <c r="S574" s="87"/>
      <c r="T574" s="87"/>
      <c r="U574" s="87"/>
      <c r="V574" s="87">
        <f t="shared" si="165"/>
        <v>0</v>
      </c>
      <c r="W574" s="113">
        <f t="shared" si="162"/>
        <v>36.913096727263202</v>
      </c>
      <c r="X574" s="69">
        <f t="shared" si="166"/>
        <v>0</v>
      </c>
      <c r="Y574" s="70">
        <f t="shared" si="167"/>
        <v>0</v>
      </c>
      <c r="Z574" s="70">
        <f t="shared" si="168"/>
        <v>0</v>
      </c>
      <c r="AA574" s="70">
        <f t="shared" si="169"/>
        <v>0</v>
      </c>
      <c r="AB574" s="70">
        <f t="shared" si="170"/>
        <v>0</v>
      </c>
      <c r="AC574" s="70">
        <f t="shared" si="171"/>
        <v>0</v>
      </c>
      <c r="AD574" s="71">
        <f t="shared" si="172"/>
        <v>0</v>
      </c>
      <c r="AE574" s="49"/>
      <c r="AF574" s="21"/>
      <c r="AG574" s="69"/>
      <c r="AH574" s="70"/>
      <c r="AI574" s="70"/>
      <c r="AJ574" s="70"/>
      <c r="AK574" s="70"/>
      <c r="AL574" s="70"/>
      <c r="AM574" s="70"/>
      <c r="AN574" s="70" t="str">
        <f t="shared" si="173"/>
        <v>---</v>
      </c>
      <c r="AO574" s="70" t="str">
        <f t="shared" si="174"/>
        <v>---</v>
      </c>
      <c r="AP574" s="70" t="str">
        <f t="shared" si="175"/>
        <v>---</v>
      </c>
      <c r="AQ574" s="70" t="str">
        <f t="shared" si="176"/>
        <v>---</v>
      </c>
      <c r="AR574" s="70" t="str">
        <f t="shared" si="177"/>
        <v>---</v>
      </c>
      <c r="AS574" s="70" t="str">
        <f t="shared" si="178"/>
        <v>---</v>
      </c>
      <c r="AT574" s="71" t="str">
        <f t="shared" si="179"/>
        <v>---</v>
      </c>
    </row>
    <row r="575" spans="1:46" ht="30" customHeight="1" x14ac:dyDescent="0.3">
      <c r="A575" s="123">
        <f t="shared" si="163"/>
        <v>571</v>
      </c>
      <c r="B575" s="140">
        <f>INDEX('PEER GROUP'!B:B,MATCH($A575,'PEER GROUP'!$A:$A,0))</f>
        <v>0</v>
      </c>
      <c r="C575" s="83">
        <f>INDEX('PEER GROUP'!C:C,MATCH($A575,'PEER GROUP'!$A:$A,0))</f>
        <v>0</v>
      </c>
      <c r="D575" s="83">
        <f>INDEX('PEER GROUP'!D:D,MATCH($A575,'PEER GROUP'!$A:$A,0))</f>
        <v>0</v>
      </c>
      <c r="E575" s="83">
        <f>INDEX('PEER GROUP'!E:E,MATCH(A575,'PEER GROUP'!$A:$A,0))</f>
        <v>0</v>
      </c>
      <c r="F575" s="84">
        <f>INDEX('PEER GROUP'!F:F,MATCH($A575,'PEER GROUP'!$A:$A,0))</f>
        <v>0</v>
      </c>
      <c r="G575" s="84">
        <f>INDEX('PEER GROUP'!G:G,MATCH($A575,'PEER GROUP'!$A:$A,0))</f>
        <v>0</v>
      </c>
      <c r="H575" s="85"/>
      <c r="I575" s="85"/>
      <c r="J575" s="70">
        <f>INDEX('PEER GROUP'!K:K,MATCH($A575,'PEER GROUP'!$A:$A,0))</f>
        <v>0</v>
      </c>
      <c r="K575" s="70">
        <f>INDEX('PEER GROUP'!L:L,MATCH($A575,'PEER GROUP'!$A:$A,0))</f>
        <v>0</v>
      </c>
      <c r="L575" s="70">
        <f>INDEX('PEER GROUP'!M:M,MATCH($A575,'PEER GROUP'!$A:$A,0))</f>
        <v>0</v>
      </c>
      <c r="M575" s="86">
        <f>INDEX('PEER GROUP'!N:N,MATCH($A575,'PEER GROUP'!$A:$A,0))</f>
        <v>0</v>
      </c>
      <c r="N575" s="118"/>
      <c r="O575" s="115"/>
      <c r="P575" s="117"/>
      <c r="Q575" s="87"/>
      <c r="R575" s="87">
        <f t="shared" si="164"/>
        <v>0</v>
      </c>
      <c r="S575" s="87"/>
      <c r="T575" s="87"/>
      <c r="U575" s="87"/>
      <c r="V575" s="87">
        <f t="shared" si="165"/>
        <v>0</v>
      </c>
      <c r="W575" s="113">
        <f t="shared" si="162"/>
        <v>36.913096727263202</v>
      </c>
      <c r="X575" s="69">
        <f t="shared" si="166"/>
        <v>0</v>
      </c>
      <c r="Y575" s="70">
        <f t="shared" si="167"/>
        <v>0</v>
      </c>
      <c r="Z575" s="70">
        <f t="shared" si="168"/>
        <v>0</v>
      </c>
      <c r="AA575" s="70">
        <f t="shared" si="169"/>
        <v>0</v>
      </c>
      <c r="AB575" s="70">
        <f t="shared" si="170"/>
        <v>0</v>
      </c>
      <c r="AC575" s="70">
        <f t="shared" si="171"/>
        <v>0</v>
      </c>
      <c r="AD575" s="71">
        <f t="shared" si="172"/>
        <v>0</v>
      </c>
      <c r="AE575" s="49"/>
      <c r="AF575" s="21"/>
      <c r="AG575" s="69"/>
      <c r="AH575" s="70"/>
      <c r="AI575" s="70"/>
      <c r="AJ575" s="70"/>
      <c r="AK575" s="70"/>
      <c r="AL575" s="70"/>
      <c r="AM575" s="70"/>
      <c r="AN575" s="70" t="str">
        <f t="shared" si="173"/>
        <v>---</v>
      </c>
      <c r="AO575" s="70" t="str">
        <f t="shared" si="174"/>
        <v>---</v>
      </c>
      <c r="AP575" s="70" t="str">
        <f t="shared" si="175"/>
        <v>---</v>
      </c>
      <c r="AQ575" s="70" t="str">
        <f t="shared" si="176"/>
        <v>---</v>
      </c>
      <c r="AR575" s="70" t="str">
        <f t="shared" si="177"/>
        <v>---</v>
      </c>
      <c r="AS575" s="70" t="str">
        <f t="shared" si="178"/>
        <v>---</v>
      </c>
      <c r="AT575" s="71" t="str">
        <f t="shared" si="179"/>
        <v>---</v>
      </c>
    </row>
    <row r="576" spans="1:46" ht="30" customHeight="1" x14ac:dyDescent="0.3">
      <c r="A576" s="123">
        <f t="shared" si="163"/>
        <v>572</v>
      </c>
      <c r="B576" s="140">
        <f>INDEX('PEER GROUP'!B:B,MATCH($A576,'PEER GROUP'!$A:$A,0))</f>
        <v>0</v>
      </c>
      <c r="C576" s="83">
        <f>INDEX('PEER GROUP'!C:C,MATCH($A576,'PEER GROUP'!$A:$A,0))</f>
        <v>0</v>
      </c>
      <c r="D576" s="83">
        <f>INDEX('PEER GROUP'!D:D,MATCH($A576,'PEER GROUP'!$A:$A,0))</f>
        <v>0</v>
      </c>
      <c r="E576" s="83">
        <f>INDEX('PEER GROUP'!E:E,MATCH(A576,'PEER GROUP'!$A:$A,0))</f>
        <v>0</v>
      </c>
      <c r="F576" s="84">
        <f>INDEX('PEER GROUP'!F:F,MATCH($A576,'PEER GROUP'!$A:$A,0))</f>
        <v>0</v>
      </c>
      <c r="G576" s="84">
        <f>INDEX('PEER GROUP'!G:G,MATCH($A576,'PEER GROUP'!$A:$A,0))</f>
        <v>0</v>
      </c>
      <c r="H576" s="85"/>
      <c r="I576" s="85"/>
      <c r="J576" s="70">
        <f>INDEX('PEER GROUP'!K:K,MATCH($A576,'PEER GROUP'!$A:$A,0))</f>
        <v>0</v>
      </c>
      <c r="K576" s="70">
        <f>INDEX('PEER GROUP'!L:L,MATCH($A576,'PEER GROUP'!$A:$A,0))</f>
        <v>0</v>
      </c>
      <c r="L576" s="70">
        <f>INDEX('PEER GROUP'!M:M,MATCH($A576,'PEER GROUP'!$A:$A,0))</f>
        <v>0</v>
      </c>
      <c r="M576" s="86">
        <f>INDEX('PEER GROUP'!N:N,MATCH($A576,'PEER GROUP'!$A:$A,0))</f>
        <v>0</v>
      </c>
      <c r="N576" s="118"/>
      <c r="O576" s="115"/>
      <c r="P576" s="117"/>
      <c r="Q576" s="87"/>
      <c r="R576" s="87">
        <f t="shared" si="164"/>
        <v>0</v>
      </c>
      <c r="S576" s="87"/>
      <c r="T576" s="87"/>
      <c r="U576" s="87"/>
      <c r="V576" s="87">
        <f t="shared" si="165"/>
        <v>0</v>
      </c>
      <c r="W576" s="113">
        <f t="shared" si="162"/>
        <v>36.913096727263202</v>
      </c>
      <c r="X576" s="69">
        <f t="shared" si="166"/>
        <v>0</v>
      </c>
      <c r="Y576" s="70">
        <f t="shared" si="167"/>
        <v>0</v>
      </c>
      <c r="Z576" s="70">
        <f t="shared" si="168"/>
        <v>0</v>
      </c>
      <c r="AA576" s="70">
        <f t="shared" si="169"/>
        <v>0</v>
      </c>
      <c r="AB576" s="70">
        <f t="shared" si="170"/>
        <v>0</v>
      </c>
      <c r="AC576" s="70">
        <f t="shared" si="171"/>
        <v>0</v>
      </c>
      <c r="AD576" s="71">
        <f t="shared" si="172"/>
        <v>0</v>
      </c>
      <c r="AE576" s="49"/>
      <c r="AF576" s="21"/>
      <c r="AG576" s="69"/>
      <c r="AH576" s="70"/>
      <c r="AI576" s="70"/>
      <c r="AJ576" s="70"/>
      <c r="AK576" s="70"/>
      <c r="AL576" s="70"/>
      <c r="AM576" s="70"/>
      <c r="AN576" s="70" t="str">
        <f t="shared" si="173"/>
        <v>---</v>
      </c>
      <c r="AO576" s="70" t="str">
        <f t="shared" si="174"/>
        <v>---</v>
      </c>
      <c r="AP576" s="70" t="str">
        <f t="shared" si="175"/>
        <v>---</v>
      </c>
      <c r="AQ576" s="70" t="str">
        <f t="shared" si="176"/>
        <v>---</v>
      </c>
      <c r="AR576" s="70" t="str">
        <f t="shared" si="177"/>
        <v>---</v>
      </c>
      <c r="AS576" s="70" t="str">
        <f t="shared" si="178"/>
        <v>---</v>
      </c>
      <c r="AT576" s="71" t="str">
        <f t="shared" si="179"/>
        <v>---</v>
      </c>
    </row>
    <row r="577" spans="1:46" ht="30" customHeight="1" x14ac:dyDescent="0.3">
      <c r="A577" s="123">
        <f t="shared" si="163"/>
        <v>573</v>
      </c>
      <c r="B577" s="140">
        <f>INDEX('PEER GROUP'!B:B,MATCH($A577,'PEER GROUP'!$A:$A,0))</f>
        <v>0</v>
      </c>
      <c r="C577" s="83">
        <f>INDEX('PEER GROUP'!C:C,MATCH($A577,'PEER GROUP'!$A:$A,0))</f>
        <v>0</v>
      </c>
      <c r="D577" s="83">
        <f>INDEX('PEER GROUP'!D:D,MATCH($A577,'PEER GROUP'!$A:$A,0))</f>
        <v>0</v>
      </c>
      <c r="E577" s="83">
        <f>INDEX('PEER GROUP'!E:E,MATCH(A577,'PEER GROUP'!$A:$A,0))</f>
        <v>0</v>
      </c>
      <c r="F577" s="84">
        <f>INDEX('PEER GROUP'!F:F,MATCH($A577,'PEER GROUP'!$A:$A,0))</f>
        <v>0</v>
      </c>
      <c r="G577" s="84">
        <f>INDEX('PEER GROUP'!G:G,MATCH($A577,'PEER GROUP'!$A:$A,0))</f>
        <v>0</v>
      </c>
      <c r="H577" s="85"/>
      <c r="I577" s="85"/>
      <c r="J577" s="70">
        <f>INDEX('PEER GROUP'!K:K,MATCH($A577,'PEER GROUP'!$A:$A,0))</f>
        <v>0</v>
      </c>
      <c r="K577" s="70">
        <f>INDEX('PEER GROUP'!L:L,MATCH($A577,'PEER GROUP'!$A:$A,0))</f>
        <v>0</v>
      </c>
      <c r="L577" s="70">
        <f>INDEX('PEER GROUP'!M:M,MATCH($A577,'PEER GROUP'!$A:$A,0))</f>
        <v>0</v>
      </c>
      <c r="M577" s="86">
        <f>INDEX('PEER GROUP'!N:N,MATCH($A577,'PEER GROUP'!$A:$A,0))</f>
        <v>0</v>
      </c>
      <c r="N577" s="118"/>
      <c r="O577" s="115"/>
      <c r="P577" s="117"/>
      <c r="Q577" s="87"/>
      <c r="R577" s="87">
        <f t="shared" si="164"/>
        <v>0</v>
      </c>
      <c r="S577" s="87"/>
      <c r="T577" s="87"/>
      <c r="U577" s="87"/>
      <c r="V577" s="87">
        <f t="shared" si="165"/>
        <v>0</v>
      </c>
      <c r="W577" s="113">
        <f t="shared" si="162"/>
        <v>36.913096727263202</v>
      </c>
      <c r="X577" s="69">
        <f t="shared" si="166"/>
        <v>0</v>
      </c>
      <c r="Y577" s="70">
        <f t="shared" si="167"/>
        <v>0</v>
      </c>
      <c r="Z577" s="70">
        <f t="shared" si="168"/>
        <v>0</v>
      </c>
      <c r="AA577" s="70">
        <f t="shared" si="169"/>
        <v>0</v>
      </c>
      <c r="AB577" s="70">
        <f t="shared" si="170"/>
        <v>0</v>
      </c>
      <c r="AC577" s="70">
        <f t="shared" si="171"/>
        <v>0</v>
      </c>
      <c r="AD577" s="71">
        <f t="shared" si="172"/>
        <v>0</v>
      </c>
      <c r="AE577" s="49"/>
      <c r="AF577" s="21"/>
      <c r="AG577" s="69"/>
      <c r="AH577" s="70"/>
      <c r="AI577" s="70"/>
      <c r="AJ577" s="70"/>
      <c r="AK577" s="70"/>
      <c r="AL577" s="70"/>
      <c r="AM577" s="70"/>
      <c r="AN577" s="70" t="str">
        <f t="shared" si="173"/>
        <v>---</v>
      </c>
      <c r="AO577" s="70" t="str">
        <f t="shared" si="174"/>
        <v>---</v>
      </c>
      <c r="AP577" s="70" t="str">
        <f t="shared" si="175"/>
        <v>---</v>
      </c>
      <c r="AQ577" s="70" t="str">
        <f t="shared" si="176"/>
        <v>---</v>
      </c>
      <c r="AR577" s="70" t="str">
        <f t="shared" si="177"/>
        <v>---</v>
      </c>
      <c r="AS577" s="70" t="str">
        <f t="shared" si="178"/>
        <v>---</v>
      </c>
      <c r="AT577" s="71" t="str">
        <f t="shared" si="179"/>
        <v>---</v>
      </c>
    </row>
    <row r="578" spans="1:46" ht="30" customHeight="1" x14ac:dyDescent="0.3">
      <c r="A578" s="123">
        <f t="shared" si="163"/>
        <v>574</v>
      </c>
      <c r="B578" s="140">
        <f>INDEX('PEER GROUP'!B:B,MATCH($A578,'PEER GROUP'!$A:$A,0))</f>
        <v>0</v>
      </c>
      <c r="C578" s="83">
        <f>INDEX('PEER GROUP'!C:C,MATCH($A578,'PEER GROUP'!$A:$A,0))</f>
        <v>0</v>
      </c>
      <c r="D578" s="83">
        <f>INDEX('PEER GROUP'!D:D,MATCH($A578,'PEER GROUP'!$A:$A,0))</f>
        <v>0</v>
      </c>
      <c r="E578" s="83">
        <f>INDEX('PEER GROUP'!E:E,MATCH(A578,'PEER GROUP'!$A:$A,0))</f>
        <v>0</v>
      </c>
      <c r="F578" s="84">
        <f>INDEX('PEER GROUP'!F:F,MATCH($A578,'PEER GROUP'!$A:$A,0))</f>
        <v>0</v>
      </c>
      <c r="G578" s="84">
        <f>INDEX('PEER GROUP'!G:G,MATCH($A578,'PEER GROUP'!$A:$A,0))</f>
        <v>0</v>
      </c>
      <c r="H578" s="85"/>
      <c r="I578" s="85"/>
      <c r="J578" s="70">
        <f>INDEX('PEER GROUP'!K:K,MATCH($A578,'PEER GROUP'!$A:$A,0))</f>
        <v>0</v>
      </c>
      <c r="K578" s="70">
        <f>INDEX('PEER GROUP'!L:L,MATCH($A578,'PEER GROUP'!$A:$A,0))</f>
        <v>0</v>
      </c>
      <c r="L578" s="70">
        <f>INDEX('PEER GROUP'!M:M,MATCH($A578,'PEER GROUP'!$A:$A,0))</f>
        <v>0</v>
      </c>
      <c r="M578" s="86">
        <f>INDEX('PEER GROUP'!N:N,MATCH($A578,'PEER GROUP'!$A:$A,0))</f>
        <v>0</v>
      </c>
      <c r="N578" s="118"/>
      <c r="O578" s="115"/>
      <c r="P578" s="117"/>
      <c r="Q578" s="87"/>
      <c r="R578" s="87">
        <f t="shared" si="164"/>
        <v>0</v>
      </c>
      <c r="S578" s="87"/>
      <c r="T578" s="87"/>
      <c r="U578" s="87"/>
      <c r="V578" s="87">
        <f t="shared" si="165"/>
        <v>0</v>
      </c>
      <c r="W578" s="113">
        <f t="shared" si="162"/>
        <v>36.913096727263202</v>
      </c>
      <c r="X578" s="69">
        <f t="shared" si="166"/>
        <v>0</v>
      </c>
      <c r="Y578" s="70">
        <f t="shared" si="167"/>
        <v>0</v>
      </c>
      <c r="Z578" s="70">
        <f t="shared" si="168"/>
        <v>0</v>
      </c>
      <c r="AA578" s="70">
        <f t="shared" si="169"/>
        <v>0</v>
      </c>
      <c r="AB578" s="70">
        <f t="shared" si="170"/>
        <v>0</v>
      </c>
      <c r="AC578" s="70">
        <f t="shared" si="171"/>
        <v>0</v>
      </c>
      <c r="AD578" s="71">
        <f t="shared" si="172"/>
        <v>0</v>
      </c>
      <c r="AE578" s="49"/>
      <c r="AF578" s="21"/>
      <c r="AG578" s="69"/>
      <c r="AH578" s="70"/>
      <c r="AI578" s="70"/>
      <c r="AJ578" s="70"/>
      <c r="AK578" s="70"/>
      <c r="AL578" s="70"/>
      <c r="AM578" s="70"/>
      <c r="AN578" s="70" t="str">
        <f t="shared" si="173"/>
        <v>---</v>
      </c>
      <c r="AO578" s="70" t="str">
        <f t="shared" si="174"/>
        <v>---</v>
      </c>
      <c r="AP578" s="70" t="str">
        <f t="shared" si="175"/>
        <v>---</v>
      </c>
      <c r="AQ578" s="70" t="str">
        <f t="shared" si="176"/>
        <v>---</v>
      </c>
      <c r="AR578" s="70" t="str">
        <f t="shared" si="177"/>
        <v>---</v>
      </c>
      <c r="AS578" s="70" t="str">
        <f t="shared" si="178"/>
        <v>---</v>
      </c>
      <c r="AT578" s="71" t="str">
        <f t="shared" si="179"/>
        <v>---</v>
      </c>
    </row>
    <row r="579" spans="1:46" ht="30" customHeight="1" x14ac:dyDescent="0.3">
      <c r="A579" s="123">
        <f t="shared" si="163"/>
        <v>575</v>
      </c>
      <c r="B579" s="140">
        <f>INDEX('PEER GROUP'!B:B,MATCH($A579,'PEER GROUP'!$A:$A,0))</f>
        <v>0</v>
      </c>
      <c r="C579" s="83">
        <f>INDEX('PEER GROUP'!C:C,MATCH($A579,'PEER GROUP'!$A:$A,0))</f>
        <v>0</v>
      </c>
      <c r="D579" s="83">
        <f>INDEX('PEER GROUP'!D:D,MATCH($A579,'PEER GROUP'!$A:$A,0))</f>
        <v>0</v>
      </c>
      <c r="E579" s="83">
        <f>INDEX('PEER GROUP'!E:E,MATCH(A579,'PEER GROUP'!$A:$A,0))</f>
        <v>0</v>
      </c>
      <c r="F579" s="84">
        <f>INDEX('PEER GROUP'!F:F,MATCH($A579,'PEER GROUP'!$A:$A,0))</f>
        <v>0</v>
      </c>
      <c r="G579" s="84">
        <f>INDEX('PEER GROUP'!G:G,MATCH($A579,'PEER GROUP'!$A:$A,0))</f>
        <v>0</v>
      </c>
      <c r="H579" s="85"/>
      <c r="I579" s="85"/>
      <c r="J579" s="70">
        <f>INDEX('PEER GROUP'!K:K,MATCH($A579,'PEER GROUP'!$A:$A,0))</f>
        <v>0</v>
      </c>
      <c r="K579" s="70">
        <f>INDEX('PEER GROUP'!L:L,MATCH($A579,'PEER GROUP'!$A:$A,0))</f>
        <v>0</v>
      </c>
      <c r="L579" s="70">
        <f>INDEX('PEER GROUP'!M:M,MATCH($A579,'PEER GROUP'!$A:$A,0))</f>
        <v>0</v>
      </c>
      <c r="M579" s="86">
        <f>INDEX('PEER GROUP'!N:N,MATCH($A579,'PEER GROUP'!$A:$A,0))</f>
        <v>0</v>
      </c>
      <c r="N579" s="118"/>
      <c r="O579" s="115"/>
      <c r="P579" s="117"/>
      <c r="Q579" s="87"/>
      <c r="R579" s="87">
        <f t="shared" si="164"/>
        <v>0</v>
      </c>
      <c r="S579" s="87"/>
      <c r="T579" s="87"/>
      <c r="U579" s="87"/>
      <c r="V579" s="87">
        <f t="shared" si="165"/>
        <v>0</v>
      </c>
      <c r="W579" s="113">
        <f t="shared" si="162"/>
        <v>36.913096727263202</v>
      </c>
      <c r="X579" s="69">
        <f t="shared" si="166"/>
        <v>0</v>
      </c>
      <c r="Y579" s="70">
        <f t="shared" si="167"/>
        <v>0</v>
      </c>
      <c r="Z579" s="70">
        <f t="shared" si="168"/>
        <v>0</v>
      </c>
      <c r="AA579" s="70">
        <f t="shared" si="169"/>
        <v>0</v>
      </c>
      <c r="AB579" s="70">
        <f t="shared" si="170"/>
        <v>0</v>
      </c>
      <c r="AC579" s="70">
        <f t="shared" si="171"/>
        <v>0</v>
      </c>
      <c r="AD579" s="71">
        <f t="shared" si="172"/>
        <v>0</v>
      </c>
      <c r="AE579" s="49"/>
      <c r="AF579" s="21"/>
      <c r="AG579" s="69"/>
      <c r="AH579" s="70"/>
      <c r="AI579" s="70"/>
      <c r="AJ579" s="70"/>
      <c r="AK579" s="70"/>
      <c r="AL579" s="70"/>
      <c r="AM579" s="70"/>
      <c r="AN579" s="70" t="str">
        <f t="shared" si="173"/>
        <v>---</v>
      </c>
      <c r="AO579" s="70" t="str">
        <f t="shared" si="174"/>
        <v>---</v>
      </c>
      <c r="AP579" s="70" t="str">
        <f t="shared" si="175"/>
        <v>---</v>
      </c>
      <c r="AQ579" s="70" t="str">
        <f t="shared" si="176"/>
        <v>---</v>
      </c>
      <c r="AR579" s="70" t="str">
        <f t="shared" si="177"/>
        <v>---</v>
      </c>
      <c r="AS579" s="70" t="str">
        <f t="shared" si="178"/>
        <v>---</v>
      </c>
      <c r="AT579" s="71" t="str">
        <f t="shared" si="179"/>
        <v>---</v>
      </c>
    </row>
    <row r="580" spans="1:46" ht="30" customHeight="1" x14ac:dyDescent="0.3">
      <c r="A580" s="123">
        <f t="shared" si="163"/>
        <v>576</v>
      </c>
      <c r="B580" s="140">
        <f>INDEX('PEER GROUP'!B:B,MATCH($A580,'PEER GROUP'!$A:$A,0))</f>
        <v>0</v>
      </c>
      <c r="C580" s="83">
        <f>INDEX('PEER GROUP'!C:C,MATCH($A580,'PEER GROUP'!$A:$A,0))</f>
        <v>0</v>
      </c>
      <c r="D580" s="83">
        <f>INDEX('PEER GROUP'!D:D,MATCH($A580,'PEER GROUP'!$A:$A,0))</f>
        <v>0</v>
      </c>
      <c r="E580" s="83">
        <f>INDEX('PEER GROUP'!E:E,MATCH(A580,'PEER GROUP'!$A:$A,0))</f>
        <v>0</v>
      </c>
      <c r="F580" s="84">
        <f>INDEX('PEER GROUP'!F:F,MATCH($A580,'PEER GROUP'!$A:$A,0))</f>
        <v>0</v>
      </c>
      <c r="G580" s="84">
        <f>INDEX('PEER GROUP'!G:G,MATCH($A580,'PEER GROUP'!$A:$A,0))</f>
        <v>0</v>
      </c>
      <c r="H580" s="85"/>
      <c r="I580" s="85"/>
      <c r="J580" s="70">
        <f>INDEX('PEER GROUP'!K:K,MATCH($A580,'PEER GROUP'!$A:$A,0))</f>
        <v>0</v>
      </c>
      <c r="K580" s="70">
        <f>INDEX('PEER GROUP'!L:L,MATCH($A580,'PEER GROUP'!$A:$A,0))</f>
        <v>0</v>
      </c>
      <c r="L580" s="70">
        <f>INDEX('PEER GROUP'!M:M,MATCH($A580,'PEER GROUP'!$A:$A,0))</f>
        <v>0</v>
      </c>
      <c r="M580" s="86">
        <f>INDEX('PEER GROUP'!N:N,MATCH($A580,'PEER GROUP'!$A:$A,0))</f>
        <v>0</v>
      </c>
      <c r="N580" s="118"/>
      <c r="O580" s="115"/>
      <c r="P580" s="117"/>
      <c r="Q580" s="87"/>
      <c r="R580" s="87">
        <f t="shared" si="164"/>
        <v>0</v>
      </c>
      <c r="S580" s="87"/>
      <c r="T580" s="87"/>
      <c r="U580" s="87"/>
      <c r="V580" s="87">
        <f t="shared" si="165"/>
        <v>0</v>
      </c>
      <c r="W580" s="113">
        <f t="shared" si="162"/>
        <v>36.913096727263202</v>
      </c>
      <c r="X580" s="69">
        <f t="shared" si="166"/>
        <v>0</v>
      </c>
      <c r="Y580" s="70">
        <f t="shared" si="167"/>
        <v>0</v>
      </c>
      <c r="Z580" s="70">
        <f t="shared" si="168"/>
        <v>0</v>
      </c>
      <c r="AA580" s="70">
        <f t="shared" si="169"/>
        <v>0</v>
      </c>
      <c r="AB580" s="70">
        <f t="shared" si="170"/>
        <v>0</v>
      </c>
      <c r="AC580" s="70">
        <f t="shared" si="171"/>
        <v>0</v>
      </c>
      <c r="AD580" s="71">
        <f t="shared" si="172"/>
        <v>0</v>
      </c>
      <c r="AE580" s="49"/>
      <c r="AF580" s="21"/>
      <c r="AG580" s="69"/>
      <c r="AH580" s="70"/>
      <c r="AI580" s="70"/>
      <c r="AJ580" s="70"/>
      <c r="AK580" s="70"/>
      <c r="AL580" s="70"/>
      <c r="AM580" s="70"/>
      <c r="AN580" s="70" t="str">
        <f t="shared" si="173"/>
        <v>---</v>
      </c>
      <c r="AO580" s="70" t="str">
        <f t="shared" si="174"/>
        <v>---</v>
      </c>
      <c r="AP580" s="70" t="str">
        <f t="shared" si="175"/>
        <v>---</v>
      </c>
      <c r="AQ580" s="70" t="str">
        <f t="shared" si="176"/>
        <v>---</v>
      </c>
      <c r="AR580" s="70" t="str">
        <f t="shared" si="177"/>
        <v>---</v>
      </c>
      <c r="AS580" s="70" t="str">
        <f t="shared" si="178"/>
        <v>---</v>
      </c>
      <c r="AT580" s="71" t="str">
        <f t="shared" si="179"/>
        <v>---</v>
      </c>
    </row>
    <row r="581" spans="1:46" ht="30" customHeight="1" x14ac:dyDescent="0.3">
      <c r="A581" s="123">
        <f t="shared" si="163"/>
        <v>577</v>
      </c>
      <c r="B581" s="140">
        <f>INDEX('PEER GROUP'!B:B,MATCH($A581,'PEER GROUP'!$A:$A,0))</f>
        <v>0</v>
      </c>
      <c r="C581" s="83">
        <f>INDEX('PEER GROUP'!C:C,MATCH($A581,'PEER GROUP'!$A:$A,0))</f>
        <v>0</v>
      </c>
      <c r="D581" s="83">
        <f>INDEX('PEER GROUP'!D:D,MATCH($A581,'PEER GROUP'!$A:$A,0))</f>
        <v>0</v>
      </c>
      <c r="E581" s="83">
        <f>INDEX('PEER GROUP'!E:E,MATCH(A581,'PEER GROUP'!$A:$A,0))</f>
        <v>0</v>
      </c>
      <c r="F581" s="84">
        <f>INDEX('PEER GROUP'!F:F,MATCH($A581,'PEER GROUP'!$A:$A,0))</f>
        <v>0</v>
      </c>
      <c r="G581" s="84">
        <f>INDEX('PEER GROUP'!G:G,MATCH($A581,'PEER GROUP'!$A:$A,0))</f>
        <v>0</v>
      </c>
      <c r="H581" s="85"/>
      <c r="I581" s="85"/>
      <c r="J581" s="70">
        <f>INDEX('PEER GROUP'!K:K,MATCH($A581,'PEER GROUP'!$A:$A,0))</f>
        <v>0</v>
      </c>
      <c r="K581" s="70">
        <f>INDEX('PEER GROUP'!L:L,MATCH($A581,'PEER GROUP'!$A:$A,0))</f>
        <v>0</v>
      </c>
      <c r="L581" s="70">
        <f>INDEX('PEER GROUP'!M:M,MATCH($A581,'PEER GROUP'!$A:$A,0))</f>
        <v>0</v>
      </c>
      <c r="M581" s="86">
        <f>INDEX('PEER GROUP'!N:N,MATCH($A581,'PEER GROUP'!$A:$A,0))</f>
        <v>0</v>
      </c>
      <c r="N581" s="118"/>
      <c r="O581" s="115"/>
      <c r="P581" s="117"/>
      <c r="Q581" s="87"/>
      <c r="R581" s="87">
        <f t="shared" si="164"/>
        <v>0</v>
      </c>
      <c r="S581" s="87"/>
      <c r="T581" s="87"/>
      <c r="U581" s="87"/>
      <c r="V581" s="87">
        <f t="shared" si="165"/>
        <v>0</v>
      </c>
      <c r="W581" s="113">
        <f t="shared" si="162"/>
        <v>36.913096727263202</v>
      </c>
      <c r="X581" s="69">
        <f t="shared" si="166"/>
        <v>0</v>
      </c>
      <c r="Y581" s="70">
        <f t="shared" si="167"/>
        <v>0</v>
      </c>
      <c r="Z581" s="70">
        <f t="shared" si="168"/>
        <v>0</v>
      </c>
      <c r="AA581" s="70">
        <f t="shared" si="169"/>
        <v>0</v>
      </c>
      <c r="AB581" s="70">
        <f t="shared" si="170"/>
        <v>0</v>
      </c>
      <c r="AC581" s="70">
        <f t="shared" si="171"/>
        <v>0</v>
      </c>
      <c r="AD581" s="71">
        <f t="shared" si="172"/>
        <v>0</v>
      </c>
      <c r="AE581" s="49"/>
      <c r="AF581" s="21"/>
      <c r="AG581" s="69"/>
      <c r="AH581" s="70"/>
      <c r="AI581" s="70"/>
      <c r="AJ581" s="70"/>
      <c r="AK581" s="70"/>
      <c r="AL581" s="70"/>
      <c r="AM581" s="70"/>
      <c r="AN581" s="70" t="str">
        <f t="shared" si="173"/>
        <v>---</v>
      </c>
      <c r="AO581" s="70" t="str">
        <f t="shared" si="174"/>
        <v>---</v>
      </c>
      <c r="AP581" s="70" t="str">
        <f t="shared" si="175"/>
        <v>---</v>
      </c>
      <c r="AQ581" s="70" t="str">
        <f t="shared" si="176"/>
        <v>---</v>
      </c>
      <c r="AR581" s="70" t="str">
        <f t="shared" si="177"/>
        <v>---</v>
      </c>
      <c r="AS581" s="70" t="str">
        <f t="shared" si="178"/>
        <v>---</v>
      </c>
      <c r="AT581" s="71" t="str">
        <f t="shared" si="179"/>
        <v>---</v>
      </c>
    </row>
    <row r="582" spans="1:46" ht="30" customHeight="1" x14ac:dyDescent="0.3">
      <c r="A582" s="123">
        <f t="shared" si="163"/>
        <v>578</v>
      </c>
      <c r="B582" s="140">
        <f>INDEX('PEER GROUP'!B:B,MATCH($A582,'PEER GROUP'!$A:$A,0))</f>
        <v>0</v>
      </c>
      <c r="C582" s="83">
        <f>INDEX('PEER GROUP'!C:C,MATCH($A582,'PEER GROUP'!$A:$A,0))</f>
        <v>0</v>
      </c>
      <c r="D582" s="83">
        <f>INDEX('PEER GROUP'!D:D,MATCH($A582,'PEER GROUP'!$A:$A,0))</f>
        <v>0</v>
      </c>
      <c r="E582" s="83">
        <f>INDEX('PEER GROUP'!E:E,MATCH(A582,'PEER GROUP'!$A:$A,0))</f>
        <v>0</v>
      </c>
      <c r="F582" s="84">
        <f>INDEX('PEER GROUP'!F:F,MATCH($A582,'PEER GROUP'!$A:$A,0))</f>
        <v>0</v>
      </c>
      <c r="G582" s="84">
        <f>INDEX('PEER GROUP'!G:G,MATCH($A582,'PEER GROUP'!$A:$A,0))</f>
        <v>0</v>
      </c>
      <c r="H582" s="85"/>
      <c r="I582" s="85"/>
      <c r="J582" s="70">
        <f>INDEX('PEER GROUP'!K:K,MATCH($A582,'PEER GROUP'!$A:$A,0))</f>
        <v>0</v>
      </c>
      <c r="K582" s="70">
        <f>INDEX('PEER GROUP'!L:L,MATCH($A582,'PEER GROUP'!$A:$A,0))</f>
        <v>0</v>
      </c>
      <c r="L582" s="70">
        <f>INDEX('PEER GROUP'!M:M,MATCH($A582,'PEER GROUP'!$A:$A,0))</f>
        <v>0</v>
      </c>
      <c r="M582" s="86">
        <f>INDEX('PEER GROUP'!N:N,MATCH($A582,'PEER GROUP'!$A:$A,0))</f>
        <v>0</v>
      </c>
      <c r="N582" s="118"/>
      <c r="O582" s="115"/>
      <c r="P582" s="117"/>
      <c r="Q582" s="87"/>
      <c r="R582" s="87">
        <f t="shared" si="164"/>
        <v>0</v>
      </c>
      <c r="S582" s="87"/>
      <c r="T582" s="87"/>
      <c r="U582" s="87"/>
      <c r="V582" s="87">
        <f t="shared" si="165"/>
        <v>0</v>
      </c>
      <c r="W582" s="113">
        <f t="shared" si="162"/>
        <v>36.913096727263202</v>
      </c>
      <c r="X582" s="69">
        <f t="shared" si="166"/>
        <v>0</v>
      </c>
      <c r="Y582" s="70">
        <f t="shared" si="167"/>
        <v>0</v>
      </c>
      <c r="Z582" s="70">
        <f t="shared" si="168"/>
        <v>0</v>
      </c>
      <c r="AA582" s="70">
        <f t="shared" si="169"/>
        <v>0</v>
      </c>
      <c r="AB582" s="70">
        <f t="shared" si="170"/>
        <v>0</v>
      </c>
      <c r="AC582" s="70">
        <f t="shared" si="171"/>
        <v>0</v>
      </c>
      <c r="AD582" s="71">
        <f t="shared" si="172"/>
        <v>0</v>
      </c>
      <c r="AE582" s="49"/>
      <c r="AF582" s="21"/>
      <c r="AG582" s="69"/>
      <c r="AH582" s="70"/>
      <c r="AI582" s="70"/>
      <c r="AJ582" s="70"/>
      <c r="AK582" s="70"/>
      <c r="AL582" s="70"/>
      <c r="AM582" s="70"/>
      <c r="AN582" s="70" t="str">
        <f t="shared" si="173"/>
        <v>---</v>
      </c>
      <c r="AO582" s="70" t="str">
        <f t="shared" si="174"/>
        <v>---</v>
      </c>
      <c r="AP582" s="70" t="str">
        <f t="shared" si="175"/>
        <v>---</v>
      </c>
      <c r="AQ582" s="70" t="str">
        <f t="shared" si="176"/>
        <v>---</v>
      </c>
      <c r="AR582" s="70" t="str">
        <f t="shared" si="177"/>
        <v>---</v>
      </c>
      <c r="AS582" s="70" t="str">
        <f t="shared" si="178"/>
        <v>---</v>
      </c>
      <c r="AT582" s="71" t="str">
        <f t="shared" si="179"/>
        <v>---</v>
      </c>
    </row>
    <row r="583" spans="1:46" ht="30" customHeight="1" x14ac:dyDescent="0.3">
      <c r="A583" s="123">
        <f t="shared" si="163"/>
        <v>579</v>
      </c>
      <c r="B583" s="140">
        <f>INDEX('PEER GROUP'!B:B,MATCH($A583,'PEER GROUP'!$A:$A,0))</f>
        <v>0</v>
      </c>
      <c r="C583" s="83">
        <f>INDEX('PEER GROUP'!C:C,MATCH($A583,'PEER GROUP'!$A:$A,0))</f>
        <v>0</v>
      </c>
      <c r="D583" s="83">
        <f>INDEX('PEER GROUP'!D:D,MATCH($A583,'PEER GROUP'!$A:$A,0))</f>
        <v>0</v>
      </c>
      <c r="E583" s="83">
        <f>INDEX('PEER GROUP'!E:E,MATCH(A583,'PEER GROUP'!$A:$A,0))</f>
        <v>0</v>
      </c>
      <c r="F583" s="84">
        <f>INDEX('PEER GROUP'!F:F,MATCH($A583,'PEER GROUP'!$A:$A,0))</f>
        <v>0</v>
      </c>
      <c r="G583" s="84">
        <f>INDEX('PEER GROUP'!G:G,MATCH($A583,'PEER GROUP'!$A:$A,0))</f>
        <v>0</v>
      </c>
      <c r="H583" s="85"/>
      <c r="I583" s="85"/>
      <c r="J583" s="70">
        <f>INDEX('PEER GROUP'!K:K,MATCH($A583,'PEER GROUP'!$A:$A,0))</f>
        <v>0</v>
      </c>
      <c r="K583" s="70">
        <f>INDEX('PEER GROUP'!L:L,MATCH($A583,'PEER GROUP'!$A:$A,0))</f>
        <v>0</v>
      </c>
      <c r="L583" s="70">
        <f>INDEX('PEER GROUP'!M:M,MATCH($A583,'PEER GROUP'!$A:$A,0))</f>
        <v>0</v>
      </c>
      <c r="M583" s="86">
        <f>INDEX('PEER GROUP'!N:N,MATCH($A583,'PEER GROUP'!$A:$A,0))</f>
        <v>0</v>
      </c>
      <c r="N583" s="118"/>
      <c r="O583" s="115"/>
      <c r="P583" s="117"/>
      <c r="Q583" s="87"/>
      <c r="R583" s="87">
        <f t="shared" si="164"/>
        <v>0</v>
      </c>
      <c r="S583" s="87"/>
      <c r="T583" s="87"/>
      <c r="U583" s="87"/>
      <c r="V583" s="87">
        <f t="shared" si="165"/>
        <v>0</v>
      </c>
      <c r="W583" s="113">
        <f t="shared" si="162"/>
        <v>36.913096727263202</v>
      </c>
      <c r="X583" s="69">
        <f t="shared" si="166"/>
        <v>0</v>
      </c>
      <c r="Y583" s="70">
        <f t="shared" si="167"/>
        <v>0</v>
      </c>
      <c r="Z583" s="70">
        <f t="shared" si="168"/>
        <v>0</v>
      </c>
      <c r="AA583" s="70">
        <f t="shared" si="169"/>
        <v>0</v>
      </c>
      <c r="AB583" s="70">
        <f t="shared" si="170"/>
        <v>0</v>
      </c>
      <c r="AC583" s="70">
        <f t="shared" si="171"/>
        <v>0</v>
      </c>
      <c r="AD583" s="71">
        <f t="shared" si="172"/>
        <v>0</v>
      </c>
      <c r="AE583" s="49"/>
      <c r="AF583" s="21"/>
      <c r="AG583" s="69"/>
      <c r="AH583" s="70"/>
      <c r="AI583" s="70"/>
      <c r="AJ583" s="70"/>
      <c r="AK583" s="70"/>
      <c r="AL583" s="70"/>
      <c r="AM583" s="70"/>
      <c r="AN583" s="70" t="str">
        <f t="shared" si="173"/>
        <v>---</v>
      </c>
      <c r="AO583" s="70" t="str">
        <f t="shared" si="174"/>
        <v>---</v>
      </c>
      <c r="AP583" s="70" t="str">
        <f t="shared" si="175"/>
        <v>---</v>
      </c>
      <c r="AQ583" s="70" t="str">
        <f t="shared" si="176"/>
        <v>---</v>
      </c>
      <c r="AR583" s="70" t="str">
        <f t="shared" si="177"/>
        <v>---</v>
      </c>
      <c r="AS583" s="70" t="str">
        <f t="shared" si="178"/>
        <v>---</v>
      </c>
      <c r="AT583" s="71" t="str">
        <f t="shared" si="179"/>
        <v>---</v>
      </c>
    </row>
    <row r="584" spans="1:46" ht="30" customHeight="1" x14ac:dyDescent="0.3">
      <c r="A584" s="123">
        <f t="shared" si="163"/>
        <v>580</v>
      </c>
      <c r="B584" s="140">
        <f>INDEX('PEER GROUP'!B:B,MATCH($A584,'PEER GROUP'!$A:$A,0))</f>
        <v>0</v>
      </c>
      <c r="C584" s="83">
        <f>INDEX('PEER GROUP'!C:C,MATCH($A584,'PEER GROUP'!$A:$A,0))</f>
        <v>0</v>
      </c>
      <c r="D584" s="83">
        <f>INDEX('PEER GROUP'!D:D,MATCH($A584,'PEER GROUP'!$A:$A,0))</f>
        <v>0</v>
      </c>
      <c r="E584" s="83">
        <f>INDEX('PEER GROUP'!E:E,MATCH(A584,'PEER GROUP'!$A:$A,0))</f>
        <v>0</v>
      </c>
      <c r="F584" s="84">
        <f>INDEX('PEER GROUP'!F:F,MATCH($A584,'PEER GROUP'!$A:$A,0))</f>
        <v>0</v>
      </c>
      <c r="G584" s="84">
        <f>INDEX('PEER GROUP'!G:G,MATCH($A584,'PEER GROUP'!$A:$A,0))</f>
        <v>0</v>
      </c>
      <c r="H584" s="85"/>
      <c r="I584" s="85"/>
      <c r="J584" s="70">
        <f>INDEX('PEER GROUP'!K:K,MATCH($A584,'PEER GROUP'!$A:$A,0))</f>
        <v>0</v>
      </c>
      <c r="K584" s="70">
        <f>INDEX('PEER GROUP'!L:L,MATCH($A584,'PEER GROUP'!$A:$A,0))</f>
        <v>0</v>
      </c>
      <c r="L584" s="70">
        <f>INDEX('PEER GROUP'!M:M,MATCH($A584,'PEER GROUP'!$A:$A,0))</f>
        <v>0</v>
      </c>
      <c r="M584" s="86">
        <f>INDEX('PEER GROUP'!N:N,MATCH($A584,'PEER GROUP'!$A:$A,0))</f>
        <v>0</v>
      </c>
      <c r="N584" s="118"/>
      <c r="O584" s="115"/>
      <c r="P584" s="117"/>
      <c r="Q584" s="87"/>
      <c r="R584" s="87">
        <f t="shared" si="164"/>
        <v>0</v>
      </c>
      <c r="S584" s="87"/>
      <c r="T584" s="87"/>
      <c r="U584" s="87"/>
      <c r="V584" s="87">
        <f t="shared" si="165"/>
        <v>0</v>
      </c>
      <c r="W584" s="113">
        <f t="shared" si="162"/>
        <v>36.913096727263202</v>
      </c>
      <c r="X584" s="69">
        <f t="shared" si="166"/>
        <v>0</v>
      </c>
      <c r="Y584" s="70">
        <f t="shared" si="167"/>
        <v>0</v>
      </c>
      <c r="Z584" s="70">
        <f t="shared" si="168"/>
        <v>0</v>
      </c>
      <c r="AA584" s="70">
        <f t="shared" si="169"/>
        <v>0</v>
      </c>
      <c r="AB584" s="70">
        <f t="shared" si="170"/>
        <v>0</v>
      </c>
      <c r="AC584" s="70">
        <f t="shared" si="171"/>
        <v>0</v>
      </c>
      <c r="AD584" s="71">
        <f t="shared" si="172"/>
        <v>0</v>
      </c>
      <c r="AE584" s="49"/>
      <c r="AF584" s="21"/>
      <c r="AG584" s="69"/>
      <c r="AH584" s="70"/>
      <c r="AI584" s="70"/>
      <c r="AJ584" s="70"/>
      <c r="AK584" s="70"/>
      <c r="AL584" s="70"/>
      <c r="AM584" s="70"/>
      <c r="AN584" s="70" t="str">
        <f t="shared" si="173"/>
        <v>---</v>
      </c>
      <c r="AO584" s="70" t="str">
        <f t="shared" si="174"/>
        <v>---</v>
      </c>
      <c r="AP584" s="70" t="str">
        <f t="shared" si="175"/>
        <v>---</v>
      </c>
      <c r="AQ584" s="70" t="str">
        <f t="shared" si="176"/>
        <v>---</v>
      </c>
      <c r="AR584" s="70" t="str">
        <f t="shared" si="177"/>
        <v>---</v>
      </c>
      <c r="AS584" s="70" t="str">
        <f t="shared" si="178"/>
        <v>---</v>
      </c>
      <c r="AT584" s="71" t="str">
        <f t="shared" si="179"/>
        <v>---</v>
      </c>
    </row>
    <row r="585" spans="1:46" ht="30" customHeight="1" x14ac:dyDescent="0.3">
      <c r="A585" s="123">
        <f t="shared" si="163"/>
        <v>581</v>
      </c>
      <c r="B585" s="140">
        <f>INDEX('PEER GROUP'!B:B,MATCH($A585,'PEER GROUP'!$A:$A,0))</f>
        <v>0</v>
      </c>
      <c r="C585" s="83">
        <f>INDEX('PEER GROUP'!C:C,MATCH($A585,'PEER GROUP'!$A:$A,0))</f>
        <v>0</v>
      </c>
      <c r="D585" s="83">
        <f>INDEX('PEER GROUP'!D:D,MATCH($A585,'PEER GROUP'!$A:$A,0))</f>
        <v>0</v>
      </c>
      <c r="E585" s="83">
        <f>INDEX('PEER GROUP'!E:E,MATCH(A585,'PEER GROUP'!$A:$A,0))</f>
        <v>0</v>
      </c>
      <c r="F585" s="84">
        <f>INDEX('PEER GROUP'!F:F,MATCH($A585,'PEER GROUP'!$A:$A,0))</f>
        <v>0</v>
      </c>
      <c r="G585" s="84">
        <f>INDEX('PEER GROUP'!G:G,MATCH($A585,'PEER GROUP'!$A:$A,0))</f>
        <v>0</v>
      </c>
      <c r="H585" s="85"/>
      <c r="I585" s="85"/>
      <c r="J585" s="70">
        <f>INDEX('PEER GROUP'!K:K,MATCH($A585,'PEER GROUP'!$A:$A,0))</f>
        <v>0</v>
      </c>
      <c r="K585" s="70">
        <f>INDEX('PEER GROUP'!L:L,MATCH($A585,'PEER GROUP'!$A:$A,0))</f>
        <v>0</v>
      </c>
      <c r="L585" s="70">
        <f>INDEX('PEER GROUP'!M:M,MATCH($A585,'PEER GROUP'!$A:$A,0))</f>
        <v>0</v>
      </c>
      <c r="M585" s="86">
        <f>INDEX('PEER GROUP'!N:N,MATCH($A585,'PEER GROUP'!$A:$A,0))</f>
        <v>0</v>
      </c>
      <c r="N585" s="118"/>
      <c r="O585" s="115"/>
      <c r="P585" s="117"/>
      <c r="Q585" s="87"/>
      <c r="R585" s="87">
        <f t="shared" si="164"/>
        <v>0</v>
      </c>
      <c r="S585" s="87"/>
      <c r="T585" s="87"/>
      <c r="U585" s="87"/>
      <c r="V585" s="87">
        <f t="shared" si="165"/>
        <v>0</v>
      </c>
      <c r="W585" s="113">
        <f t="shared" si="162"/>
        <v>36.913096727263202</v>
      </c>
      <c r="X585" s="69">
        <f t="shared" si="166"/>
        <v>0</v>
      </c>
      <c r="Y585" s="70">
        <f t="shared" si="167"/>
        <v>0</v>
      </c>
      <c r="Z585" s="70">
        <f t="shared" si="168"/>
        <v>0</v>
      </c>
      <c r="AA585" s="70">
        <f t="shared" si="169"/>
        <v>0</v>
      </c>
      <c r="AB585" s="70">
        <f t="shared" si="170"/>
        <v>0</v>
      </c>
      <c r="AC585" s="70">
        <f t="shared" si="171"/>
        <v>0</v>
      </c>
      <c r="AD585" s="71">
        <f t="shared" si="172"/>
        <v>0</v>
      </c>
      <c r="AE585" s="49"/>
      <c r="AF585" s="21"/>
      <c r="AG585" s="69"/>
      <c r="AH585" s="70"/>
      <c r="AI585" s="70"/>
      <c r="AJ585" s="70"/>
      <c r="AK585" s="70"/>
      <c r="AL585" s="70"/>
      <c r="AM585" s="70"/>
      <c r="AN585" s="70" t="str">
        <f t="shared" si="173"/>
        <v>---</v>
      </c>
      <c r="AO585" s="70" t="str">
        <f t="shared" si="174"/>
        <v>---</v>
      </c>
      <c r="AP585" s="70" t="str">
        <f t="shared" si="175"/>
        <v>---</v>
      </c>
      <c r="AQ585" s="70" t="str">
        <f t="shared" si="176"/>
        <v>---</v>
      </c>
      <c r="AR585" s="70" t="str">
        <f t="shared" si="177"/>
        <v>---</v>
      </c>
      <c r="AS585" s="70" t="str">
        <f t="shared" si="178"/>
        <v>---</v>
      </c>
      <c r="AT585" s="71" t="str">
        <f t="shared" si="179"/>
        <v>---</v>
      </c>
    </row>
    <row r="586" spans="1:46" ht="30" customHeight="1" x14ac:dyDescent="0.3">
      <c r="A586" s="123">
        <f t="shared" si="163"/>
        <v>582</v>
      </c>
      <c r="B586" s="140">
        <f>INDEX('PEER GROUP'!B:B,MATCH($A586,'PEER GROUP'!$A:$A,0))</f>
        <v>0</v>
      </c>
      <c r="C586" s="83">
        <f>INDEX('PEER GROUP'!C:C,MATCH($A586,'PEER GROUP'!$A:$A,0))</f>
        <v>0</v>
      </c>
      <c r="D586" s="83">
        <f>INDEX('PEER GROUP'!D:D,MATCH($A586,'PEER GROUP'!$A:$A,0))</f>
        <v>0</v>
      </c>
      <c r="E586" s="83">
        <f>INDEX('PEER GROUP'!E:E,MATCH(A586,'PEER GROUP'!$A:$A,0))</f>
        <v>0</v>
      </c>
      <c r="F586" s="84">
        <f>INDEX('PEER GROUP'!F:F,MATCH($A586,'PEER GROUP'!$A:$A,0))</f>
        <v>0</v>
      </c>
      <c r="G586" s="84">
        <f>INDEX('PEER GROUP'!G:G,MATCH($A586,'PEER GROUP'!$A:$A,0))</f>
        <v>0</v>
      </c>
      <c r="H586" s="85"/>
      <c r="I586" s="85"/>
      <c r="J586" s="70">
        <f>INDEX('PEER GROUP'!K:K,MATCH($A586,'PEER GROUP'!$A:$A,0))</f>
        <v>0</v>
      </c>
      <c r="K586" s="70">
        <f>INDEX('PEER GROUP'!L:L,MATCH($A586,'PEER GROUP'!$A:$A,0))</f>
        <v>0</v>
      </c>
      <c r="L586" s="70">
        <f>INDEX('PEER GROUP'!M:M,MATCH($A586,'PEER GROUP'!$A:$A,0))</f>
        <v>0</v>
      </c>
      <c r="M586" s="86">
        <f>INDEX('PEER GROUP'!N:N,MATCH($A586,'PEER GROUP'!$A:$A,0))</f>
        <v>0</v>
      </c>
      <c r="N586" s="118"/>
      <c r="O586" s="115"/>
      <c r="P586" s="117"/>
      <c r="Q586" s="87"/>
      <c r="R586" s="87">
        <f t="shared" si="164"/>
        <v>0</v>
      </c>
      <c r="S586" s="87"/>
      <c r="T586" s="87"/>
      <c r="U586" s="87"/>
      <c r="V586" s="87">
        <f t="shared" si="165"/>
        <v>0</v>
      </c>
      <c r="W586" s="113">
        <f t="shared" si="162"/>
        <v>36.913096727263202</v>
      </c>
      <c r="X586" s="69">
        <f t="shared" si="166"/>
        <v>0</v>
      </c>
      <c r="Y586" s="70">
        <f t="shared" si="167"/>
        <v>0</v>
      </c>
      <c r="Z586" s="70">
        <f t="shared" si="168"/>
        <v>0</v>
      </c>
      <c r="AA586" s="70">
        <f t="shared" si="169"/>
        <v>0</v>
      </c>
      <c r="AB586" s="70">
        <f t="shared" si="170"/>
        <v>0</v>
      </c>
      <c r="AC586" s="70">
        <f t="shared" si="171"/>
        <v>0</v>
      </c>
      <c r="AD586" s="71">
        <f t="shared" si="172"/>
        <v>0</v>
      </c>
      <c r="AE586" s="49"/>
      <c r="AF586" s="21"/>
      <c r="AG586" s="69"/>
      <c r="AH586" s="70"/>
      <c r="AI586" s="70"/>
      <c r="AJ586" s="70"/>
      <c r="AK586" s="70"/>
      <c r="AL586" s="70"/>
      <c r="AM586" s="70"/>
      <c r="AN586" s="70" t="str">
        <f t="shared" si="173"/>
        <v>---</v>
      </c>
      <c r="AO586" s="70" t="str">
        <f t="shared" si="174"/>
        <v>---</v>
      </c>
      <c r="AP586" s="70" t="str">
        <f t="shared" si="175"/>
        <v>---</v>
      </c>
      <c r="AQ586" s="70" t="str">
        <f t="shared" si="176"/>
        <v>---</v>
      </c>
      <c r="AR586" s="70" t="str">
        <f t="shared" si="177"/>
        <v>---</v>
      </c>
      <c r="AS586" s="70" t="str">
        <f t="shared" si="178"/>
        <v>---</v>
      </c>
      <c r="AT586" s="71" t="str">
        <f t="shared" si="179"/>
        <v>---</v>
      </c>
    </row>
    <row r="587" spans="1:46" ht="30" customHeight="1" x14ac:dyDescent="0.3">
      <c r="A587" s="123">
        <f t="shared" si="163"/>
        <v>583</v>
      </c>
      <c r="B587" s="140">
        <f>INDEX('PEER GROUP'!B:B,MATCH($A587,'PEER GROUP'!$A:$A,0))</f>
        <v>0</v>
      </c>
      <c r="C587" s="83">
        <f>INDEX('PEER GROUP'!C:C,MATCH($A587,'PEER GROUP'!$A:$A,0))</f>
        <v>0</v>
      </c>
      <c r="D587" s="83">
        <f>INDEX('PEER GROUP'!D:D,MATCH($A587,'PEER GROUP'!$A:$A,0))</f>
        <v>0</v>
      </c>
      <c r="E587" s="83">
        <f>INDEX('PEER GROUP'!E:E,MATCH(A587,'PEER GROUP'!$A:$A,0))</f>
        <v>0</v>
      </c>
      <c r="F587" s="84">
        <f>INDEX('PEER GROUP'!F:F,MATCH($A587,'PEER GROUP'!$A:$A,0))</f>
        <v>0</v>
      </c>
      <c r="G587" s="84">
        <f>INDEX('PEER GROUP'!G:G,MATCH($A587,'PEER GROUP'!$A:$A,0))</f>
        <v>0</v>
      </c>
      <c r="H587" s="85"/>
      <c r="I587" s="85"/>
      <c r="J587" s="70">
        <f>INDEX('PEER GROUP'!K:K,MATCH($A587,'PEER GROUP'!$A:$A,0))</f>
        <v>0</v>
      </c>
      <c r="K587" s="70">
        <f>INDEX('PEER GROUP'!L:L,MATCH($A587,'PEER GROUP'!$A:$A,0))</f>
        <v>0</v>
      </c>
      <c r="L587" s="70">
        <f>INDEX('PEER GROUP'!M:M,MATCH($A587,'PEER GROUP'!$A:$A,0))</f>
        <v>0</v>
      </c>
      <c r="M587" s="86">
        <f>INDEX('PEER GROUP'!N:N,MATCH($A587,'PEER GROUP'!$A:$A,0))</f>
        <v>0</v>
      </c>
      <c r="N587" s="118"/>
      <c r="O587" s="115"/>
      <c r="P587" s="117"/>
      <c r="Q587" s="87"/>
      <c r="R587" s="87">
        <f t="shared" si="164"/>
        <v>0</v>
      </c>
      <c r="S587" s="87"/>
      <c r="T587" s="87"/>
      <c r="U587" s="87"/>
      <c r="V587" s="87">
        <f t="shared" si="165"/>
        <v>0</v>
      </c>
      <c r="W587" s="113">
        <f t="shared" si="162"/>
        <v>36.913096727263202</v>
      </c>
      <c r="X587" s="69">
        <f t="shared" si="166"/>
        <v>0</v>
      </c>
      <c r="Y587" s="70">
        <f t="shared" si="167"/>
        <v>0</v>
      </c>
      <c r="Z587" s="70">
        <f t="shared" si="168"/>
        <v>0</v>
      </c>
      <c r="AA587" s="70">
        <f t="shared" si="169"/>
        <v>0</v>
      </c>
      <c r="AB587" s="70">
        <f t="shared" si="170"/>
        <v>0</v>
      </c>
      <c r="AC587" s="70">
        <f t="shared" si="171"/>
        <v>0</v>
      </c>
      <c r="AD587" s="71">
        <f t="shared" si="172"/>
        <v>0</v>
      </c>
      <c r="AE587" s="49"/>
      <c r="AF587" s="21"/>
      <c r="AG587" s="69"/>
      <c r="AH587" s="70"/>
      <c r="AI587" s="70"/>
      <c r="AJ587" s="70"/>
      <c r="AK587" s="70"/>
      <c r="AL587" s="70"/>
      <c r="AM587" s="70"/>
      <c r="AN587" s="70" t="str">
        <f t="shared" si="173"/>
        <v>---</v>
      </c>
      <c r="AO587" s="70" t="str">
        <f t="shared" si="174"/>
        <v>---</v>
      </c>
      <c r="AP587" s="70" t="str">
        <f t="shared" si="175"/>
        <v>---</v>
      </c>
      <c r="AQ587" s="70" t="str">
        <f t="shared" si="176"/>
        <v>---</v>
      </c>
      <c r="AR587" s="70" t="str">
        <f t="shared" si="177"/>
        <v>---</v>
      </c>
      <c r="AS587" s="70" t="str">
        <f t="shared" si="178"/>
        <v>---</v>
      </c>
      <c r="AT587" s="71" t="str">
        <f t="shared" si="179"/>
        <v>---</v>
      </c>
    </row>
    <row r="588" spans="1:46" ht="30" customHeight="1" x14ac:dyDescent="0.3">
      <c r="A588" s="123">
        <f t="shared" si="163"/>
        <v>584</v>
      </c>
      <c r="B588" s="140">
        <f>INDEX('PEER GROUP'!B:B,MATCH($A588,'PEER GROUP'!$A:$A,0))</f>
        <v>0</v>
      </c>
      <c r="C588" s="83">
        <f>INDEX('PEER GROUP'!C:C,MATCH($A588,'PEER GROUP'!$A:$A,0))</f>
        <v>0</v>
      </c>
      <c r="D588" s="83">
        <f>INDEX('PEER GROUP'!D:D,MATCH($A588,'PEER GROUP'!$A:$A,0))</f>
        <v>0</v>
      </c>
      <c r="E588" s="83">
        <f>INDEX('PEER GROUP'!E:E,MATCH(A588,'PEER GROUP'!$A:$A,0))</f>
        <v>0</v>
      </c>
      <c r="F588" s="84">
        <f>INDEX('PEER GROUP'!F:F,MATCH($A588,'PEER GROUP'!$A:$A,0))</f>
        <v>0</v>
      </c>
      <c r="G588" s="84">
        <f>INDEX('PEER GROUP'!G:G,MATCH($A588,'PEER GROUP'!$A:$A,0))</f>
        <v>0</v>
      </c>
      <c r="H588" s="85"/>
      <c r="I588" s="85"/>
      <c r="J588" s="70">
        <f>INDEX('PEER GROUP'!K:K,MATCH($A588,'PEER GROUP'!$A:$A,0))</f>
        <v>0</v>
      </c>
      <c r="K588" s="70">
        <f>INDEX('PEER GROUP'!L:L,MATCH($A588,'PEER GROUP'!$A:$A,0))</f>
        <v>0</v>
      </c>
      <c r="L588" s="70">
        <f>INDEX('PEER GROUP'!M:M,MATCH($A588,'PEER GROUP'!$A:$A,0))</f>
        <v>0</v>
      </c>
      <c r="M588" s="86">
        <f>INDEX('PEER GROUP'!N:N,MATCH($A588,'PEER GROUP'!$A:$A,0))</f>
        <v>0</v>
      </c>
      <c r="N588" s="118"/>
      <c r="O588" s="115"/>
      <c r="P588" s="117"/>
      <c r="Q588" s="87"/>
      <c r="R588" s="87">
        <f t="shared" si="164"/>
        <v>0</v>
      </c>
      <c r="S588" s="87"/>
      <c r="T588" s="87"/>
      <c r="U588" s="87"/>
      <c r="V588" s="87">
        <f t="shared" si="165"/>
        <v>0</v>
      </c>
      <c r="W588" s="113">
        <f t="shared" si="162"/>
        <v>36.913096727263202</v>
      </c>
      <c r="X588" s="69">
        <f t="shared" si="166"/>
        <v>0</v>
      </c>
      <c r="Y588" s="70">
        <f t="shared" si="167"/>
        <v>0</v>
      </c>
      <c r="Z588" s="70">
        <f t="shared" si="168"/>
        <v>0</v>
      </c>
      <c r="AA588" s="70">
        <f t="shared" si="169"/>
        <v>0</v>
      </c>
      <c r="AB588" s="70">
        <f t="shared" si="170"/>
        <v>0</v>
      </c>
      <c r="AC588" s="70">
        <f t="shared" si="171"/>
        <v>0</v>
      </c>
      <c r="AD588" s="71">
        <f t="shared" si="172"/>
        <v>0</v>
      </c>
      <c r="AE588" s="49"/>
      <c r="AF588" s="21"/>
      <c r="AG588" s="69"/>
      <c r="AH588" s="70"/>
      <c r="AI588" s="70"/>
      <c r="AJ588" s="70"/>
      <c r="AK588" s="70"/>
      <c r="AL588" s="70"/>
      <c r="AM588" s="70"/>
      <c r="AN588" s="70" t="str">
        <f t="shared" si="173"/>
        <v>---</v>
      </c>
      <c r="AO588" s="70" t="str">
        <f t="shared" si="174"/>
        <v>---</v>
      </c>
      <c r="AP588" s="70" t="str">
        <f t="shared" si="175"/>
        <v>---</v>
      </c>
      <c r="AQ588" s="70" t="str">
        <f t="shared" si="176"/>
        <v>---</v>
      </c>
      <c r="AR588" s="70" t="str">
        <f t="shared" si="177"/>
        <v>---</v>
      </c>
      <c r="AS588" s="70" t="str">
        <f t="shared" si="178"/>
        <v>---</v>
      </c>
      <c r="AT588" s="71" t="str">
        <f t="shared" si="179"/>
        <v>---</v>
      </c>
    </row>
    <row r="589" spans="1:46" ht="30" customHeight="1" x14ac:dyDescent="0.3">
      <c r="A589" s="123">
        <f t="shared" si="163"/>
        <v>585</v>
      </c>
      <c r="B589" s="140">
        <f>INDEX('PEER GROUP'!B:B,MATCH($A589,'PEER GROUP'!$A:$A,0))</f>
        <v>0</v>
      </c>
      <c r="C589" s="83">
        <f>INDEX('PEER GROUP'!C:C,MATCH($A589,'PEER GROUP'!$A:$A,0))</f>
        <v>0</v>
      </c>
      <c r="D589" s="83">
        <f>INDEX('PEER GROUP'!D:D,MATCH($A589,'PEER GROUP'!$A:$A,0))</f>
        <v>0</v>
      </c>
      <c r="E589" s="83">
        <f>INDEX('PEER GROUP'!E:E,MATCH(A589,'PEER GROUP'!$A:$A,0))</f>
        <v>0</v>
      </c>
      <c r="F589" s="84">
        <f>INDEX('PEER GROUP'!F:F,MATCH($A589,'PEER GROUP'!$A:$A,0))</f>
        <v>0</v>
      </c>
      <c r="G589" s="84">
        <f>INDEX('PEER GROUP'!G:G,MATCH($A589,'PEER GROUP'!$A:$A,0))</f>
        <v>0</v>
      </c>
      <c r="H589" s="85"/>
      <c r="I589" s="85"/>
      <c r="J589" s="70">
        <f>INDEX('PEER GROUP'!K:K,MATCH($A589,'PEER GROUP'!$A:$A,0))</f>
        <v>0</v>
      </c>
      <c r="K589" s="70">
        <f>INDEX('PEER GROUP'!L:L,MATCH($A589,'PEER GROUP'!$A:$A,0))</f>
        <v>0</v>
      </c>
      <c r="L589" s="70">
        <f>INDEX('PEER GROUP'!M:M,MATCH($A589,'PEER GROUP'!$A:$A,0))</f>
        <v>0</v>
      </c>
      <c r="M589" s="86">
        <f>INDEX('PEER GROUP'!N:N,MATCH($A589,'PEER GROUP'!$A:$A,0))</f>
        <v>0</v>
      </c>
      <c r="N589" s="118"/>
      <c r="O589" s="115"/>
      <c r="P589" s="117"/>
      <c r="Q589" s="87"/>
      <c r="R589" s="87">
        <f t="shared" si="164"/>
        <v>0</v>
      </c>
      <c r="S589" s="87"/>
      <c r="T589" s="87"/>
      <c r="U589" s="87"/>
      <c r="V589" s="87">
        <f t="shared" si="165"/>
        <v>0</v>
      </c>
      <c r="W589" s="113">
        <f t="shared" si="162"/>
        <v>36.913096727263202</v>
      </c>
      <c r="X589" s="69">
        <f t="shared" si="166"/>
        <v>0</v>
      </c>
      <c r="Y589" s="70">
        <f t="shared" si="167"/>
        <v>0</v>
      </c>
      <c r="Z589" s="70">
        <f t="shared" si="168"/>
        <v>0</v>
      </c>
      <c r="AA589" s="70">
        <f t="shared" si="169"/>
        <v>0</v>
      </c>
      <c r="AB589" s="70">
        <f t="shared" si="170"/>
        <v>0</v>
      </c>
      <c r="AC589" s="70">
        <f t="shared" si="171"/>
        <v>0</v>
      </c>
      <c r="AD589" s="71">
        <f t="shared" si="172"/>
        <v>0</v>
      </c>
      <c r="AE589" s="49"/>
      <c r="AF589" s="21"/>
      <c r="AG589" s="69"/>
      <c r="AH589" s="70"/>
      <c r="AI589" s="70"/>
      <c r="AJ589" s="70"/>
      <c r="AK589" s="70"/>
      <c r="AL589" s="70"/>
      <c r="AM589" s="70"/>
      <c r="AN589" s="70" t="str">
        <f t="shared" si="173"/>
        <v>---</v>
      </c>
      <c r="AO589" s="70" t="str">
        <f t="shared" si="174"/>
        <v>---</v>
      </c>
      <c r="AP589" s="70" t="str">
        <f t="shared" si="175"/>
        <v>---</v>
      </c>
      <c r="AQ589" s="70" t="str">
        <f t="shared" si="176"/>
        <v>---</v>
      </c>
      <c r="AR589" s="70" t="str">
        <f t="shared" si="177"/>
        <v>---</v>
      </c>
      <c r="AS589" s="70" t="str">
        <f t="shared" si="178"/>
        <v>---</v>
      </c>
      <c r="AT589" s="71" t="str">
        <f t="shared" si="179"/>
        <v>---</v>
      </c>
    </row>
    <row r="590" spans="1:46" ht="30" customHeight="1" x14ac:dyDescent="0.3">
      <c r="A590" s="123">
        <f t="shared" si="163"/>
        <v>586</v>
      </c>
      <c r="B590" s="140">
        <f>INDEX('PEER GROUP'!B:B,MATCH($A590,'PEER GROUP'!$A:$A,0))</f>
        <v>0</v>
      </c>
      <c r="C590" s="83">
        <f>INDEX('PEER GROUP'!C:C,MATCH($A590,'PEER GROUP'!$A:$A,0))</f>
        <v>0</v>
      </c>
      <c r="D590" s="83">
        <f>INDEX('PEER GROUP'!D:D,MATCH($A590,'PEER GROUP'!$A:$A,0))</f>
        <v>0</v>
      </c>
      <c r="E590" s="83">
        <f>INDEX('PEER GROUP'!E:E,MATCH(A590,'PEER GROUP'!$A:$A,0))</f>
        <v>0</v>
      </c>
      <c r="F590" s="84">
        <f>INDEX('PEER GROUP'!F:F,MATCH($A590,'PEER GROUP'!$A:$A,0))</f>
        <v>0</v>
      </c>
      <c r="G590" s="84">
        <f>INDEX('PEER GROUP'!G:G,MATCH($A590,'PEER GROUP'!$A:$A,0))</f>
        <v>0</v>
      </c>
      <c r="H590" s="85"/>
      <c r="I590" s="85"/>
      <c r="J590" s="70">
        <f>INDEX('PEER GROUP'!K:K,MATCH($A590,'PEER GROUP'!$A:$A,0))</f>
        <v>0</v>
      </c>
      <c r="K590" s="70">
        <f>INDEX('PEER GROUP'!L:L,MATCH($A590,'PEER GROUP'!$A:$A,0))</f>
        <v>0</v>
      </c>
      <c r="L590" s="70">
        <f>INDEX('PEER GROUP'!M:M,MATCH($A590,'PEER GROUP'!$A:$A,0))</f>
        <v>0</v>
      </c>
      <c r="M590" s="86">
        <f>INDEX('PEER GROUP'!N:N,MATCH($A590,'PEER GROUP'!$A:$A,0))</f>
        <v>0</v>
      </c>
      <c r="N590" s="118"/>
      <c r="O590" s="115"/>
      <c r="P590" s="117"/>
      <c r="Q590" s="87"/>
      <c r="R590" s="87">
        <f t="shared" si="164"/>
        <v>0</v>
      </c>
      <c r="S590" s="87"/>
      <c r="T590" s="87"/>
      <c r="U590" s="87"/>
      <c r="V590" s="87">
        <f t="shared" si="165"/>
        <v>0</v>
      </c>
      <c r="W590" s="113">
        <f t="shared" si="162"/>
        <v>36.913096727263202</v>
      </c>
      <c r="X590" s="69">
        <f t="shared" si="166"/>
        <v>0</v>
      </c>
      <c r="Y590" s="70">
        <f t="shared" si="167"/>
        <v>0</v>
      </c>
      <c r="Z590" s="70">
        <f t="shared" si="168"/>
        <v>0</v>
      </c>
      <c r="AA590" s="70">
        <f t="shared" si="169"/>
        <v>0</v>
      </c>
      <c r="AB590" s="70">
        <f t="shared" si="170"/>
        <v>0</v>
      </c>
      <c r="AC590" s="70">
        <f t="shared" si="171"/>
        <v>0</v>
      </c>
      <c r="AD590" s="71">
        <f t="shared" si="172"/>
        <v>0</v>
      </c>
      <c r="AE590" s="49"/>
      <c r="AF590" s="21"/>
      <c r="AG590" s="69"/>
      <c r="AH590" s="70"/>
      <c r="AI590" s="70"/>
      <c r="AJ590" s="70"/>
      <c r="AK590" s="70"/>
      <c r="AL590" s="70"/>
      <c r="AM590" s="70"/>
      <c r="AN590" s="70" t="str">
        <f t="shared" si="173"/>
        <v>---</v>
      </c>
      <c r="AO590" s="70" t="str">
        <f t="shared" si="174"/>
        <v>---</v>
      </c>
      <c r="AP590" s="70" t="str">
        <f t="shared" si="175"/>
        <v>---</v>
      </c>
      <c r="AQ590" s="70" t="str">
        <f t="shared" si="176"/>
        <v>---</v>
      </c>
      <c r="AR590" s="70" t="str">
        <f t="shared" si="177"/>
        <v>---</v>
      </c>
      <c r="AS590" s="70" t="str">
        <f t="shared" si="178"/>
        <v>---</v>
      </c>
      <c r="AT590" s="71" t="str">
        <f t="shared" si="179"/>
        <v>---</v>
      </c>
    </row>
    <row r="591" spans="1:46" ht="30" customHeight="1" x14ac:dyDescent="0.3">
      <c r="A591" s="123">
        <f t="shared" si="163"/>
        <v>587</v>
      </c>
      <c r="B591" s="140">
        <f>INDEX('PEER GROUP'!B:B,MATCH($A591,'PEER GROUP'!$A:$A,0))</f>
        <v>0</v>
      </c>
      <c r="C591" s="83">
        <f>INDEX('PEER GROUP'!C:C,MATCH($A591,'PEER GROUP'!$A:$A,0))</f>
        <v>0</v>
      </c>
      <c r="D591" s="83">
        <f>INDEX('PEER GROUP'!D:D,MATCH($A591,'PEER GROUP'!$A:$A,0))</f>
        <v>0</v>
      </c>
      <c r="E591" s="83">
        <f>INDEX('PEER GROUP'!E:E,MATCH(A591,'PEER GROUP'!$A:$A,0))</f>
        <v>0</v>
      </c>
      <c r="F591" s="84">
        <f>INDEX('PEER GROUP'!F:F,MATCH($A591,'PEER GROUP'!$A:$A,0))</f>
        <v>0</v>
      </c>
      <c r="G591" s="84">
        <f>INDEX('PEER GROUP'!G:G,MATCH($A591,'PEER GROUP'!$A:$A,0))</f>
        <v>0</v>
      </c>
      <c r="H591" s="85"/>
      <c r="I591" s="85"/>
      <c r="J591" s="70">
        <f>INDEX('PEER GROUP'!K:K,MATCH($A591,'PEER GROUP'!$A:$A,0))</f>
        <v>0</v>
      </c>
      <c r="K591" s="70">
        <f>INDEX('PEER GROUP'!L:L,MATCH($A591,'PEER GROUP'!$A:$A,0))</f>
        <v>0</v>
      </c>
      <c r="L591" s="70">
        <f>INDEX('PEER GROUP'!M:M,MATCH($A591,'PEER GROUP'!$A:$A,0))</f>
        <v>0</v>
      </c>
      <c r="M591" s="86">
        <f>INDEX('PEER GROUP'!N:N,MATCH($A591,'PEER GROUP'!$A:$A,0))</f>
        <v>0</v>
      </c>
      <c r="N591" s="118"/>
      <c r="O591" s="115"/>
      <c r="P591" s="117"/>
      <c r="Q591" s="87"/>
      <c r="R591" s="87">
        <f t="shared" si="164"/>
        <v>0</v>
      </c>
      <c r="S591" s="87"/>
      <c r="T591" s="87"/>
      <c r="U591" s="87"/>
      <c r="V591" s="87">
        <f t="shared" si="165"/>
        <v>0</v>
      </c>
      <c r="W591" s="113">
        <f t="shared" si="162"/>
        <v>36.913096727263202</v>
      </c>
      <c r="X591" s="69">
        <f t="shared" si="166"/>
        <v>0</v>
      </c>
      <c r="Y591" s="70">
        <f t="shared" si="167"/>
        <v>0</v>
      </c>
      <c r="Z591" s="70">
        <f t="shared" si="168"/>
        <v>0</v>
      </c>
      <c r="AA591" s="70">
        <f t="shared" si="169"/>
        <v>0</v>
      </c>
      <c r="AB591" s="70">
        <f t="shared" si="170"/>
        <v>0</v>
      </c>
      <c r="AC591" s="70">
        <f t="shared" si="171"/>
        <v>0</v>
      </c>
      <c r="AD591" s="71">
        <f t="shared" si="172"/>
        <v>0</v>
      </c>
      <c r="AE591" s="49"/>
      <c r="AF591" s="21"/>
      <c r="AG591" s="69"/>
      <c r="AH591" s="70"/>
      <c r="AI591" s="70"/>
      <c r="AJ591" s="70"/>
      <c r="AK591" s="70"/>
      <c r="AL591" s="70"/>
      <c r="AM591" s="70"/>
      <c r="AN591" s="70" t="str">
        <f t="shared" si="173"/>
        <v>---</v>
      </c>
      <c r="AO591" s="70" t="str">
        <f t="shared" si="174"/>
        <v>---</v>
      </c>
      <c r="AP591" s="70" t="str">
        <f t="shared" si="175"/>
        <v>---</v>
      </c>
      <c r="AQ591" s="70" t="str">
        <f t="shared" si="176"/>
        <v>---</v>
      </c>
      <c r="AR591" s="70" t="str">
        <f t="shared" si="177"/>
        <v>---</v>
      </c>
      <c r="AS591" s="70" t="str">
        <f t="shared" si="178"/>
        <v>---</v>
      </c>
      <c r="AT591" s="71" t="str">
        <f t="shared" si="179"/>
        <v>---</v>
      </c>
    </row>
    <row r="592" spans="1:46" ht="30" customHeight="1" x14ac:dyDescent="0.3">
      <c r="A592" s="123">
        <f t="shared" si="163"/>
        <v>588</v>
      </c>
      <c r="B592" s="140">
        <f>INDEX('PEER GROUP'!B:B,MATCH($A592,'PEER GROUP'!$A:$A,0))</f>
        <v>0</v>
      </c>
      <c r="C592" s="83">
        <f>INDEX('PEER GROUP'!C:C,MATCH($A592,'PEER GROUP'!$A:$A,0))</f>
        <v>0</v>
      </c>
      <c r="D592" s="83">
        <f>INDEX('PEER GROUP'!D:D,MATCH($A592,'PEER GROUP'!$A:$A,0))</f>
        <v>0</v>
      </c>
      <c r="E592" s="83">
        <f>INDEX('PEER GROUP'!E:E,MATCH(A592,'PEER GROUP'!$A:$A,0))</f>
        <v>0</v>
      </c>
      <c r="F592" s="84">
        <f>INDEX('PEER GROUP'!F:F,MATCH($A592,'PEER GROUP'!$A:$A,0))</f>
        <v>0</v>
      </c>
      <c r="G592" s="84">
        <f>INDEX('PEER GROUP'!G:G,MATCH($A592,'PEER GROUP'!$A:$A,0))</f>
        <v>0</v>
      </c>
      <c r="H592" s="85"/>
      <c r="I592" s="85"/>
      <c r="J592" s="70">
        <f>INDEX('PEER GROUP'!K:K,MATCH($A592,'PEER GROUP'!$A:$A,0))</f>
        <v>0</v>
      </c>
      <c r="K592" s="70">
        <f>INDEX('PEER GROUP'!L:L,MATCH($A592,'PEER GROUP'!$A:$A,0))</f>
        <v>0</v>
      </c>
      <c r="L592" s="70">
        <f>INDEX('PEER GROUP'!M:M,MATCH($A592,'PEER GROUP'!$A:$A,0))</f>
        <v>0</v>
      </c>
      <c r="M592" s="86">
        <f>INDEX('PEER GROUP'!N:N,MATCH($A592,'PEER GROUP'!$A:$A,0))</f>
        <v>0</v>
      </c>
      <c r="N592" s="118"/>
      <c r="O592" s="115"/>
      <c r="P592" s="117"/>
      <c r="Q592" s="87"/>
      <c r="R592" s="87">
        <f t="shared" si="164"/>
        <v>0</v>
      </c>
      <c r="S592" s="87"/>
      <c r="T592" s="87"/>
      <c r="U592" s="87"/>
      <c r="V592" s="87">
        <f t="shared" si="165"/>
        <v>0</v>
      </c>
      <c r="W592" s="113">
        <f t="shared" si="162"/>
        <v>36.913096727263202</v>
      </c>
      <c r="X592" s="69">
        <f t="shared" si="166"/>
        <v>0</v>
      </c>
      <c r="Y592" s="70">
        <f t="shared" si="167"/>
        <v>0</v>
      </c>
      <c r="Z592" s="70">
        <f t="shared" si="168"/>
        <v>0</v>
      </c>
      <c r="AA592" s="70">
        <f t="shared" si="169"/>
        <v>0</v>
      </c>
      <c r="AB592" s="70">
        <f t="shared" si="170"/>
        <v>0</v>
      </c>
      <c r="AC592" s="70">
        <f t="shared" si="171"/>
        <v>0</v>
      </c>
      <c r="AD592" s="71">
        <f t="shared" si="172"/>
        <v>0</v>
      </c>
      <c r="AE592" s="49"/>
      <c r="AF592" s="21"/>
      <c r="AG592" s="69"/>
      <c r="AH592" s="70"/>
      <c r="AI592" s="70"/>
      <c r="AJ592" s="70"/>
      <c r="AK592" s="70"/>
      <c r="AL592" s="70"/>
      <c r="AM592" s="70"/>
      <c r="AN592" s="70" t="str">
        <f t="shared" si="173"/>
        <v>---</v>
      </c>
      <c r="AO592" s="70" t="str">
        <f t="shared" si="174"/>
        <v>---</v>
      </c>
      <c r="AP592" s="70" t="str">
        <f t="shared" si="175"/>
        <v>---</v>
      </c>
      <c r="AQ592" s="70" t="str">
        <f t="shared" si="176"/>
        <v>---</v>
      </c>
      <c r="AR592" s="70" t="str">
        <f t="shared" si="177"/>
        <v>---</v>
      </c>
      <c r="AS592" s="70" t="str">
        <f t="shared" si="178"/>
        <v>---</v>
      </c>
      <c r="AT592" s="71" t="str">
        <f t="shared" si="179"/>
        <v>---</v>
      </c>
    </row>
    <row r="593" spans="1:46" ht="30" customHeight="1" x14ac:dyDescent="0.3">
      <c r="A593" s="123">
        <f t="shared" si="163"/>
        <v>589</v>
      </c>
      <c r="B593" s="140">
        <f>INDEX('PEER GROUP'!B:B,MATCH($A593,'PEER GROUP'!$A:$A,0))</f>
        <v>0</v>
      </c>
      <c r="C593" s="83">
        <f>INDEX('PEER GROUP'!C:C,MATCH($A593,'PEER GROUP'!$A:$A,0))</f>
        <v>0</v>
      </c>
      <c r="D593" s="83">
        <f>INDEX('PEER GROUP'!D:D,MATCH($A593,'PEER GROUP'!$A:$A,0))</f>
        <v>0</v>
      </c>
      <c r="E593" s="83">
        <f>INDEX('PEER GROUP'!E:E,MATCH(A593,'PEER GROUP'!$A:$A,0))</f>
        <v>0</v>
      </c>
      <c r="F593" s="84">
        <f>INDEX('PEER GROUP'!F:F,MATCH($A593,'PEER GROUP'!$A:$A,0))</f>
        <v>0</v>
      </c>
      <c r="G593" s="84">
        <f>INDEX('PEER GROUP'!G:G,MATCH($A593,'PEER GROUP'!$A:$A,0))</f>
        <v>0</v>
      </c>
      <c r="H593" s="85"/>
      <c r="I593" s="85"/>
      <c r="J593" s="70">
        <f>INDEX('PEER GROUP'!K:K,MATCH($A593,'PEER GROUP'!$A:$A,0))</f>
        <v>0</v>
      </c>
      <c r="K593" s="70">
        <f>INDEX('PEER GROUP'!L:L,MATCH($A593,'PEER GROUP'!$A:$A,0))</f>
        <v>0</v>
      </c>
      <c r="L593" s="70">
        <f>INDEX('PEER GROUP'!M:M,MATCH($A593,'PEER GROUP'!$A:$A,0))</f>
        <v>0</v>
      </c>
      <c r="M593" s="86">
        <f>INDEX('PEER GROUP'!N:N,MATCH($A593,'PEER GROUP'!$A:$A,0))</f>
        <v>0</v>
      </c>
      <c r="N593" s="118"/>
      <c r="O593" s="115"/>
      <c r="P593" s="117"/>
      <c r="Q593" s="87"/>
      <c r="R593" s="87">
        <f t="shared" si="164"/>
        <v>0</v>
      </c>
      <c r="S593" s="87"/>
      <c r="T593" s="87"/>
      <c r="U593" s="87"/>
      <c r="V593" s="87">
        <f t="shared" si="165"/>
        <v>0</v>
      </c>
      <c r="W593" s="113">
        <f t="shared" si="162"/>
        <v>36.913096727263202</v>
      </c>
      <c r="X593" s="69">
        <f t="shared" si="166"/>
        <v>0</v>
      </c>
      <c r="Y593" s="70">
        <f t="shared" si="167"/>
        <v>0</v>
      </c>
      <c r="Z593" s="70">
        <f t="shared" si="168"/>
        <v>0</v>
      </c>
      <c r="AA593" s="70">
        <f t="shared" si="169"/>
        <v>0</v>
      </c>
      <c r="AB593" s="70">
        <f t="shared" si="170"/>
        <v>0</v>
      </c>
      <c r="AC593" s="70">
        <f t="shared" si="171"/>
        <v>0</v>
      </c>
      <c r="AD593" s="71">
        <f t="shared" si="172"/>
        <v>0</v>
      </c>
      <c r="AE593" s="49"/>
      <c r="AF593" s="21"/>
      <c r="AG593" s="69"/>
      <c r="AH593" s="70"/>
      <c r="AI593" s="70"/>
      <c r="AJ593" s="70"/>
      <c r="AK593" s="70"/>
      <c r="AL593" s="70"/>
      <c r="AM593" s="70"/>
      <c r="AN593" s="70" t="str">
        <f t="shared" si="173"/>
        <v>---</v>
      </c>
      <c r="AO593" s="70" t="str">
        <f t="shared" si="174"/>
        <v>---</v>
      </c>
      <c r="AP593" s="70" t="str">
        <f t="shared" si="175"/>
        <v>---</v>
      </c>
      <c r="AQ593" s="70" t="str">
        <f t="shared" si="176"/>
        <v>---</v>
      </c>
      <c r="AR593" s="70" t="str">
        <f t="shared" si="177"/>
        <v>---</v>
      </c>
      <c r="AS593" s="70" t="str">
        <f t="shared" si="178"/>
        <v>---</v>
      </c>
      <c r="AT593" s="71" t="str">
        <f t="shared" si="179"/>
        <v>---</v>
      </c>
    </row>
    <row r="594" spans="1:46" ht="30" customHeight="1" x14ac:dyDescent="0.3">
      <c r="A594" s="123">
        <f t="shared" si="163"/>
        <v>590</v>
      </c>
      <c r="B594" s="140">
        <f>INDEX('PEER GROUP'!B:B,MATCH($A594,'PEER GROUP'!$A:$A,0))</f>
        <v>0</v>
      </c>
      <c r="C594" s="83">
        <f>INDEX('PEER GROUP'!C:C,MATCH($A594,'PEER GROUP'!$A:$A,0))</f>
        <v>0</v>
      </c>
      <c r="D594" s="83">
        <f>INDEX('PEER GROUP'!D:D,MATCH($A594,'PEER GROUP'!$A:$A,0))</f>
        <v>0</v>
      </c>
      <c r="E594" s="83">
        <f>INDEX('PEER GROUP'!E:E,MATCH(A594,'PEER GROUP'!$A:$A,0))</f>
        <v>0</v>
      </c>
      <c r="F594" s="84">
        <f>INDEX('PEER GROUP'!F:F,MATCH($A594,'PEER GROUP'!$A:$A,0))</f>
        <v>0</v>
      </c>
      <c r="G594" s="84">
        <f>INDEX('PEER GROUP'!G:G,MATCH($A594,'PEER GROUP'!$A:$A,0))</f>
        <v>0</v>
      </c>
      <c r="H594" s="85"/>
      <c r="I594" s="85"/>
      <c r="J594" s="70">
        <f>INDEX('PEER GROUP'!K:K,MATCH($A594,'PEER GROUP'!$A:$A,0))</f>
        <v>0</v>
      </c>
      <c r="K594" s="70">
        <f>INDEX('PEER GROUP'!L:L,MATCH($A594,'PEER GROUP'!$A:$A,0))</f>
        <v>0</v>
      </c>
      <c r="L594" s="70">
        <f>INDEX('PEER GROUP'!M:M,MATCH($A594,'PEER GROUP'!$A:$A,0))</f>
        <v>0</v>
      </c>
      <c r="M594" s="86">
        <f>INDEX('PEER GROUP'!N:N,MATCH($A594,'PEER GROUP'!$A:$A,0))</f>
        <v>0</v>
      </c>
      <c r="N594" s="118"/>
      <c r="O594" s="115"/>
      <c r="P594" s="117"/>
      <c r="Q594" s="87"/>
      <c r="R594" s="87">
        <f t="shared" si="164"/>
        <v>0</v>
      </c>
      <c r="S594" s="87"/>
      <c r="T594" s="87"/>
      <c r="U594" s="87"/>
      <c r="V594" s="87">
        <f t="shared" si="165"/>
        <v>0</v>
      </c>
      <c r="W594" s="113">
        <f t="shared" si="162"/>
        <v>36.913096727263202</v>
      </c>
      <c r="X594" s="69">
        <f t="shared" si="166"/>
        <v>0</v>
      </c>
      <c r="Y594" s="70">
        <f t="shared" si="167"/>
        <v>0</v>
      </c>
      <c r="Z594" s="70">
        <f t="shared" si="168"/>
        <v>0</v>
      </c>
      <c r="AA594" s="70">
        <f t="shared" si="169"/>
        <v>0</v>
      </c>
      <c r="AB594" s="70">
        <f t="shared" si="170"/>
        <v>0</v>
      </c>
      <c r="AC594" s="70">
        <f t="shared" si="171"/>
        <v>0</v>
      </c>
      <c r="AD594" s="71">
        <f t="shared" si="172"/>
        <v>0</v>
      </c>
      <c r="AE594" s="49"/>
      <c r="AF594" s="21"/>
      <c r="AG594" s="69"/>
      <c r="AH594" s="70"/>
      <c r="AI594" s="70"/>
      <c r="AJ594" s="70"/>
      <c r="AK594" s="70"/>
      <c r="AL594" s="70"/>
      <c r="AM594" s="70"/>
      <c r="AN594" s="70" t="str">
        <f t="shared" si="173"/>
        <v>---</v>
      </c>
      <c r="AO594" s="70" t="str">
        <f t="shared" si="174"/>
        <v>---</v>
      </c>
      <c r="AP594" s="70" t="str">
        <f t="shared" si="175"/>
        <v>---</v>
      </c>
      <c r="AQ594" s="70" t="str">
        <f t="shared" si="176"/>
        <v>---</v>
      </c>
      <c r="AR594" s="70" t="str">
        <f t="shared" si="177"/>
        <v>---</v>
      </c>
      <c r="AS594" s="70" t="str">
        <f t="shared" si="178"/>
        <v>---</v>
      </c>
      <c r="AT594" s="71" t="str">
        <f t="shared" si="179"/>
        <v>---</v>
      </c>
    </row>
    <row r="595" spans="1:46" ht="30" customHeight="1" x14ac:dyDescent="0.3">
      <c r="A595" s="123">
        <f t="shared" si="163"/>
        <v>591</v>
      </c>
      <c r="B595" s="140">
        <f>INDEX('PEER GROUP'!B:B,MATCH($A595,'PEER GROUP'!$A:$A,0))</f>
        <v>0</v>
      </c>
      <c r="C595" s="83">
        <f>INDEX('PEER GROUP'!C:C,MATCH($A595,'PEER GROUP'!$A:$A,0))</f>
        <v>0</v>
      </c>
      <c r="D595" s="83">
        <f>INDEX('PEER GROUP'!D:D,MATCH($A595,'PEER GROUP'!$A:$A,0))</f>
        <v>0</v>
      </c>
      <c r="E595" s="83">
        <f>INDEX('PEER GROUP'!E:E,MATCH(A595,'PEER GROUP'!$A:$A,0))</f>
        <v>0</v>
      </c>
      <c r="F595" s="84">
        <f>INDEX('PEER GROUP'!F:F,MATCH($A595,'PEER GROUP'!$A:$A,0))</f>
        <v>0</v>
      </c>
      <c r="G595" s="84">
        <f>INDEX('PEER GROUP'!G:G,MATCH($A595,'PEER GROUP'!$A:$A,0))</f>
        <v>0</v>
      </c>
      <c r="H595" s="85"/>
      <c r="I595" s="85"/>
      <c r="J595" s="70">
        <f>INDEX('PEER GROUP'!K:K,MATCH($A595,'PEER GROUP'!$A:$A,0))</f>
        <v>0</v>
      </c>
      <c r="K595" s="70">
        <f>INDEX('PEER GROUP'!L:L,MATCH($A595,'PEER GROUP'!$A:$A,0))</f>
        <v>0</v>
      </c>
      <c r="L595" s="70">
        <f>INDEX('PEER GROUP'!M:M,MATCH($A595,'PEER GROUP'!$A:$A,0))</f>
        <v>0</v>
      </c>
      <c r="M595" s="86">
        <f>INDEX('PEER GROUP'!N:N,MATCH($A595,'PEER GROUP'!$A:$A,0))</f>
        <v>0</v>
      </c>
      <c r="N595" s="118"/>
      <c r="O595" s="115"/>
      <c r="P595" s="117"/>
      <c r="Q595" s="87"/>
      <c r="R595" s="87">
        <f t="shared" si="164"/>
        <v>0</v>
      </c>
      <c r="S595" s="87"/>
      <c r="T595" s="87"/>
      <c r="U595" s="87"/>
      <c r="V595" s="87">
        <f t="shared" si="165"/>
        <v>0</v>
      </c>
      <c r="W595" s="113">
        <f t="shared" si="162"/>
        <v>36.913096727263202</v>
      </c>
      <c r="X595" s="69">
        <f t="shared" si="166"/>
        <v>0</v>
      </c>
      <c r="Y595" s="70">
        <f t="shared" si="167"/>
        <v>0</v>
      </c>
      <c r="Z595" s="70">
        <f t="shared" si="168"/>
        <v>0</v>
      </c>
      <c r="AA595" s="70">
        <f t="shared" si="169"/>
        <v>0</v>
      </c>
      <c r="AB595" s="70">
        <f t="shared" si="170"/>
        <v>0</v>
      </c>
      <c r="AC595" s="70">
        <f t="shared" si="171"/>
        <v>0</v>
      </c>
      <c r="AD595" s="71">
        <f t="shared" si="172"/>
        <v>0</v>
      </c>
      <c r="AE595" s="49"/>
      <c r="AF595" s="21"/>
      <c r="AG595" s="69"/>
      <c r="AH595" s="70"/>
      <c r="AI595" s="70"/>
      <c r="AJ595" s="70"/>
      <c r="AK595" s="70"/>
      <c r="AL595" s="70"/>
      <c r="AM595" s="70"/>
      <c r="AN595" s="70" t="str">
        <f t="shared" si="173"/>
        <v>---</v>
      </c>
      <c r="AO595" s="70" t="str">
        <f t="shared" si="174"/>
        <v>---</v>
      </c>
      <c r="AP595" s="70" t="str">
        <f t="shared" si="175"/>
        <v>---</v>
      </c>
      <c r="AQ595" s="70" t="str">
        <f t="shared" si="176"/>
        <v>---</v>
      </c>
      <c r="AR595" s="70" t="str">
        <f t="shared" si="177"/>
        <v>---</v>
      </c>
      <c r="AS595" s="70" t="str">
        <f t="shared" si="178"/>
        <v>---</v>
      </c>
      <c r="AT595" s="71" t="str">
        <f t="shared" si="179"/>
        <v>---</v>
      </c>
    </row>
    <row r="596" spans="1:46" ht="30" customHeight="1" x14ac:dyDescent="0.3">
      <c r="A596" s="123">
        <f t="shared" si="163"/>
        <v>592</v>
      </c>
      <c r="B596" s="140">
        <f>INDEX('PEER GROUP'!B:B,MATCH($A596,'PEER GROUP'!$A:$A,0))</f>
        <v>0</v>
      </c>
      <c r="C596" s="83">
        <f>INDEX('PEER GROUP'!C:C,MATCH($A596,'PEER GROUP'!$A:$A,0))</f>
        <v>0</v>
      </c>
      <c r="D596" s="83">
        <f>INDEX('PEER GROUP'!D:D,MATCH($A596,'PEER GROUP'!$A:$A,0))</f>
        <v>0</v>
      </c>
      <c r="E596" s="83">
        <f>INDEX('PEER GROUP'!E:E,MATCH(A596,'PEER GROUP'!$A:$A,0))</f>
        <v>0</v>
      </c>
      <c r="F596" s="84">
        <f>INDEX('PEER GROUP'!F:F,MATCH($A596,'PEER GROUP'!$A:$A,0))</f>
        <v>0</v>
      </c>
      <c r="G596" s="84">
        <f>INDEX('PEER GROUP'!G:G,MATCH($A596,'PEER GROUP'!$A:$A,0))</f>
        <v>0</v>
      </c>
      <c r="H596" s="85"/>
      <c r="I596" s="85"/>
      <c r="J596" s="70">
        <f>INDEX('PEER GROUP'!K:K,MATCH($A596,'PEER GROUP'!$A:$A,0))</f>
        <v>0</v>
      </c>
      <c r="K596" s="70">
        <f>INDEX('PEER GROUP'!L:L,MATCH($A596,'PEER GROUP'!$A:$A,0))</f>
        <v>0</v>
      </c>
      <c r="L596" s="70">
        <f>INDEX('PEER GROUP'!M:M,MATCH($A596,'PEER GROUP'!$A:$A,0))</f>
        <v>0</v>
      </c>
      <c r="M596" s="86">
        <f>INDEX('PEER GROUP'!N:N,MATCH($A596,'PEER GROUP'!$A:$A,0))</f>
        <v>0</v>
      </c>
      <c r="N596" s="118"/>
      <c r="O596" s="115"/>
      <c r="P596" s="117"/>
      <c r="Q596" s="87"/>
      <c r="R596" s="87">
        <f t="shared" si="164"/>
        <v>0</v>
      </c>
      <c r="S596" s="87"/>
      <c r="T596" s="87"/>
      <c r="U596" s="87"/>
      <c r="V596" s="87">
        <f t="shared" si="165"/>
        <v>0</v>
      </c>
      <c r="W596" s="113">
        <f t="shared" si="162"/>
        <v>36.913096727263202</v>
      </c>
      <c r="X596" s="69">
        <f t="shared" si="166"/>
        <v>0</v>
      </c>
      <c r="Y596" s="70">
        <f t="shared" si="167"/>
        <v>0</v>
      </c>
      <c r="Z596" s="70">
        <f t="shared" si="168"/>
        <v>0</v>
      </c>
      <c r="AA596" s="70">
        <f t="shared" si="169"/>
        <v>0</v>
      </c>
      <c r="AB596" s="70">
        <f t="shared" si="170"/>
        <v>0</v>
      </c>
      <c r="AC596" s="70">
        <f t="shared" si="171"/>
        <v>0</v>
      </c>
      <c r="AD596" s="71">
        <f t="shared" si="172"/>
        <v>0</v>
      </c>
      <c r="AE596" s="49"/>
      <c r="AF596" s="21"/>
      <c r="AG596" s="69"/>
      <c r="AH596" s="70"/>
      <c r="AI596" s="70"/>
      <c r="AJ596" s="70"/>
      <c r="AK596" s="70"/>
      <c r="AL596" s="70"/>
      <c r="AM596" s="70"/>
      <c r="AN596" s="70" t="str">
        <f t="shared" si="173"/>
        <v>---</v>
      </c>
      <c r="AO596" s="70" t="str">
        <f t="shared" si="174"/>
        <v>---</v>
      </c>
      <c r="AP596" s="70" t="str">
        <f t="shared" si="175"/>
        <v>---</v>
      </c>
      <c r="AQ596" s="70" t="str">
        <f t="shared" si="176"/>
        <v>---</v>
      </c>
      <c r="AR596" s="70" t="str">
        <f t="shared" si="177"/>
        <v>---</v>
      </c>
      <c r="AS596" s="70" t="str">
        <f t="shared" si="178"/>
        <v>---</v>
      </c>
      <c r="AT596" s="71" t="str">
        <f t="shared" si="179"/>
        <v>---</v>
      </c>
    </row>
    <row r="597" spans="1:46" ht="30" customHeight="1" x14ac:dyDescent="0.3">
      <c r="A597" s="123">
        <f t="shared" si="163"/>
        <v>593</v>
      </c>
      <c r="B597" s="140">
        <f>INDEX('PEER GROUP'!B:B,MATCH($A597,'PEER GROUP'!$A:$A,0))</f>
        <v>0</v>
      </c>
      <c r="C597" s="83">
        <f>INDEX('PEER GROUP'!C:C,MATCH($A597,'PEER GROUP'!$A:$A,0))</f>
        <v>0</v>
      </c>
      <c r="D597" s="83">
        <f>INDEX('PEER GROUP'!D:D,MATCH($A597,'PEER GROUP'!$A:$A,0))</f>
        <v>0</v>
      </c>
      <c r="E597" s="83">
        <f>INDEX('PEER GROUP'!E:E,MATCH(A597,'PEER GROUP'!$A:$A,0))</f>
        <v>0</v>
      </c>
      <c r="F597" s="84">
        <f>INDEX('PEER GROUP'!F:F,MATCH($A597,'PEER GROUP'!$A:$A,0))</f>
        <v>0</v>
      </c>
      <c r="G597" s="84">
        <f>INDEX('PEER GROUP'!G:G,MATCH($A597,'PEER GROUP'!$A:$A,0))</f>
        <v>0</v>
      </c>
      <c r="H597" s="85"/>
      <c r="I597" s="85"/>
      <c r="J597" s="70">
        <f>INDEX('PEER GROUP'!K:K,MATCH($A597,'PEER GROUP'!$A:$A,0))</f>
        <v>0</v>
      </c>
      <c r="K597" s="70">
        <f>INDEX('PEER GROUP'!L:L,MATCH($A597,'PEER GROUP'!$A:$A,0))</f>
        <v>0</v>
      </c>
      <c r="L597" s="70">
        <f>INDEX('PEER GROUP'!M:M,MATCH($A597,'PEER GROUP'!$A:$A,0))</f>
        <v>0</v>
      </c>
      <c r="M597" s="86">
        <f>INDEX('PEER GROUP'!N:N,MATCH($A597,'PEER GROUP'!$A:$A,0))</f>
        <v>0</v>
      </c>
      <c r="N597" s="118"/>
      <c r="O597" s="115"/>
      <c r="P597" s="117"/>
      <c r="Q597" s="87"/>
      <c r="R597" s="87">
        <f t="shared" si="164"/>
        <v>0</v>
      </c>
      <c r="S597" s="87"/>
      <c r="T597" s="87"/>
      <c r="U597" s="87"/>
      <c r="V597" s="87">
        <f t="shared" si="165"/>
        <v>0</v>
      </c>
      <c r="W597" s="113">
        <f t="shared" si="162"/>
        <v>36.913096727263202</v>
      </c>
      <c r="X597" s="69">
        <f t="shared" si="166"/>
        <v>0</v>
      </c>
      <c r="Y597" s="70">
        <f t="shared" si="167"/>
        <v>0</v>
      </c>
      <c r="Z597" s="70">
        <f t="shared" si="168"/>
        <v>0</v>
      </c>
      <c r="AA597" s="70">
        <f t="shared" si="169"/>
        <v>0</v>
      </c>
      <c r="AB597" s="70">
        <f t="shared" si="170"/>
        <v>0</v>
      </c>
      <c r="AC597" s="70">
        <f t="shared" si="171"/>
        <v>0</v>
      </c>
      <c r="AD597" s="71">
        <f t="shared" si="172"/>
        <v>0</v>
      </c>
      <c r="AE597" s="49"/>
      <c r="AF597" s="21"/>
      <c r="AG597" s="69"/>
      <c r="AH597" s="70"/>
      <c r="AI597" s="70"/>
      <c r="AJ597" s="70"/>
      <c r="AK597" s="70"/>
      <c r="AL597" s="70"/>
      <c r="AM597" s="70"/>
      <c r="AN597" s="70" t="str">
        <f t="shared" si="173"/>
        <v>---</v>
      </c>
      <c r="AO597" s="70" t="str">
        <f t="shared" si="174"/>
        <v>---</v>
      </c>
      <c r="AP597" s="70" t="str">
        <f t="shared" si="175"/>
        <v>---</v>
      </c>
      <c r="AQ597" s="70" t="str">
        <f t="shared" si="176"/>
        <v>---</v>
      </c>
      <c r="AR597" s="70" t="str">
        <f t="shared" si="177"/>
        <v>---</v>
      </c>
      <c r="AS597" s="70" t="str">
        <f t="shared" si="178"/>
        <v>---</v>
      </c>
      <c r="AT597" s="71" t="str">
        <f t="shared" si="179"/>
        <v>---</v>
      </c>
    </row>
    <row r="598" spans="1:46" ht="30" customHeight="1" x14ac:dyDescent="0.3">
      <c r="A598" s="123">
        <f t="shared" si="163"/>
        <v>594</v>
      </c>
      <c r="B598" s="140">
        <f>INDEX('PEER GROUP'!B:B,MATCH($A598,'PEER GROUP'!$A:$A,0))</f>
        <v>0</v>
      </c>
      <c r="C598" s="83">
        <f>INDEX('PEER GROUP'!C:C,MATCH($A598,'PEER GROUP'!$A:$A,0))</f>
        <v>0</v>
      </c>
      <c r="D598" s="83">
        <f>INDEX('PEER GROUP'!D:D,MATCH($A598,'PEER GROUP'!$A:$A,0))</f>
        <v>0</v>
      </c>
      <c r="E598" s="83">
        <f>INDEX('PEER GROUP'!E:E,MATCH(A598,'PEER GROUP'!$A:$A,0))</f>
        <v>0</v>
      </c>
      <c r="F598" s="84">
        <f>INDEX('PEER GROUP'!F:F,MATCH($A598,'PEER GROUP'!$A:$A,0))</f>
        <v>0</v>
      </c>
      <c r="G598" s="84">
        <f>INDEX('PEER GROUP'!G:G,MATCH($A598,'PEER GROUP'!$A:$A,0))</f>
        <v>0</v>
      </c>
      <c r="H598" s="85"/>
      <c r="I598" s="85"/>
      <c r="J598" s="70">
        <f>INDEX('PEER GROUP'!K:K,MATCH($A598,'PEER GROUP'!$A:$A,0))</f>
        <v>0</v>
      </c>
      <c r="K598" s="70">
        <f>INDEX('PEER GROUP'!L:L,MATCH($A598,'PEER GROUP'!$A:$A,0))</f>
        <v>0</v>
      </c>
      <c r="L598" s="70">
        <f>INDEX('PEER GROUP'!M:M,MATCH($A598,'PEER GROUP'!$A:$A,0))</f>
        <v>0</v>
      </c>
      <c r="M598" s="86">
        <f>INDEX('PEER GROUP'!N:N,MATCH($A598,'PEER GROUP'!$A:$A,0))</f>
        <v>0</v>
      </c>
      <c r="N598" s="118"/>
      <c r="O598" s="115"/>
      <c r="P598" s="117"/>
      <c r="Q598" s="87"/>
      <c r="R598" s="87">
        <f t="shared" si="164"/>
        <v>0</v>
      </c>
      <c r="S598" s="87"/>
      <c r="T598" s="87"/>
      <c r="U598" s="87"/>
      <c r="V598" s="87">
        <f t="shared" si="165"/>
        <v>0</v>
      </c>
      <c r="W598" s="113">
        <f t="shared" si="162"/>
        <v>36.913096727263202</v>
      </c>
      <c r="X598" s="69">
        <f t="shared" si="166"/>
        <v>0</v>
      </c>
      <c r="Y598" s="70">
        <f t="shared" si="167"/>
        <v>0</v>
      </c>
      <c r="Z598" s="70">
        <f t="shared" si="168"/>
        <v>0</v>
      </c>
      <c r="AA598" s="70">
        <f t="shared" si="169"/>
        <v>0</v>
      </c>
      <c r="AB598" s="70">
        <f t="shared" si="170"/>
        <v>0</v>
      </c>
      <c r="AC598" s="70">
        <f t="shared" si="171"/>
        <v>0</v>
      </c>
      <c r="AD598" s="71">
        <f t="shared" si="172"/>
        <v>0</v>
      </c>
      <c r="AE598" s="49"/>
      <c r="AF598" s="21"/>
      <c r="AG598" s="69"/>
      <c r="AH598" s="70"/>
      <c r="AI598" s="70"/>
      <c r="AJ598" s="70"/>
      <c r="AK598" s="70"/>
      <c r="AL598" s="70"/>
      <c r="AM598" s="70"/>
      <c r="AN598" s="70" t="str">
        <f t="shared" si="173"/>
        <v>---</v>
      </c>
      <c r="AO598" s="70" t="str">
        <f t="shared" si="174"/>
        <v>---</v>
      </c>
      <c r="AP598" s="70" t="str">
        <f t="shared" si="175"/>
        <v>---</v>
      </c>
      <c r="AQ598" s="70" t="str">
        <f t="shared" si="176"/>
        <v>---</v>
      </c>
      <c r="AR598" s="70" t="str">
        <f t="shared" si="177"/>
        <v>---</v>
      </c>
      <c r="AS598" s="70" t="str">
        <f t="shared" si="178"/>
        <v>---</v>
      </c>
      <c r="AT598" s="71" t="str">
        <f t="shared" si="179"/>
        <v>---</v>
      </c>
    </row>
    <row r="599" spans="1:46" ht="30" customHeight="1" x14ac:dyDescent="0.3">
      <c r="A599" s="123">
        <f t="shared" si="163"/>
        <v>595</v>
      </c>
      <c r="B599" s="140">
        <f>INDEX('PEER GROUP'!B:B,MATCH($A599,'PEER GROUP'!$A:$A,0))</f>
        <v>0</v>
      </c>
      <c r="C599" s="83">
        <f>INDEX('PEER GROUP'!C:C,MATCH($A599,'PEER GROUP'!$A:$A,0))</f>
        <v>0</v>
      </c>
      <c r="D599" s="83">
        <f>INDEX('PEER GROUP'!D:D,MATCH($A599,'PEER GROUP'!$A:$A,0))</f>
        <v>0</v>
      </c>
      <c r="E599" s="83">
        <f>INDEX('PEER GROUP'!E:E,MATCH(A599,'PEER GROUP'!$A:$A,0))</f>
        <v>0</v>
      </c>
      <c r="F599" s="84">
        <f>INDEX('PEER GROUP'!F:F,MATCH($A599,'PEER GROUP'!$A:$A,0))</f>
        <v>0</v>
      </c>
      <c r="G599" s="84">
        <f>INDEX('PEER GROUP'!G:G,MATCH($A599,'PEER GROUP'!$A:$A,0))</f>
        <v>0</v>
      </c>
      <c r="H599" s="85"/>
      <c r="I599" s="85"/>
      <c r="J599" s="70">
        <f>INDEX('PEER GROUP'!K:K,MATCH($A599,'PEER GROUP'!$A:$A,0))</f>
        <v>0</v>
      </c>
      <c r="K599" s="70">
        <f>INDEX('PEER GROUP'!L:L,MATCH($A599,'PEER GROUP'!$A:$A,0))</f>
        <v>0</v>
      </c>
      <c r="L599" s="70">
        <f>INDEX('PEER GROUP'!M:M,MATCH($A599,'PEER GROUP'!$A:$A,0))</f>
        <v>0</v>
      </c>
      <c r="M599" s="86">
        <f>INDEX('PEER GROUP'!N:N,MATCH($A599,'PEER GROUP'!$A:$A,0))</f>
        <v>0</v>
      </c>
      <c r="N599" s="118"/>
      <c r="O599" s="115"/>
      <c r="P599" s="117"/>
      <c r="Q599" s="87"/>
      <c r="R599" s="87">
        <f t="shared" si="164"/>
        <v>0</v>
      </c>
      <c r="S599" s="87"/>
      <c r="T599" s="87"/>
      <c r="U599" s="87"/>
      <c r="V599" s="87">
        <f t="shared" si="165"/>
        <v>0</v>
      </c>
      <c r="W599" s="113">
        <f t="shared" si="162"/>
        <v>36.913096727263202</v>
      </c>
      <c r="X599" s="69">
        <f t="shared" si="166"/>
        <v>0</v>
      </c>
      <c r="Y599" s="70">
        <f t="shared" si="167"/>
        <v>0</v>
      </c>
      <c r="Z599" s="70">
        <f t="shared" si="168"/>
        <v>0</v>
      </c>
      <c r="AA599" s="70">
        <f t="shared" si="169"/>
        <v>0</v>
      </c>
      <c r="AB599" s="70">
        <f t="shared" si="170"/>
        <v>0</v>
      </c>
      <c r="AC599" s="70">
        <f t="shared" si="171"/>
        <v>0</v>
      </c>
      <c r="AD599" s="71">
        <f t="shared" si="172"/>
        <v>0</v>
      </c>
      <c r="AE599" s="49"/>
      <c r="AF599" s="21"/>
      <c r="AG599" s="69"/>
      <c r="AH599" s="70"/>
      <c r="AI599" s="70"/>
      <c r="AJ599" s="70"/>
      <c r="AK599" s="70"/>
      <c r="AL599" s="70"/>
      <c r="AM599" s="70"/>
      <c r="AN599" s="70" t="str">
        <f t="shared" si="173"/>
        <v>---</v>
      </c>
      <c r="AO599" s="70" t="str">
        <f t="shared" si="174"/>
        <v>---</v>
      </c>
      <c r="AP599" s="70" t="str">
        <f t="shared" si="175"/>
        <v>---</v>
      </c>
      <c r="AQ599" s="70" t="str">
        <f t="shared" si="176"/>
        <v>---</v>
      </c>
      <c r="AR599" s="70" t="str">
        <f t="shared" si="177"/>
        <v>---</v>
      </c>
      <c r="AS599" s="70" t="str">
        <f t="shared" si="178"/>
        <v>---</v>
      </c>
      <c r="AT599" s="71" t="str">
        <f t="shared" si="179"/>
        <v>---</v>
      </c>
    </row>
    <row r="600" spans="1:46" ht="30" customHeight="1" x14ac:dyDescent="0.3">
      <c r="A600" s="123">
        <f t="shared" si="163"/>
        <v>596</v>
      </c>
      <c r="B600" s="140">
        <f>INDEX('PEER GROUP'!B:B,MATCH($A600,'PEER GROUP'!$A:$A,0))</f>
        <v>0</v>
      </c>
      <c r="C600" s="83">
        <f>INDEX('PEER GROUP'!C:C,MATCH($A600,'PEER GROUP'!$A:$A,0))</f>
        <v>0</v>
      </c>
      <c r="D600" s="83">
        <f>INDEX('PEER GROUP'!D:D,MATCH($A600,'PEER GROUP'!$A:$A,0))</f>
        <v>0</v>
      </c>
      <c r="E600" s="83">
        <f>INDEX('PEER GROUP'!E:E,MATCH(A600,'PEER GROUP'!$A:$A,0))</f>
        <v>0</v>
      </c>
      <c r="F600" s="84">
        <f>INDEX('PEER GROUP'!F:F,MATCH($A600,'PEER GROUP'!$A:$A,0))</f>
        <v>0</v>
      </c>
      <c r="G600" s="84">
        <f>INDEX('PEER GROUP'!G:G,MATCH($A600,'PEER GROUP'!$A:$A,0))</f>
        <v>0</v>
      </c>
      <c r="H600" s="85"/>
      <c r="I600" s="85"/>
      <c r="J600" s="70">
        <f>INDEX('PEER GROUP'!K:K,MATCH($A600,'PEER GROUP'!$A:$A,0))</f>
        <v>0</v>
      </c>
      <c r="K600" s="70">
        <f>INDEX('PEER GROUP'!L:L,MATCH($A600,'PEER GROUP'!$A:$A,0))</f>
        <v>0</v>
      </c>
      <c r="L600" s="70">
        <f>INDEX('PEER GROUP'!M:M,MATCH($A600,'PEER GROUP'!$A:$A,0))</f>
        <v>0</v>
      </c>
      <c r="M600" s="86">
        <f>INDEX('PEER GROUP'!N:N,MATCH($A600,'PEER GROUP'!$A:$A,0))</f>
        <v>0</v>
      </c>
      <c r="N600" s="118"/>
      <c r="O600" s="115"/>
      <c r="P600" s="117"/>
      <c r="Q600" s="87"/>
      <c r="R600" s="87">
        <f t="shared" si="164"/>
        <v>0</v>
      </c>
      <c r="S600" s="87"/>
      <c r="T600" s="87"/>
      <c r="U600" s="87"/>
      <c r="V600" s="87">
        <f t="shared" si="165"/>
        <v>0</v>
      </c>
      <c r="W600" s="113">
        <f t="shared" si="162"/>
        <v>36.913096727263202</v>
      </c>
      <c r="X600" s="69">
        <f t="shared" si="166"/>
        <v>0</v>
      </c>
      <c r="Y600" s="70">
        <f t="shared" si="167"/>
        <v>0</v>
      </c>
      <c r="Z600" s="70">
        <f t="shared" si="168"/>
        <v>0</v>
      </c>
      <c r="AA600" s="70">
        <f t="shared" si="169"/>
        <v>0</v>
      </c>
      <c r="AB600" s="70">
        <f t="shared" si="170"/>
        <v>0</v>
      </c>
      <c r="AC600" s="70">
        <f t="shared" si="171"/>
        <v>0</v>
      </c>
      <c r="AD600" s="71">
        <f t="shared" si="172"/>
        <v>0</v>
      </c>
      <c r="AE600" s="49"/>
      <c r="AF600" s="21"/>
      <c r="AG600" s="69"/>
      <c r="AH600" s="70"/>
      <c r="AI600" s="70"/>
      <c r="AJ600" s="70"/>
      <c r="AK600" s="70"/>
      <c r="AL600" s="70"/>
      <c r="AM600" s="70"/>
      <c r="AN600" s="70" t="str">
        <f t="shared" si="173"/>
        <v>---</v>
      </c>
      <c r="AO600" s="70" t="str">
        <f t="shared" si="174"/>
        <v>---</v>
      </c>
      <c r="AP600" s="70" t="str">
        <f t="shared" si="175"/>
        <v>---</v>
      </c>
      <c r="AQ600" s="70" t="str">
        <f t="shared" si="176"/>
        <v>---</v>
      </c>
      <c r="AR600" s="70" t="str">
        <f t="shared" si="177"/>
        <v>---</v>
      </c>
      <c r="AS600" s="70" t="str">
        <f t="shared" si="178"/>
        <v>---</v>
      </c>
      <c r="AT600" s="71" t="str">
        <f t="shared" si="179"/>
        <v>---</v>
      </c>
    </row>
    <row r="601" spans="1:46" ht="30" customHeight="1" x14ac:dyDescent="0.3">
      <c r="A601" s="123">
        <f t="shared" si="163"/>
        <v>597</v>
      </c>
      <c r="B601" s="140">
        <f>INDEX('PEER GROUP'!B:B,MATCH($A601,'PEER GROUP'!$A:$A,0))</f>
        <v>0</v>
      </c>
      <c r="C601" s="83">
        <f>INDEX('PEER GROUP'!C:C,MATCH($A601,'PEER GROUP'!$A:$A,0))</f>
        <v>0</v>
      </c>
      <c r="D601" s="83">
        <f>INDEX('PEER GROUP'!D:D,MATCH($A601,'PEER GROUP'!$A:$A,0))</f>
        <v>0</v>
      </c>
      <c r="E601" s="83">
        <f>INDEX('PEER GROUP'!E:E,MATCH(A601,'PEER GROUP'!$A:$A,0))</f>
        <v>0</v>
      </c>
      <c r="F601" s="84">
        <f>INDEX('PEER GROUP'!F:F,MATCH($A601,'PEER GROUP'!$A:$A,0))</f>
        <v>0</v>
      </c>
      <c r="G601" s="84">
        <f>INDEX('PEER GROUP'!G:G,MATCH($A601,'PEER GROUP'!$A:$A,0))</f>
        <v>0</v>
      </c>
      <c r="H601" s="85"/>
      <c r="I601" s="85"/>
      <c r="J601" s="70">
        <f>INDEX('PEER GROUP'!K:K,MATCH($A601,'PEER GROUP'!$A:$A,0))</f>
        <v>0</v>
      </c>
      <c r="K601" s="70">
        <f>INDEX('PEER GROUP'!L:L,MATCH($A601,'PEER GROUP'!$A:$A,0))</f>
        <v>0</v>
      </c>
      <c r="L601" s="70">
        <f>INDEX('PEER GROUP'!M:M,MATCH($A601,'PEER GROUP'!$A:$A,0))</f>
        <v>0</v>
      </c>
      <c r="M601" s="86">
        <f>INDEX('PEER GROUP'!N:N,MATCH($A601,'PEER GROUP'!$A:$A,0))</f>
        <v>0</v>
      </c>
      <c r="N601" s="118"/>
      <c r="O601" s="115"/>
      <c r="P601" s="117"/>
      <c r="Q601" s="87"/>
      <c r="R601" s="87">
        <f t="shared" si="164"/>
        <v>0</v>
      </c>
      <c r="S601" s="87"/>
      <c r="T601" s="87"/>
      <c r="U601" s="87"/>
      <c r="V601" s="87">
        <f t="shared" si="165"/>
        <v>0</v>
      </c>
      <c r="W601" s="113">
        <f t="shared" si="162"/>
        <v>36.913096727263202</v>
      </c>
      <c r="X601" s="69">
        <f t="shared" si="166"/>
        <v>0</v>
      </c>
      <c r="Y601" s="70">
        <f t="shared" si="167"/>
        <v>0</v>
      </c>
      <c r="Z601" s="70">
        <f t="shared" si="168"/>
        <v>0</v>
      </c>
      <c r="AA601" s="70">
        <f t="shared" si="169"/>
        <v>0</v>
      </c>
      <c r="AB601" s="70">
        <f t="shared" si="170"/>
        <v>0</v>
      </c>
      <c r="AC601" s="70">
        <f t="shared" si="171"/>
        <v>0</v>
      </c>
      <c r="AD601" s="71">
        <f t="shared" si="172"/>
        <v>0</v>
      </c>
      <c r="AE601" s="49"/>
      <c r="AF601" s="21"/>
      <c r="AG601" s="69"/>
      <c r="AH601" s="70"/>
      <c r="AI601" s="70"/>
      <c r="AJ601" s="70"/>
      <c r="AK601" s="70"/>
      <c r="AL601" s="70"/>
      <c r="AM601" s="70"/>
      <c r="AN601" s="70" t="str">
        <f t="shared" si="173"/>
        <v>---</v>
      </c>
      <c r="AO601" s="70" t="str">
        <f t="shared" si="174"/>
        <v>---</v>
      </c>
      <c r="AP601" s="70" t="str">
        <f t="shared" si="175"/>
        <v>---</v>
      </c>
      <c r="AQ601" s="70" t="str">
        <f t="shared" si="176"/>
        <v>---</v>
      </c>
      <c r="AR601" s="70" t="str">
        <f t="shared" si="177"/>
        <v>---</v>
      </c>
      <c r="AS601" s="70" t="str">
        <f t="shared" si="178"/>
        <v>---</v>
      </c>
      <c r="AT601" s="71" t="str">
        <f t="shared" si="179"/>
        <v>---</v>
      </c>
    </row>
    <row r="602" spans="1:46" ht="30" customHeight="1" x14ac:dyDescent="0.3">
      <c r="A602" s="123">
        <f t="shared" si="163"/>
        <v>598</v>
      </c>
      <c r="B602" s="140">
        <f>INDEX('PEER GROUP'!B:B,MATCH($A602,'PEER GROUP'!$A:$A,0))</f>
        <v>0</v>
      </c>
      <c r="C602" s="83">
        <f>INDEX('PEER GROUP'!C:C,MATCH($A602,'PEER GROUP'!$A:$A,0))</f>
        <v>0</v>
      </c>
      <c r="D602" s="83">
        <f>INDEX('PEER GROUP'!D:D,MATCH($A602,'PEER GROUP'!$A:$A,0))</f>
        <v>0</v>
      </c>
      <c r="E602" s="83">
        <f>INDEX('PEER GROUP'!E:E,MATCH(A602,'PEER GROUP'!$A:$A,0))</f>
        <v>0</v>
      </c>
      <c r="F602" s="84">
        <f>INDEX('PEER GROUP'!F:F,MATCH($A602,'PEER GROUP'!$A:$A,0))</f>
        <v>0</v>
      </c>
      <c r="G602" s="84">
        <f>INDEX('PEER GROUP'!G:G,MATCH($A602,'PEER GROUP'!$A:$A,0))</f>
        <v>0</v>
      </c>
      <c r="H602" s="85"/>
      <c r="I602" s="85"/>
      <c r="J602" s="70">
        <f>INDEX('PEER GROUP'!K:K,MATCH($A602,'PEER GROUP'!$A:$A,0))</f>
        <v>0</v>
      </c>
      <c r="K602" s="70">
        <f>INDEX('PEER GROUP'!L:L,MATCH($A602,'PEER GROUP'!$A:$A,0))</f>
        <v>0</v>
      </c>
      <c r="L602" s="70">
        <f>INDEX('PEER GROUP'!M:M,MATCH($A602,'PEER GROUP'!$A:$A,0))</f>
        <v>0</v>
      </c>
      <c r="M602" s="86">
        <f>INDEX('PEER GROUP'!N:N,MATCH($A602,'PEER GROUP'!$A:$A,0))</f>
        <v>0</v>
      </c>
      <c r="N602" s="118"/>
      <c r="O602" s="115"/>
      <c r="P602" s="117"/>
      <c r="Q602" s="87"/>
      <c r="R602" s="87">
        <f t="shared" si="164"/>
        <v>0</v>
      </c>
      <c r="S602" s="87"/>
      <c r="T602" s="87"/>
      <c r="U602" s="87"/>
      <c r="V602" s="87">
        <f t="shared" si="165"/>
        <v>0</v>
      </c>
      <c r="W602" s="113">
        <f t="shared" si="162"/>
        <v>36.913096727263202</v>
      </c>
      <c r="X602" s="69">
        <f t="shared" si="166"/>
        <v>0</v>
      </c>
      <c r="Y602" s="70">
        <f t="shared" si="167"/>
        <v>0</v>
      </c>
      <c r="Z602" s="70">
        <f t="shared" si="168"/>
        <v>0</v>
      </c>
      <c r="AA602" s="70">
        <f t="shared" si="169"/>
        <v>0</v>
      </c>
      <c r="AB602" s="70">
        <f t="shared" si="170"/>
        <v>0</v>
      </c>
      <c r="AC602" s="70">
        <f t="shared" si="171"/>
        <v>0</v>
      </c>
      <c r="AD602" s="71">
        <f t="shared" si="172"/>
        <v>0</v>
      </c>
      <c r="AE602" s="49"/>
      <c r="AF602" s="21"/>
      <c r="AG602" s="69"/>
      <c r="AH602" s="70"/>
      <c r="AI602" s="70"/>
      <c r="AJ602" s="70"/>
      <c r="AK602" s="70"/>
      <c r="AL602" s="70"/>
      <c r="AM602" s="70"/>
      <c r="AN602" s="70" t="str">
        <f t="shared" si="173"/>
        <v>---</v>
      </c>
      <c r="AO602" s="70" t="str">
        <f t="shared" si="174"/>
        <v>---</v>
      </c>
      <c r="AP602" s="70" t="str">
        <f t="shared" si="175"/>
        <v>---</v>
      </c>
      <c r="AQ602" s="70" t="str">
        <f t="shared" si="176"/>
        <v>---</v>
      </c>
      <c r="AR602" s="70" t="str">
        <f t="shared" si="177"/>
        <v>---</v>
      </c>
      <c r="AS602" s="70" t="str">
        <f t="shared" si="178"/>
        <v>---</v>
      </c>
      <c r="AT602" s="71" t="str">
        <f t="shared" si="179"/>
        <v>---</v>
      </c>
    </row>
    <row r="603" spans="1:46" ht="30" customHeight="1" x14ac:dyDescent="0.3">
      <c r="A603" s="123">
        <f t="shared" si="163"/>
        <v>599</v>
      </c>
      <c r="B603" s="140">
        <f>INDEX('PEER GROUP'!B:B,MATCH($A603,'PEER GROUP'!$A:$A,0))</f>
        <v>0</v>
      </c>
      <c r="C603" s="83">
        <f>INDEX('PEER GROUP'!C:C,MATCH($A603,'PEER GROUP'!$A:$A,0))</f>
        <v>0</v>
      </c>
      <c r="D603" s="83">
        <f>INDEX('PEER GROUP'!D:D,MATCH($A603,'PEER GROUP'!$A:$A,0))</f>
        <v>0</v>
      </c>
      <c r="E603" s="83">
        <f>INDEX('PEER GROUP'!E:E,MATCH(A603,'PEER GROUP'!$A:$A,0))</f>
        <v>0</v>
      </c>
      <c r="F603" s="84">
        <f>INDEX('PEER GROUP'!F:F,MATCH($A603,'PEER GROUP'!$A:$A,0))</f>
        <v>0</v>
      </c>
      <c r="G603" s="84">
        <f>INDEX('PEER GROUP'!G:G,MATCH($A603,'PEER GROUP'!$A:$A,0))</f>
        <v>0</v>
      </c>
      <c r="H603" s="85"/>
      <c r="I603" s="85"/>
      <c r="J603" s="70">
        <f>INDEX('PEER GROUP'!K:K,MATCH($A603,'PEER GROUP'!$A:$A,0))</f>
        <v>0</v>
      </c>
      <c r="K603" s="70">
        <f>INDEX('PEER GROUP'!L:L,MATCH($A603,'PEER GROUP'!$A:$A,0))</f>
        <v>0</v>
      </c>
      <c r="L603" s="70">
        <f>INDEX('PEER GROUP'!M:M,MATCH($A603,'PEER GROUP'!$A:$A,0))</f>
        <v>0</v>
      </c>
      <c r="M603" s="86">
        <f>INDEX('PEER GROUP'!N:N,MATCH($A603,'PEER GROUP'!$A:$A,0))</f>
        <v>0</v>
      </c>
      <c r="N603" s="118"/>
      <c r="O603" s="115"/>
      <c r="P603" s="117"/>
      <c r="Q603" s="87"/>
      <c r="R603" s="87">
        <f t="shared" si="164"/>
        <v>0</v>
      </c>
      <c r="S603" s="87"/>
      <c r="T603" s="87"/>
      <c r="U603" s="87"/>
      <c r="V603" s="87">
        <f t="shared" si="165"/>
        <v>0</v>
      </c>
      <c r="W603" s="113">
        <f t="shared" si="162"/>
        <v>36.913096727263202</v>
      </c>
      <c r="X603" s="69">
        <f t="shared" si="166"/>
        <v>0</v>
      </c>
      <c r="Y603" s="70">
        <f t="shared" si="167"/>
        <v>0</v>
      </c>
      <c r="Z603" s="70">
        <f t="shared" si="168"/>
        <v>0</v>
      </c>
      <c r="AA603" s="70">
        <f t="shared" si="169"/>
        <v>0</v>
      </c>
      <c r="AB603" s="70">
        <f t="shared" si="170"/>
        <v>0</v>
      </c>
      <c r="AC603" s="70">
        <f t="shared" si="171"/>
        <v>0</v>
      </c>
      <c r="AD603" s="71">
        <f t="shared" si="172"/>
        <v>0</v>
      </c>
      <c r="AE603" s="49"/>
      <c r="AF603" s="21"/>
      <c r="AG603" s="69"/>
      <c r="AH603" s="70"/>
      <c r="AI603" s="70"/>
      <c r="AJ603" s="70"/>
      <c r="AK603" s="70"/>
      <c r="AL603" s="70"/>
      <c r="AM603" s="70"/>
      <c r="AN603" s="70" t="str">
        <f t="shared" si="173"/>
        <v>---</v>
      </c>
      <c r="AO603" s="70" t="str">
        <f t="shared" si="174"/>
        <v>---</v>
      </c>
      <c r="AP603" s="70" t="str">
        <f t="shared" si="175"/>
        <v>---</v>
      </c>
      <c r="AQ603" s="70" t="str">
        <f t="shared" si="176"/>
        <v>---</v>
      </c>
      <c r="AR603" s="70" t="str">
        <f t="shared" si="177"/>
        <v>---</v>
      </c>
      <c r="AS603" s="70" t="str">
        <f t="shared" si="178"/>
        <v>---</v>
      </c>
      <c r="AT603" s="71" t="str">
        <f t="shared" si="179"/>
        <v>---</v>
      </c>
    </row>
    <row r="604" spans="1:46" ht="30" customHeight="1" x14ac:dyDescent="0.3">
      <c r="A604" s="123">
        <f t="shared" si="163"/>
        <v>600</v>
      </c>
      <c r="B604" s="140">
        <f>INDEX('PEER GROUP'!B:B,MATCH($A604,'PEER GROUP'!$A:$A,0))</f>
        <v>0</v>
      </c>
      <c r="C604" s="83">
        <f>INDEX('PEER GROUP'!C:C,MATCH($A604,'PEER GROUP'!$A:$A,0))</f>
        <v>0</v>
      </c>
      <c r="D604" s="83">
        <f>INDEX('PEER GROUP'!D:D,MATCH($A604,'PEER GROUP'!$A:$A,0))</f>
        <v>0</v>
      </c>
      <c r="E604" s="83">
        <f>INDEX('PEER GROUP'!E:E,MATCH(A604,'PEER GROUP'!$A:$A,0))</f>
        <v>0</v>
      </c>
      <c r="F604" s="84">
        <f>INDEX('PEER GROUP'!F:F,MATCH($A604,'PEER GROUP'!$A:$A,0))</f>
        <v>0</v>
      </c>
      <c r="G604" s="84">
        <f>INDEX('PEER GROUP'!G:G,MATCH($A604,'PEER GROUP'!$A:$A,0))</f>
        <v>0</v>
      </c>
      <c r="H604" s="85"/>
      <c r="I604" s="85"/>
      <c r="J604" s="70">
        <f>INDEX('PEER GROUP'!K:K,MATCH($A604,'PEER GROUP'!$A:$A,0))</f>
        <v>0</v>
      </c>
      <c r="K604" s="70">
        <f>INDEX('PEER GROUP'!L:L,MATCH($A604,'PEER GROUP'!$A:$A,0))</f>
        <v>0</v>
      </c>
      <c r="L604" s="70">
        <f>INDEX('PEER GROUP'!M:M,MATCH($A604,'PEER GROUP'!$A:$A,0))</f>
        <v>0</v>
      </c>
      <c r="M604" s="86">
        <f>INDEX('PEER GROUP'!N:N,MATCH($A604,'PEER GROUP'!$A:$A,0))</f>
        <v>0</v>
      </c>
      <c r="N604" s="118"/>
      <c r="O604" s="115"/>
      <c r="P604" s="117"/>
      <c r="Q604" s="87"/>
      <c r="R604" s="87">
        <f t="shared" si="164"/>
        <v>0</v>
      </c>
      <c r="S604" s="87"/>
      <c r="T604" s="87"/>
      <c r="U604" s="87"/>
      <c r="V604" s="87">
        <f t="shared" si="165"/>
        <v>0</v>
      </c>
      <c r="W604" s="113">
        <f t="shared" si="162"/>
        <v>36.913096727263202</v>
      </c>
      <c r="X604" s="69">
        <f t="shared" si="166"/>
        <v>0</v>
      </c>
      <c r="Y604" s="70">
        <f t="shared" si="167"/>
        <v>0</v>
      </c>
      <c r="Z604" s="70">
        <f t="shared" si="168"/>
        <v>0</v>
      </c>
      <c r="AA604" s="70">
        <f t="shared" si="169"/>
        <v>0</v>
      </c>
      <c r="AB604" s="70">
        <f t="shared" si="170"/>
        <v>0</v>
      </c>
      <c r="AC604" s="70">
        <f t="shared" si="171"/>
        <v>0</v>
      </c>
      <c r="AD604" s="71">
        <f t="shared" si="172"/>
        <v>0</v>
      </c>
      <c r="AE604" s="49"/>
      <c r="AF604" s="21"/>
      <c r="AG604" s="69"/>
      <c r="AH604" s="70"/>
      <c r="AI604" s="70"/>
      <c r="AJ604" s="70"/>
      <c r="AK604" s="70"/>
      <c r="AL604" s="70"/>
      <c r="AM604" s="70"/>
      <c r="AN604" s="70" t="str">
        <f t="shared" si="173"/>
        <v>---</v>
      </c>
      <c r="AO604" s="70" t="str">
        <f t="shared" si="174"/>
        <v>---</v>
      </c>
      <c r="AP604" s="70" t="str">
        <f t="shared" si="175"/>
        <v>---</v>
      </c>
      <c r="AQ604" s="70" t="str">
        <f t="shared" si="176"/>
        <v>---</v>
      </c>
      <c r="AR604" s="70" t="str">
        <f t="shared" si="177"/>
        <v>---</v>
      </c>
      <c r="AS604" s="70" t="str">
        <f t="shared" si="178"/>
        <v>---</v>
      </c>
      <c r="AT604" s="71" t="str">
        <f t="shared" si="179"/>
        <v>---</v>
      </c>
    </row>
    <row r="605" spans="1:46" ht="30" customHeight="1" x14ac:dyDescent="0.3">
      <c r="A605" s="123">
        <f t="shared" si="163"/>
        <v>601</v>
      </c>
      <c r="B605" s="140">
        <f>INDEX('PEER GROUP'!B:B,MATCH($A605,'PEER GROUP'!$A:$A,0))</f>
        <v>0</v>
      </c>
      <c r="C605" s="83">
        <f>INDEX('PEER GROUP'!C:C,MATCH($A605,'PEER GROUP'!$A:$A,0))</f>
        <v>0</v>
      </c>
      <c r="D605" s="83">
        <f>INDEX('PEER GROUP'!D:D,MATCH($A605,'PEER GROUP'!$A:$A,0))</f>
        <v>0</v>
      </c>
      <c r="E605" s="83">
        <f>INDEX('PEER GROUP'!E:E,MATCH(A605,'PEER GROUP'!$A:$A,0))</f>
        <v>0</v>
      </c>
      <c r="F605" s="84">
        <f>INDEX('PEER GROUP'!F:F,MATCH($A605,'PEER GROUP'!$A:$A,0))</f>
        <v>0</v>
      </c>
      <c r="G605" s="84">
        <f>INDEX('PEER GROUP'!G:G,MATCH($A605,'PEER GROUP'!$A:$A,0))</f>
        <v>0</v>
      </c>
      <c r="H605" s="85"/>
      <c r="I605" s="85"/>
      <c r="J605" s="70">
        <f>INDEX('PEER GROUP'!K:K,MATCH($A605,'PEER GROUP'!$A:$A,0))</f>
        <v>0</v>
      </c>
      <c r="K605" s="70">
        <f>INDEX('PEER GROUP'!L:L,MATCH($A605,'PEER GROUP'!$A:$A,0))</f>
        <v>0</v>
      </c>
      <c r="L605" s="70">
        <f>INDEX('PEER GROUP'!M:M,MATCH($A605,'PEER GROUP'!$A:$A,0))</f>
        <v>0</v>
      </c>
      <c r="M605" s="86">
        <f>INDEX('PEER GROUP'!N:N,MATCH($A605,'PEER GROUP'!$A:$A,0))</f>
        <v>0</v>
      </c>
      <c r="N605" s="118"/>
      <c r="O605" s="115"/>
      <c r="P605" s="117"/>
      <c r="Q605" s="87"/>
      <c r="R605" s="87">
        <f t="shared" si="164"/>
        <v>0</v>
      </c>
      <c r="S605" s="87"/>
      <c r="T605" s="87"/>
      <c r="U605" s="87"/>
      <c r="V605" s="87">
        <f t="shared" si="165"/>
        <v>0</v>
      </c>
      <c r="W605" s="113">
        <f t="shared" si="162"/>
        <v>36.913096727263202</v>
      </c>
      <c r="X605" s="69">
        <f t="shared" si="166"/>
        <v>0</v>
      </c>
      <c r="Y605" s="70">
        <f t="shared" si="167"/>
        <v>0</v>
      </c>
      <c r="Z605" s="70">
        <f t="shared" si="168"/>
        <v>0</v>
      </c>
      <c r="AA605" s="70">
        <f t="shared" si="169"/>
        <v>0</v>
      </c>
      <c r="AB605" s="70">
        <f t="shared" si="170"/>
        <v>0</v>
      </c>
      <c r="AC605" s="70">
        <f t="shared" si="171"/>
        <v>0</v>
      </c>
      <c r="AD605" s="71">
        <f t="shared" si="172"/>
        <v>0</v>
      </c>
      <c r="AE605" s="49"/>
      <c r="AF605" s="21"/>
      <c r="AG605" s="69"/>
      <c r="AH605" s="70"/>
      <c r="AI605" s="70"/>
      <c r="AJ605" s="70"/>
      <c r="AK605" s="70"/>
      <c r="AL605" s="70"/>
      <c r="AM605" s="70"/>
      <c r="AN605" s="70" t="str">
        <f t="shared" si="173"/>
        <v>---</v>
      </c>
      <c r="AO605" s="70" t="str">
        <f t="shared" si="174"/>
        <v>---</v>
      </c>
      <c r="AP605" s="70" t="str">
        <f t="shared" si="175"/>
        <v>---</v>
      </c>
      <c r="AQ605" s="70" t="str">
        <f t="shared" si="176"/>
        <v>---</v>
      </c>
      <c r="AR605" s="70" t="str">
        <f t="shared" si="177"/>
        <v>---</v>
      </c>
      <c r="AS605" s="70" t="str">
        <f t="shared" si="178"/>
        <v>---</v>
      </c>
      <c r="AT605" s="71" t="str">
        <f t="shared" si="179"/>
        <v>---</v>
      </c>
    </row>
    <row r="606" spans="1:46" ht="30" customHeight="1" x14ac:dyDescent="0.3">
      <c r="A606" s="123">
        <f t="shared" si="163"/>
        <v>602</v>
      </c>
      <c r="B606" s="140">
        <f>INDEX('PEER GROUP'!B:B,MATCH($A606,'PEER GROUP'!$A:$A,0))</f>
        <v>0</v>
      </c>
      <c r="C606" s="83">
        <f>INDEX('PEER GROUP'!C:C,MATCH($A606,'PEER GROUP'!$A:$A,0))</f>
        <v>0</v>
      </c>
      <c r="D606" s="83">
        <f>INDEX('PEER GROUP'!D:D,MATCH($A606,'PEER GROUP'!$A:$A,0))</f>
        <v>0</v>
      </c>
      <c r="E606" s="83">
        <f>INDEX('PEER GROUP'!E:E,MATCH(A606,'PEER GROUP'!$A:$A,0))</f>
        <v>0</v>
      </c>
      <c r="F606" s="84">
        <f>INDEX('PEER GROUP'!F:F,MATCH($A606,'PEER GROUP'!$A:$A,0))</f>
        <v>0</v>
      </c>
      <c r="G606" s="84">
        <f>INDEX('PEER GROUP'!G:G,MATCH($A606,'PEER GROUP'!$A:$A,0))</f>
        <v>0</v>
      </c>
      <c r="H606" s="85"/>
      <c r="I606" s="85"/>
      <c r="J606" s="70">
        <f>INDEX('PEER GROUP'!K:K,MATCH($A606,'PEER GROUP'!$A:$A,0))</f>
        <v>0</v>
      </c>
      <c r="K606" s="70">
        <f>INDEX('PEER GROUP'!L:L,MATCH($A606,'PEER GROUP'!$A:$A,0))</f>
        <v>0</v>
      </c>
      <c r="L606" s="70">
        <f>INDEX('PEER GROUP'!M:M,MATCH($A606,'PEER GROUP'!$A:$A,0))</f>
        <v>0</v>
      </c>
      <c r="M606" s="86">
        <f>INDEX('PEER GROUP'!N:N,MATCH($A606,'PEER GROUP'!$A:$A,0))</f>
        <v>0</v>
      </c>
      <c r="N606" s="118"/>
      <c r="O606" s="115"/>
      <c r="P606" s="117"/>
      <c r="Q606" s="87"/>
      <c r="R606" s="87">
        <f t="shared" si="164"/>
        <v>0</v>
      </c>
      <c r="S606" s="87"/>
      <c r="T606" s="87"/>
      <c r="U606" s="87"/>
      <c r="V606" s="87">
        <f t="shared" si="165"/>
        <v>0</v>
      </c>
      <c r="W606" s="113">
        <f t="shared" si="162"/>
        <v>36.913096727263202</v>
      </c>
      <c r="X606" s="69">
        <f t="shared" si="166"/>
        <v>0</v>
      </c>
      <c r="Y606" s="70">
        <f t="shared" si="167"/>
        <v>0</v>
      </c>
      <c r="Z606" s="70">
        <f t="shared" si="168"/>
        <v>0</v>
      </c>
      <c r="AA606" s="70">
        <f t="shared" si="169"/>
        <v>0</v>
      </c>
      <c r="AB606" s="70">
        <f t="shared" si="170"/>
        <v>0</v>
      </c>
      <c r="AC606" s="70">
        <f t="shared" si="171"/>
        <v>0</v>
      </c>
      <c r="AD606" s="71">
        <f t="shared" si="172"/>
        <v>0</v>
      </c>
      <c r="AE606" s="49"/>
      <c r="AF606" s="21"/>
      <c r="AG606" s="69"/>
      <c r="AH606" s="70"/>
      <c r="AI606" s="70"/>
      <c r="AJ606" s="70"/>
      <c r="AK606" s="70"/>
      <c r="AL606" s="70"/>
      <c r="AM606" s="70"/>
      <c r="AN606" s="70" t="str">
        <f t="shared" si="173"/>
        <v>---</v>
      </c>
      <c r="AO606" s="70" t="str">
        <f t="shared" si="174"/>
        <v>---</v>
      </c>
      <c r="AP606" s="70" t="str">
        <f t="shared" si="175"/>
        <v>---</v>
      </c>
      <c r="AQ606" s="70" t="str">
        <f t="shared" si="176"/>
        <v>---</v>
      </c>
      <c r="AR606" s="70" t="str">
        <f t="shared" si="177"/>
        <v>---</v>
      </c>
      <c r="AS606" s="70" t="str">
        <f t="shared" si="178"/>
        <v>---</v>
      </c>
      <c r="AT606" s="71" t="str">
        <f t="shared" si="179"/>
        <v>---</v>
      </c>
    </row>
    <row r="607" spans="1:46" ht="30" customHeight="1" x14ac:dyDescent="0.3">
      <c r="A607" s="123">
        <f t="shared" si="163"/>
        <v>603</v>
      </c>
      <c r="B607" s="140">
        <f>INDEX('PEER GROUP'!B:B,MATCH($A607,'PEER GROUP'!$A:$A,0))</f>
        <v>0</v>
      </c>
      <c r="C607" s="83">
        <f>INDEX('PEER GROUP'!C:C,MATCH($A607,'PEER GROUP'!$A:$A,0))</f>
        <v>0</v>
      </c>
      <c r="D607" s="83">
        <f>INDEX('PEER GROUP'!D:D,MATCH($A607,'PEER GROUP'!$A:$A,0))</f>
        <v>0</v>
      </c>
      <c r="E607" s="83">
        <f>INDEX('PEER GROUP'!E:E,MATCH(A607,'PEER GROUP'!$A:$A,0))</f>
        <v>0</v>
      </c>
      <c r="F607" s="84">
        <f>INDEX('PEER GROUP'!F:F,MATCH($A607,'PEER GROUP'!$A:$A,0))</f>
        <v>0</v>
      </c>
      <c r="G607" s="84">
        <f>INDEX('PEER GROUP'!G:G,MATCH($A607,'PEER GROUP'!$A:$A,0))</f>
        <v>0</v>
      </c>
      <c r="H607" s="85"/>
      <c r="I607" s="85"/>
      <c r="J607" s="70">
        <f>INDEX('PEER GROUP'!K:K,MATCH($A607,'PEER GROUP'!$A:$A,0))</f>
        <v>0</v>
      </c>
      <c r="K607" s="70">
        <f>INDEX('PEER GROUP'!L:L,MATCH($A607,'PEER GROUP'!$A:$A,0))</f>
        <v>0</v>
      </c>
      <c r="L607" s="70">
        <f>INDEX('PEER GROUP'!M:M,MATCH($A607,'PEER GROUP'!$A:$A,0))</f>
        <v>0</v>
      </c>
      <c r="M607" s="86">
        <f>INDEX('PEER GROUP'!N:N,MATCH($A607,'PEER GROUP'!$A:$A,0))</f>
        <v>0</v>
      </c>
      <c r="N607" s="118"/>
      <c r="O607" s="115"/>
      <c r="P607" s="117"/>
      <c r="Q607" s="87"/>
      <c r="R607" s="87">
        <f t="shared" si="164"/>
        <v>0</v>
      </c>
      <c r="S607" s="87"/>
      <c r="T607" s="87"/>
      <c r="U607" s="87"/>
      <c r="V607" s="87">
        <f t="shared" si="165"/>
        <v>0</v>
      </c>
      <c r="W607" s="113">
        <f t="shared" si="162"/>
        <v>36.913096727263202</v>
      </c>
      <c r="X607" s="69">
        <f t="shared" si="166"/>
        <v>0</v>
      </c>
      <c r="Y607" s="70">
        <f t="shared" si="167"/>
        <v>0</v>
      </c>
      <c r="Z607" s="70">
        <f t="shared" si="168"/>
        <v>0</v>
      </c>
      <c r="AA607" s="70">
        <f t="shared" si="169"/>
        <v>0</v>
      </c>
      <c r="AB607" s="70">
        <f t="shared" si="170"/>
        <v>0</v>
      </c>
      <c r="AC607" s="70">
        <f t="shared" si="171"/>
        <v>0</v>
      </c>
      <c r="AD607" s="71">
        <f t="shared" si="172"/>
        <v>0</v>
      </c>
      <c r="AE607" s="49"/>
      <c r="AF607" s="21"/>
      <c r="AG607" s="69"/>
      <c r="AH607" s="70"/>
      <c r="AI607" s="70"/>
      <c r="AJ607" s="70"/>
      <c r="AK607" s="70"/>
      <c r="AL607" s="70"/>
      <c r="AM607" s="70"/>
      <c r="AN607" s="70" t="str">
        <f t="shared" si="173"/>
        <v>---</v>
      </c>
      <c r="AO607" s="70" t="str">
        <f t="shared" si="174"/>
        <v>---</v>
      </c>
      <c r="AP607" s="70" t="str">
        <f t="shared" si="175"/>
        <v>---</v>
      </c>
      <c r="AQ607" s="70" t="str">
        <f t="shared" si="176"/>
        <v>---</v>
      </c>
      <c r="AR607" s="70" t="str">
        <f t="shared" si="177"/>
        <v>---</v>
      </c>
      <c r="AS607" s="70" t="str">
        <f t="shared" si="178"/>
        <v>---</v>
      </c>
      <c r="AT607" s="71" t="str">
        <f t="shared" si="179"/>
        <v>---</v>
      </c>
    </row>
    <row r="608" spans="1:46" ht="30" customHeight="1" x14ac:dyDescent="0.3">
      <c r="A608" s="123">
        <f t="shared" si="163"/>
        <v>604</v>
      </c>
      <c r="B608" s="140">
        <f>INDEX('PEER GROUP'!B:B,MATCH($A608,'PEER GROUP'!$A:$A,0))</f>
        <v>0</v>
      </c>
      <c r="C608" s="83">
        <f>INDEX('PEER GROUP'!C:C,MATCH($A608,'PEER GROUP'!$A:$A,0))</f>
        <v>0</v>
      </c>
      <c r="D608" s="83">
        <f>INDEX('PEER GROUP'!D:D,MATCH($A608,'PEER GROUP'!$A:$A,0))</f>
        <v>0</v>
      </c>
      <c r="E608" s="83">
        <f>INDEX('PEER GROUP'!E:E,MATCH(A608,'PEER GROUP'!$A:$A,0))</f>
        <v>0</v>
      </c>
      <c r="F608" s="84">
        <f>INDEX('PEER GROUP'!F:F,MATCH($A608,'PEER GROUP'!$A:$A,0))</f>
        <v>0</v>
      </c>
      <c r="G608" s="84">
        <f>INDEX('PEER GROUP'!G:G,MATCH($A608,'PEER GROUP'!$A:$A,0))</f>
        <v>0</v>
      </c>
      <c r="H608" s="85"/>
      <c r="I608" s="85"/>
      <c r="J608" s="70">
        <f>INDEX('PEER GROUP'!K:K,MATCH($A608,'PEER GROUP'!$A:$A,0))</f>
        <v>0</v>
      </c>
      <c r="K608" s="70">
        <f>INDEX('PEER GROUP'!L:L,MATCH($A608,'PEER GROUP'!$A:$A,0))</f>
        <v>0</v>
      </c>
      <c r="L608" s="70">
        <f>INDEX('PEER GROUP'!M:M,MATCH($A608,'PEER GROUP'!$A:$A,0))</f>
        <v>0</v>
      </c>
      <c r="M608" s="86">
        <f>INDEX('PEER GROUP'!N:N,MATCH($A608,'PEER GROUP'!$A:$A,0))</f>
        <v>0</v>
      </c>
      <c r="N608" s="118"/>
      <c r="O608" s="115"/>
      <c r="P608" s="117"/>
      <c r="Q608" s="87"/>
      <c r="R608" s="87">
        <f t="shared" si="164"/>
        <v>0</v>
      </c>
      <c r="S608" s="87"/>
      <c r="T608" s="87"/>
      <c r="U608" s="87"/>
      <c r="V608" s="87">
        <f t="shared" si="165"/>
        <v>0</v>
      </c>
      <c r="W608" s="113">
        <f t="shared" si="162"/>
        <v>36.913096727263202</v>
      </c>
      <c r="X608" s="69">
        <f t="shared" si="166"/>
        <v>0</v>
      </c>
      <c r="Y608" s="70">
        <f t="shared" si="167"/>
        <v>0</v>
      </c>
      <c r="Z608" s="70">
        <f t="shared" si="168"/>
        <v>0</v>
      </c>
      <c r="AA608" s="70">
        <f t="shared" si="169"/>
        <v>0</v>
      </c>
      <c r="AB608" s="70">
        <f t="shared" si="170"/>
        <v>0</v>
      </c>
      <c r="AC608" s="70">
        <f t="shared" si="171"/>
        <v>0</v>
      </c>
      <c r="AD608" s="71">
        <f t="shared" si="172"/>
        <v>0</v>
      </c>
      <c r="AE608" s="49"/>
      <c r="AF608" s="21"/>
      <c r="AG608" s="69"/>
      <c r="AH608" s="70"/>
      <c r="AI608" s="70"/>
      <c r="AJ608" s="70"/>
      <c r="AK608" s="70"/>
      <c r="AL608" s="70"/>
      <c r="AM608" s="70"/>
      <c r="AN608" s="70" t="str">
        <f t="shared" si="173"/>
        <v>---</v>
      </c>
      <c r="AO608" s="70" t="str">
        <f t="shared" si="174"/>
        <v>---</v>
      </c>
      <c r="AP608" s="70" t="str">
        <f t="shared" si="175"/>
        <v>---</v>
      </c>
      <c r="AQ608" s="70" t="str">
        <f t="shared" si="176"/>
        <v>---</v>
      </c>
      <c r="AR608" s="70" t="str">
        <f t="shared" si="177"/>
        <v>---</v>
      </c>
      <c r="AS608" s="70" t="str">
        <f t="shared" si="178"/>
        <v>---</v>
      </c>
      <c r="AT608" s="71" t="str">
        <f t="shared" si="179"/>
        <v>---</v>
      </c>
    </row>
    <row r="609" spans="1:46" ht="30" customHeight="1" x14ac:dyDescent="0.3">
      <c r="A609" s="123">
        <f t="shared" si="163"/>
        <v>605</v>
      </c>
      <c r="B609" s="140">
        <f>INDEX('PEER GROUP'!B:B,MATCH($A609,'PEER GROUP'!$A:$A,0))</f>
        <v>0</v>
      </c>
      <c r="C609" s="83">
        <f>INDEX('PEER GROUP'!C:C,MATCH($A609,'PEER GROUP'!$A:$A,0))</f>
        <v>0</v>
      </c>
      <c r="D609" s="83">
        <f>INDEX('PEER GROUP'!D:D,MATCH($A609,'PEER GROUP'!$A:$A,0))</f>
        <v>0</v>
      </c>
      <c r="E609" s="83">
        <f>INDEX('PEER GROUP'!E:E,MATCH(A609,'PEER GROUP'!$A:$A,0))</f>
        <v>0</v>
      </c>
      <c r="F609" s="84">
        <f>INDEX('PEER GROUP'!F:F,MATCH($A609,'PEER GROUP'!$A:$A,0))</f>
        <v>0</v>
      </c>
      <c r="G609" s="84">
        <f>INDEX('PEER GROUP'!G:G,MATCH($A609,'PEER GROUP'!$A:$A,0))</f>
        <v>0</v>
      </c>
      <c r="H609" s="85"/>
      <c r="I609" s="85"/>
      <c r="J609" s="70">
        <f>INDEX('PEER GROUP'!K:K,MATCH($A609,'PEER GROUP'!$A:$A,0))</f>
        <v>0</v>
      </c>
      <c r="K609" s="70">
        <f>INDEX('PEER GROUP'!L:L,MATCH($A609,'PEER GROUP'!$A:$A,0))</f>
        <v>0</v>
      </c>
      <c r="L609" s="70">
        <f>INDEX('PEER GROUP'!M:M,MATCH($A609,'PEER GROUP'!$A:$A,0))</f>
        <v>0</v>
      </c>
      <c r="M609" s="86">
        <f>INDEX('PEER GROUP'!N:N,MATCH($A609,'PEER GROUP'!$A:$A,0))</f>
        <v>0</v>
      </c>
      <c r="N609" s="118"/>
      <c r="O609" s="115"/>
      <c r="P609" s="117"/>
      <c r="Q609" s="87"/>
      <c r="R609" s="87">
        <f t="shared" si="164"/>
        <v>0</v>
      </c>
      <c r="S609" s="87"/>
      <c r="T609" s="87"/>
      <c r="U609" s="87"/>
      <c r="V609" s="87">
        <f t="shared" si="165"/>
        <v>0</v>
      </c>
      <c r="W609" s="113">
        <f t="shared" si="162"/>
        <v>36.913096727263202</v>
      </c>
      <c r="X609" s="69">
        <f t="shared" si="166"/>
        <v>0</v>
      </c>
      <c r="Y609" s="70">
        <f t="shared" si="167"/>
        <v>0</v>
      </c>
      <c r="Z609" s="70">
        <f t="shared" si="168"/>
        <v>0</v>
      </c>
      <c r="AA609" s="70">
        <f t="shared" si="169"/>
        <v>0</v>
      </c>
      <c r="AB609" s="70">
        <f t="shared" si="170"/>
        <v>0</v>
      </c>
      <c r="AC609" s="70">
        <f t="shared" si="171"/>
        <v>0</v>
      </c>
      <c r="AD609" s="71">
        <f t="shared" si="172"/>
        <v>0</v>
      </c>
      <c r="AE609" s="49"/>
      <c r="AF609" s="21"/>
      <c r="AG609" s="69"/>
      <c r="AH609" s="70"/>
      <c r="AI609" s="70"/>
      <c r="AJ609" s="70"/>
      <c r="AK609" s="70"/>
      <c r="AL609" s="70"/>
      <c r="AM609" s="70"/>
      <c r="AN609" s="70" t="str">
        <f t="shared" si="173"/>
        <v>---</v>
      </c>
      <c r="AO609" s="70" t="str">
        <f t="shared" si="174"/>
        <v>---</v>
      </c>
      <c r="AP609" s="70" t="str">
        <f t="shared" si="175"/>
        <v>---</v>
      </c>
      <c r="AQ609" s="70" t="str">
        <f t="shared" si="176"/>
        <v>---</v>
      </c>
      <c r="AR609" s="70" t="str">
        <f t="shared" si="177"/>
        <v>---</v>
      </c>
      <c r="AS609" s="70" t="str">
        <f t="shared" si="178"/>
        <v>---</v>
      </c>
      <c r="AT609" s="71" t="str">
        <f t="shared" si="179"/>
        <v>---</v>
      </c>
    </row>
    <row r="610" spans="1:46" ht="30" customHeight="1" x14ac:dyDescent="0.3">
      <c r="A610" s="123">
        <f t="shared" si="163"/>
        <v>606</v>
      </c>
      <c r="B610" s="140">
        <f>INDEX('PEER GROUP'!B:B,MATCH($A610,'PEER GROUP'!$A:$A,0))</f>
        <v>0</v>
      </c>
      <c r="C610" s="83">
        <f>INDEX('PEER GROUP'!C:C,MATCH($A610,'PEER GROUP'!$A:$A,0))</f>
        <v>0</v>
      </c>
      <c r="D610" s="83">
        <f>INDEX('PEER GROUP'!D:D,MATCH($A610,'PEER GROUP'!$A:$A,0))</f>
        <v>0</v>
      </c>
      <c r="E610" s="83">
        <f>INDEX('PEER GROUP'!E:E,MATCH(A610,'PEER GROUP'!$A:$A,0))</f>
        <v>0</v>
      </c>
      <c r="F610" s="84">
        <f>INDEX('PEER GROUP'!F:F,MATCH($A610,'PEER GROUP'!$A:$A,0))</f>
        <v>0</v>
      </c>
      <c r="G610" s="84">
        <f>INDEX('PEER GROUP'!G:G,MATCH($A610,'PEER GROUP'!$A:$A,0))</f>
        <v>0</v>
      </c>
      <c r="H610" s="85"/>
      <c r="I610" s="85"/>
      <c r="J610" s="70">
        <f>INDEX('PEER GROUP'!K:K,MATCH($A610,'PEER GROUP'!$A:$A,0))</f>
        <v>0</v>
      </c>
      <c r="K610" s="70">
        <f>INDEX('PEER GROUP'!L:L,MATCH($A610,'PEER GROUP'!$A:$A,0))</f>
        <v>0</v>
      </c>
      <c r="L610" s="70">
        <f>INDEX('PEER GROUP'!M:M,MATCH($A610,'PEER GROUP'!$A:$A,0))</f>
        <v>0</v>
      </c>
      <c r="M610" s="86">
        <f>INDEX('PEER GROUP'!N:N,MATCH($A610,'PEER GROUP'!$A:$A,0))</f>
        <v>0</v>
      </c>
      <c r="N610" s="118"/>
      <c r="O610" s="115"/>
      <c r="P610" s="117"/>
      <c r="Q610" s="87"/>
      <c r="R610" s="87">
        <f t="shared" si="164"/>
        <v>0</v>
      </c>
      <c r="S610" s="87"/>
      <c r="T610" s="87"/>
      <c r="U610" s="87"/>
      <c r="V610" s="87">
        <f t="shared" si="165"/>
        <v>0</v>
      </c>
      <c r="W610" s="113">
        <f t="shared" si="162"/>
        <v>36.913096727263202</v>
      </c>
      <c r="X610" s="69">
        <f t="shared" si="166"/>
        <v>0</v>
      </c>
      <c r="Y610" s="70">
        <f t="shared" si="167"/>
        <v>0</v>
      </c>
      <c r="Z610" s="70">
        <f t="shared" si="168"/>
        <v>0</v>
      </c>
      <c r="AA610" s="70">
        <f t="shared" si="169"/>
        <v>0</v>
      </c>
      <c r="AB610" s="70">
        <f t="shared" si="170"/>
        <v>0</v>
      </c>
      <c r="AC610" s="70">
        <f t="shared" si="171"/>
        <v>0</v>
      </c>
      <c r="AD610" s="71">
        <f t="shared" si="172"/>
        <v>0</v>
      </c>
      <c r="AE610" s="49"/>
      <c r="AF610" s="21"/>
      <c r="AG610" s="69"/>
      <c r="AH610" s="70"/>
      <c r="AI610" s="70"/>
      <c r="AJ610" s="70"/>
      <c r="AK610" s="70"/>
      <c r="AL610" s="70"/>
      <c r="AM610" s="70"/>
      <c r="AN610" s="70" t="str">
        <f t="shared" si="173"/>
        <v>---</v>
      </c>
      <c r="AO610" s="70" t="str">
        <f t="shared" si="174"/>
        <v>---</v>
      </c>
      <c r="AP610" s="70" t="str">
        <f t="shared" si="175"/>
        <v>---</v>
      </c>
      <c r="AQ610" s="70" t="str">
        <f t="shared" si="176"/>
        <v>---</v>
      </c>
      <c r="AR610" s="70" t="str">
        <f t="shared" si="177"/>
        <v>---</v>
      </c>
      <c r="AS610" s="70" t="str">
        <f t="shared" si="178"/>
        <v>---</v>
      </c>
      <c r="AT610" s="71" t="str">
        <f t="shared" si="179"/>
        <v>---</v>
      </c>
    </row>
    <row r="611" spans="1:46" ht="30" customHeight="1" x14ac:dyDescent="0.3">
      <c r="A611" s="123">
        <f t="shared" si="163"/>
        <v>607</v>
      </c>
      <c r="B611" s="140">
        <f>INDEX('PEER GROUP'!B:B,MATCH($A611,'PEER GROUP'!$A:$A,0))</f>
        <v>0</v>
      </c>
      <c r="C611" s="83">
        <f>INDEX('PEER GROUP'!C:C,MATCH($A611,'PEER GROUP'!$A:$A,0))</f>
        <v>0</v>
      </c>
      <c r="D611" s="83">
        <f>INDEX('PEER GROUP'!D:D,MATCH($A611,'PEER GROUP'!$A:$A,0))</f>
        <v>0</v>
      </c>
      <c r="E611" s="83">
        <f>INDEX('PEER GROUP'!E:E,MATCH(A611,'PEER GROUP'!$A:$A,0))</f>
        <v>0</v>
      </c>
      <c r="F611" s="84">
        <f>INDEX('PEER GROUP'!F:F,MATCH($A611,'PEER GROUP'!$A:$A,0))</f>
        <v>0</v>
      </c>
      <c r="G611" s="84">
        <f>INDEX('PEER GROUP'!G:G,MATCH($A611,'PEER GROUP'!$A:$A,0))</f>
        <v>0</v>
      </c>
      <c r="H611" s="85"/>
      <c r="I611" s="85"/>
      <c r="J611" s="70">
        <f>INDEX('PEER GROUP'!K:K,MATCH($A611,'PEER GROUP'!$A:$A,0))</f>
        <v>0</v>
      </c>
      <c r="K611" s="70">
        <f>INDEX('PEER GROUP'!L:L,MATCH($A611,'PEER GROUP'!$A:$A,0))</f>
        <v>0</v>
      </c>
      <c r="L611" s="70">
        <f>INDEX('PEER GROUP'!M:M,MATCH($A611,'PEER GROUP'!$A:$A,0))</f>
        <v>0</v>
      </c>
      <c r="M611" s="86">
        <f>INDEX('PEER GROUP'!N:N,MATCH($A611,'PEER GROUP'!$A:$A,0))</f>
        <v>0</v>
      </c>
      <c r="N611" s="118"/>
      <c r="O611" s="115"/>
      <c r="P611" s="117"/>
      <c r="Q611" s="87"/>
      <c r="R611" s="87">
        <f t="shared" si="164"/>
        <v>0</v>
      </c>
      <c r="S611" s="87"/>
      <c r="T611" s="87"/>
      <c r="U611" s="87"/>
      <c r="V611" s="87">
        <f t="shared" si="165"/>
        <v>0</v>
      </c>
      <c r="W611" s="113">
        <f t="shared" ref="W611:W653" si="180">IF(DataEffDate&gt;DATE(2022,1,1),
IF(E611&lt;DATE(2022,1,1),
(1+UpdateFactor)^(IF(E611&lt;DataEffDate,1,-1)*YEARFRAC(E611,DATE(2022,1,1),1))+(1+UpdateFactor_TEMP)^(IF(DATE(2022,1,1)&lt;DataEffDate,1,-1)*YEARFRAC(DATE(2022,1,1),DataEffDate,1))-1,
(1+UpdateFactor_TEMP)^(IF(E611&lt;DataEffDate,1,-1)*YEARFRAC(E611,DataEffDate,1))),
(1+UpdateFactor)^(IF(E611&lt;DataEffDate,1,-1)*YEARFRAC(E611,DataEffDate,1)))</f>
        <v>36.913096727263202</v>
      </c>
      <c r="X611" s="69">
        <f t="shared" si="166"/>
        <v>0</v>
      </c>
      <c r="Y611" s="70">
        <f t="shared" si="167"/>
        <v>0</v>
      </c>
      <c r="Z611" s="70">
        <f t="shared" si="168"/>
        <v>0</v>
      </c>
      <c r="AA611" s="70">
        <f t="shared" si="169"/>
        <v>0</v>
      </c>
      <c r="AB611" s="70">
        <f t="shared" si="170"/>
        <v>0</v>
      </c>
      <c r="AC611" s="70">
        <f t="shared" si="171"/>
        <v>0</v>
      </c>
      <c r="AD611" s="71">
        <f t="shared" si="172"/>
        <v>0</v>
      </c>
      <c r="AE611" s="49"/>
      <c r="AF611" s="21"/>
      <c r="AG611" s="69"/>
      <c r="AH611" s="70"/>
      <c r="AI611" s="70"/>
      <c r="AJ611" s="70"/>
      <c r="AK611" s="70"/>
      <c r="AL611" s="70"/>
      <c r="AM611" s="70"/>
      <c r="AN611" s="70" t="str">
        <f t="shared" si="173"/>
        <v>---</v>
      </c>
      <c r="AO611" s="70" t="str">
        <f t="shared" si="174"/>
        <v>---</v>
      </c>
      <c r="AP611" s="70" t="str">
        <f t="shared" si="175"/>
        <v>---</v>
      </c>
      <c r="AQ611" s="70" t="str">
        <f t="shared" si="176"/>
        <v>---</v>
      </c>
      <c r="AR611" s="70" t="str">
        <f t="shared" si="177"/>
        <v>---</v>
      </c>
      <c r="AS611" s="70" t="str">
        <f t="shared" si="178"/>
        <v>---</v>
      </c>
      <c r="AT611" s="71" t="str">
        <f t="shared" si="179"/>
        <v>---</v>
      </c>
    </row>
    <row r="612" spans="1:46" ht="30" customHeight="1" x14ac:dyDescent="0.3">
      <c r="A612" s="123">
        <f t="shared" ref="A612:A653" si="181">A611+1</f>
        <v>608</v>
      </c>
      <c r="B612" s="140">
        <f>INDEX('PEER GROUP'!B:B,MATCH($A612,'PEER GROUP'!$A:$A,0))</f>
        <v>0</v>
      </c>
      <c r="C612" s="83">
        <f>INDEX('PEER GROUP'!C:C,MATCH($A612,'PEER GROUP'!$A:$A,0))</f>
        <v>0</v>
      </c>
      <c r="D612" s="83">
        <f>INDEX('PEER GROUP'!D:D,MATCH($A612,'PEER GROUP'!$A:$A,0))</f>
        <v>0</v>
      </c>
      <c r="E612" s="83">
        <f>INDEX('PEER GROUP'!E:E,MATCH(A612,'PEER GROUP'!$A:$A,0))</f>
        <v>0</v>
      </c>
      <c r="F612" s="84">
        <f>INDEX('PEER GROUP'!F:F,MATCH($A612,'PEER GROUP'!$A:$A,0))</f>
        <v>0</v>
      </c>
      <c r="G612" s="84">
        <f>INDEX('PEER GROUP'!G:G,MATCH($A612,'PEER GROUP'!$A:$A,0))</f>
        <v>0</v>
      </c>
      <c r="H612" s="85"/>
      <c r="I612" s="85"/>
      <c r="J612" s="70">
        <f>INDEX('PEER GROUP'!K:K,MATCH($A612,'PEER GROUP'!$A:$A,0))</f>
        <v>0</v>
      </c>
      <c r="K612" s="70">
        <f>INDEX('PEER GROUP'!L:L,MATCH($A612,'PEER GROUP'!$A:$A,0))</f>
        <v>0</v>
      </c>
      <c r="L612" s="70">
        <f>INDEX('PEER GROUP'!M:M,MATCH($A612,'PEER GROUP'!$A:$A,0))</f>
        <v>0</v>
      </c>
      <c r="M612" s="86">
        <f>INDEX('PEER GROUP'!N:N,MATCH($A612,'PEER GROUP'!$A:$A,0))</f>
        <v>0</v>
      </c>
      <c r="N612" s="118"/>
      <c r="O612" s="115"/>
      <c r="P612" s="117"/>
      <c r="Q612" s="87"/>
      <c r="R612" s="87">
        <f t="shared" ref="R612:R653" si="182">SUM(P612:Q612)</f>
        <v>0</v>
      </c>
      <c r="S612" s="87"/>
      <c r="T612" s="87"/>
      <c r="U612" s="87"/>
      <c r="V612" s="87">
        <f t="shared" ref="V612:V653" si="183">SUM(R612:U612)</f>
        <v>0</v>
      </c>
      <c r="W612" s="113">
        <f t="shared" si="180"/>
        <v>36.913096727263202</v>
      </c>
      <c r="X612" s="69">
        <f t="shared" ref="X612:X653" si="184">P612*$W612</f>
        <v>0</v>
      </c>
      <c r="Y612" s="70">
        <f t="shared" ref="Y612:Y653" si="185">Q612*$W612</f>
        <v>0</v>
      </c>
      <c r="Z612" s="70">
        <f t="shared" ref="Z612:Z653" si="186">SUM(X612:Y612)</f>
        <v>0</v>
      </c>
      <c r="AA612" s="70">
        <f t="shared" ref="AA612:AA653" si="187">S612*$W612</f>
        <v>0</v>
      </c>
      <c r="AB612" s="70">
        <f t="shared" ref="AB612:AB653" si="188">T612*$W612</f>
        <v>0</v>
      </c>
      <c r="AC612" s="70">
        <f t="shared" ref="AC612:AC653" si="189">U612*$W612</f>
        <v>0</v>
      </c>
      <c r="AD612" s="71">
        <f t="shared" ref="AD612:AD653" si="190">SUM(Z612:AC612)</f>
        <v>0</v>
      </c>
      <c r="AE612" s="49"/>
      <c r="AF612" s="21"/>
      <c r="AG612" s="69"/>
      <c r="AH612" s="70"/>
      <c r="AI612" s="70"/>
      <c r="AJ612" s="70"/>
      <c r="AK612" s="70"/>
      <c r="AL612" s="70"/>
      <c r="AM612" s="70"/>
      <c r="AN612" s="70" t="str">
        <f t="shared" ref="AN612:AN653" si="191">IFERROR(P612/AG612-1,"---")</f>
        <v>---</v>
      </c>
      <c r="AO612" s="70" t="str">
        <f t="shared" ref="AO612:AO653" si="192">IFERROR(Q612/AH612-1,"---")</f>
        <v>---</v>
      </c>
      <c r="AP612" s="70" t="str">
        <f t="shared" ref="AP612:AP653" si="193">IFERROR(R612/AI612-1,"---")</f>
        <v>---</v>
      </c>
      <c r="AQ612" s="70" t="str">
        <f t="shared" ref="AQ612:AQ653" si="194">IFERROR(S612/AJ612-1,"---")</f>
        <v>---</v>
      </c>
      <c r="AR612" s="70" t="str">
        <f t="shared" ref="AR612:AR653" si="195">IFERROR(T612/AK612-1,"---")</f>
        <v>---</v>
      </c>
      <c r="AS612" s="70" t="str">
        <f t="shared" ref="AS612:AS653" si="196">IFERROR(U612/AL612-1,"---")</f>
        <v>---</v>
      </c>
      <c r="AT612" s="71" t="str">
        <f t="shared" ref="AT612:AT653" si="197">IFERROR(V612/AM612-1,"---")</f>
        <v>---</v>
      </c>
    </row>
    <row r="613" spans="1:46" ht="30" customHeight="1" x14ac:dyDescent="0.3">
      <c r="A613" s="123">
        <f t="shared" si="181"/>
        <v>609</v>
      </c>
      <c r="B613" s="140">
        <f>INDEX('PEER GROUP'!B:B,MATCH($A613,'PEER GROUP'!$A:$A,0))</f>
        <v>0</v>
      </c>
      <c r="C613" s="83">
        <f>INDEX('PEER GROUP'!C:C,MATCH($A613,'PEER GROUP'!$A:$A,0))</f>
        <v>0</v>
      </c>
      <c r="D613" s="83">
        <f>INDEX('PEER GROUP'!D:D,MATCH($A613,'PEER GROUP'!$A:$A,0))</f>
        <v>0</v>
      </c>
      <c r="E613" s="83">
        <f>INDEX('PEER GROUP'!E:E,MATCH(A613,'PEER GROUP'!$A:$A,0))</f>
        <v>0</v>
      </c>
      <c r="F613" s="84">
        <f>INDEX('PEER GROUP'!F:F,MATCH($A613,'PEER GROUP'!$A:$A,0))</f>
        <v>0</v>
      </c>
      <c r="G613" s="84">
        <f>INDEX('PEER GROUP'!G:G,MATCH($A613,'PEER GROUP'!$A:$A,0))</f>
        <v>0</v>
      </c>
      <c r="H613" s="85"/>
      <c r="I613" s="85"/>
      <c r="J613" s="70">
        <f>INDEX('PEER GROUP'!K:K,MATCH($A613,'PEER GROUP'!$A:$A,0))</f>
        <v>0</v>
      </c>
      <c r="K613" s="70">
        <f>INDEX('PEER GROUP'!L:L,MATCH($A613,'PEER GROUP'!$A:$A,0))</f>
        <v>0</v>
      </c>
      <c r="L613" s="70">
        <f>INDEX('PEER GROUP'!M:M,MATCH($A613,'PEER GROUP'!$A:$A,0))</f>
        <v>0</v>
      </c>
      <c r="M613" s="86">
        <f>INDEX('PEER GROUP'!N:N,MATCH($A613,'PEER GROUP'!$A:$A,0))</f>
        <v>0</v>
      </c>
      <c r="N613" s="118"/>
      <c r="O613" s="115"/>
      <c r="P613" s="117"/>
      <c r="Q613" s="87"/>
      <c r="R613" s="87">
        <f t="shared" si="182"/>
        <v>0</v>
      </c>
      <c r="S613" s="87"/>
      <c r="T613" s="87"/>
      <c r="U613" s="87"/>
      <c r="V613" s="87">
        <f t="shared" si="183"/>
        <v>0</v>
      </c>
      <c r="W613" s="113">
        <f t="shared" si="180"/>
        <v>36.913096727263202</v>
      </c>
      <c r="X613" s="69">
        <f t="shared" si="184"/>
        <v>0</v>
      </c>
      <c r="Y613" s="70">
        <f t="shared" si="185"/>
        <v>0</v>
      </c>
      <c r="Z613" s="70">
        <f t="shared" si="186"/>
        <v>0</v>
      </c>
      <c r="AA613" s="70">
        <f t="shared" si="187"/>
        <v>0</v>
      </c>
      <c r="AB613" s="70">
        <f t="shared" si="188"/>
        <v>0</v>
      </c>
      <c r="AC613" s="70">
        <f t="shared" si="189"/>
        <v>0</v>
      </c>
      <c r="AD613" s="71">
        <f t="shared" si="190"/>
        <v>0</v>
      </c>
      <c r="AE613" s="49"/>
      <c r="AF613" s="21"/>
      <c r="AG613" s="69"/>
      <c r="AH613" s="70"/>
      <c r="AI613" s="70"/>
      <c r="AJ613" s="70"/>
      <c r="AK613" s="70"/>
      <c r="AL613" s="70"/>
      <c r="AM613" s="70"/>
      <c r="AN613" s="70" t="str">
        <f t="shared" si="191"/>
        <v>---</v>
      </c>
      <c r="AO613" s="70" t="str">
        <f t="shared" si="192"/>
        <v>---</v>
      </c>
      <c r="AP613" s="70" t="str">
        <f t="shared" si="193"/>
        <v>---</v>
      </c>
      <c r="AQ613" s="70" t="str">
        <f t="shared" si="194"/>
        <v>---</v>
      </c>
      <c r="AR613" s="70" t="str">
        <f t="shared" si="195"/>
        <v>---</v>
      </c>
      <c r="AS613" s="70" t="str">
        <f t="shared" si="196"/>
        <v>---</v>
      </c>
      <c r="AT613" s="71" t="str">
        <f t="shared" si="197"/>
        <v>---</v>
      </c>
    </row>
    <row r="614" spans="1:46" ht="30" customHeight="1" x14ac:dyDescent="0.3">
      <c r="A614" s="123">
        <f t="shared" si="181"/>
        <v>610</v>
      </c>
      <c r="B614" s="140">
        <f>INDEX('PEER GROUP'!B:B,MATCH($A614,'PEER GROUP'!$A:$A,0))</f>
        <v>0</v>
      </c>
      <c r="C614" s="83">
        <f>INDEX('PEER GROUP'!C:C,MATCH($A614,'PEER GROUP'!$A:$A,0))</f>
        <v>0</v>
      </c>
      <c r="D614" s="83">
        <f>INDEX('PEER GROUP'!D:D,MATCH($A614,'PEER GROUP'!$A:$A,0))</f>
        <v>0</v>
      </c>
      <c r="E614" s="83">
        <f>INDEX('PEER GROUP'!E:E,MATCH(A614,'PEER GROUP'!$A:$A,0))</f>
        <v>0</v>
      </c>
      <c r="F614" s="84">
        <f>INDEX('PEER GROUP'!F:F,MATCH($A614,'PEER GROUP'!$A:$A,0))</f>
        <v>0</v>
      </c>
      <c r="G614" s="84">
        <f>INDEX('PEER GROUP'!G:G,MATCH($A614,'PEER GROUP'!$A:$A,0))</f>
        <v>0</v>
      </c>
      <c r="H614" s="85"/>
      <c r="I614" s="85"/>
      <c r="J614" s="70">
        <f>INDEX('PEER GROUP'!K:K,MATCH($A614,'PEER GROUP'!$A:$A,0))</f>
        <v>0</v>
      </c>
      <c r="K614" s="70">
        <f>INDEX('PEER GROUP'!L:L,MATCH($A614,'PEER GROUP'!$A:$A,0))</f>
        <v>0</v>
      </c>
      <c r="L614" s="70">
        <f>INDEX('PEER GROUP'!M:M,MATCH($A614,'PEER GROUP'!$A:$A,0))</f>
        <v>0</v>
      </c>
      <c r="M614" s="86">
        <f>INDEX('PEER GROUP'!N:N,MATCH($A614,'PEER GROUP'!$A:$A,0))</f>
        <v>0</v>
      </c>
      <c r="N614" s="118"/>
      <c r="O614" s="115"/>
      <c r="P614" s="117"/>
      <c r="Q614" s="87"/>
      <c r="R614" s="87">
        <f t="shared" si="182"/>
        <v>0</v>
      </c>
      <c r="S614" s="87"/>
      <c r="T614" s="87"/>
      <c r="U614" s="87"/>
      <c r="V614" s="87">
        <f t="shared" si="183"/>
        <v>0</v>
      </c>
      <c r="W614" s="113">
        <f t="shared" si="180"/>
        <v>36.913096727263202</v>
      </c>
      <c r="X614" s="69">
        <f t="shared" si="184"/>
        <v>0</v>
      </c>
      <c r="Y614" s="70">
        <f t="shared" si="185"/>
        <v>0</v>
      </c>
      <c r="Z614" s="70">
        <f t="shared" si="186"/>
        <v>0</v>
      </c>
      <c r="AA614" s="70">
        <f t="shared" si="187"/>
        <v>0</v>
      </c>
      <c r="AB614" s="70">
        <f t="shared" si="188"/>
        <v>0</v>
      </c>
      <c r="AC614" s="70">
        <f t="shared" si="189"/>
        <v>0</v>
      </c>
      <c r="AD614" s="71">
        <f t="shared" si="190"/>
        <v>0</v>
      </c>
      <c r="AE614" s="49"/>
      <c r="AF614" s="21"/>
      <c r="AG614" s="69"/>
      <c r="AH614" s="70"/>
      <c r="AI614" s="70"/>
      <c r="AJ614" s="70"/>
      <c r="AK614" s="70"/>
      <c r="AL614" s="70"/>
      <c r="AM614" s="70"/>
      <c r="AN614" s="70" t="str">
        <f t="shared" si="191"/>
        <v>---</v>
      </c>
      <c r="AO614" s="70" t="str">
        <f t="shared" si="192"/>
        <v>---</v>
      </c>
      <c r="AP614" s="70" t="str">
        <f t="shared" si="193"/>
        <v>---</v>
      </c>
      <c r="AQ614" s="70" t="str">
        <f t="shared" si="194"/>
        <v>---</v>
      </c>
      <c r="AR614" s="70" t="str">
        <f t="shared" si="195"/>
        <v>---</v>
      </c>
      <c r="AS614" s="70" t="str">
        <f t="shared" si="196"/>
        <v>---</v>
      </c>
      <c r="AT614" s="71" t="str">
        <f t="shared" si="197"/>
        <v>---</v>
      </c>
    </row>
    <row r="615" spans="1:46" ht="30" customHeight="1" x14ac:dyDescent="0.3">
      <c r="A615" s="123">
        <f t="shared" si="181"/>
        <v>611</v>
      </c>
      <c r="B615" s="140">
        <f>INDEX('PEER GROUP'!B:B,MATCH($A615,'PEER GROUP'!$A:$A,0))</f>
        <v>0</v>
      </c>
      <c r="C615" s="83">
        <f>INDEX('PEER GROUP'!C:C,MATCH($A615,'PEER GROUP'!$A:$A,0))</f>
        <v>0</v>
      </c>
      <c r="D615" s="83">
        <f>INDEX('PEER GROUP'!D:D,MATCH($A615,'PEER GROUP'!$A:$A,0))</f>
        <v>0</v>
      </c>
      <c r="E615" s="83">
        <f>INDEX('PEER GROUP'!E:E,MATCH(A615,'PEER GROUP'!$A:$A,0))</f>
        <v>0</v>
      </c>
      <c r="F615" s="84">
        <f>INDEX('PEER GROUP'!F:F,MATCH($A615,'PEER GROUP'!$A:$A,0))</f>
        <v>0</v>
      </c>
      <c r="G615" s="84">
        <f>INDEX('PEER GROUP'!G:G,MATCH($A615,'PEER GROUP'!$A:$A,0))</f>
        <v>0</v>
      </c>
      <c r="H615" s="85"/>
      <c r="I615" s="85"/>
      <c r="J615" s="70">
        <f>INDEX('PEER GROUP'!K:K,MATCH($A615,'PEER GROUP'!$A:$A,0))</f>
        <v>0</v>
      </c>
      <c r="K615" s="70">
        <f>INDEX('PEER GROUP'!L:L,MATCH($A615,'PEER GROUP'!$A:$A,0))</f>
        <v>0</v>
      </c>
      <c r="L615" s="70">
        <f>INDEX('PEER GROUP'!M:M,MATCH($A615,'PEER GROUP'!$A:$A,0))</f>
        <v>0</v>
      </c>
      <c r="M615" s="86">
        <f>INDEX('PEER GROUP'!N:N,MATCH($A615,'PEER GROUP'!$A:$A,0))</f>
        <v>0</v>
      </c>
      <c r="N615" s="118"/>
      <c r="O615" s="115"/>
      <c r="P615" s="117"/>
      <c r="Q615" s="87"/>
      <c r="R615" s="87">
        <f t="shared" si="182"/>
        <v>0</v>
      </c>
      <c r="S615" s="87"/>
      <c r="T615" s="87"/>
      <c r="U615" s="87"/>
      <c r="V615" s="87">
        <f t="shared" si="183"/>
        <v>0</v>
      </c>
      <c r="W615" s="113">
        <f t="shared" si="180"/>
        <v>36.913096727263202</v>
      </c>
      <c r="X615" s="69">
        <f t="shared" si="184"/>
        <v>0</v>
      </c>
      <c r="Y615" s="70">
        <f t="shared" si="185"/>
        <v>0</v>
      </c>
      <c r="Z615" s="70">
        <f t="shared" si="186"/>
        <v>0</v>
      </c>
      <c r="AA615" s="70">
        <f t="shared" si="187"/>
        <v>0</v>
      </c>
      <c r="AB615" s="70">
        <f t="shared" si="188"/>
        <v>0</v>
      </c>
      <c r="AC615" s="70">
        <f t="shared" si="189"/>
        <v>0</v>
      </c>
      <c r="AD615" s="71">
        <f t="shared" si="190"/>
        <v>0</v>
      </c>
      <c r="AE615" s="49"/>
      <c r="AF615" s="21"/>
      <c r="AG615" s="69"/>
      <c r="AH615" s="70"/>
      <c r="AI615" s="70"/>
      <c r="AJ615" s="70"/>
      <c r="AK615" s="70"/>
      <c r="AL615" s="70"/>
      <c r="AM615" s="70"/>
      <c r="AN615" s="70" t="str">
        <f t="shared" si="191"/>
        <v>---</v>
      </c>
      <c r="AO615" s="70" t="str">
        <f t="shared" si="192"/>
        <v>---</v>
      </c>
      <c r="AP615" s="70" t="str">
        <f t="shared" si="193"/>
        <v>---</v>
      </c>
      <c r="AQ615" s="70" t="str">
        <f t="shared" si="194"/>
        <v>---</v>
      </c>
      <c r="AR615" s="70" t="str">
        <f t="shared" si="195"/>
        <v>---</v>
      </c>
      <c r="AS615" s="70" t="str">
        <f t="shared" si="196"/>
        <v>---</v>
      </c>
      <c r="AT615" s="71" t="str">
        <f t="shared" si="197"/>
        <v>---</v>
      </c>
    </row>
    <row r="616" spans="1:46" ht="30" customHeight="1" x14ac:dyDescent="0.3">
      <c r="A616" s="123">
        <f t="shared" si="181"/>
        <v>612</v>
      </c>
      <c r="B616" s="140">
        <f>INDEX('PEER GROUP'!B:B,MATCH($A616,'PEER GROUP'!$A:$A,0))</f>
        <v>0</v>
      </c>
      <c r="C616" s="83">
        <f>INDEX('PEER GROUP'!C:C,MATCH($A616,'PEER GROUP'!$A:$A,0))</f>
        <v>0</v>
      </c>
      <c r="D616" s="83">
        <f>INDEX('PEER GROUP'!D:D,MATCH($A616,'PEER GROUP'!$A:$A,0))</f>
        <v>0</v>
      </c>
      <c r="E616" s="83">
        <f>INDEX('PEER GROUP'!E:E,MATCH(A616,'PEER GROUP'!$A:$A,0))</f>
        <v>0</v>
      </c>
      <c r="F616" s="84">
        <f>INDEX('PEER GROUP'!F:F,MATCH($A616,'PEER GROUP'!$A:$A,0))</f>
        <v>0</v>
      </c>
      <c r="G616" s="84">
        <f>INDEX('PEER GROUP'!G:G,MATCH($A616,'PEER GROUP'!$A:$A,0))</f>
        <v>0</v>
      </c>
      <c r="H616" s="85"/>
      <c r="I616" s="85"/>
      <c r="J616" s="70">
        <f>INDEX('PEER GROUP'!K:K,MATCH($A616,'PEER GROUP'!$A:$A,0))</f>
        <v>0</v>
      </c>
      <c r="K616" s="70">
        <f>INDEX('PEER GROUP'!L:L,MATCH($A616,'PEER GROUP'!$A:$A,0))</f>
        <v>0</v>
      </c>
      <c r="L616" s="70">
        <f>INDEX('PEER GROUP'!M:M,MATCH($A616,'PEER GROUP'!$A:$A,0))</f>
        <v>0</v>
      </c>
      <c r="M616" s="86">
        <f>INDEX('PEER GROUP'!N:N,MATCH($A616,'PEER GROUP'!$A:$A,0))</f>
        <v>0</v>
      </c>
      <c r="N616" s="118"/>
      <c r="O616" s="115"/>
      <c r="P616" s="117"/>
      <c r="Q616" s="87"/>
      <c r="R616" s="87">
        <f t="shared" si="182"/>
        <v>0</v>
      </c>
      <c r="S616" s="87"/>
      <c r="T616" s="87"/>
      <c r="U616" s="87"/>
      <c r="V616" s="87">
        <f t="shared" si="183"/>
        <v>0</v>
      </c>
      <c r="W616" s="113">
        <f t="shared" si="180"/>
        <v>36.913096727263202</v>
      </c>
      <c r="X616" s="69">
        <f t="shared" si="184"/>
        <v>0</v>
      </c>
      <c r="Y616" s="70">
        <f t="shared" si="185"/>
        <v>0</v>
      </c>
      <c r="Z616" s="70">
        <f t="shared" si="186"/>
        <v>0</v>
      </c>
      <c r="AA616" s="70">
        <f t="shared" si="187"/>
        <v>0</v>
      </c>
      <c r="AB616" s="70">
        <f t="shared" si="188"/>
        <v>0</v>
      </c>
      <c r="AC616" s="70">
        <f t="shared" si="189"/>
        <v>0</v>
      </c>
      <c r="AD616" s="71">
        <f t="shared" si="190"/>
        <v>0</v>
      </c>
      <c r="AE616" s="49"/>
      <c r="AF616" s="21"/>
      <c r="AG616" s="69"/>
      <c r="AH616" s="70"/>
      <c r="AI616" s="70"/>
      <c r="AJ616" s="70"/>
      <c r="AK616" s="70"/>
      <c r="AL616" s="70"/>
      <c r="AM616" s="70"/>
      <c r="AN616" s="70" t="str">
        <f t="shared" si="191"/>
        <v>---</v>
      </c>
      <c r="AO616" s="70" t="str">
        <f t="shared" si="192"/>
        <v>---</v>
      </c>
      <c r="AP616" s="70" t="str">
        <f t="shared" si="193"/>
        <v>---</v>
      </c>
      <c r="AQ616" s="70" t="str">
        <f t="shared" si="194"/>
        <v>---</v>
      </c>
      <c r="AR616" s="70" t="str">
        <f t="shared" si="195"/>
        <v>---</v>
      </c>
      <c r="AS616" s="70" t="str">
        <f t="shared" si="196"/>
        <v>---</v>
      </c>
      <c r="AT616" s="71" t="str">
        <f t="shared" si="197"/>
        <v>---</v>
      </c>
    </row>
    <row r="617" spans="1:46" ht="30" customHeight="1" x14ac:dyDescent="0.3">
      <c r="A617" s="123">
        <f t="shared" si="181"/>
        <v>613</v>
      </c>
      <c r="B617" s="140">
        <f>INDEX('PEER GROUP'!B:B,MATCH($A617,'PEER GROUP'!$A:$A,0))</f>
        <v>0</v>
      </c>
      <c r="C617" s="83">
        <f>INDEX('PEER GROUP'!C:C,MATCH($A617,'PEER GROUP'!$A:$A,0))</f>
        <v>0</v>
      </c>
      <c r="D617" s="83">
        <f>INDEX('PEER GROUP'!D:D,MATCH($A617,'PEER GROUP'!$A:$A,0))</f>
        <v>0</v>
      </c>
      <c r="E617" s="83">
        <f>INDEX('PEER GROUP'!E:E,MATCH(A617,'PEER GROUP'!$A:$A,0))</f>
        <v>0</v>
      </c>
      <c r="F617" s="84">
        <f>INDEX('PEER GROUP'!F:F,MATCH($A617,'PEER GROUP'!$A:$A,0))</f>
        <v>0</v>
      </c>
      <c r="G617" s="84">
        <f>INDEX('PEER GROUP'!G:G,MATCH($A617,'PEER GROUP'!$A:$A,0))</f>
        <v>0</v>
      </c>
      <c r="H617" s="85"/>
      <c r="I617" s="85"/>
      <c r="J617" s="70">
        <f>INDEX('PEER GROUP'!K:K,MATCH($A617,'PEER GROUP'!$A:$A,0))</f>
        <v>0</v>
      </c>
      <c r="K617" s="70">
        <f>INDEX('PEER GROUP'!L:L,MATCH($A617,'PEER GROUP'!$A:$A,0))</f>
        <v>0</v>
      </c>
      <c r="L617" s="70">
        <f>INDEX('PEER GROUP'!M:M,MATCH($A617,'PEER GROUP'!$A:$A,0))</f>
        <v>0</v>
      </c>
      <c r="M617" s="86">
        <f>INDEX('PEER GROUP'!N:N,MATCH($A617,'PEER GROUP'!$A:$A,0))</f>
        <v>0</v>
      </c>
      <c r="N617" s="118"/>
      <c r="O617" s="115"/>
      <c r="P617" s="117"/>
      <c r="Q617" s="87"/>
      <c r="R617" s="87">
        <f t="shared" si="182"/>
        <v>0</v>
      </c>
      <c r="S617" s="87"/>
      <c r="T617" s="87"/>
      <c r="U617" s="87"/>
      <c r="V617" s="87">
        <f t="shared" si="183"/>
        <v>0</v>
      </c>
      <c r="W617" s="113">
        <f t="shared" si="180"/>
        <v>36.913096727263202</v>
      </c>
      <c r="X617" s="69">
        <f t="shared" si="184"/>
        <v>0</v>
      </c>
      <c r="Y617" s="70">
        <f t="shared" si="185"/>
        <v>0</v>
      </c>
      <c r="Z617" s="70">
        <f t="shared" si="186"/>
        <v>0</v>
      </c>
      <c r="AA617" s="70">
        <f t="shared" si="187"/>
        <v>0</v>
      </c>
      <c r="AB617" s="70">
        <f t="shared" si="188"/>
        <v>0</v>
      </c>
      <c r="AC617" s="70">
        <f t="shared" si="189"/>
        <v>0</v>
      </c>
      <c r="AD617" s="71">
        <f t="shared" si="190"/>
        <v>0</v>
      </c>
      <c r="AE617" s="49"/>
      <c r="AF617" s="21"/>
      <c r="AG617" s="69"/>
      <c r="AH617" s="70"/>
      <c r="AI617" s="70"/>
      <c r="AJ617" s="70"/>
      <c r="AK617" s="70"/>
      <c r="AL617" s="70"/>
      <c r="AM617" s="70"/>
      <c r="AN617" s="70" t="str">
        <f t="shared" si="191"/>
        <v>---</v>
      </c>
      <c r="AO617" s="70" t="str">
        <f t="shared" si="192"/>
        <v>---</v>
      </c>
      <c r="AP617" s="70" t="str">
        <f t="shared" si="193"/>
        <v>---</v>
      </c>
      <c r="AQ617" s="70" t="str">
        <f t="shared" si="194"/>
        <v>---</v>
      </c>
      <c r="AR617" s="70" t="str">
        <f t="shared" si="195"/>
        <v>---</v>
      </c>
      <c r="AS617" s="70" t="str">
        <f t="shared" si="196"/>
        <v>---</v>
      </c>
      <c r="AT617" s="71" t="str">
        <f t="shared" si="197"/>
        <v>---</v>
      </c>
    </row>
    <row r="618" spans="1:46" ht="30" customHeight="1" x14ac:dyDescent="0.3">
      <c r="A618" s="123">
        <f t="shared" si="181"/>
        <v>614</v>
      </c>
      <c r="B618" s="140">
        <f>INDEX('PEER GROUP'!B:B,MATCH($A618,'PEER GROUP'!$A:$A,0))</f>
        <v>0</v>
      </c>
      <c r="C618" s="83">
        <f>INDEX('PEER GROUP'!C:C,MATCH($A618,'PEER GROUP'!$A:$A,0))</f>
        <v>0</v>
      </c>
      <c r="D618" s="83">
        <f>INDEX('PEER GROUP'!D:D,MATCH($A618,'PEER GROUP'!$A:$A,0))</f>
        <v>0</v>
      </c>
      <c r="E618" s="83">
        <f>INDEX('PEER GROUP'!E:E,MATCH(A618,'PEER GROUP'!$A:$A,0))</f>
        <v>0</v>
      </c>
      <c r="F618" s="84">
        <f>INDEX('PEER GROUP'!F:F,MATCH($A618,'PEER GROUP'!$A:$A,0))</f>
        <v>0</v>
      </c>
      <c r="G618" s="84">
        <f>INDEX('PEER GROUP'!G:G,MATCH($A618,'PEER GROUP'!$A:$A,0))</f>
        <v>0</v>
      </c>
      <c r="H618" s="85"/>
      <c r="I618" s="85"/>
      <c r="J618" s="70">
        <f>INDEX('PEER GROUP'!K:K,MATCH($A618,'PEER GROUP'!$A:$A,0))</f>
        <v>0</v>
      </c>
      <c r="K618" s="70">
        <f>INDEX('PEER GROUP'!L:L,MATCH($A618,'PEER GROUP'!$A:$A,0))</f>
        <v>0</v>
      </c>
      <c r="L618" s="70">
        <f>INDEX('PEER GROUP'!M:M,MATCH($A618,'PEER GROUP'!$A:$A,0))</f>
        <v>0</v>
      </c>
      <c r="M618" s="86">
        <f>INDEX('PEER GROUP'!N:N,MATCH($A618,'PEER GROUP'!$A:$A,0))</f>
        <v>0</v>
      </c>
      <c r="N618" s="118"/>
      <c r="O618" s="115"/>
      <c r="P618" s="117"/>
      <c r="Q618" s="87"/>
      <c r="R618" s="87">
        <f t="shared" si="182"/>
        <v>0</v>
      </c>
      <c r="S618" s="87"/>
      <c r="T618" s="87"/>
      <c r="U618" s="87"/>
      <c r="V618" s="87">
        <f t="shared" si="183"/>
        <v>0</v>
      </c>
      <c r="W618" s="113">
        <f t="shared" si="180"/>
        <v>36.913096727263202</v>
      </c>
      <c r="X618" s="69">
        <f t="shared" si="184"/>
        <v>0</v>
      </c>
      <c r="Y618" s="70">
        <f t="shared" si="185"/>
        <v>0</v>
      </c>
      <c r="Z618" s="70">
        <f t="shared" si="186"/>
        <v>0</v>
      </c>
      <c r="AA618" s="70">
        <f t="shared" si="187"/>
        <v>0</v>
      </c>
      <c r="AB618" s="70">
        <f t="shared" si="188"/>
        <v>0</v>
      </c>
      <c r="AC618" s="70">
        <f t="shared" si="189"/>
        <v>0</v>
      </c>
      <c r="AD618" s="71">
        <f t="shared" si="190"/>
        <v>0</v>
      </c>
      <c r="AE618" s="49"/>
      <c r="AF618" s="21"/>
      <c r="AG618" s="69"/>
      <c r="AH618" s="70"/>
      <c r="AI618" s="70"/>
      <c r="AJ618" s="70"/>
      <c r="AK618" s="70"/>
      <c r="AL618" s="70"/>
      <c r="AM618" s="70"/>
      <c r="AN618" s="70" t="str">
        <f t="shared" si="191"/>
        <v>---</v>
      </c>
      <c r="AO618" s="70" t="str">
        <f t="shared" si="192"/>
        <v>---</v>
      </c>
      <c r="AP618" s="70" t="str">
        <f t="shared" si="193"/>
        <v>---</v>
      </c>
      <c r="AQ618" s="70" t="str">
        <f t="shared" si="194"/>
        <v>---</v>
      </c>
      <c r="AR618" s="70" t="str">
        <f t="shared" si="195"/>
        <v>---</v>
      </c>
      <c r="AS618" s="70" t="str">
        <f t="shared" si="196"/>
        <v>---</v>
      </c>
      <c r="AT618" s="71" t="str">
        <f t="shared" si="197"/>
        <v>---</v>
      </c>
    </row>
    <row r="619" spans="1:46" ht="30" customHeight="1" x14ac:dyDescent="0.3">
      <c r="A619" s="123">
        <f t="shared" si="181"/>
        <v>615</v>
      </c>
      <c r="B619" s="140">
        <f>INDEX('PEER GROUP'!B:B,MATCH($A619,'PEER GROUP'!$A:$A,0))</f>
        <v>0</v>
      </c>
      <c r="C619" s="83">
        <f>INDEX('PEER GROUP'!C:C,MATCH($A619,'PEER GROUP'!$A:$A,0))</f>
        <v>0</v>
      </c>
      <c r="D619" s="83">
        <f>INDEX('PEER GROUP'!D:D,MATCH($A619,'PEER GROUP'!$A:$A,0))</f>
        <v>0</v>
      </c>
      <c r="E619" s="83">
        <f>INDEX('PEER GROUP'!E:E,MATCH(A619,'PEER GROUP'!$A:$A,0))</f>
        <v>0</v>
      </c>
      <c r="F619" s="84">
        <f>INDEX('PEER GROUP'!F:F,MATCH($A619,'PEER GROUP'!$A:$A,0))</f>
        <v>0</v>
      </c>
      <c r="G619" s="84">
        <f>INDEX('PEER GROUP'!G:G,MATCH($A619,'PEER GROUP'!$A:$A,0))</f>
        <v>0</v>
      </c>
      <c r="H619" s="85"/>
      <c r="I619" s="85"/>
      <c r="J619" s="70">
        <f>INDEX('PEER GROUP'!K:K,MATCH($A619,'PEER GROUP'!$A:$A,0))</f>
        <v>0</v>
      </c>
      <c r="K619" s="70">
        <f>INDEX('PEER GROUP'!L:L,MATCH($A619,'PEER GROUP'!$A:$A,0))</f>
        <v>0</v>
      </c>
      <c r="L619" s="70">
        <f>INDEX('PEER GROUP'!M:M,MATCH($A619,'PEER GROUP'!$A:$A,0))</f>
        <v>0</v>
      </c>
      <c r="M619" s="86">
        <f>INDEX('PEER GROUP'!N:N,MATCH($A619,'PEER GROUP'!$A:$A,0))</f>
        <v>0</v>
      </c>
      <c r="N619" s="118"/>
      <c r="O619" s="115"/>
      <c r="P619" s="117"/>
      <c r="Q619" s="87"/>
      <c r="R619" s="87">
        <f t="shared" si="182"/>
        <v>0</v>
      </c>
      <c r="S619" s="87"/>
      <c r="T619" s="87"/>
      <c r="U619" s="87"/>
      <c r="V619" s="87">
        <f t="shared" si="183"/>
        <v>0</v>
      </c>
      <c r="W619" s="113">
        <f t="shared" si="180"/>
        <v>36.913096727263202</v>
      </c>
      <c r="X619" s="69">
        <f t="shared" si="184"/>
        <v>0</v>
      </c>
      <c r="Y619" s="70">
        <f t="shared" si="185"/>
        <v>0</v>
      </c>
      <c r="Z619" s="70">
        <f t="shared" si="186"/>
        <v>0</v>
      </c>
      <c r="AA619" s="70">
        <f t="shared" si="187"/>
        <v>0</v>
      </c>
      <c r="AB619" s="70">
        <f t="shared" si="188"/>
        <v>0</v>
      </c>
      <c r="AC619" s="70">
        <f t="shared" si="189"/>
        <v>0</v>
      </c>
      <c r="AD619" s="71">
        <f t="shared" si="190"/>
        <v>0</v>
      </c>
      <c r="AE619" s="49"/>
      <c r="AF619" s="21"/>
      <c r="AG619" s="69"/>
      <c r="AH619" s="70"/>
      <c r="AI619" s="70"/>
      <c r="AJ619" s="70"/>
      <c r="AK619" s="70"/>
      <c r="AL619" s="70"/>
      <c r="AM619" s="70"/>
      <c r="AN619" s="70" t="str">
        <f t="shared" si="191"/>
        <v>---</v>
      </c>
      <c r="AO619" s="70" t="str">
        <f t="shared" si="192"/>
        <v>---</v>
      </c>
      <c r="AP619" s="70" t="str">
        <f t="shared" si="193"/>
        <v>---</v>
      </c>
      <c r="AQ619" s="70" t="str">
        <f t="shared" si="194"/>
        <v>---</v>
      </c>
      <c r="AR619" s="70" t="str">
        <f t="shared" si="195"/>
        <v>---</v>
      </c>
      <c r="AS619" s="70" t="str">
        <f t="shared" si="196"/>
        <v>---</v>
      </c>
      <c r="AT619" s="71" t="str">
        <f t="shared" si="197"/>
        <v>---</v>
      </c>
    </row>
    <row r="620" spans="1:46" ht="30" customHeight="1" x14ac:dyDescent="0.3">
      <c r="A620" s="123">
        <f t="shared" si="181"/>
        <v>616</v>
      </c>
      <c r="B620" s="140">
        <f>INDEX('PEER GROUP'!B:B,MATCH($A620,'PEER GROUP'!$A:$A,0))</f>
        <v>0</v>
      </c>
      <c r="C620" s="83">
        <f>INDEX('PEER GROUP'!C:C,MATCH($A620,'PEER GROUP'!$A:$A,0))</f>
        <v>0</v>
      </c>
      <c r="D620" s="83">
        <f>INDEX('PEER GROUP'!D:D,MATCH($A620,'PEER GROUP'!$A:$A,0))</f>
        <v>0</v>
      </c>
      <c r="E620" s="83">
        <f>INDEX('PEER GROUP'!E:E,MATCH(A620,'PEER GROUP'!$A:$A,0))</f>
        <v>0</v>
      </c>
      <c r="F620" s="84">
        <f>INDEX('PEER GROUP'!F:F,MATCH($A620,'PEER GROUP'!$A:$A,0))</f>
        <v>0</v>
      </c>
      <c r="G620" s="84">
        <f>INDEX('PEER GROUP'!G:G,MATCH($A620,'PEER GROUP'!$A:$A,0))</f>
        <v>0</v>
      </c>
      <c r="H620" s="85"/>
      <c r="I620" s="85"/>
      <c r="J620" s="70">
        <f>INDEX('PEER GROUP'!K:K,MATCH($A620,'PEER GROUP'!$A:$A,0))</f>
        <v>0</v>
      </c>
      <c r="K620" s="70">
        <f>INDEX('PEER GROUP'!L:L,MATCH($A620,'PEER GROUP'!$A:$A,0))</f>
        <v>0</v>
      </c>
      <c r="L620" s="70">
        <f>INDEX('PEER GROUP'!M:M,MATCH($A620,'PEER GROUP'!$A:$A,0))</f>
        <v>0</v>
      </c>
      <c r="M620" s="86">
        <f>INDEX('PEER GROUP'!N:N,MATCH($A620,'PEER GROUP'!$A:$A,0))</f>
        <v>0</v>
      </c>
      <c r="N620" s="118"/>
      <c r="O620" s="115"/>
      <c r="P620" s="117"/>
      <c r="Q620" s="87"/>
      <c r="R620" s="87">
        <f t="shared" si="182"/>
        <v>0</v>
      </c>
      <c r="S620" s="87"/>
      <c r="T620" s="87"/>
      <c r="U620" s="87"/>
      <c r="V620" s="87">
        <f t="shared" si="183"/>
        <v>0</v>
      </c>
      <c r="W620" s="113">
        <f t="shared" si="180"/>
        <v>36.913096727263202</v>
      </c>
      <c r="X620" s="69">
        <f t="shared" si="184"/>
        <v>0</v>
      </c>
      <c r="Y620" s="70">
        <f t="shared" si="185"/>
        <v>0</v>
      </c>
      <c r="Z620" s="70">
        <f t="shared" si="186"/>
        <v>0</v>
      </c>
      <c r="AA620" s="70">
        <f t="shared" si="187"/>
        <v>0</v>
      </c>
      <c r="AB620" s="70">
        <f t="shared" si="188"/>
        <v>0</v>
      </c>
      <c r="AC620" s="70">
        <f t="shared" si="189"/>
        <v>0</v>
      </c>
      <c r="AD620" s="71">
        <f t="shared" si="190"/>
        <v>0</v>
      </c>
      <c r="AE620" s="49"/>
      <c r="AF620" s="21"/>
      <c r="AG620" s="69"/>
      <c r="AH620" s="70"/>
      <c r="AI620" s="70"/>
      <c r="AJ620" s="70"/>
      <c r="AK620" s="70"/>
      <c r="AL620" s="70"/>
      <c r="AM620" s="70"/>
      <c r="AN620" s="70" t="str">
        <f t="shared" si="191"/>
        <v>---</v>
      </c>
      <c r="AO620" s="70" t="str">
        <f t="shared" si="192"/>
        <v>---</v>
      </c>
      <c r="AP620" s="70" t="str">
        <f t="shared" si="193"/>
        <v>---</v>
      </c>
      <c r="AQ620" s="70" t="str">
        <f t="shared" si="194"/>
        <v>---</v>
      </c>
      <c r="AR620" s="70" t="str">
        <f t="shared" si="195"/>
        <v>---</v>
      </c>
      <c r="AS620" s="70" t="str">
        <f t="shared" si="196"/>
        <v>---</v>
      </c>
      <c r="AT620" s="71" t="str">
        <f t="shared" si="197"/>
        <v>---</v>
      </c>
    </row>
    <row r="621" spans="1:46" ht="30" customHeight="1" x14ac:dyDescent="0.3">
      <c r="A621" s="123">
        <f t="shared" si="181"/>
        <v>617</v>
      </c>
      <c r="B621" s="140">
        <f>INDEX('PEER GROUP'!B:B,MATCH($A621,'PEER GROUP'!$A:$A,0))</f>
        <v>0</v>
      </c>
      <c r="C621" s="83">
        <f>INDEX('PEER GROUP'!C:C,MATCH($A621,'PEER GROUP'!$A:$A,0))</f>
        <v>0</v>
      </c>
      <c r="D621" s="83">
        <f>INDEX('PEER GROUP'!D:D,MATCH($A621,'PEER GROUP'!$A:$A,0))</f>
        <v>0</v>
      </c>
      <c r="E621" s="83">
        <f>INDEX('PEER GROUP'!E:E,MATCH(A621,'PEER GROUP'!$A:$A,0))</f>
        <v>0</v>
      </c>
      <c r="F621" s="84">
        <f>INDEX('PEER GROUP'!F:F,MATCH($A621,'PEER GROUP'!$A:$A,0))</f>
        <v>0</v>
      </c>
      <c r="G621" s="84">
        <f>INDEX('PEER GROUP'!G:G,MATCH($A621,'PEER GROUP'!$A:$A,0))</f>
        <v>0</v>
      </c>
      <c r="H621" s="85"/>
      <c r="I621" s="85"/>
      <c r="J621" s="70">
        <f>INDEX('PEER GROUP'!K:K,MATCH($A621,'PEER GROUP'!$A:$A,0))</f>
        <v>0</v>
      </c>
      <c r="K621" s="70">
        <f>INDEX('PEER GROUP'!L:L,MATCH($A621,'PEER GROUP'!$A:$A,0))</f>
        <v>0</v>
      </c>
      <c r="L621" s="70">
        <f>INDEX('PEER GROUP'!M:M,MATCH($A621,'PEER GROUP'!$A:$A,0))</f>
        <v>0</v>
      </c>
      <c r="M621" s="86">
        <f>INDEX('PEER GROUP'!N:N,MATCH($A621,'PEER GROUP'!$A:$A,0))</f>
        <v>0</v>
      </c>
      <c r="N621" s="118"/>
      <c r="O621" s="115"/>
      <c r="P621" s="117"/>
      <c r="Q621" s="87"/>
      <c r="R621" s="87">
        <f t="shared" si="182"/>
        <v>0</v>
      </c>
      <c r="S621" s="87"/>
      <c r="T621" s="87"/>
      <c r="U621" s="87"/>
      <c r="V621" s="87">
        <f t="shared" si="183"/>
        <v>0</v>
      </c>
      <c r="W621" s="113">
        <f t="shared" si="180"/>
        <v>36.913096727263202</v>
      </c>
      <c r="X621" s="69">
        <f t="shared" si="184"/>
        <v>0</v>
      </c>
      <c r="Y621" s="70">
        <f t="shared" si="185"/>
        <v>0</v>
      </c>
      <c r="Z621" s="70">
        <f t="shared" si="186"/>
        <v>0</v>
      </c>
      <c r="AA621" s="70">
        <f t="shared" si="187"/>
        <v>0</v>
      </c>
      <c r="AB621" s="70">
        <f t="shared" si="188"/>
        <v>0</v>
      </c>
      <c r="AC621" s="70">
        <f t="shared" si="189"/>
        <v>0</v>
      </c>
      <c r="AD621" s="71">
        <f t="shared" si="190"/>
        <v>0</v>
      </c>
      <c r="AE621" s="49"/>
      <c r="AF621" s="21"/>
      <c r="AG621" s="69"/>
      <c r="AH621" s="70"/>
      <c r="AI621" s="70"/>
      <c r="AJ621" s="70"/>
      <c r="AK621" s="70"/>
      <c r="AL621" s="70"/>
      <c r="AM621" s="70"/>
      <c r="AN621" s="70" t="str">
        <f t="shared" si="191"/>
        <v>---</v>
      </c>
      <c r="AO621" s="70" t="str">
        <f t="shared" si="192"/>
        <v>---</v>
      </c>
      <c r="AP621" s="70" t="str">
        <f t="shared" si="193"/>
        <v>---</v>
      </c>
      <c r="AQ621" s="70" t="str">
        <f t="shared" si="194"/>
        <v>---</v>
      </c>
      <c r="AR621" s="70" t="str">
        <f t="shared" si="195"/>
        <v>---</v>
      </c>
      <c r="AS621" s="70" t="str">
        <f t="shared" si="196"/>
        <v>---</v>
      </c>
      <c r="AT621" s="71" t="str">
        <f t="shared" si="197"/>
        <v>---</v>
      </c>
    </row>
    <row r="622" spans="1:46" ht="30" customHeight="1" x14ac:dyDescent="0.3">
      <c r="A622" s="123">
        <f t="shared" si="181"/>
        <v>618</v>
      </c>
      <c r="B622" s="140">
        <f>INDEX('PEER GROUP'!B:B,MATCH($A622,'PEER GROUP'!$A:$A,0))</f>
        <v>0</v>
      </c>
      <c r="C622" s="83">
        <f>INDEX('PEER GROUP'!C:C,MATCH($A622,'PEER GROUP'!$A:$A,0))</f>
        <v>0</v>
      </c>
      <c r="D622" s="83">
        <f>INDEX('PEER GROUP'!D:D,MATCH($A622,'PEER GROUP'!$A:$A,0))</f>
        <v>0</v>
      </c>
      <c r="E622" s="83">
        <f>INDEX('PEER GROUP'!E:E,MATCH(A622,'PEER GROUP'!$A:$A,0))</f>
        <v>0</v>
      </c>
      <c r="F622" s="84">
        <f>INDEX('PEER GROUP'!F:F,MATCH($A622,'PEER GROUP'!$A:$A,0))</f>
        <v>0</v>
      </c>
      <c r="G622" s="84">
        <f>INDEX('PEER GROUP'!G:G,MATCH($A622,'PEER GROUP'!$A:$A,0))</f>
        <v>0</v>
      </c>
      <c r="H622" s="85"/>
      <c r="I622" s="85"/>
      <c r="J622" s="70">
        <f>INDEX('PEER GROUP'!K:K,MATCH($A622,'PEER GROUP'!$A:$A,0))</f>
        <v>0</v>
      </c>
      <c r="K622" s="70">
        <f>INDEX('PEER GROUP'!L:L,MATCH($A622,'PEER GROUP'!$A:$A,0))</f>
        <v>0</v>
      </c>
      <c r="L622" s="70">
        <f>INDEX('PEER GROUP'!M:M,MATCH($A622,'PEER GROUP'!$A:$A,0))</f>
        <v>0</v>
      </c>
      <c r="M622" s="86">
        <f>INDEX('PEER GROUP'!N:N,MATCH($A622,'PEER GROUP'!$A:$A,0))</f>
        <v>0</v>
      </c>
      <c r="N622" s="118"/>
      <c r="O622" s="115"/>
      <c r="P622" s="117"/>
      <c r="Q622" s="87"/>
      <c r="R622" s="87">
        <f t="shared" si="182"/>
        <v>0</v>
      </c>
      <c r="S622" s="87"/>
      <c r="T622" s="87"/>
      <c r="U622" s="87"/>
      <c r="V622" s="87">
        <f t="shared" si="183"/>
        <v>0</v>
      </c>
      <c r="W622" s="113">
        <f t="shared" si="180"/>
        <v>36.913096727263202</v>
      </c>
      <c r="X622" s="69">
        <f t="shared" si="184"/>
        <v>0</v>
      </c>
      <c r="Y622" s="70">
        <f t="shared" si="185"/>
        <v>0</v>
      </c>
      <c r="Z622" s="70">
        <f t="shared" si="186"/>
        <v>0</v>
      </c>
      <c r="AA622" s="70">
        <f t="shared" si="187"/>
        <v>0</v>
      </c>
      <c r="AB622" s="70">
        <f t="shared" si="188"/>
        <v>0</v>
      </c>
      <c r="AC622" s="70">
        <f t="shared" si="189"/>
        <v>0</v>
      </c>
      <c r="AD622" s="71">
        <f t="shared" si="190"/>
        <v>0</v>
      </c>
      <c r="AE622" s="49"/>
      <c r="AF622" s="21"/>
      <c r="AG622" s="69"/>
      <c r="AH622" s="70"/>
      <c r="AI622" s="70"/>
      <c r="AJ622" s="70"/>
      <c r="AK622" s="70"/>
      <c r="AL622" s="70"/>
      <c r="AM622" s="70"/>
      <c r="AN622" s="70" t="str">
        <f t="shared" si="191"/>
        <v>---</v>
      </c>
      <c r="AO622" s="70" t="str">
        <f t="shared" si="192"/>
        <v>---</v>
      </c>
      <c r="AP622" s="70" t="str">
        <f t="shared" si="193"/>
        <v>---</v>
      </c>
      <c r="AQ622" s="70" t="str">
        <f t="shared" si="194"/>
        <v>---</v>
      </c>
      <c r="AR622" s="70" t="str">
        <f t="shared" si="195"/>
        <v>---</v>
      </c>
      <c r="AS622" s="70" t="str">
        <f t="shared" si="196"/>
        <v>---</v>
      </c>
      <c r="AT622" s="71" t="str">
        <f t="shared" si="197"/>
        <v>---</v>
      </c>
    </row>
    <row r="623" spans="1:46" ht="30" customHeight="1" x14ac:dyDescent="0.3">
      <c r="A623" s="123">
        <f t="shared" si="181"/>
        <v>619</v>
      </c>
      <c r="B623" s="140">
        <f>INDEX('PEER GROUP'!B:B,MATCH($A623,'PEER GROUP'!$A:$A,0))</f>
        <v>0</v>
      </c>
      <c r="C623" s="83">
        <f>INDEX('PEER GROUP'!C:C,MATCH($A623,'PEER GROUP'!$A:$A,0))</f>
        <v>0</v>
      </c>
      <c r="D623" s="83">
        <f>INDEX('PEER GROUP'!D:D,MATCH($A623,'PEER GROUP'!$A:$A,0))</f>
        <v>0</v>
      </c>
      <c r="E623" s="83">
        <f>INDEX('PEER GROUP'!E:E,MATCH(A623,'PEER GROUP'!$A:$A,0))</f>
        <v>0</v>
      </c>
      <c r="F623" s="84">
        <f>INDEX('PEER GROUP'!F:F,MATCH($A623,'PEER GROUP'!$A:$A,0))</f>
        <v>0</v>
      </c>
      <c r="G623" s="84">
        <f>INDEX('PEER GROUP'!G:G,MATCH($A623,'PEER GROUP'!$A:$A,0))</f>
        <v>0</v>
      </c>
      <c r="H623" s="85"/>
      <c r="I623" s="85"/>
      <c r="J623" s="70">
        <f>INDEX('PEER GROUP'!K:K,MATCH($A623,'PEER GROUP'!$A:$A,0))</f>
        <v>0</v>
      </c>
      <c r="K623" s="70">
        <f>INDEX('PEER GROUP'!L:L,MATCH($A623,'PEER GROUP'!$A:$A,0))</f>
        <v>0</v>
      </c>
      <c r="L623" s="70">
        <f>INDEX('PEER GROUP'!M:M,MATCH($A623,'PEER GROUP'!$A:$A,0))</f>
        <v>0</v>
      </c>
      <c r="M623" s="86">
        <f>INDEX('PEER GROUP'!N:N,MATCH($A623,'PEER GROUP'!$A:$A,0))</f>
        <v>0</v>
      </c>
      <c r="N623" s="118"/>
      <c r="O623" s="115"/>
      <c r="P623" s="117"/>
      <c r="Q623" s="87"/>
      <c r="R623" s="87">
        <f t="shared" si="182"/>
        <v>0</v>
      </c>
      <c r="S623" s="87"/>
      <c r="T623" s="87"/>
      <c r="U623" s="87"/>
      <c r="V623" s="87">
        <f t="shared" si="183"/>
        <v>0</v>
      </c>
      <c r="W623" s="113">
        <f t="shared" si="180"/>
        <v>36.913096727263202</v>
      </c>
      <c r="X623" s="69">
        <f t="shared" si="184"/>
        <v>0</v>
      </c>
      <c r="Y623" s="70">
        <f t="shared" si="185"/>
        <v>0</v>
      </c>
      <c r="Z623" s="70">
        <f t="shared" si="186"/>
        <v>0</v>
      </c>
      <c r="AA623" s="70">
        <f t="shared" si="187"/>
        <v>0</v>
      </c>
      <c r="AB623" s="70">
        <f t="shared" si="188"/>
        <v>0</v>
      </c>
      <c r="AC623" s="70">
        <f t="shared" si="189"/>
        <v>0</v>
      </c>
      <c r="AD623" s="71">
        <f t="shared" si="190"/>
        <v>0</v>
      </c>
      <c r="AE623" s="49"/>
      <c r="AF623" s="21"/>
      <c r="AG623" s="69"/>
      <c r="AH623" s="70"/>
      <c r="AI623" s="70"/>
      <c r="AJ623" s="70"/>
      <c r="AK623" s="70"/>
      <c r="AL623" s="70"/>
      <c r="AM623" s="70"/>
      <c r="AN623" s="70" t="str">
        <f t="shared" si="191"/>
        <v>---</v>
      </c>
      <c r="AO623" s="70" t="str">
        <f t="shared" si="192"/>
        <v>---</v>
      </c>
      <c r="AP623" s="70" t="str">
        <f t="shared" si="193"/>
        <v>---</v>
      </c>
      <c r="AQ623" s="70" t="str">
        <f t="shared" si="194"/>
        <v>---</v>
      </c>
      <c r="AR623" s="70" t="str">
        <f t="shared" si="195"/>
        <v>---</v>
      </c>
      <c r="AS623" s="70" t="str">
        <f t="shared" si="196"/>
        <v>---</v>
      </c>
      <c r="AT623" s="71" t="str">
        <f t="shared" si="197"/>
        <v>---</v>
      </c>
    </row>
    <row r="624" spans="1:46" ht="30" customHeight="1" x14ac:dyDescent="0.3">
      <c r="A624" s="123">
        <f t="shared" si="181"/>
        <v>620</v>
      </c>
      <c r="B624" s="140">
        <f>INDEX('PEER GROUP'!B:B,MATCH($A624,'PEER GROUP'!$A:$A,0))</f>
        <v>0</v>
      </c>
      <c r="C624" s="83">
        <f>INDEX('PEER GROUP'!C:C,MATCH($A624,'PEER GROUP'!$A:$A,0))</f>
        <v>0</v>
      </c>
      <c r="D624" s="83">
        <f>INDEX('PEER GROUP'!D:D,MATCH($A624,'PEER GROUP'!$A:$A,0))</f>
        <v>0</v>
      </c>
      <c r="E624" s="83">
        <f>INDEX('PEER GROUP'!E:E,MATCH(A624,'PEER GROUP'!$A:$A,0))</f>
        <v>0</v>
      </c>
      <c r="F624" s="84">
        <f>INDEX('PEER GROUP'!F:F,MATCH($A624,'PEER GROUP'!$A:$A,0))</f>
        <v>0</v>
      </c>
      <c r="G624" s="84">
        <f>INDEX('PEER GROUP'!G:G,MATCH($A624,'PEER GROUP'!$A:$A,0))</f>
        <v>0</v>
      </c>
      <c r="H624" s="85"/>
      <c r="I624" s="85"/>
      <c r="J624" s="70">
        <f>INDEX('PEER GROUP'!K:K,MATCH($A624,'PEER GROUP'!$A:$A,0))</f>
        <v>0</v>
      </c>
      <c r="K624" s="70">
        <f>INDEX('PEER GROUP'!L:L,MATCH($A624,'PEER GROUP'!$A:$A,0))</f>
        <v>0</v>
      </c>
      <c r="L624" s="70">
        <f>INDEX('PEER GROUP'!M:M,MATCH($A624,'PEER GROUP'!$A:$A,0))</f>
        <v>0</v>
      </c>
      <c r="M624" s="86">
        <f>INDEX('PEER GROUP'!N:N,MATCH($A624,'PEER GROUP'!$A:$A,0))</f>
        <v>0</v>
      </c>
      <c r="N624" s="118"/>
      <c r="O624" s="115"/>
      <c r="P624" s="117"/>
      <c r="Q624" s="87"/>
      <c r="R624" s="87">
        <f t="shared" si="182"/>
        <v>0</v>
      </c>
      <c r="S624" s="87"/>
      <c r="T624" s="87"/>
      <c r="U624" s="87"/>
      <c r="V624" s="87">
        <f t="shared" si="183"/>
        <v>0</v>
      </c>
      <c r="W624" s="113">
        <f t="shared" si="180"/>
        <v>36.913096727263202</v>
      </c>
      <c r="X624" s="69">
        <f t="shared" si="184"/>
        <v>0</v>
      </c>
      <c r="Y624" s="70">
        <f t="shared" si="185"/>
        <v>0</v>
      </c>
      <c r="Z624" s="70">
        <f t="shared" si="186"/>
        <v>0</v>
      </c>
      <c r="AA624" s="70">
        <f t="shared" si="187"/>
        <v>0</v>
      </c>
      <c r="AB624" s="70">
        <f t="shared" si="188"/>
        <v>0</v>
      </c>
      <c r="AC624" s="70">
        <f t="shared" si="189"/>
        <v>0</v>
      </c>
      <c r="AD624" s="71">
        <f t="shared" si="190"/>
        <v>0</v>
      </c>
      <c r="AE624" s="49"/>
      <c r="AF624" s="21"/>
      <c r="AG624" s="69"/>
      <c r="AH624" s="70"/>
      <c r="AI624" s="70"/>
      <c r="AJ624" s="70"/>
      <c r="AK624" s="70"/>
      <c r="AL624" s="70"/>
      <c r="AM624" s="70"/>
      <c r="AN624" s="70" t="str">
        <f t="shared" si="191"/>
        <v>---</v>
      </c>
      <c r="AO624" s="70" t="str">
        <f t="shared" si="192"/>
        <v>---</v>
      </c>
      <c r="AP624" s="70" t="str">
        <f t="shared" si="193"/>
        <v>---</v>
      </c>
      <c r="AQ624" s="70" t="str">
        <f t="shared" si="194"/>
        <v>---</v>
      </c>
      <c r="AR624" s="70" t="str">
        <f t="shared" si="195"/>
        <v>---</v>
      </c>
      <c r="AS624" s="70" t="str">
        <f t="shared" si="196"/>
        <v>---</v>
      </c>
      <c r="AT624" s="71" t="str">
        <f t="shared" si="197"/>
        <v>---</v>
      </c>
    </row>
    <row r="625" spans="1:46" ht="30" customHeight="1" x14ac:dyDescent="0.3">
      <c r="A625" s="123">
        <f t="shared" si="181"/>
        <v>621</v>
      </c>
      <c r="B625" s="140">
        <f>INDEX('PEER GROUP'!B:B,MATCH($A625,'PEER GROUP'!$A:$A,0))</f>
        <v>0</v>
      </c>
      <c r="C625" s="83">
        <f>INDEX('PEER GROUP'!C:C,MATCH($A625,'PEER GROUP'!$A:$A,0))</f>
        <v>0</v>
      </c>
      <c r="D625" s="83">
        <f>INDEX('PEER GROUP'!D:D,MATCH($A625,'PEER GROUP'!$A:$A,0))</f>
        <v>0</v>
      </c>
      <c r="E625" s="83">
        <f>INDEX('PEER GROUP'!E:E,MATCH(A625,'PEER GROUP'!$A:$A,0))</f>
        <v>0</v>
      </c>
      <c r="F625" s="84">
        <f>INDEX('PEER GROUP'!F:F,MATCH($A625,'PEER GROUP'!$A:$A,0))</f>
        <v>0</v>
      </c>
      <c r="G625" s="84">
        <f>INDEX('PEER GROUP'!G:G,MATCH($A625,'PEER GROUP'!$A:$A,0))</f>
        <v>0</v>
      </c>
      <c r="H625" s="85"/>
      <c r="I625" s="85"/>
      <c r="J625" s="70">
        <f>INDEX('PEER GROUP'!K:K,MATCH($A625,'PEER GROUP'!$A:$A,0))</f>
        <v>0</v>
      </c>
      <c r="K625" s="70">
        <f>INDEX('PEER GROUP'!L:L,MATCH($A625,'PEER GROUP'!$A:$A,0))</f>
        <v>0</v>
      </c>
      <c r="L625" s="70">
        <f>INDEX('PEER GROUP'!M:M,MATCH($A625,'PEER GROUP'!$A:$A,0))</f>
        <v>0</v>
      </c>
      <c r="M625" s="86">
        <f>INDEX('PEER GROUP'!N:N,MATCH($A625,'PEER GROUP'!$A:$A,0))</f>
        <v>0</v>
      </c>
      <c r="N625" s="118"/>
      <c r="O625" s="115"/>
      <c r="P625" s="117"/>
      <c r="Q625" s="87"/>
      <c r="R625" s="87">
        <f t="shared" si="182"/>
        <v>0</v>
      </c>
      <c r="S625" s="87"/>
      <c r="T625" s="87"/>
      <c r="U625" s="87"/>
      <c r="V625" s="87">
        <f t="shared" si="183"/>
        <v>0</v>
      </c>
      <c r="W625" s="113">
        <f t="shared" si="180"/>
        <v>36.913096727263202</v>
      </c>
      <c r="X625" s="69">
        <f t="shared" si="184"/>
        <v>0</v>
      </c>
      <c r="Y625" s="70">
        <f t="shared" si="185"/>
        <v>0</v>
      </c>
      <c r="Z625" s="70">
        <f t="shared" si="186"/>
        <v>0</v>
      </c>
      <c r="AA625" s="70">
        <f t="shared" si="187"/>
        <v>0</v>
      </c>
      <c r="AB625" s="70">
        <f t="shared" si="188"/>
        <v>0</v>
      </c>
      <c r="AC625" s="70">
        <f t="shared" si="189"/>
        <v>0</v>
      </c>
      <c r="AD625" s="71">
        <f t="shared" si="190"/>
        <v>0</v>
      </c>
      <c r="AE625" s="49"/>
      <c r="AF625" s="21"/>
      <c r="AG625" s="69"/>
      <c r="AH625" s="70"/>
      <c r="AI625" s="70"/>
      <c r="AJ625" s="70"/>
      <c r="AK625" s="70"/>
      <c r="AL625" s="70"/>
      <c r="AM625" s="70"/>
      <c r="AN625" s="70" t="str">
        <f t="shared" si="191"/>
        <v>---</v>
      </c>
      <c r="AO625" s="70" t="str">
        <f t="shared" si="192"/>
        <v>---</v>
      </c>
      <c r="AP625" s="70" t="str">
        <f t="shared" si="193"/>
        <v>---</v>
      </c>
      <c r="AQ625" s="70" t="str">
        <f t="shared" si="194"/>
        <v>---</v>
      </c>
      <c r="AR625" s="70" t="str">
        <f t="shared" si="195"/>
        <v>---</v>
      </c>
      <c r="AS625" s="70" t="str">
        <f t="shared" si="196"/>
        <v>---</v>
      </c>
      <c r="AT625" s="71" t="str">
        <f t="shared" si="197"/>
        <v>---</v>
      </c>
    </row>
    <row r="626" spans="1:46" ht="30" customHeight="1" x14ac:dyDescent="0.3">
      <c r="A626" s="123">
        <f t="shared" si="181"/>
        <v>622</v>
      </c>
      <c r="B626" s="140">
        <f>INDEX('PEER GROUP'!B:B,MATCH($A626,'PEER GROUP'!$A:$A,0))</f>
        <v>0</v>
      </c>
      <c r="C626" s="83">
        <f>INDEX('PEER GROUP'!C:C,MATCH($A626,'PEER GROUP'!$A:$A,0))</f>
        <v>0</v>
      </c>
      <c r="D626" s="83">
        <f>INDEX('PEER GROUP'!D:D,MATCH($A626,'PEER GROUP'!$A:$A,0))</f>
        <v>0</v>
      </c>
      <c r="E626" s="83">
        <f>INDEX('PEER GROUP'!E:E,MATCH(A626,'PEER GROUP'!$A:$A,0))</f>
        <v>0</v>
      </c>
      <c r="F626" s="84">
        <f>INDEX('PEER GROUP'!F:F,MATCH($A626,'PEER GROUP'!$A:$A,0))</f>
        <v>0</v>
      </c>
      <c r="G626" s="84">
        <f>INDEX('PEER GROUP'!G:G,MATCH($A626,'PEER GROUP'!$A:$A,0))</f>
        <v>0</v>
      </c>
      <c r="H626" s="85"/>
      <c r="I626" s="85"/>
      <c r="J626" s="70">
        <f>INDEX('PEER GROUP'!K:K,MATCH($A626,'PEER GROUP'!$A:$A,0))</f>
        <v>0</v>
      </c>
      <c r="K626" s="70">
        <f>INDEX('PEER GROUP'!L:L,MATCH($A626,'PEER GROUP'!$A:$A,0))</f>
        <v>0</v>
      </c>
      <c r="L626" s="70">
        <f>INDEX('PEER GROUP'!M:M,MATCH($A626,'PEER GROUP'!$A:$A,0))</f>
        <v>0</v>
      </c>
      <c r="M626" s="86">
        <f>INDEX('PEER GROUP'!N:N,MATCH($A626,'PEER GROUP'!$A:$A,0))</f>
        <v>0</v>
      </c>
      <c r="N626" s="118"/>
      <c r="O626" s="115"/>
      <c r="P626" s="117"/>
      <c r="Q626" s="87"/>
      <c r="R626" s="87">
        <f t="shared" si="182"/>
        <v>0</v>
      </c>
      <c r="S626" s="87"/>
      <c r="T626" s="87"/>
      <c r="U626" s="87"/>
      <c r="V626" s="87">
        <f t="shared" si="183"/>
        <v>0</v>
      </c>
      <c r="W626" s="113">
        <f t="shared" si="180"/>
        <v>36.913096727263202</v>
      </c>
      <c r="X626" s="69">
        <f t="shared" si="184"/>
        <v>0</v>
      </c>
      <c r="Y626" s="70">
        <f t="shared" si="185"/>
        <v>0</v>
      </c>
      <c r="Z626" s="70">
        <f t="shared" si="186"/>
        <v>0</v>
      </c>
      <c r="AA626" s="70">
        <f t="shared" si="187"/>
        <v>0</v>
      </c>
      <c r="AB626" s="70">
        <f t="shared" si="188"/>
        <v>0</v>
      </c>
      <c r="AC626" s="70">
        <f t="shared" si="189"/>
        <v>0</v>
      </c>
      <c r="AD626" s="71">
        <f t="shared" si="190"/>
        <v>0</v>
      </c>
      <c r="AE626" s="49"/>
      <c r="AF626" s="21"/>
      <c r="AG626" s="69"/>
      <c r="AH626" s="70"/>
      <c r="AI626" s="70"/>
      <c r="AJ626" s="70"/>
      <c r="AK626" s="70"/>
      <c r="AL626" s="70"/>
      <c r="AM626" s="70"/>
      <c r="AN626" s="70" t="str">
        <f t="shared" si="191"/>
        <v>---</v>
      </c>
      <c r="AO626" s="70" t="str">
        <f t="shared" si="192"/>
        <v>---</v>
      </c>
      <c r="AP626" s="70" t="str">
        <f t="shared" si="193"/>
        <v>---</v>
      </c>
      <c r="AQ626" s="70" t="str">
        <f t="shared" si="194"/>
        <v>---</v>
      </c>
      <c r="AR626" s="70" t="str">
        <f t="shared" si="195"/>
        <v>---</v>
      </c>
      <c r="AS626" s="70" t="str">
        <f t="shared" si="196"/>
        <v>---</v>
      </c>
      <c r="AT626" s="71" t="str">
        <f t="shared" si="197"/>
        <v>---</v>
      </c>
    </row>
    <row r="627" spans="1:46" ht="30" customHeight="1" x14ac:dyDescent="0.3">
      <c r="A627" s="123">
        <f t="shared" si="181"/>
        <v>623</v>
      </c>
      <c r="B627" s="140">
        <f>INDEX('PEER GROUP'!B:B,MATCH($A627,'PEER GROUP'!$A:$A,0))</f>
        <v>0</v>
      </c>
      <c r="C627" s="83">
        <f>INDEX('PEER GROUP'!C:C,MATCH($A627,'PEER GROUP'!$A:$A,0))</f>
        <v>0</v>
      </c>
      <c r="D627" s="83">
        <f>INDEX('PEER GROUP'!D:D,MATCH($A627,'PEER GROUP'!$A:$A,0))</f>
        <v>0</v>
      </c>
      <c r="E627" s="83">
        <f>INDEX('PEER GROUP'!E:E,MATCH(A627,'PEER GROUP'!$A:$A,0))</f>
        <v>0</v>
      </c>
      <c r="F627" s="84">
        <f>INDEX('PEER GROUP'!F:F,MATCH($A627,'PEER GROUP'!$A:$A,0))</f>
        <v>0</v>
      </c>
      <c r="G627" s="84">
        <f>INDEX('PEER GROUP'!G:G,MATCH($A627,'PEER GROUP'!$A:$A,0))</f>
        <v>0</v>
      </c>
      <c r="H627" s="85"/>
      <c r="I627" s="85"/>
      <c r="J627" s="70">
        <f>INDEX('PEER GROUP'!K:K,MATCH($A627,'PEER GROUP'!$A:$A,0))</f>
        <v>0</v>
      </c>
      <c r="K627" s="70">
        <f>INDEX('PEER GROUP'!L:L,MATCH($A627,'PEER GROUP'!$A:$A,0))</f>
        <v>0</v>
      </c>
      <c r="L627" s="70">
        <f>INDEX('PEER GROUP'!M:M,MATCH($A627,'PEER GROUP'!$A:$A,0))</f>
        <v>0</v>
      </c>
      <c r="M627" s="86">
        <f>INDEX('PEER GROUP'!N:N,MATCH($A627,'PEER GROUP'!$A:$A,0))</f>
        <v>0</v>
      </c>
      <c r="N627" s="118"/>
      <c r="O627" s="115"/>
      <c r="P627" s="117"/>
      <c r="Q627" s="87"/>
      <c r="R627" s="87">
        <f t="shared" si="182"/>
        <v>0</v>
      </c>
      <c r="S627" s="87"/>
      <c r="T627" s="87"/>
      <c r="U627" s="87"/>
      <c r="V627" s="87">
        <f t="shared" si="183"/>
        <v>0</v>
      </c>
      <c r="W627" s="113">
        <f t="shared" si="180"/>
        <v>36.913096727263202</v>
      </c>
      <c r="X627" s="69">
        <f t="shared" si="184"/>
        <v>0</v>
      </c>
      <c r="Y627" s="70">
        <f t="shared" si="185"/>
        <v>0</v>
      </c>
      <c r="Z627" s="70">
        <f t="shared" si="186"/>
        <v>0</v>
      </c>
      <c r="AA627" s="70">
        <f t="shared" si="187"/>
        <v>0</v>
      </c>
      <c r="AB627" s="70">
        <f t="shared" si="188"/>
        <v>0</v>
      </c>
      <c r="AC627" s="70">
        <f t="shared" si="189"/>
        <v>0</v>
      </c>
      <c r="AD627" s="71">
        <f t="shared" si="190"/>
        <v>0</v>
      </c>
      <c r="AE627" s="49"/>
      <c r="AF627" s="21"/>
      <c r="AG627" s="69"/>
      <c r="AH627" s="70"/>
      <c r="AI627" s="70"/>
      <c r="AJ627" s="70"/>
      <c r="AK627" s="70"/>
      <c r="AL627" s="70"/>
      <c r="AM627" s="70"/>
      <c r="AN627" s="70" t="str">
        <f t="shared" si="191"/>
        <v>---</v>
      </c>
      <c r="AO627" s="70" t="str">
        <f t="shared" si="192"/>
        <v>---</v>
      </c>
      <c r="AP627" s="70" t="str">
        <f t="shared" si="193"/>
        <v>---</v>
      </c>
      <c r="AQ627" s="70" t="str">
        <f t="shared" si="194"/>
        <v>---</v>
      </c>
      <c r="AR627" s="70" t="str">
        <f t="shared" si="195"/>
        <v>---</v>
      </c>
      <c r="AS627" s="70" t="str">
        <f t="shared" si="196"/>
        <v>---</v>
      </c>
      <c r="AT627" s="71" t="str">
        <f t="shared" si="197"/>
        <v>---</v>
      </c>
    </row>
    <row r="628" spans="1:46" ht="30" customHeight="1" x14ac:dyDescent="0.3">
      <c r="A628" s="123">
        <f t="shared" si="181"/>
        <v>624</v>
      </c>
      <c r="B628" s="140">
        <f>INDEX('PEER GROUP'!B:B,MATCH($A628,'PEER GROUP'!$A:$A,0))</f>
        <v>0</v>
      </c>
      <c r="C628" s="83">
        <f>INDEX('PEER GROUP'!C:C,MATCH($A628,'PEER GROUP'!$A:$A,0))</f>
        <v>0</v>
      </c>
      <c r="D628" s="83">
        <f>INDEX('PEER GROUP'!D:D,MATCH($A628,'PEER GROUP'!$A:$A,0))</f>
        <v>0</v>
      </c>
      <c r="E628" s="83">
        <f>INDEX('PEER GROUP'!E:E,MATCH(A628,'PEER GROUP'!$A:$A,0))</f>
        <v>0</v>
      </c>
      <c r="F628" s="84">
        <f>INDEX('PEER GROUP'!F:F,MATCH($A628,'PEER GROUP'!$A:$A,0))</f>
        <v>0</v>
      </c>
      <c r="G628" s="84">
        <f>INDEX('PEER GROUP'!G:G,MATCH($A628,'PEER GROUP'!$A:$A,0))</f>
        <v>0</v>
      </c>
      <c r="H628" s="85"/>
      <c r="I628" s="85"/>
      <c r="J628" s="70">
        <f>INDEX('PEER GROUP'!K:K,MATCH($A628,'PEER GROUP'!$A:$A,0))</f>
        <v>0</v>
      </c>
      <c r="K628" s="70">
        <f>INDEX('PEER GROUP'!L:L,MATCH($A628,'PEER GROUP'!$A:$A,0))</f>
        <v>0</v>
      </c>
      <c r="L628" s="70">
        <f>INDEX('PEER GROUP'!M:M,MATCH($A628,'PEER GROUP'!$A:$A,0))</f>
        <v>0</v>
      </c>
      <c r="M628" s="86">
        <f>INDEX('PEER GROUP'!N:N,MATCH($A628,'PEER GROUP'!$A:$A,0))</f>
        <v>0</v>
      </c>
      <c r="N628" s="118"/>
      <c r="O628" s="115"/>
      <c r="P628" s="117"/>
      <c r="Q628" s="87"/>
      <c r="R628" s="87">
        <f t="shared" si="182"/>
        <v>0</v>
      </c>
      <c r="S628" s="87"/>
      <c r="T628" s="87"/>
      <c r="U628" s="87"/>
      <c r="V628" s="87">
        <f t="shared" si="183"/>
        <v>0</v>
      </c>
      <c r="W628" s="113">
        <f t="shared" si="180"/>
        <v>36.913096727263202</v>
      </c>
      <c r="X628" s="69">
        <f t="shared" si="184"/>
        <v>0</v>
      </c>
      <c r="Y628" s="70">
        <f t="shared" si="185"/>
        <v>0</v>
      </c>
      <c r="Z628" s="70">
        <f t="shared" si="186"/>
        <v>0</v>
      </c>
      <c r="AA628" s="70">
        <f t="shared" si="187"/>
        <v>0</v>
      </c>
      <c r="AB628" s="70">
        <f t="shared" si="188"/>
        <v>0</v>
      </c>
      <c r="AC628" s="70">
        <f t="shared" si="189"/>
        <v>0</v>
      </c>
      <c r="AD628" s="71">
        <f t="shared" si="190"/>
        <v>0</v>
      </c>
      <c r="AE628" s="49"/>
      <c r="AF628" s="21"/>
      <c r="AG628" s="69"/>
      <c r="AH628" s="70"/>
      <c r="AI628" s="70"/>
      <c r="AJ628" s="70"/>
      <c r="AK628" s="70"/>
      <c r="AL628" s="70"/>
      <c r="AM628" s="70"/>
      <c r="AN628" s="70" t="str">
        <f t="shared" si="191"/>
        <v>---</v>
      </c>
      <c r="AO628" s="70" t="str">
        <f t="shared" si="192"/>
        <v>---</v>
      </c>
      <c r="AP628" s="70" t="str">
        <f t="shared" si="193"/>
        <v>---</v>
      </c>
      <c r="AQ628" s="70" t="str">
        <f t="shared" si="194"/>
        <v>---</v>
      </c>
      <c r="AR628" s="70" t="str">
        <f t="shared" si="195"/>
        <v>---</v>
      </c>
      <c r="AS628" s="70" t="str">
        <f t="shared" si="196"/>
        <v>---</v>
      </c>
      <c r="AT628" s="71" t="str">
        <f t="shared" si="197"/>
        <v>---</v>
      </c>
    </row>
    <row r="629" spans="1:46" ht="30" customHeight="1" x14ac:dyDescent="0.3">
      <c r="A629" s="123">
        <f t="shared" si="181"/>
        <v>625</v>
      </c>
      <c r="B629" s="140">
        <f>INDEX('PEER GROUP'!B:B,MATCH($A629,'PEER GROUP'!$A:$A,0))</f>
        <v>0</v>
      </c>
      <c r="C629" s="83">
        <f>INDEX('PEER GROUP'!C:C,MATCH($A629,'PEER GROUP'!$A:$A,0))</f>
        <v>0</v>
      </c>
      <c r="D629" s="83">
        <f>INDEX('PEER GROUP'!D:D,MATCH($A629,'PEER GROUP'!$A:$A,0))</f>
        <v>0</v>
      </c>
      <c r="E629" s="83">
        <f>INDEX('PEER GROUP'!E:E,MATCH(A629,'PEER GROUP'!$A:$A,0))</f>
        <v>0</v>
      </c>
      <c r="F629" s="84">
        <f>INDEX('PEER GROUP'!F:F,MATCH($A629,'PEER GROUP'!$A:$A,0))</f>
        <v>0</v>
      </c>
      <c r="G629" s="84">
        <f>INDEX('PEER GROUP'!G:G,MATCH($A629,'PEER GROUP'!$A:$A,0))</f>
        <v>0</v>
      </c>
      <c r="H629" s="85"/>
      <c r="I629" s="85"/>
      <c r="J629" s="70">
        <f>INDEX('PEER GROUP'!K:K,MATCH($A629,'PEER GROUP'!$A:$A,0))</f>
        <v>0</v>
      </c>
      <c r="K629" s="70">
        <f>INDEX('PEER GROUP'!L:L,MATCH($A629,'PEER GROUP'!$A:$A,0))</f>
        <v>0</v>
      </c>
      <c r="L629" s="70">
        <f>INDEX('PEER GROUP'!M:M,MATCH($A629,'PEER GROUP'!$A:$A,0))</f>
        <v>0</v>
      </c>
      <c r="M629" s="86">
        <f>INDEX('PEER GROUP'!N:N,MATCH($A629,'PEER GROUP'!$A:$A,0))</f>
        <v>0</v>
      </c>
      <c r="N629" s="118"/>
      <c r="O629" s="115"/>
      <c r="P629" s="117"/>
      <c r="Q629" s="87"/>
      <c r="R629" s="87">
        <f t="shared" si="182"/>
        <v>0</v>
      </c>
      <c r="S629" s="87"/>
      <c r="T629" s="87"/>
      <c r="U629" s="87"/>
      <c r="V629" s="87">
        <f t="shared" si="183"/>
        <v>0</v>
      </c>
      <c r="W629" s="113">
        <f t="shared" si="180"/>
        <v>36.913096727263202</v>
      </c>
      <c r="X629" s="69">
        <f t="shared" si="184"/>
        <v>0</v>
      </c>
      <c r="Y629" s="70">
        <f t="shared" si="185"/>
        <v>0</v>
      </c>
      <c r="Z629" s="70">
        <f t="shared" si="186"/>
        <v>0</v>
      </c>
      <c r="AA629" s="70">
        <f t="shared" si="187"/>
        <v>0</v>
      </c>
      <c r="AB629" s="70">
        <f t="shared" si="188"/>
        <v>0</v>
      </c>
      <c r="AC629" s="70">
        <f t="shared" si="189"/>
        <v>0</v>
      </c>
      <c r="AD629" s="71">
        <f t="shared" si="190"/>
        <v>0</v>
      </c>
      <c r="AE629" s="49"/>
      <c r="AF629" s="21"/>
      <c r="AG629" s="69"/>
      <c r="AH629" s="70"/>
      <c r="AI629" s="70"/>
      <c r="AJ629" s="70"/>
      <c r="AK629" s="70"/>
      <c r="AL629" s="70"/>
      <c r="AM629" s="70"/>
      <c r="AN629" s="70" t="str">
        <f t="shared" si="191"/>
        <v>---</v>
      </c>
      <c r="AO629" s="70" t="str">
        <f t="shared" si="192"/>
        <v>---</v>
      </c>
      <c r="AP629" s="70" t="str">
        <f t="shared" si="193"/>
        <v>---</v>
      </c>
      <c r="AQ629" s="70" t="str">
        <f t="shared" si="194"/>
        <v>---</v>
      </c>
      <c r="AR629" s="70" t="str">
        <f t="shared" si="195"/>
        <v>---</v>
      </c>
      <c r="AS629" s="70" t="str">
        <f t="shared" si="196"/>
        <v>---</v>
      </c>
      <c r="AT629" s="71" t="str">
        <f t="shared" si="197"/>
        <v>---</v>
      </c>
    </row>
    <row r="630" spans="1:46" ht="30" customHeight="1" x14ac:dyDescent="0.3">
      <c r="A630" s="123">
        <f t="shared" si="181"/>
        <v>626</v>
      </c>
      <c r="B630" s="140">
        <f>INDEX('PEER GROUP'!B:B,MATCH($A630,'PEER GROUP'!$A:$A,0))</f>
        <v>0</v>
      </c>
      <c r="C630" s="83">
        <f>INDEX('PEER GROUP'!C:C,MATCH($A630,'PEER GROUP'!$A:$A,0))</f>
        <v>0</v>
      </c>
      <c r="D630" s="83">
        <f>INDEX('PEER GROUP'!D:D,MATCH($A630,'PEER GROUP'!$A:$A,0))</f>
        <v>0</v>
      </c>
      <c r="E630" s="83">
        <f>INDEX('PEER GROUP'!E:E,MATCH(A630,'PEER GROUP'!$A:$A,0))</f>
        <v>0</v>
      </c>
      <c r="F630" s="84">
        <f>INDEX('PEER GROUP'!F:F,MATCH($A630,'PEER GROUP'!$A:$A,0))</f>
        <v>0</v>
      </c>
      <c r="G630" s="84">
        <f>INDEX('PEER GROUP'!G:G,MATCH($A630,'PEER GROUP'!$A:$A,0))</f>
        <v>0</v>
      </c>
      <c r="H630" s="85"/>
      <c r="I630" s="85"/>
      <c r="J630" s="70">
        <f>INDEX('PEER GROUP'!K:K,MATCH($A630,'PEER GROUP'!$A:$A,0))</f>
        <v>0</v>
      </c>
      <c r="K630" s="70">
        <f>INDEX('PEER GROUP'!L:L,MATCH($A630,'PEER GROUP'!$A:$A,0))</f>
        <v>0</v>
      </c>
      <c r="L630" s="70">
        <f>INDEX('PEER GROUP'!M:M,MATCH($A630,'PEER GROUP'!$A:$A,0))</f>
        <v>0</v>
      </c>
      <c r="M630" s="86">
        <f>INDEX('PEER GROUP'!N:N,MATCH($A630,'PEER GROUP'!$A:$A,0))</f>
        <v>0</v>
      </c>
      <c r="N630" s="118"/>
      <c r="O630" s="115"/>
      <c r="P630" s="117"/>
      <c r="Q630" s="87"/>
      <c r="R630" s="87">
        <f t="shared" si="182"/>
        <v>0</v>
      </c>
      <c r="S630" s="87"/>
      <c r="T630" s="87"/>
      <c r="U630" s="87"/>
      <c r="V630" s="87">
        <f t="shared" si="183"/>
        <v>0</v>
      </c>
      <c r="W630" s="113">
        <f t="shared" si="180"/>
        <v>36.913096727263202</v>
      </c>
      <c r="X630" s="69">
        <f t="shared" si="184"/>
        <v>0</v>
      </c>
      <c r="Y630" s="70">
        <f t="shared" si="185"/>
        <v>0</v>
      </c>
      <c r="Z630" s="70">
        <f t="shared" si="186"/>
        <v>0</v>
      </c>
      <c r="AA630" s="70">
        <f t="shared" si="187"/>
        <v>0</v>
      </c>
      <c r="AB630" s="70">
        <f t="shared" si="188"/>
        <v>0</v>
      </c>
      <c r="AC630" s="70">
        <f t="shared" si="189"/>
        <v>0</v>
      </c>
      <c r="AD630" s="71">
        <f t="shared" si="190"/>
        <v>0</v>
      </c>
      <c r="AE630" s="49"/>
      <c r="AF630" s="21"/>
      <c r="AG630" s="69"/>
      <c r="AH630" s="70"/>
      <c r="AI630" s="70"/>
      <c r="AJ630" s="70"/>
      <c r="AK630" s="70"/>
      <c r="AL630" s="70"/>
      <c r="AM630" s="70"/>
      <c r="AN630" s="70" t="str">
        <f t="shared" si="191"/>
        <v>---</v>
      </c>
      <c r="AO630" s="70" t="str">
        <f t="shared" si="192"/>
        <v>---</v>
      </c>
      <c r="AP630" s="70" t="str">
        <f t="shared" si="193"/>
        <v>---</v>
      </c>
      <c r="AQ630" s="70" t="str">
        <f t="shared" si="194"/>
        <v>---</v>
      </c>
      <c r="AR630" s="70" t="str">
        <f t="shared" si="195"/>
        <v>---</v>
      </c>
      <c r="AS630" s="70" t="str">
        <f t="shared" si="196"/>
        <v>---</v>
      </c>
      <c r="AT630" s="71" t="str">
        <f t="shared" si="197"/>
        <v>---</v>
      </c>
    </row>
    <row r="631" spans="1:46" ht="30" customHeight="1" x14ac:dyDescent="0.3">
      <c r="A631" s="123">
        <f t="shared" si="181"/>
        <v>627</v>
      </c>
      <c r="B631" s="140">
        <f>INDEX('PEER GROUP'!B:B,MATCH($A631,'PEER GROUP'!$A:$A,0))</f>
        <v>0</v>
      </c>
      <c r="C631" s="83">
        <f>INDEX('PEER GROUP'!C:C,MATCH($A631,'PEER GROUP'!$A:$A,0))</f>
        <v>0</v>
      </c>
      <c r="D631" s="83">
        <f>INDEX('PEER GROUP'!D:D,MATCH($A631,'PEER GROUP'!$A:$A,0))</f>
        <v>0</v>
      </c>
      <c r="E631" s="83">
        <f>INDEX('PEER GROUP'!E:E,MATCH(A631,'PEER GROUP'!$A:$A,0))</f>
        <v>0</v>
      </c>
      <c r="F631" s="84">
        <f>INDEX('PEER GROUP'!F:F,MATCH($A631,'PEER GROUP'!$A:$A,0))</f>
        <v>0</v>
      </c>
      <c r="G631" s="84">
        <f>INDEX('PEER GROUP'!G:G,MATCH($A631,'PEER GROUP'!$A:$A,0))</f>
        <v>0</v>
      </c>
      <c r="H631" s="85"/>
      <c r="I631" s="85"/>
      <c r="J631" s="70">
        <f>INDEX('PEER GROUP'!K:K,MATCH($A631,'PEER GROUP'!$A:$A,0))</f>
        <v>0</v>
      </c>
      <c r="K631" s="70">
        <f>INDEX('PEER GROUP'!L:L,MATCH($A631,'PEER GROUP'!$A:$A,0))</f>
        <v>0</v>
      </c>
      <c r="L631" s="70">
        <f>INDEX('PEER GROUP'!M:M,MATCH($A631,'PEER GROUP'!$A:$A,0))</f>
        <v>0</v>
      </c>
      <c r="M631" s="86">
        <f>INDEX('PEER GROUP'!N:N,MATCH($A631,'PEER GROUP'!$A:$A,0))</f>
        <v>0</v>
      </c>
      <c r="N631" s="118"/>
      <c r="O631" s="115"/>
      <c r="P631" s="117"/>
      <c r="Q631" s="87"/>
      <c r="R631" s="87">
        <f t="shared" si="182"/>
        <v>0</v>
      </c>
      <c r="S631" s="87"/>
      <c r="T631" s="87"/>
      <c r="U631" s="87"/>
      <c r="V631" s="87">
        <f t="shared" si="183"/>
        <v>0</v>
      </c>
      <c r="W631" s="113">
        <f t="shared" si="180"/>
        <v>36.913096727263202</v>
      </c>
      <c r="X631" s="69">
        <f t="shared" si="184"/>
        <v>0</v>
      </c>
      <c r="Y631" s="70">
        <f t="shared" si="185"/>
        <v>0</v>
      </c>
      <c r="Z631" s="70">
        <f t="shared" si="186"/>
        <v>0</v>
      </c>
      <c r="AA631" s="70">
        <f t="shared" si="187"/>
        <v>0</v>
      </c>
      <c r="AB631" s="70">
        <f t="shared" si="188"/>
        <v>0</v>
      </c>
      <c r="AC631" s="70">
        <f t="shared" si="189"/>
        <v>0</v>
      </c>
      <c r="AD631" s="71">
        <f t="shared" si="190"/>
        <v>0</v>
      </c>
      <c r="AE631" s="49"/>
      <c r="AF631" s="21"/>
      <c r="AG631" s="69"/>
      <c r="AH631" s="70"/>
      <c r="AI631" s="70"/>
      <c r="AJ631" s="70"/>
      <c r="AK631" s="70"/>
      <c r="AL631" s="70"/>
      <c r="AM631" s="70"/>
      <c r="AN631" s="70" t="str">
        <f t="shared" si="191"/>
        <v>---</v>
      </c>
      <c r="AO631" s="70" t="str">
        <f t="shared" si="192"/>
        <v>---</v>
      </c>
      <c r="AP631" s="70" t="str">
        <f t="shared" si="193"/>
        <v>---</v>
      </c>
      <c r="AQ631" s="70" t="str">
        <f t="shared" si="194"/>
        <v>---</v>
      </c>
      <c r="AR631" s="70" t="str">
        <f t="shared" si="195"/>
        <v>---</v>
      </c>
      <c r="AS631" s="70" t="str">
        <f t="shared" si="196"/>
        <v>---</v>
      </c>
      <c r="AT631" s="71" t="str">
        <f t="shared" si="197"/>
        <v>---</v>
      </c>
    </row>
    <row r="632" spans="1:46" ht="30" customHeight="1" x14ac:dyDescent="0.3">
      <c r="A632" s="123">
        <f t="shared" si="181"/>
        <v>628</v>
      </c>
      <c r="B632" s="140">
        <f>INDEX('PEER GROUP'!B:B,MATCH($A632,'PEER GROUP'!$A:$A,0))</f>
        <v>0</v>
      </c>
      <c r="C632" s="83">
        <f>INDEX('PEER GROUP'!C:C,MATCH($A632,'PEER GROUP'!$A:$A,0))</f>
        <v>0</v>
      </c>
      <c r="D632" s="83">
        <f>INDEX('PEER GROUP'!D:D,MATCH($A632,'PEER GROUP'!$A:$A,0))</f>
        <v>0</v>
      </c>
      <c r="E632" s="83">
        <f>INDEX('PEER GROUP'!E:E,MATCH(A632,'PEER GROUP'!$A:$A,0))</f>
        <v>0</v>
      </c>
      <c r="F632" s="84">
        <f>INDEX('PEER GROUP'!F:F,MATCH($A632,'PEER GROUP'!$A:$A,0))</f>
        <v>0</v>
      </c>
      <c r="G632" s="84">
        <f>INDEX('PEER GROUP'!G:G,MATCH($A632,'PEER GROUP'!$A:$A,0))</f>
        <v>0</v>
      </c>
      <c r="H632" s="85"/>
      <c r="I632" s="85"/>
      <c r="J632" s="70">
        <f>INDEX('PEER GROUP'!K:K,MATCH($A632,'PEER GROUP'!$A:$A,0))</f>
        <v>0</v>
      </c>
      <c r="K632" s="70">
        <f>INDEX('PEER GROUP'!L:L,MATCH($A632,'PEER GROUP'!$A:$A,0))</f>
        <v>0</v>
      </c>
      <c r="L632" s="70">
        <f>INDEX('PEER GROUP'!M:M,MATCH($A632,'PEER GROUP'!$A:$A,0))</f>
        <v>0</v>
      </c>
      <c r="M632" s="86">
        <f>INDEX('PEER GROUP'!N:N,MATCH($A632,'PEER GROUP'!$A:$A,0))</f>
        <v>0</v>
      </c>
      <c r="N632" s="118"/>
      <c r="O632" s="115"/>
      <c r="P632" s="117"/>
      <c r="Q632" s="87"/>
      <c r="R632" s="87">
        <f t="shared" si="182"/>
        <v>0</v>
      </c>
      <c r="S632" s="87"/>
      <c r="T632" s="87"/>
      <c r="U632" s="87"/>
      <c r="V632" s="87">
        <f t="shared" si="183"/>
        <v>0</v>
      </c>
      <c r="W632" s="113">
        <f t="shared" si="180"/>
        <v>36.913096727263202</v>
      </c>
      <c r="X632" s="69">
        <f t="shared" si="184"/>
        <v>0</v>
      </c>
      <c r="Y632" s="70">
        <f t="shared" si="185"/>
        <v>0</v>
      </c>
      <c r="Z632" s="70">
        <f t="shared" si="186"/>
        <v>0</v>
      </c>
      <c r="AA632" s="70">
        <f t="shared" si="187"/>
        <v>0</v>
      </c>
      <c r="AB632" s="70">
        <f t="shared" si="188"/>
        <v>0</v>
      </c>
      <c r="AC632" s="70">
        <f t="shared" si="189"/>
        <v>0</v>
      </c>
      <c r="AD632" s="71">
        <f t="shared" si="190"/>
        <v>0</v>
      </c>
      <c r="AE632" s="49"/>
      <c r="AF632" s="21"/>
      <c r="AG632" s="69"/>
      <c r="AH632" s="70"/>
      <c r="AI632" s="70"/>
      <c r="AJ632" s="70"/>
      <c r="AK632" s="70"/>
      <c r="AL632" s="70"/>
      <c r="AM632" s="70"/>
      <c r="AN632" s="70" t="str">
        <f t="shared" si="191"/>
        <v>---</v>
      </c>
      <c r="AO632" s="70" t="str">
        <f t="shared" si="192"/>
        <v>---</v>
      </c>
      <c r="AP632" s="70" t="str">
        <f t="shared" si="193"/>
        <v>---</v>
      </c>
      <c r="AQ632" s="70" t="str">
        <f t="shared" si="194"/>
        <v>---</v>
      </c>
      <c r="AR632" s="70" t="str">
        <f t="shared" si="195"/>
        <v>---</v>
      </c>
      <c r="AS632" s="70" t="str">
        <f t="shared" si="196"/>
        <v>---</v>
      </c>
      <c r="AT632" s="71" t="str">
        <f t="shared" si="197"/>
        <v>---</v>
      </c>
    </row>
    <row r="633" spans="1:46" ht="30" customHeight="1" x14ac:dyDescent="0.3">
      <c r="A633" s="123">
        <f t="shared" si="181"/>
        <v>629</v>
      </c>
      <c r="B633" s="140">
        <f>INDEX('PEER GROUP'!B:B,MATCH($A633,'PEER GROUP'!$A:$A,0))</f>
        <v>0</v>
      </c>
      <c r="C633" s="83">
        <f>INDEX('PEER GROUP'!C:C,MATCH($A633,'PEER GROUP'!$A:$A,0))</f>
        <v>0</v>
      </c>
      <c r="D633" s="83">
        <f>INDEX('PEER GROUP'!D:D,MATCH($A633,'PEER GROUP'!$A:$A,0))</f>
        <v>0</v>
      </c>
      <c r="E633" s="83">
        <f>INDEX('PEER GROUP'!E:E,MATCH(A633,'PEER GROUP'!$A:$A,0))</f>
        <v>0</v>
      </c>
      <c r="F633" s="84">
        <f>INDEX('PEER GROUP'!F:F,MATCH($A633,'PEER GROUP'!$A:$A,0))</f>
        <v>0</v>
      </c>
      <c r="G633" s="84">
        <f>INDEX('PEER GROUP'!G:G,MATCH($A633,'PEER GROUP'!$A:$A,0))</f>
        <v>0</v>
      </c>
      <c r="H633" s="85"/>
      <c r="I633" s="85"/>
      <c r="J633" s="70">
        <f>INDEX('PEER GROUP'!K:K,MATCH($A633,'PEER GROUP'!$A:$A,0))</f>
        <v>0</v>
      </c>
      <c r="K633" s="70">
        <f>INDEX('PEER GROUP'!L:L,MATCH($A633,'PEER GROUP'!$A:$A,0))</f>
        <v>0</v>
      </c>
      <c r="L633" s="70">
        <f>INDEX('PEER GROUP'!M:M,MATCH($A633,'PEER GROUP'!$A:$A,0))</f>
        <v>0</v>
      </c>
      <c r="M633" s="86">
        <f>INDEX('PEER GROUP'!N:N,MATCH($A633,'PEER GROUP'!$A:$A,0))</f>
        <v>0</v>
      </c>
      <c r="N633" s="118"/>
      <c r="O633" s="115"/>
      <c r="P633" s="117"/>
      <c r="Q633" s="87"/>
      <c r="R633" s="87">
        <f t="shared" si="182"/>
        <v>0</v>
      </c>
      <c r="S633" s="87"/>
      <c r="T633" s="87"/>
      <c r="U633" s="87"/>
      <c r="V633" s="87">
        <f t="shared" si="183"/>
        <v>0</v>
      </c>
      <c r="W633" s="113">
        <f t="shared" si="180"/>
        <v>36.913096727263202</v>
      </c>
      <c r="X633" s="69">
        <f t="shared" si="184"/>
        <v>0</v>
      </c>
      <c r="Y633" s="70">
        <f t="shared" si="185"/>
        <v>0</v>
      </c>
      <c r="Z633" s="70">
        <f t="shared" si="186"/>
        <v>0</v>
      </c>
      <c r="AA633" s="70">
        <f t="shared" si="187"/>
        <v>0</v>
      </c>
      <c r="AB633" s="70">
        <f t="shared" si="188"/>
        <v>0</v>
      </c>
      <c r="AC633" s="70">
        <f t="shared" si="189"/>
        <v>0</v>
      </c>
      <c r="AD633" s="71">
        <f t="shared" si="190"/>
        <v>0</v>
      </c>
      <c r="AE633" s="49"/>
      <c r="AF633" s="21"/>
      <c r="AG633" s="69"/>
      <c r="AH633" s="70"/>
      <c r="AI633" s="70"/>
      <c r="AJ633" s="70"/>
      <c r="AK633" s="70"/>
      <c r="AL633" s="70"/>
      <c r="AM633" s="70"/>
      <c r="AN633" s="70" t="str">
        <f t="shared" si="191"/>
        <v>---</v>
      </c>
      <c r="AO633" s="70" t="str">
        <f t="shared" si="192"/>
        <v>---</v>
      </c>
      <c r="AP633" s="70" t="str">
        <f t="shared" si="193"/>
        <v>---</v>
      </c>
      <c r="AQ633" s="70" t="str">
        <f t="shared" si="194"/>
        <v>---</v>
      </c>
      <c r="AR633" s="70" t="str">
        <f t="shared" si="195"/>
        <v>---</v>
      </c>
      <c r="AS633" s="70" t="str">
        <f t="shared" si="196"/>
        <v>---</v>
      </c>
      <c r="AT633" s="71" t="str">
        <f t="shared" si="197"/>
        <v>---</v>
      </c>
    </row>
    <row r="634" spans="1:46" ht="30" customHeight="1" x14ac:dyDescent="0.3">
      <c r="A634" s="123">
        <f t="shared" si="181"/>
        <v>630</v>
      </c>
      <c r="B634" s="140">
        <f>INDEX('PEER GROUP'!B:B,MATCH($A634,'PEER GROUP'!$A:$A,0))</f>
        <v>0</v>
      </c>
      <c r="C634" s="83">
        <f>INDEX('PEER GROUP'!C:C,MATCH($A634,'PEER GROUP'!$A:$A,0))</f>
        <v>0</v>
      </c>
      <c r="D634" s="83">
        <f>INDEX('PEER GROUP'!D:D,MATCH($A634,'PEER GROUP'!$A:$A,0))</f>
        <v>0</v>
      </c>
      <c r="E634" s="83">
        <f>INDEX('PEER GROUP'!E:E,MATCH(A634,'PEER GROUP'!$A:$A,0))</f>
        <v>0</v>
      </c>
      <c r="F634" s="84">
        <f>INDEX('PEER GROUP'!F:F,MATCH($A634,'PEER GROUP'!$A:$A,0))</f>
        <v>0</v>
      </c>
      <c r="G634" s="84">
        <f>INDEX('PEER GROUP'!G:G,MATCH($A634,'PEER GROUP'!$A:$A,0))</f>
        <v>0</v>
      </c>
      <c r="H634" s="85"/>
      <c r="I634" s="85"/>
      <c r="J634" s="70">
        <f>INDEX('PEER GROUP'!K:K,MATCH($A634,'PEER GROUP'!$A:$A,0))</f>
        <v>0</v>
      </c>
      <c r="K634" s="70">
        <f>INDEX('PEER GROUP'!L:L,MATCH($A634,'PEER GROUP'!$A:$A,0))</f>
        <v>0</v>
      </c>
      <c r="L634" s="70">
        <f>INDEX('PEER GROUP'!M:M,MATCH($A634,'PEER GROUP'!$A:$A,0))</f>
        <v>0</v>
      </c>
      <c r="M634" s="86">
        <f>INDEX('PEER GROUP'!N:N,MATCH($A634,'PEER GROUP'!$A:$A,0))</f>
        <v>0</v>
      </c>
      <c r="N634" s="118"/>
      <c r="O634" s="115"/>
      <c r="P634" s="117"/>
      <c r="Q634" s="87"/>
      <c r="R634" s="87">
        <f t="shared" si="182"/>
        <v>0</v>
      </c>
      <c r="S634" s="87"/>
      <c r="T634" s="87"/>
      <c r="U634" s="87"/>
      <c r="V634" s="87">
        <f t="shared" si="183"/>
        <v>0</v>
      </c>
      <c r="W634" s="113">
        <f t="shared" si="180"/>
        <v>36.913096727263202</v>
      </c>
      <c r="X634" s="69">
        <f t="shared" si="184"/>
        <v>0</v>
      </c>
      <c r="Y634" s="70">
        <f t="shared" si="185"/>
        <v>0</v>
      </c>
      <c r="Z634" s="70">
        <f t="shared" si="186"/>
        <v>0</v>
      </c>
      <c r="AA634" s="70">
        <f t="shared" si="187"/>
        <v>0</v>
      </c>
      <c r="AB634" s="70">
        <f t="shared" si="188"/>
        <v>0</v>
      </c>
      <c r="AC634" s="70">
        <f t="shared" si="189"/>
        <v>0</v>
      </c>
      <c r="AD634" s="71">
        <f t="shared" si="190"/>
        <v>0</v>
      </c>
      <c r="AE634" s="49"/>
      <c r="AF634" s="21"/>
      <c r="AG634" s="69"/>
      <c r="AH634" s="70"/>
      <c r="AI634" s="70"/>
      <c r="AJ634" s="70"/>
      <c r="AK634" s="70"/>
      <c r="AL634" s="70"/>
      <c r="AM634" s="70"/>
      <c r="AN634" s="70" t="str">
        <f t="shared" si="191"/>
        <v>---</v>
      </c>
      <c r="AO634" s="70" t="str">
        <f t="shared" si="192"/>
        <v>---</v>
      </c>
      <c r="AP634" s="70" t="str">
        <f t="shared" si="193"/>
        <v>---</v>
      </c>
      <c r="AQ634" s="70" t="str">
        <f t="shared" si="194"/>
        <v>---</v>
      </c>
      <c r="AR634" s="70" t="str">
        <f t="shared" si="195"/>
        <v>---</v>
      </c>
      <c r="AS634" s="70" t="str">
        <f t="shared" si="196"/>
        <v>---</v>
      </c>
      <c r="AT634" s="71" t="str">
        <f t="shared" si="197"/>
        <v>---</v>
      </c>
    </row>
    <row r="635" spans="1:46" ht="30" customHeight="1" x14ac:dyDescent="0.3">
      <c r="A635" s="123">
        <f t="shared" si="181"/>
        <v>631</v>
      </c>
      <c r="B635" s="140">
        <f>INDEX('PEER GROUP'!B:B,MATCH($A635,'PEER GROUP'!$A:$A,0))</f>
        <v>0</v>
      </c>
      <c r="C635" s="83">
        <f>INDEX('PEER GROUP'!C:C,MATCH($A635,'PEER GROUP'!$A:$A,0))</f>
        <v>0</v>
      </c>
      <c r="D635" s="83">
        <f>INDEX('PEER GROUP'!D:D,MATCH($A635,'PEER GROUP'!$A:$A,0))</f>
        <v>0</v>
      </c>
      <c r="E635" s="83">
        <f>INDEX('PEER GROUP'!E:E,MATCH(A635,'PEER GROUP'!$A:$A,0))</f>
        <v>0</v>
      </c>
      <c r="F635" s="84">
        <f>INDEX('PEER GROUP'!F:F,MATCH($A635,'PEER GROUP'!$A:$A,0))</f>
        <v>0</v>
      </c>
      <c r="G635" s="84">
        <f>INDEX('PEER GROUP'!G:G,MATCH($A635,'PEER GROUP'!$A:$A,0))</f>
        <v>0</v>
      </c>
      <c r="H635" s="85"/>
      <c r="I635" s="85"/>
      <c r="J635" s="70">
        <f>INDEX('PEER GROUP'!K:K,MATCH($A635,'PEER GROUP'!$A:$A,0))</f>
        <v>0</v>
      </c>
      <c r="K635" s="70">
        <f>INDEX('PEER GROUP'!L:L,MATCH($A635,'PEER GROUP'!$A:$A,0))</f>
        <v>0</v>
      </c>
      <c r="L635" s="70">
        <f>INDEX('PEER GROUP'!M:M,MATCH($A635,'PEER GROUP'!$A:$A,0))</f>
        <v>0</v>
      </c>
      <c r="M635" s="86">
        <f>INDEX('PEER GROUP'!N:N,MATCH($A635,'PEER GROUP'!$A:$A,0))</f>
        <v>0</v>
      </c>
      <c r="N635" s="118"/>
      <c r="O635" s="115"/>
      <c r="P635" s="117"/>
      <c r="Q635" s="87"/>
      <c r="R635" s="87">
        <f t="shared" si="182"/>
        <v>0</v>
      </c>
      <c r="S635" s="87"/>
      <c r="T635" s="87"/>
      <c r="U635" s="87"/>
      <c r="V635" s="87">
        <f t="shared" si="183"/>
        <v>0</v>
      </c>
      <c r="W635" s="113">
        <f t="shared" si="180"/>
        <v>36.913096727263202</v>
      </c>
      <c r="X635" s="69">
        <f t="shared" si="184"/>
        <v>0</v>
      </c>
      <c r="Y635" s="70">
        <f t="shared" si="185"/>
        <v>0</v>
      </c>
      <c r="Z635" s="70">
        <f t="shared" si="186"/>
        <v>0</v>
      </c>
      <c r="AA635" s="70">
        <f t="shared" si="187"/>
        <v>0</v>
      </c>
      <c r="AB635" s="70">
        <f t="shared" si="188"/>
        <v>0</v>
      </c>
      <c r="AC635" s="70">
        <f t="shared" si="189"/>
        <v>0</v>
      </c>
      <c r="AD635" s="71">
        <f t="shared" si="190"/>
        <v>0</v>
      </c>
      <c r="AE635" s="49"/>
      <c r="AF635" s="21"/>
      <c r="AG635" s="69"/>
      <c r="AH635" s="70"/>
      <c r="AI635" s="70"/>
      <c r="AJ635" s="70"/>
      <c r="AK635" s="70"/>
      <c r="AL635" s="70"/>
      <c r="AM635" s="70"/>
      <c r="AN635" s="70" t="str">
        <f t="shared" si="191"/>
        <v>---</v>
      </c>
      <c r="AO635" s="70" t="str">
        <f t="shared" si="192"/>
        <v>---</v>
      </c>
      <c r="AP635" s="70" t="str">
        <f t="shared" si="193"/>
        <v>---</v>
      </c>
      <c r="AQ635" s="70" t="str">
        <f t="shared" si="194"/>
        <v>---</v>
      </c>
      <c r="AR635" s="70" t="str">
        <f t="shared" si="195"/>
        <v>---</v>
      </c>
      <c r="AS635" s="70" t="str">
        <f t="shared" si="196"/>
        <v>---</v>
      </c>
      <c r="AT635" s="71" t="str">
        <f t="shared" si="197"/>
        <v>---</v>
      </c>
    </row>
    <row r="636" spans="1:46" ht="30" customHeight="1" x14ac:dyDescent="0.3">
      <c r="A636" s="123">
        <f t="shared" si="181"/>
        <v>632</v>
      </c>
      <c r="B636" s="140">
        <f>INDEX('PEER GROUP'!B:B,MATCH($A636,'PEER GROUP'!$A:$A,0))</f>
        <v>0</v>
      </c>
      <c r="C636" s="83">
        <f>INDEX('PEER GROUP'!C:C,MATCH($A636,'PEER GROUP'!$A:$A,0))</f>
        <v>0</v>
      </c>
      <c r="D636" s="83">
        <f>INDEX('PEER GROUP'!D:D,MATCH($A636,'PEER GROUP'!$A:$A,0))</f>
        <v>0</v>
      </c>
      <c r="E636" s="83">
        <f>INDEX('PEER GROUP'!E:E,MATCH(A636,'PEER GROUP'!$A:$A,0))</f>
        <v>0</v>
      </c>
      <c r="F636" s="84">
        <f>INDEX('PEER GROUP'!F:F,MATCH($A636,'PEER GROUP'!$A:$A,0))</f>
        <v>0</v>
      </c>
      <c r="G636" s="84">
        <f>INDEX('PEER GROUP'!G:G,MATCH($A636,'PEER GROUP'!$A:$A,0))</f>
        <v>0</v>
      </c>
      <c r="H636" s="85"/>
      <c r="I636" s="85"/>
      <c r="J636" s="70">
        <f>INDEX('PEER GROUP'!K:K,MATCH($A636,'PEER GROUP'!$A:$A,0))</f>
        <v>0</v>
      </c>
      <c r="K636" s="70">
        <f>INDEX('PEER GROUP'!L:L,MATCH($A636,'PEER GROUP'!$A:$A,0))</f>
        <v>0</v>
      </c>
      <c r="L636" s="70">
        <f>INDEX('PEER GROUP'!M:M,MATCH($A636,'PEER GROUP'!$A:$A,0))</f>
        <v>0</v>
      </c>
      <c r="M636" s="86">
        <f>INDEX('PEER GROUP'!N:N,MATCH($A636,'PEER GROUP'!$A:$A,0))</f>
        <v>0</v>
      </c>
      <c r="N636" s="118"/>
      <c r="O636" s="115"/>
      <c r="P636" s="117"/>
      <c r="Q636" s="87"/>
      <c r="R636" s="87">
        <f t="shared" si="182"/>
        <v>0</v>
      </c>
      <c r="S636" s="87"/>
      <c r="T636" s="87"/>
      <c r="U636" s="87"/>
      <c r="V636" s="87">
        <f t="shared" si="183"/>
        <v>0</v>
      </c>
      <c r="W636" s="113">
        <f t="shared" si="180"/>
        <v>36.913096727263202</v>
      </c>
      <c r="X636" s="69">
        <f t="shared" si="184"/>
        <v>0</v>
      </c>
      <c r="Y636" s="70">
        <f t="shared" si="185"/>
        <v>0</v>
      </c>
      <c r="Z636" s="70">
        <f t="shared" si="186"/>
        <v>0</v>
      </c>
      <c r="AA636" s="70">
        <f t="shared" si="187"/>
        <v>0</v>
      </c>
      <c r="AB636" s="70">
        <f t="shared" si="188"/>
        <v>0</v>
      </c>
      <c r="AC636" s="70">
        <f t="shared" si="189"/>
        <v>0</v>
      </c>
      <c r="AD636" s="71">
        <f t="shared" si="190"/>
        <v>0</v>
      </c>
      <c r="AE636" s="49"/>
      <c r="AF636" s="21"/>
      <c r="AG636" s="69"/>
      <c r="AH636" s="70"/>
      <c r="AI636" s="70"/>
      <c r="AJ636" s="70"/>
      <c r="AK636" s="70"/>
      <c r="AL636" s="70"/>
      <c r="AM636" s="70"/>
      <c r="AN636" s="70" t="str">
        <f t="shared" si="191"/>
        <v>---</v>
      </c>
      <c r="AO636" s="70" t="str">
        <f t="shared" si="192"/>
        <v>---</v>
      </c>
      <c r="AP636" s="70" t="str">
        <f t="shared" si="193"/>
        <v>---</v>
      </c>
      <c r="AQ636" s="70" t="str">
        <f t="shared" si="194"/>
        <v>---</v>
      </c>
      <c r="AR636" s="70" t="str">
        <f t="shared" si="195"/>
        <v>---</v>
      </c>
      <c r="AS636" s="70" t="str">
        <f t="shared" si="196"/>
        <v>---</v>
      </c>
      <c r="AT636" s="71" t="str">
        <f t="shared" si="197"/>
        <v>---</v>
      </c>
    </row>
    <row r="637" spans="1:46" ht="30" customHeight="1" x14ac:dyDescent="0.3">
      <c r="A637" s="123">
        <f t="shared" si="181"/>
        <v>633</v>
      </c>
      <c r="B637" s="140">
        <f>INDEX('PEER GROUP'!B:B,MATCH($A637,'PEER GROUP'!$A:$A,0))</f>
        <v>0</v>
      </c>
      <c r="C637" s="83">
        <f>INDEX('PEER GROUP'!C:C,MATCH($A637,'PEER GROUP'!$A:$A,0))</f>
        <v>0</v>
      </c>
      <c r="D637" s="83">
        <f>INDEX('PEER GROUP'!D:D,MATCH($A637,'PEER GROUP'!$A:$A,0))</f>
        <v>0</v>
      </c>
      <c r="E637" s="83">
        <f>INDEX('PEER GROUP'!E:E,MATCH(A637,'PEER GROUP'!$A:$A,0))</f>
        <v>0</v>
      </c>
      <c r="F637" s="84">
        <f>INDEX('PEER GROUP'!F:F,MATCH($A637,'PEER GROUP'!$A:$A,0))</f>
        <v>0</v>
      </c>
      <c r="G637" s="84">
        <f>INDEX('PEER GROUP'!G:G,MATCH($A637,'PEER GROUP'!$A:$A,0))</f>
        <v>0</v>
      </c>
      <c r="H637" s="85"/>
      <c r="I637" s="85"/>
      <c r="J637" s="70">
        <f>INDEX('PEER GROUP'!K:K,MATCH($A637,'PEER GROUP'!$A:$A,0))</f>
        <v>0</v>
      </c>
      <c r="K637" s="70">
        <f>INDEX('PEER GROUP'!L:L,MATCH($A637,'PEER GROUP'!$A:$A,0))</f>
        <v>0</v>
      </c>
      <c r="L637" s="70">
        <f>INDEX('PEER GROUP'!M:M,MATCH($A637,'PEER GROUP'!$A:$A,0))</f>
        <v>0</v>
      </c>
      <c r="M637" s="86">
        <f>INDEX('PEER GROUP'!N:N,MATCH($A637,'PEER GROUP'!$A:$A,0))</f>
        <v>0</v>
      </c>
      <c r="N637" s="118"/>
      <c r="O637" s="115"/>
      <c r="P637" s="117"/>
      <c r="Q637" s="87"/>
      <c r="R637" s="87">
        <f t="shared" si="182"/>
        <v>0</v>
      </c>
      <c r="S637" s="87"/>
      <c r="T637" s="87"/>
      <c r="U637" s="87"/>
      <c r="V637" s="87">
        <f t="shared" si="183"/>
        <v>0</v>
      </c>
      <c r="W637" s="113">
        <f t="shared" si="180"/>
        <v>36.913096727263202</v>
      </c>
      <c r="X637" s="69">
        <f t="shared" si="184"/>
        <v>0</v>
      </c>
      <c r="Y637" s="70">
        <f t="shared" si="185"/>
        <v>0</v>
      </c>
      <c r="Z637" s="70">
        <f t="shared" si="186"/>
        <v>0</v>
      </c>
      <c r="AA637" s="70">
        <f t="shared" si="187"/>
        <v>0</v>
      </c>
      <c r="AB637" s="70">
        <f t="shared" si="188"/>
        <v>0</v>
      </c>
      <c r="AC637" s="70">
        <f t="shared" si="189"/>
        <v>0</v>
      </c>
      <c r="AD637" s="71">
        <f t="shared" si="190"/>
        <v>0</v>
      </c>
      <c r="AE637" s="49"/>
      <c r="AF637" s="21"/>
      <c r="AG637" s="69"/>
      <c r="AH637" s="70"/>
      <c r="AI637" s="70"/>
      <c r="AJ637" s="70"/>
      <c r="AK637" s="70"/>
      <c r="AL637" s="70"/>
      <c r="AM637" s="70"/>
      <c r="AN637" s="70" t="str">
        <f t="shared" si="191"/>
        <v>---</v>
      </c>
      <c r="AO637" s="70" t="str">
        <f t="shared" si="192"/>
        <v>---</v>
      </c>
      <c r="AP637" s="70" t="str">
        <f t="shared" si="193"/>
        <v>---</v>
      </c>
      <c r="AQ637" s="70" t="str">
        <f t="shared" si="194"/>
        <v>---</v>
      </c>
      <c r="AR637" s="70" t="str">
        <f t="shared" si="195"/>
        <v>---</v>
      </c>
      <c r="AS637" s="70" t="str">
        <f t="shared" si="196"/>
        <v>---</v>
      </c>
      <c r="AT637" s="71" t="str">
        <f t="shared" si="197"/>
        <v>---</v>
      </c>
    </row>
    <row r="638" spans="1:46" ht="30" customHeight="1" x14ac:dyDescent="0.3">
      <c r="A638" s="123">
        <f t="shared" si="181"/>
        <v>634</v>
      </c>
      <c r="B638" s="140">
        <f>INDEX('PEER GROUP'!B:B,MATCH($A638,'PEER GROUP'!$A:$A,0))</f>
        <v>0</v>
      </c>
      <c r="C638" s="83">
        <f>INDEX('PEER GROUP'!C:C,MATCH($A638,'PEER GROUP'!$A:$A,0))</f>
        <v>0</v>
      </c>
      <c r="D638" s="83">
        <f>INDEX('PEER GROUP'!D:D,MATCH($A638,'PEER GROUP'!$A:$A,0))</f>
        <v>0</v>
      </c>
      <c r="E638" s="83">
        <f>INDEX('PEER GROUP'!E:E,MATCH(A638,'PEER GROUP'!$A:$A,0))</f>
        <v>0</v>
      </c>
      <c r="F638" s="84">
        <f>INDEX('PEER GROUP'!F:F,MATCH($A638,'PEER GROUP'!$A:$A,0))</f>
        <v>0</v>
      </c>
      <c r="G638" s="84">
        <f>INDEX('PEER GROUP'!G:G,MATCH($A638,'PEER GROUP'!$A:$A,0))</f>
        <v>0</v>
      </c>
      <c r="H638" s="85"/>
      <c r="I638" s="85"/>
      <c r="J638" s="70">
        <f>INDEX('PEER GROUP'!K:K,MATCH($A638,'PEER GROUP'!$A:$A,0))</f>
        <v>0</v>
      </c>
      <c r="K638" s="70">
        <f>INDEX('PEER GROUP'!L:L,MATCH($A638,'PEER GROUP'!$A:$A,0))</f>
        <v>0</v>
      </c>
      <c r="L638" s="70">
        <f>INDEX('PEER GROUP'!M:M,MATCH($A638,'PEER GROUP'!$A:$A,0))</f>
        <v>0</v>
      </c>
      <c r="M638" s="86">
        <f>INDEX('PEER GROUP'!N:N,MATCH($A638,'PEER GROUP'!$A:$A,0))</f>
        <v>0</v>
      </c>
      <c r="N638" s="118"/>
      <c r="O638" s="115"/>
      <c r="P638" s="117"/>
      <c r="Q638" s="87"/>
      <c r="R638" s="87">
        <f t="shared" si="182"/>
        <v>0</v>
      </c>
      <c r="S638" s="87"/>
      <c r="T638" s="87"/>
      <c r="U638" s="87"/>
      <c r="V638" s="87">
        <f t="shared" si="183"/>
        <v>0</v>
      </c>
      <c r="W638" s="113">
        <f t="shared" si="180"/>
        <v>36.913096727263202</v>
      </c>
      <c r="X638" s="69">
        <f t="shared" si="184"/>
        <v>0</v>
      </c>
      <c r="Y638" s="70">
        <f t="shared" si="185"/>
        <v>0</v>
      </c>
      <c r="Z638" s="70">
        <f t="shared" si="186"/>
        <v>0</v>
      </c>
      <c r="AA638" s="70">
        <f t="shared" si="187"/>
        <v>0</v>
      </c>
      <c r="AB638" s="70">
        <f t="shared" si="188"/>
        <v>0</v>
      </c>
      <c r="AC638" s="70">
        <f t="shared" si="189"/>
        <v>0</v>
      </c>
      <c r="AD638" s="71">
        <f t="shared" si="190"/>
        <v>0</v>
      </c>
      <c r="AE638" s="49"/>
      <c r="AF638" s="21"/>
      <c r="AG638" s="69"/>
      <c r="AH638" s="70"/>
      <c r="AI638" s="70"/>
      <c r="AJ638" s="70"/>
      <c r="AK638" s="70"/>
      <c r="AL638" s="70"/>
      <c r="AM638" s="70"/>
      <c r="AN638" s="70" t="str">
        <f t="shared" si="191"/>
        <v>---</v>
      </c>
      <c r="AO638" s="70" t="str">
        <f t="shared" si="192"/>
        <v>---</v>
      </c>
      <c r="AP638" s="70" t="str">
        <f t="shared" si="193"/>
        <v>---</v>
      </c>
      <c r="AQ638" s="70" t="str">
        <f t="shared" si="194"/>
        <v>---</v>
      </c>
      <c r="AR638" s="70" t="str">
        <f t="shared" si="195"/>
        <v>---</v>
      </c>
      <c r="AS638" s="70" t="str">
        <f t="shared" si="196"/>
        <v>---</v>
      </c>
      <c r="AT638" s="71" t="str">
        <f t="shared" si="197"/>
        <v>---</v>
      </c>
    </row>
    <row r="639" spans="1:46" ht="30" customHeight="1" x14ac:dyDescent="0.3">
      <c r="A639" s="123">
        <f t="shared" si="181"/>
        <v>635</v>
      </c>
      <c r="B639" s="140">
        <f>INDEX('PEER GROUP'!B:B,MATCH($A639,'PEER GROUP'!$A:$A,0))</f>
        <v>0</v>
      </c>
      <c r="C639" s="83">
        <f>INDEX('PEER GROUP'!C:C,MATCH($A639,'PEER GROUP'!$A:$A,0))</f>
        <v>0</v>
      </c>
      <c r="D639" s="83">
        <f>INDEX('PEER GROUP'!D:D,MATCH($A639,'PEER GROUP'!$A:$A,0))</f>
        <v>0</v>
      </c>
      <c r="E639" s="83">
        <f>INDEX('PEER GROUP'!E:E,MATCH(A639,'PEER GROUP'!$A:$A,0))</f>
        <v>0</v>
      </c>
      <c r="F639" s="84">
        <f>INDEX('PEER GROUP'!F:F,MATCH($A639,'PEER GROUP'!$A:$A,0))</f>
        <v>0</v>
      </c>
      <c r="G639" s="84">
        <f>INDEX('PEER GROUP'!G:G,MATCH($A639,'PEER GROUP'!$A:$A,0))</f>
        <v>0</v>
      </c>
      <c r="H639" s="85"/>
      <c r="I639" s="85"/>
      <c r="J639" s="70">
        <f>INDEX('PEER GROUP'!K:K,MATCH($A639,'PEER GROUP'!$A:$A,0))</f>
        <v>0</v>
      </c>
      <c r="K639" s="70">
        <f>INDEX('PEER GROUP'!L:L,MATCH($A639,'PEER GROUP'!$A:$A,0))</f>
        <v>0</v>
      </c>
      <c r="L639" s="70">
        <f>INDEX('PEER GROUP'!M:M,MATCH($A639,'PEER GROUP'!$A:$A,0))</f>
        <v>0</v>
      </c>
      <c r="M639" s="86">
        <f>INDEX('PEER GROUP'!N:N,MATCH($A639,'PEER GROUP'!$A:$A,0))</f>
        <v>0</v>
      </c>
      <c r="N639" s="118"/>
      <c r="O639" s="115"/>
      <c r="P639" s="117"/>
      <c r="Q639" s="87"/>
      <c r="R639" s="87">
        <f t="shared" si="182"/>
        <v>0</v>
      </c>
      <c r="S639" s="87"/>
      <c r="T639" s="87"/>
      <c r="U639" s="87"/>
      <c r="V639" s="87">
        <f t="shared" si="183"/>
        <v>0</v>
      </c>
      <c r="W639" s="113">
        <f t="shared" si="180"/>
        <v>36.913096727263202</v>
      </c>
      <c r="X639" s="69">
        <f t="shared" si="184"/>
        <v>0</v>
      </c>
      <c r="Y639" s="70">
        <f t="shared" si="185"/>
        <v>0</v>
      </c>
      <c r="Z639" s="70">
        <f t="shared" si="186"/>
        <v>0</v>
      </c>
      <c r="AA639" s="70">
        <f t="shared" si="187"/>
        <v>0</v>
      </c>
      <c r="AB639" s="70">
        <f t="shared" si="188"/>
        <v>0</v>
      </c>
      <c r="AC639" s="70">
        <f t="shared" si="189"/>
        <v>0</v>
      </c>
      <c r="AD639" s="71">
        <f t="shared" si="190"/>
        <v>0</v>
      </c>
      <c r="AE639" s="49"/>
      <c r="AF639" s="21"/>
      <c r="AG639" s="69"/>
      <c r="AH639" s="70"/>
      <c r="AI639" s="70"/>
      <c r="AJ639" s="70"/>
      <c r="AK639" s="70"/>
      <c r="AL639" s="70"/>
      <c r="AM639" s="70"/>
      <c r="AN639" s="70" t="str">
        <f t="shared" si="191"/>
        <v>---</v>
      </c>
      <c r="AO639" s="70" t="str">
        <f t="shared" si="192"/>
        <v>---</v>
      </c>
      <c r="AP639" s="70" t="str">
        <f t="shared" si="193"/>
        <v>---</v>
      </c>
      <c r="AQ639" s="70" t="str">
        <f t="shared" si="194"/>
        <v>---</v>
      </c>
      <c r="AR639" s="70" t="str">
        <f t="shared" si="195"/>
        <v>---</v>
      </c>
      <c r="AS639" s="70" t="str">
        <f t="shared" si="196"/>
        <v>---</v>
      </c>
      <c r="AT639" s="71" t="str">
        <f t="shared" si="197"/>
        <v>---</v>
      </c>
    </row>
    <row r="640" spans="1:46" ht="30" customHeight="1" x14ac:dyDescent="0.3">
      <c r="A640" s="123">
        <f t="shared" si="181"/>
        <v>636</v>
      </c>
      <c r="B640" s="140">
        <f>INDEX('PEER GROUP'!B:B,MATCH($A640,'PEER GROUP'!$A:$A,0))</f>
        <v>0</v>
      </c>
      <c r="C640" s="83">
        <f>INDEX('PEER GROUP'!C:C,MATCH($A640,'PEER GROUP'!$A:$A,0))</f>
        <v>0</v>
      </c>
      <c r="D640" s="83">
        <f>INDEX('PEER GROUP'!D:D,MATCH($A640,'PEER GROUP'!$A:$A,0))</f>
        <v>0</v>
      </c>
      <c r="E640" s="83">
        <f>INDEX('PEER GROUP'!E:E,MATCH(A640,'PEER GROUP'!$A:$A,0))</f>
        <v>0</v>
      </c>
      <c r="F640" s="84">
        <f>INDEX('PEER GROUP'!F:F,MATCH($A640,'PEER GROUP'!$A:$A,0))</f>
        <v>0</v>
      </c>
      <c r="G640" s="84">
        <f>INDEX('PEER GROUP'!G:G,MATCH($A640,'PEER GROUP'!$A:$A,0))</f>
        <v>0</v>
      </c>
      <c r="H640" s="85"/>
      <c r="I640" s="85"/>
      <c r="J640" s="70">
        <f>INDEX('PEER GROUP'!K:K,MATCH($A640,'PEER GROUP'!$A:$A,0))</f>
        <v>0</v>
      </c>
      <c r="K640" s="70">
        <f>INDEX('PEER GROUP'!L:L,MATCH($A640,'PEER GROUP'!$A:$A,0))</f>
        <v>0</v>
      </c>
      <c r="L640" s="70">
        <f>INDEX('PEER GROUP'!M:M,MATCH($A640,'PEER GROUP'!$A:$A,0))</f>
        <v>0</v>
      </c>
      <c r="M640" s="86">
        <f>INDEX('PEER GROUP'!N:N,MATCH($A640,'PEER GROUP'!$A:$A,0))</f>
        <v>0</v>
      </c>
      <c r="N640" s="118"/>
      <c r="O640" s="115"/>
      <c r="P640" s="117"/>
      <c r="Q640" s="87"/>
      <c r="R640" s="87">
        <f t="shared" si="182"/>
        <v>0</v>
      </c>
      <c r="S640" s="87"/>
      <c r="T640" s="87"/>
      <c r="U640" s="87"/>
      <c r="V640" s="87">
        <f t="shared" si="183"/>
        <v>0</v>
      </c>
      <c r="W640" s="113">
        <f t="shared" si="180"/>
        <v>36.913096727263202</v>
      </c>
      <c r="X640" s="69">
        <f t="shared" si="184"/>
        <v>0</v>
      </c>
      <c r="Y640" s="70">
        <f t="shared" si="185"/>
        <v>0</v>
      </c>
      <c r="Z640" s="70">
        <f t="shared" si="186"/>
        <v>0</v>
      </c>
      <c r="AA640" s="70">
        <f t="shared" si="187"/>
        <v>0</v>
      </c>
      <c r="AB640" s="70">
        <f t="shared" si="188"/>
        <v>0</v>
      </c>
      <c r="AC640" s="70">
        <f t="shared" si="189"/>
        <v>0</v>
      </c>
      <c r="AD640" s="71">
        <f t="shared" si="190"/>
        <v>0</v>
      </c>
      <c r="AE640" s="49"/>
      <c r="AF640" s="21"/>
      <c r="AG640" s="69"/>
      <c r="AH640" s="70"/>
      <c r="AI640" s="70"/>
      <c r="AJ640" s="70"/>
      <c r="AK640" s="70"/>
      <c r="AL640" s="70"/>
      <c r="AM640" s="70"/>
      <c r="AN640" s="70" t="str">
        <f t="shared" si="191"/>
        <v>---</v>
      </c>
      <c r="AO640" s="70" t="str">
        <f t="shared" si="192"/>
        <v>---</v>
      </c>
      <c r="AP640" s="70" t="str">
        <f t="shared" si="193"/>
        <v>---</v>
      </c>
      <c r="AQ640" s="70" t="str">
        <f t="shared" si="194"/>
        <v>---</v>
      </c>
      <c r="AR640" s="70" t="str">
        <f t="shared" si="195"/>
        <v>---</v>
      </c>
      <c r="AS640" s="70" t="str">
        <f t="shared" si="196"/>
        <v>---</v>
      </c>
      <c r="AT640" s="71" t="str">
        <f t="shared" si="197"/>
        <v>---</v>
      </c>
    </row>
    <row r="641" spans="1:46" ht="30" customHeight="1" x14ac:dyDescent="0.3">
      <c r="A641" s="123">
        <f t="shared" si="181"/>
        <v>637</v>
      </c>
      <c r="B641" s="140">
        <f>INDEX('PEER GROUP'!B:B,MATCH($A641,'PEER GROUP'!$A:$A,0))</f>
        <v>0</v>
      </c>
      <c r="C641" s="83">
        <f>INDEX('PEER GROUP'!C:C,MATCH($A641,'PEER GROUP'!$A:$A,0))</f>
        <v>0</v>
      </c>
      <c r="D641" s="83">
        <f>INDEX('PEER GROUP'!D:D,MATCH($A641,'PEER GROUP'!$A:$A,0))</f>
        <v>0</v>
      </c>
      <c r="E641" s="83">
        <f>INDEX('PEER GROUP'!E:E,MATCH(A641,'PEER GROUP'!$A:$A,0))</f>
        <v>0</v>
      </c>
      <c r="F641" s="84">
        <f>INDEX('PEER GROUP'!F:F,MATCH($A641,'PEER GROUP'!$A:$A,0))</f>
        <v>0</v>
      </c>
      <c r="G641" s="84">
        <f>INDEX('PEER GROUP'!G:G,MATCH($A641,'PEER GROUP'!$A:$A,0))</f>
        <v>0</v>
      </c>
      <c r="H641" s="85"/>
      <c r="I641" s="85"/>
      <c r="J641" s="70">
        <f>INDEX('PEER GROUP'!K:K,MATCH($A641,'PEER GROUP'!$A:$A,0))</f>
        <v>0</v>
      </c>
      <c r="K641" s="70">
        <f>INDEX('PEER GROUP'!L:L,MATCH($A641,'PEER GROUP'!$A:$A,0))</f>
        <v>0</v>
      </c>
      <c r="L641" s="70">
        <f>INDEX('PEER GROUP'!M:M,MATCH($A641,'PEER GROUP'!$A:$A,0))</f>
        <v>0</v>
      </c>
      <c r="M641" s="86">
        <f>INDEX('PEER GROUP'!N:N,MATCH($A641,'PEER GROUP'!$A:$A,0))</f>
        <v>0</v>
      </c>
      <c r="N641" s="118"/>
      <c r="O641" s="115"/>
      <c r="P641" s="117"/>
      <c r="Q641" s="87"/>
      <c r="R641" s="87">
        <f t="shared" si="182"/>
        <v>0</v>
      </c>
      <c r="S641" s="87"/>
      <c r="T641" s="87"/>
      <c r="U641" s="87"/>
      <c r="V641" s="87">
        <f t="shared" si="183"/>
        <v>0</v>
      </c>
      <c r="W641" s="113">
        <f t="shared" si="180"/>
        <v>36.913096727263202</v>
      </c>
      <c r="X641" s="69">
        <f t="shared" si="184"/>
        <v>0</v>
      </c>
      <c r="Y641" s="70">
        <f t="shared" si="185"/>
        <v>0</v>
      </c>
      <c r="Z641" s="70">
        <f t="shared" si="186"/>
        <v>0</v>
      </c>
      <c r="AA641" s="70">
        <f t="shared" si="187"/>
        <v>0</v>
      </c>
      <c r="AB641" s="70">
        <f t="shared" si="188"/>
        <v>0</v>
      </c>
      <c r="AC641" s="70">
        <f t="shared" si="189"/>
        <v>0</v>
      </c>
      <c r="AD641" s="71">
        <f t="shared" si="190"/>
        <v>0</v>
      </c>
      <c r="AE641" s="49"/>
      <c r="AF641" s="21"/>
      <c r="AG641" s="69"/>
      <c r="AH641" s="70"/>
      <c r="AI641" s="70"/>
      <c r="AJ641" s="70"/>
      <c r="AK641" s="70"/>
      <c r="AL641" s="70"/>
      <c r="AM641" s="70"/>
      <c r="AN641" s="70" t="str">
        <f t="shared" si="191"/>
        <v>---</v>
      </c>
      <c r="AO641" s="70" t="str">
        <f t="shared" si="192"/>
        <v>---</v>
      </c>
      <c r="AP641" s="70" t="str">
        <f t="shared" si="193"/>
        <v>---</v>
      </c>
      <c r="AQ641" s="70" t="str">
        <f t="shared" si="194"/>
        <v>---</v>
      </c>
      <c r="AR641" s="70" t="str">
        <f t="shared" si="195"/>
        <v>---</v>
      </c>
      <c r="AS641" s="70" t="str">
        <f t="shared" si="196"/>
        <v>---</v>
      </c>
      <c r="AT641" s="71" t="str">
        <f t="shared" si="197"/>
        <v>---</v>
      </c>
    </row>
    <row r="642" spans="1:46" ht="30" customHeight="1" x14ac:dyDescent="0.3">
      <c r="A642" s="123">
        <f t="shared" si="181"/>
        <v>638</v>
      </c>
      <c r="B642" s="140">
        <f>INDEX('PEER GROUP'!B:B,MATCH($A642,'PEER GROUP'!$A:$A,0))</f>
        <v>0</v>
      </c>
      <c r="C642" s="83">
        <f>INDEX('PEER GROUP'!C:C,MATCH($A642,'PEER GROUP'!$A:$A,0))</f>
        <v>0</v>
      </c>
      <c r="D642" s="83">
        <f>INDEX('PEER GROUP'!D:D,MATCH($A642,'PEER GROUP'!$A:$A,0))</f>
        <v>0</v>
      </c>
      <c r="E642" s="83">
        <f>INDEX('PEER GROUP'!E:E,MATCH(A642,'PEER GROUP'!$A:$A,0))</f>
        <v>0</v>
      </c>
      <c r="F642" s="84">
        <f>INDEX('PEER GROUP'!F:F,MATCH($A642,'PEER GROUP'!$A:$A,0))</f>
        <v>0</v>
      </c>
      <c r="G642" s="84">
        <f>INDEX('PEER GROUP'!G:G,MATCH($A642,'PEER GROUP'!$A:$A,0))</f>
        <v>0</v>
      </c>
      <c r="H642" s="85"/>
      <c r="I642" s="85"/>
      <c r="J642" s="70">
        <f>INDEX('PEER GROUP'!K:K,MATCH($A642,'PEER GROUP'!$A:$A,0))</f>
        <v>0</v>
      </c>
      <c r="K642" s="70">
        <f>INDEX('PEER GROUP'!L:L,MATCH($A642,'PEER GROUP'!$A:$A,0))</f>
        <v>0</v>
      </c>
      <c r="L642" s="70">
        <f>INDEX('PEER GROUP'!M:M,MATCH($A642,'PEER GROUP'!$A:$A,0))</f>
        <v>0</v>
      </c>
      <c r="M642" s="86">
        <f>INDEX('PEER GROUP'!N:N,MATCH($A642,'PEER GROUP'!$A:$A,0))</f>
        <v>0</v>
      </c>
      <c r="N642" s="118"/>
      <c r="O642" s="115"/>
      <c r="P642" s="117"/>
      <c r="Q642" s="87"/>
      <c r="R642" s="87">
        <f t="shared" si="182"/>
        <v>0</v>
      </c>
      <c r="S642" s="87"/>
      <c r="T642" s="87"/>
      <c r="U642" s="87"/>
      <c r="V642" s="87">
        <f t="shared" si="183"/>
        <v>0</v>
      </c>
      <c r="W642" s="113">
        <f t="shared" si="180"/>
        <v>36.913096727263202</v>
      </c>
      <c r="X642" s="69">
        <f t="shared" si="184"/>
        <v>0</v>
      </c>
      <c r="Y642" s="70">
        <f t="shared" si="185"/>
        <v>0</v>
      </c>
      <c r="Z642" s="70">
        <f t="shared" si="186"/>
        <v>0</v>
      </c>
      <c r="AA642" s="70">
        <f t="shared" si="187"/>
        <v>0</v>
      </c>
      <c r="AB642" s="70">
        <f t="shared" si="188"/>
        <v>0</v>
      </c>
      <c r="AC642" s="70">
        <f t="shared" si="189"/>
        <v>0</v>
      </c>
      <c r="AD642" s="71">
        <f t="shared" si="190"/>
        <v>0</v>
      </c>
      <c r="AE642" s="49"/>
      <c r="AF642" s="21"/>
      <c r="AG642" s="69"/>
      <c r="AH642" s="70"/>
      <c r="AI642" s="70"/>
      <c r="AJ642" s="70"/>
      <c r="AK642" s="70"/>
      <c r="AL642" s="70"/>
      <c r="AM642" s="70"/>
      <c r="AN642" s="70" t="str">
        <f t="shared" si="191"/>
        <v>---</v>
      </c>
      <c r="AO642" s="70" t="str">
        <f t="shared" si="192"/>
        <v>---</v>
      </c>
      <c r="AP642" s="70" t="str">
        <f t="shared" si="193"/>
        <v>---</v>
      </c>
      <c r="AQ642" s="70" t="str">
        <f t="shared" si="194"/>
        <v>---</v>
      </c>
      <c r="AR642" s="70" t="str">
        <f t="shared" si="195"/>
        <v>---</v>
      </c>
      <c r="AS642" s="70" t="str">
        <f t="shared" si="196"/>
        <v>---</v>
      </c>
      <c r="AT642" s="71" t="str">
        <f t="shared" si="197"/>
        <v>---</v>
      </c>
    </row>
    <row r="643" spans="1:46" ht="30" customHeight="1" x14ac:dyDescent="0.3">
      <c r="A643" s="123">
        <f t="shared" si="181"/>
        <v>639</v>
      </c>
      <c r="B643" s="140">
        <f>INDEX('PEER GROUP'!B:B,MATCH($A643,'PEER GROUP'!$A:$A,0))</f>
        <v>0</v>
      </c>
      <c r="C643" s="83">
        <f>INDEX('PEER GROUP'!C:C,MATCH($A643,'PEER GROUP'!$A:$A,0))</f>
        <v>0</v>
      </c>
      <c r="D643" s="83">
        <f>INDEX('PEER GROUP'!D:D,MATCH($A643,'PEER GROUP'!$A:$A,0))</f>
        <v>0</v>
      </c>
      <c r="E643" s="83">
        <f>INDEX('PEER GROUP'!E:E,MATCH(A643,'PEER GROUP'!$A:$A,0))</f>
        <v>0</v>
      </c>
      <c r="F643" s="84">
        <f>INDEX('PEER GROUP'!F:F,MATCH($A643,'PEER GROUP'!$A:$A,0))</f>
        <v>0</v>
      </c>
      <c r="G643" s="84">
        <f>INDEX('PEER GROUP'!G:G,MATCH($A643,'PEER GROUP'!$A:$A,0))</f>
        <v>0</v>
      </c>
      <c r="H643" s="85"/>
      <c r="I643" s="85"/>
      <c r="J643" s="70">
        <f>INDEX('PEER GROUP'!K:K,MATCH($A643,'PEER GROUP'!$A:$A,0))</f>
        <v>0</v>
      </c>
      <c r="K643" s="70">
        <f>INDEX('PEER GROUP'!L:L,MATCH($A643,'PEER GROUP'!$A:$A,0))</f>
        <v>0</v>
      </c>
      <c r="L643" s="70">
        <f>INDEX('PEER GROUP'!M:M,MATCH($A643,'PEER GROUP'!$A:$A,0))</f>
        <v>0</v>
      </c>
      <c r="M643" s="86">
        <f>INDEX('PEER GROUP'!N:N,MATCH($A643,'PEER GROUP'!$A:$A,0))</f>
        <v>0</v>
      </c>
      <c r="N643" s="118"/>
      <c r="O643" s="115"/>
      <c r="P643" s="117"/>
      <c r="Q643" s="87"/>
      <c r="R643" s="87">
        <f t="shared" si="182"/>
        <v>0</v>
      </c>
      <c r="S643" s="87"/>
      <c r="T643" s="87"/>
      <c r="U643" s="87"/>
      <c r="V643" s="87">
        <f t="shared" si="183"/>
        <v>0</v>
      </c>
      <c r="W643" s="113">
        <f t="shared" si="180"/>
        <v>36.913096727263202</v>
      </c>
      <c r="X643" s="69">
        <f t="shared" si="184"/>
        <v>0</v>
      </c>
      <c r="Y643" s="70">
        <f t="shared" si="185"/>
        <v>0</v>
      </c>
      <c r="Z643" s="70">
        <f t="shared" si="186"/>
        <v>0</v>
      </c>
      <c r="AA643" s="70">
        <f t="shared" si="187"/>
        <v>0</v>
      </c>
      <c r="AB643" s="70">
        <f t="shared" si="188"/>
        <v>0</v>
      </c>
      <c r="AC643" s="70">
        <f t="shared" si="189"/>
        <v>0</v>
      </c>
      <c r="AD643" s="71">
        <f t="shared" si="190"/>
        <v>0</v>
      </c>
      <c r="AE643" s="49"/>
      <c r="AF643" s="21"/>
      <c r="AG643" s="69"/>
      <c r="AH643" s="70"/>
      <c r="AI643" s="70"/>
      <c r="AJ643" s="70"/>
      <c r="AK643" s="70"/>
      <c r="AL643" s="70"/>
      <c r="AM643" s="70"/>
      <c r="AN643" s="70" t="str">
        <f t="shared" si="191"/>
        <v>---</v>
      </c>
      <c r="AO643" s="70" t="str">
        <f t="shared" si="192"/>
        <v>---</v>
      </c>
      <c r="AP643" s="70" t="str">
        <f t="shared" si="193"/>
        <v>---</v>
      </c>
      <c r="AQ643" s="70" t="str">
        <f t="shared" si="194"/>
        <v>---</v>
      </c>
      <c r="AR643" s="70" t="str">
        <f t="shared" si="195"/>
        <v>---</v>
      </c>
      <c r="AS643" s="70" t="str">
        <f t="shared" si="196"/>
        <v>---</v>
      </c>
      <c r="AT643" s="71" t="str">
        <f t="shared" si="197"/>
        <v>---</v>
      </c>
    </row>
    <row r="644" spans="1:46" ht="30" customHeight="1" x14ac:dyDescent="0.3">
      <c r="A644" s="123">
        <f t="shared" si="181"/>
        <v>640</v>
      </c>
      <c r="B644" s="140">
        <f>INDEX('PEER GROUP'!B:B,MATCH($A644,'PEER GROUP'!$A:$A,0))</f>
        <v>0</v>
      </c>
      <c r="C644" s="83">
        <f>INDEX('PEER GROUP'!C:C,MATCH($A644,'PEER GROUP'!$A:$A,0))</f>
        <v>0</v>
      </c>
      <c r="D644" s="83">
        <f>INDEX('PEER GROUP'!D:D,MATCH($A644,'PEER GROUP'!$A:$A,0))</f>
        <v>0</v>
      </c>
      <c r="E644" s="83">
        <f>INDEX('PEER GROUP'!E:E,MATCH(A644,'PEER GROUP'!$A:$A,0))</f>
        <v>0</v>
      </c>
      <c r="F644" s="84">
        <f>INDEX('PEER GROUP'!F:F,MATCH($A644,'PEER GROUP'!$A:$A,0))</f>
        <v>0</v>
      </c>
      <c r="G644" s="84">
        <f>INDEX('PEER GROUP'!G:G,MATCH($A644,'PEER GROUP'!$A:$A,0))</f>
        <v>0</v>
      </c>
      <c r="H644" s="85"/>
      <c r="I644" s="85"/>
      <c r="J644" s="70">
        <f>INDEX('PEER GROUP'!K:K,MATCH($A644,'PEER GROUP'!$A:$A,0))</f>
        <v>0</v>
      </c>
      <c r="K644" s="70">
        <f>INDEX('PEER GROUP'!L:L,MATCH($A644,'PEER GROUP'!$A:$A,0))</f>
        <v>0</v>
      </c>
      <c r="L644" s="70">
        <f>INDEX('PEER GROUP'!M:M,MATCH($A644,'PEER GROUP'!$A:$A,0))</f>
        <v>0</v>
      </c>
      <c r="M644" s="86">
        <f>INDEX('PEER GROUP'!N:N,MATCH($A644,'PEER GROUP'!$A:$A,0))</f>
        <v>0</v>
      </c>
      <c r="N644" s="118"/>
      <c r="O644" s="115"/>
      <c r="P644" s="117"/>
      <c r="Q644" s="87"/>
      <c r="R644" s="87">
        <f t="shared" si="182"/>
        <v>0</v>
      </c>
      <c r="S644" s="87"/>
      <c r="T644" s="87"/>
      <c r="U644" s="87"/>
      <c r="V644" s="87">
        <f t="shared" si="183"/>
        <v>0</v>
      </c>
      <c r="W644" s="113">
        <f t="shared" si="180"/>
        <v>36.913096727263202</v>
      </c>
      <c r="X644" s="69">
        <f t="shared" si="184"/>
        <v>0</v>
      </c>
      <c r="Y644" s="70">
        <f t="shared" si="185"/>
        <v>0</v>
      </c>
      <c r="Z644" s="70">
        <f t="shared" si="186"/>
        <v>0</v>
      </c>
      <c r="AA644" s="70">
        <f t="shared" si="187"/>
        <v>0</v>
      </c>
      <c r="AB644" s="70">
        <f t="shared" si="188"/>
        <v>0</v>
      </c>
      <c r="AC644" s="70">
        <f t="shared" si="189"/>
        <v>0</v>
      </c>
      <c r="AD644" s="71">
        <f t="shared" si="190"/>
        <v>0</v>
      </c>
      <c r="AE644" s="49"/>
      <c r="AF644" s="21"/>
      <c r="AG644" s="69"/>
      <c r="AH644" s="70"/>
      <c r="AI644" s="70"/>
      <c r="AJ644" s="70"/>
      <c r="AK644" s="70"/>
      <c r="AL644" s="70"/>
      <c r="AM644" s="70"/>
      <c r="AN644" s="70" t="str">
        <f t="shared" si="191"/>
        <v>---</v>
      </c>
      <c r="AO644" s="70" t="str">
        <f t="shared" si="192"/>
        <v>---</v>
      </c>
      <c r="AP644" s="70" t="str">
        <f t="shared" si="193"/>
        <v>---</v>
      </c>
      <c r="AQ644" s="70" t="str">
        <f t="shared" si="194"/>
        <v>---</v>
      </c>
      <c r="AR644" s="70" t="str">
        <f t="shared" si="195"/>
        <v>---</v>
      </c>
      <c r="AS644" s="70" t="str">
        <f t="shared" si="196"/>
        <v>---</v>
      </c>
      <c r="AT644" s="71" t="str">
        <f t="shared" si="197"/>
        <v>---</v>
      </c>
    </row>
    <row r="645" spans="1:46" ht="30" customHeight="1" x14ac:dyDescent="0.3">
      <c r="A645" s="123">
        <f t="shared" si="181"/>
        <v>641</v>
      </c>
      <c r="B645" s="140">
        <f>INDEX('PEER GROUP'!B:B,MATCH($A645,'PEER GROUP'!$A:$A,0))</f>
        <v>0</v>
      </c>
      <c r="C645" s="83">
        <f>INDEX('PEER GROUP'!C:C,MATCH($A645,'PEER GROUP'!$A:$A,0))</f>
        <v>0</v>
      </c>
      <c r="D645" s="83">
        <f>INDEX('PEER GROUP'!D:D,MATCH($A645,'PEER GROUP'!$A:$A,0))</f>
        <v>0</v>
      </c>
      <c r="E645" s="83">
        <f>INDEX('PEER GROUP'!E:E,MATCH(A645,'PEER GROUP'!$A:$A,0))</f>
        <v>0</v>
      </c>
      <c r="F645" s="84">
        <f>INDEX('PEER GROUP'!F:F,MATCH($A645,'PEER GROUP'!$A:$A,0))</f>
        <v>0</v>
      </c>
      <c r="G645" s="84">
        <f>INDEX('PEER GROUP'!G:G,MATCH($A645,'PEER GROUP'!$A:$A,0))</f>
        <v>0</v>
      </c>
      <c r="H645" s="85"/>
      <c r="I645" s="85"/>
      <c r="J645" s="70">
        <f>INDEX('PEER GROUP'!K:K,MATCH($A645,'PEER GROUP'!$A:$A,0))</f>
        <v>0</v>
      </c>
      <c r="K645" s="70">
        <f>INDEX('PEER GROUP'!L:L,MATCH($A645,'PEER GROUP'!$A:$A,0))</f>
        <v>0</v>
      </c>
      <c r="L645" s="70">
        <f>INDEX('PEER GROUP'!M:M,MATCH($A645,'PEER GROUP'!$A:$A,0))</f>
        <v>0</v>
      </c>
      <c r="M645" s="86">
        <f>INDEX('PEER GROUP'!N:N,MATCH($A645,'PEER GROUP'!$A:$A,0))</f>
        <v>0</v>
      </c>
      <c r="N645" s="118"/>
      <c r="O645" s="115"/>
      <c r="P645" s="117"/>
      <c r="Q645" s="87"/>
      <c r="R645" s="87">
        <f t="shared" si="182"/>
        <v>0</v>
      </c>
      <c r="S645" s="87"/>
      <c r="T645" s="87"/>
      <c r="U645" s="87"/>
      <c r="V645" s="87">
        <f t="shared" si="183"/>
        <v>0</v>
      </c>
      <c r="W645" s="113">
        <f t="shared" si="180"/>
        <v>36.913096727263202</v>
      </c>
      <c r="X645" s="69">
        <f t="shared" si="184"/>
        <v>0</v>
      </c>
      <c r="Y645" s="70">
        <f t="shared" si="185"/>
        <v>0</v>
      </c>
      <c r="Z645" s="70">
        <f t="shared" si="186"/>
        <v>0</v>
      </c>
      <c r="AA645" s="70">
        <f t="shared" si="187"/>
        <v>0</v>
      </c>
      <c r="AB645" s="70">
        <f t="shared" si="188"/>
        <v>0</v>
      </c>
      <c r="AC645" s="70">
        <f t="shared" si="189"/>
        <v>0</v>
      </c>
      <c r="AD645" s="71">
        <f t="shared" si="190"/>
        <v>0</v>
      </c>
      <c r="AE645" s="49"/>
      <c r="AF645" s="21"/>
      <c r="AG645" s="69"/>
      <c r="AH645" s="70"/>
      <c r="AI645" s="70"/>
      <c r="AJ645" s="70"/>
      <c r="AK645" s="70"/>
      <c r="AL645" s="70"/>
      <c r="AM645" s="70"/>
      <c r="AN645" s="70" t="str">
        <f t="shared" si="191"/>
        <v>---</v>
      </c>
      <c r="AO645" s="70" t="str">
        <f t="shared" si="192"/>
        <v>---</v>
      </c>
      <c r="AP645" s="70" t="str">
        <f t="shared" si="193"/>
        <v>---</v>
      </c>
      <c r="AQ645" s="70" t="str">
        <f t="shared" si="194"/>
        <v>---</v>
      </c>
      <c r="AR645" s="70" t="str">
        <f t="shared" si="195"/>
        <v>---</v>
      </c>
      <c r="AS645" s="70" t="str">
        <f t="shared" si="196"/>
        <v>---</v>
      </c>
      <c r="AT645" s="71" t="str">
        <f t="shared" si="197"/>
        <v>---</v>
      </c>
    </row>
    <row r="646" spans="1:46" ht="30" customHeight="1" x14ac:dyDescent="0.3">
      <c r="A646" s="123">
        <f t="shared" si="181"/>
        <v>642</v>
      </c>
      <c r="B646" s="140">
        <f>INDEX('PEER GROUP'!B:B,MATCH($A646,'PEER GROUP'!$A:$A,0))</f>
        <v>0</v>
      </c>
      <c r="C646" s="83">
        <f>INDEX('PEER GROUP'!C:C,MATCH($A646,'PEER GROUP'!$A:$A,0))</f>
        <v>0</v>
      </c>
      <c r="D646" s="83">
        <f>INDEX('PEER GROUP'!D:D,MATCH($A646,'PEER GROUP'!$A:$A,0))</f>
        <v>0</v>
      </c>
      <c r="E646" s="83">
        <f>INDEX('PEER GROUP'!E:E,MATCH(A646,'PEER GROUP'!$A:$A,0))</f>
        <v>0</v>
      </c>
      <c r="F646" s="84">
        <f>INDEX('PEER GROUP'!F:F,MATCH($A646,'PEER GROUP'!$A:$A,0))</f>
        <v>0</v>
      </c>
      <c r="G646" s="84">
        <f>INDEX('PEER GROUP'!G:G,MATCH($A646,'PEER GROUP'!$A:$A,0))</f>
        <v>0</v>
      </c>
      <c r="H646" s="85"/>
      <c r="I646" s="85"/>
      <c r="J646" s="70">
        <f>INDEX('PEER GROUP'!K:K,MATCH($A646,'PEER GROUP'!$A:$A,0))</f>
        <v>0</v>
      </c>
      <c r="K646" s="70">
        <f>INDEX('PEER GROUP'!L:L,MATCH($A646,'PEER GROUP'!$A:$A,0))</f>
        <v>0</v>
      </c>
      <c r="L646" s="70">
        <f>INDEX('PEER GROUP'!M:M,MATCH($A646,'PEER GROUP'!$A:$A,0))</f>
        <v>0</v>
      </c>
      <c r="M646" s="86">
        <f>INDEX('PEER GROUP'!N:N,MATCH($A646,'PEER GROUP'!$A:$A,0))</f>
        <v>0</v>
      </c>
      <c r="N646" s="118"/>
      <c r="O646" s="115"/>
      <c r="P646" s="117"/>
      <c r="Q646" s="87"/>
      <c r="R646" s="87">
        <f t="shared" si="182"/>
        <v>0</v>
      </c>
      <c r="S646" s="87"/>
      <c r="T646" s="87"/>
      <c r="U646" s="87"/>
      <c r="V646" s="87">
        <f t="shared" si="183"/>
        <v>0</v>
      </c>
      <c r="W646" s="113">
        <f t="shared" si="180"/>
        <v>36.913096727263202</v>
      </c>
      <c r="X646" s="69">
        <f t="shared" si="184"/>
        <v>0</v>
      </c>
      <c r="Y646" s="70">
        <f t="shared" si="185"/>
        <v>0</v>
      </c>
      <c r="Z646" s="70">
        <f t="shared" si="186"/>
        <v>0</v>
      </c>
      <c r="AA646" s="70">
        <f t="shared" si="187"/>
        <v>0</v>
      </c>
      <c r="AB646" s="70">
        <f t="shared" si="188"/>
        <v>0</v>
      </c>
      <c r="AC646" s="70">
        <f t="shared" si="189"/>
        <v>0</v>
      </c>
      <c r="AD646" s="71">
        <f t="shared" si="190"/>
        <v>0</v>
      </c>
      <c r="AE646" s="49"/>
      <c r="AF646" s="21"/>
      <c r="AG646" s="69"/>
      <c r="AH646" s="70"/>
      <c r="AI646" s="70"/>
      <c r="AJ646" s="70"/>
      <c r="AK646" s="70"/>
      <c r="AL646" s="70"/>
      <c r="AM646" s="70"/>
      <c r="AN646" s="70" t="str">
        <f t="shared" si="191"/>
        <v>---</v>
      </c>
      <c r="AO646" s="70" t="str">
        <f t="shared" si="192"/>
        <v>---</v>
      </c>
      <c r="AP646" s="70" t="str">
        <f t="shared" si="193"/>
        <v>---</v>
      </c>
      <c r="AQ646" s="70" t="str">
        <f t="shared" si="194"/>
        <v>---</v>
      </c>
      <c r="AR646" s="70" t="str">
        <f t="shared" si="195"/>
        <v>---</v>
      </c>
      <c r="AS646" s="70" t="str">
        <f t="shared" si="196"/>
        <v>---</v>
      </c>
      <c r="AT646" s="71" t="str">
        <f t="shared" si="197"/>
        <v>---</v>
      </c>
    </row>
    <row r="647" spans="1:46" ht="30" customHeight="1" x14ac:dyDescent="0.3">
      <c r="A647" s="123">
        <f t="shared" si="181"/>
        <v>643</v>
      </c>
      <c r="B647" s="140">
        <f>INDEX('PEER GROUP'!B:B,MATCH($A647,'PEER GROUP'!$A:$A,0))</f>
        <v>0</v>
      </c>
      <c r="C647" s="83">
        <f>INDEX('PEER GROUP'!C:C,MATCH($A647,'PEER GROUP'!$A:$A,0))</f>
        <v>0</v>
      </c>
      <c r="D647" s="83">
        <f>INDEX('PEER GROUP'!D:D,MATCH($A647,'PEER GROUP'!$A:$A,0))</f>
        <v>0</v>
      </c>
      <c r="E647" s="83">
        <f>INDEX('PEER GROUP'!E:E,MATCH(A647,'PEER GROUP'!$A:$A,0))</f>
        <v>0</v>
      </c>
      <c r="F647" s="84">
        <f>INDEX('PEER GROUP'!F:F,MATCH($A647,'PEER GROUP'!$A:$A,0))</f>
        <v>0</v>
      </c>
      <c r="G647" s="84">
        <f>INDEX('PEER GROUP'!G:G,MATCH($A647,'PEER GROUP'!$A:$A,0))</f>
        <v>0</v>
      </c>
      <c r="H647" s="85"/>
      <c r="I647" s="85"/>
      <c r="J647" s="70">
        <f>INDEX('PEER GROUP'!K:K,MATCH($A647,'PEER GROUP'!$A:$A,0))</f>
        <v>0</v>
      </c>
      <c r="K647" s="70">
        <f>INDEX('PEER GROUP'!L:L,MATCH($A647,'PEER GROUP'!$A:$A,0))</f>
        <v>0</v>
      </c>
      <c r="L647" s="70">
        <f>INDEX('PEER GROUP'!M:M,MATCH($A647,'PEER GROUP'!$A:$A,0))</f>
        <v>0</v>
      </c>
      <c r="M647" s="86">
        <f>INDEX('PEER GROUP'!N:N,MATCH($A647,'PEER GROUP'!$A:$A,0))</f>
        <v>0</v>
      </c>
      <c r="N647" s="118"/>
      <c r="O647" s="115"/>
      <c r="P647" s="117"/>
      <c r="Q647" s="87"/>
      <c r="R647" s="87">
        <f t="shared" si="182"/>
        <v>0</v>
      </c>
      <c r="S647" s="87"/>
      <c r="T647" s="87"/>
      <c r="U647" s="87"/>
      <c r="V647" s="87">
        <f t="shared" si="183"/>
        <v>0</v>
      </c>
      <c r="W647" s="113">
        <f t="shared" si="180"/>
        <v>36.913096727263202</v>
      </c>
      <c r="X647" s="69">
        <f t="shared" si="184"/>
        <v>0</v>
      </c>
      <c r="Y647" s="70">
        <f t="shared" si="185"/>
        <v>0</v>
      </c>
      <c r="Z647" s="70">
        <f t="shared" si="186"/>
        <v>0</v>
      </c>
      <c r="AA647" s="70">
        <f t="shared" si="187"/>
        <v>0</v>
      </c>
      <c r="AB647" s="70">
        <f t="shared" si="188"/>
        <v>0</v>
      </c>
      <c r="AC647" s="70">
        <f t="shared" si="189"/>
        <v>0</v>
      </c>
      <c r="AD647" s="71">
        <f t="shared" si="190"/>
        <v>0</v>
      </c>
      <c r="AE647" s="49"/>
      <c r="AF647" s="21"/>
      <c r="AG647" s="69"/>
      <c r="AH647" s="70"/>
      <c r="AI647" s="70"/>
      <c r="AJ647" s="70"/>
      <c r="AK647" s="70"/>
      <c r="AL647" s="70"/>
      <c r="AM647" s="70"/>
      <c r="AN647" s="70" t="str">
        <f t="shared" si="191"/>
        <v>---</v>
      </c>
      <c r="AO647" s="70" t="str">
        <f t="shared" si="192"/>
        <v>---</v>
      </c>
      <c r="AP647" s="70" t="str">
        <f t="shared" si="193"/>
        <v>---</v>
      </c>
      <c r="AQ647" s="70" t="str">
        <f t="shared" si="194"/>
        <v>---</v>
      </c>
      <c r="AR647" s="70" t="str">
        <f t="shared" si="195"/>
        <v>---</v>
      </c>
      <c r="AS647" s="70" t="str">
        <f t="shared" si="196"/>
        <v>---</v>
      </c>
      <c r="AT647" s="71" t="str">
        <f t="shared" si="197"/>
        <v>---</v>
      </c>
    </row>
    <row r="648" spans="1:46" ht="30" customHeight="1" x14ac:dyDescent="0.3">
      <c r="A648" s="123">
        <f t="shared" si="181"/>
        <v>644</v>
      </c>
      <c r="B648" s="140">
        <f>INDEX('PEER GROUP'!B:B,MATCH($A648,'PEER GROUP'!$A:$A,0))</f>
        <v>0</v>
      </c>
      <c r="C648" s="83">
        <f>INDEX('PEER GROUP'!C:C,MATCH($A648,'PEER GROUP'!$A:$A,0))</f>
        <v>0</v>
      </c>
      <c r="D648" s="83">
        <f>INDEX('PEER GROUP'!D:D,MATCH($A648,'PEER GROUP'!$A:$A,0))</f>
        <v>0</v>
      </c>
      <c r="E648" s="83">
        <f>INDEX('PEER GROUP'!E:E,MATCH(A648,'PEER GROUP'!$A:$A,0))</f>
        <v>0</v>
      </c>
      <c r="F648" s="84">
        <f>INDEX('PEER GROUP'!F:F,MATCH($A648,'PEER GROUP'!$A:$A,0))</f>
        <v>0</v>
      </c>
      <c r="G648" s="84">
        <f>INDEX('PEER GROUP'!G:G,MATCH($A648,'PEER GROUP'!$A:$A,0))</f>
        <v>0</v>
      </c>
      <c r="H648" s="85"/>
      <c r="I648" s="85"/>
      <c r="J648" s="70">
        <f>INDEX('PEER GROUP'!K:K,MATCH($A648,'PEER GROUP'!$A:$A,0))</f>
        <v>0</v>
      </c>
      <c r="K648" s="70">
        <f>INDEX('PEER GROUP'!L:L,MATCH($A648,'PEER GROUP'!$A:$A,0))</f>
        <v>0</v>
      </c>
      <c r="L648" s="70">
        <f>INDEX('PEER GROUP'!M:M,MATCH($A648,'PEER GROUP'!$A:$A,0))</f>
        <v>0</v>
      </c>
      <c r="M648" s="86">
        <f>INDEX('PEER GROUP'!N:N,MATCH($A648,'PEER GROUP'!$A:$A,0))</f>
        <v>0</v>
      </c>
      <c r="N648" s="118"/>
      <c r="O648" s="115"/>
      <c r="P648" s="117"/>
      <c r="Q648" s="87"/>
      <c r="R648" s="87">
        <f t="shared" si="182"/>
        <v>0</v>
      </c>
      <c r="S648" s="87"/>
      <c r="T648" s="87"/>
      <c r="U648" s="87"/>
      <c r="V648" s="87">
        <f t="shared" si="183"/>
        <v>0</v>
      </c>
      <c r="W648" s="113">
        <f t="shared" si="180"/>
        <v>36.913096727263202</v>
      </c>
      <c r="X648" s="69">
        <f t="shared" si="184"/>
        <v>0</v>
      </c>
      <c r="Y648" s="70">
        <f t="shared" si="185"/>
        <v>0</v>
      </c>
      <c r="Z648" s="70">
        <f t="shared" si="186"/>
        <v>0</v>
      </c>
      <c r="AA648" s="70">
        <f t="shared" si="187"/>
        <v>0</v>
      </c>
      <c r="AB648" s="70">
        <f t="shared" si="188"/>
        <v>0</v>
      </c>
      <c r="AC648" s="70">
        <f t="shared" si="189"/>
        <v>0</v>
      </c>
      <c r="AD648" s="71">
        <f t="shared" si="190"/>
        <v>0</v>
      </c>
      <c r="AE648" s="49"/>
      <c r="AF648" s="21"/>
      <c r="AG648" s="69"/>
      <c r="AH648" s="70"/>
      <c r="AI648" s="70"/>
      <c r="AJ648" s="70"/>
      <c r="AK648" s="70"/>
      <c r="AL648" s="70"/>
      <c r="AM648" s="70"/>
      <c r="AN648" s="70" t="str">
        <f t="shared" si="191"/>
        <v>---</v>
      </c>
      <c r="AO648" s="70" t="str">
        <f t="shared" si="192"/>
        <v>---</v>
      </c>
      <c r="AP648" s="70" t="str">
        <f t="shared" si="193"/>
        <v>---</v>
      </c>
      <c r="AQ648" s="70" t="str">
        <f t="shared" si="194"/>
        <v>---</v>
      </c>
      <c r="AR648" s="70" t="str">
        <f t="shared" si="195"/>
        <v>---</v>
      </c>
      <c r="AS648" s="70" t="str">
        <f t="shared" si="196"/>
        <v>---</v>
      </c>
      <c r="AT648" s="71" t="str">
        <f t="shared" si="197"/>
        <v>---</v>
      </c>
    </row>
    <row r="649" spans="1:46" ht="30" customHeight="1" x14ac:dyDescent="0.3">
      <c r="A649" s="123">
        <f t="shared" si="181"/>
        <v>645</v>
      </c>
      <c r="B649" s="140">
        <f>INDEX('PEER GROUP'!B:B,MATCH($A649,'PEER GROUP'!$A:$A,0))</f>
        <v>0</v>
      </c>
      <c r="C649" s="83">
        <f>INDEX('PEER GROUP'!C:C,MATCH($A649,'PEER GROUP'!$A:$A,0))</f>
        <v>0</v>
      </c>
      <c r="D649" s="83">
        <f>INDEX('PEER GROUP'!D:D,MATCH($A649,'PEER GROUP'!$A:$A,0))</f>
        <v>0</v>
      </c>
      <c r="E649" s="83">
        <f>INDEX('PEER GROUP'!E:E,MATCH(A649,'PEER GROUP'!$A:$A,0))</f>
        <v>0</v>
      </c>
      <c r="F649" s="84">
        <f>INDEX('PEER GROUP'!F:F,MATCH($A649,'PEER GROUP'!$A:$A,0))</f>
        <v>0</v>
      </c>
      <c r="G649" s="84">
        <f>INDEX('PEER GROUP'!G:G,MATCH($A649,'PEER GROUP'!$A:$A,0))</f>
        <v>0</v>
      </c>
      <c r="H649" s="85"/>
      <c r="I649" s="85"/>
      <c r="J649" s="70">
        <f>INDEX('PEER GROUP'!K:K,MATCH($A649,'PEER GROUP'!$A:$A,0))</f>
        <v>0</v>
      </c>
      <c r="K649" s="70">
        <f>INDEX('PEER GROUP'!L:L,MATCH($A649,'PEER GROUP'!$A:$A,0))</f>
        <v>0</v>
      </c>
      <c r="L649" s="70">
        <f>INDEX('PEER GROUP'!M:M,MATCH($A649,'PEER GROUP'!$A:$A,0))</f>
        <v>0</v>
      </c>
      <c r="M649" s="86">
        <f>INDEX('PEER GROUP'!N:N,MATCH($A649,'PEER GROUP'!$A:$A,0))</f>
        <v>0</v>
      </c>
      <c r="N649" s="118"/>
      <c r="O649" s="115"/>
      <c r="P649" s="117"/>
      <c r="Q649" s="87"/>
      <c r="R649" s="87">
        <f t="shared" si="182"/>
        <v>0</v>
      </c>
      <c r="S649" s="87"/>
      <c r="T649" s="87"/>
      <c r="U649" s="87"/>
      <c r="V649" s="87">
        <f t="shared" si="183"/>
        <v>0</v>
      </c>
      <c r="W649" s="113">
        <f t="shared" si="180"/>
        <v>36.913096727263202</v>
      </c>
      <c r="X649" s="69">
        <f t="shared" si="184"/>
        <v>0</v>
      </c>
      <c r="Y649" s="70">
        <f t="shared" si="185"/>
        <v>0</v>
      </c>
      <c r="Z649" s="70">
        <f t="shared" si="186"/>
        <v>0</v>
      </c>
      <c r="AA649" s="70">
        <f t="shared" si="187"/>
        <v>0</v>
      </c>
      <c r="AB649" s="70">
        <f t="shared" si="188"/>
        <v>0</v>
      </c>
      <c r="AC649" s="70">
        <f t="shared" si="189"/>
        <v>0</v>
      </c>
      <c r="AD649" s="71">
        <f t="shared" si="190"/>
        <v>0</v>
      </c>
      <c r="AE649" s="49"/>
      <c r="AF649" s="21"/>
      <c r="AG649" s="69"/>
      <c r="AH649" s="70"/>
      <c r="AI649" s="70"/>
      <c r="AJ649" s="70"/>
      <c r="AK649" s="70"/>
      <c r="AL649" s="70"/>
      <c r="AM649" s="70"/>
      <c r="AN649" s="70" t="str">
        <f t="shared" si="191"/>
        <v>---</v>
      </c>
      <c r="AO649" s="70" t="str">
        <f t="shared" si="192"/>
        <v>---</v>
      </c>
      <c r="AP649" s="70" t="str">
        <f t="shared" si="193"/>
        <v>---</v>
      </c>
      <c r="AQ649" s="70" t="str">
        <f t="shared" si="194"/>
        <v>---</v>
      </c>
      <c r="AR649" s="70" t="str">
        <f t="shared" si="195"/>
        <v>---</v>
      </c>
      <c r="AS649" s="70" t="str">
        <f t="shared" si="196"/>
        <v>---</v>
      </c>
      <c r="AT649" s="71" t="str">
        <f t="shared" si="197"/>
        <v>---</v>
      </c>
    </row>
    <row r="650" spans="1:46" ht="30" customHeight="1" x14ac:dyDescent="0.3">
      <c r="A650" s="123">
        <f t="shared" si="181"/>
        <v>646</v>
      </c>
      <c r="B650" s="140">
        <f>INDEX('PEER GROUP'!B:B,MATCH($A650,'PEER GROUP'!$A:$A,0))</f>
        <v>0</v>
      </c>
      <c r="C650" s="83">
        <f>INDEX('PEER GROUP'!C:C,MATCH($A650,'PEER GROUP'!$A:$A,0))</f>
        <v>0</v>
      </c>
      <c r="D650" s="83">
        <f>INDEX('PEER GROUP'!D:D,MATCH($A650,'PEER GROUP'!$A:$A,0))</f>
        <v>0</v>
      </c>
      <c r="E650" s="83">
        <f>INDEX('PEER GROUP'!E:E,MATCH(A650,'PEER GROUP'!$A:$A,0))</f>
        <v>0</v>
      </c>
      <c r="F650" s="84">
        <f>INDEX('PEER GROUP'!F:F,MATCH($A650,'PEER GROUP'!$A:$A,0))</f>
        <v>0</v>
      </c>
      <c r="G650" s="84">
        <f>INDEX('PEER GROUP'!G:G,MATCH($A650,'PEER GROUP'!$A:$A,0))</f>
        <v>0</v>
      </c>
      <c r="H650" s="85"/>
      <c r="I650" s="85"/>
      <c r="J650" s="70">
        <f>INDEX('PEER GROUP'!K:K,MATCH($A650,'PEER GROUP'!$A:$A,0))</f>
        <v>0</v>
      </c>
      <c r="K650" s="70">
        <f>INDEX('PEER GROUP'!L:L,MATCH($A650,'PEER GROUP'!$A:$A,0))</f>
        <v>0</v>
      </c>
      <c r="L650" s="70">
        <f>INDEX('PEER GROUP'!M:M,MATCH($A650,'PEER GROUP'!$A:$A,0))</f>
        <v>0</v>
      </c>
      <c r="M650" s="86">
        <f>INDEX('PEER GROUP'!N:N,MATCH($A650,'PEER GROUP'!$A:$A,0))</f>
        <v>0</v>
      </c>
      <c r="N650" s="118"/>
      <c r="O650" s="115"/>
      <c r="P650" s="117"/>
      <c r="Q650" s="87"/>
      <c r="R650" s="87">
        <f t="shared" si="182"/>
        <v>0</v>
      </c>
      <c r="S650" s="87"/>
      <c r="T650" s="87"/>
      <c r="U650" s="87"/>
      <c r="V650" s="87">
        <f t="shared" si="183"/>
        <v>0</v>
      </c>
      <c r="W650" s="113">
        <f t="shared" si="180"/>
        <v>36.913096727263202</v>
      </c>
      <c r="X650" s="69">
        <f t="shared" si="184"/>
        <v>0</v>
      </c>
      <c r="Y650" s="70">
        <f t="shared" si="185"/>
        <v>0</v>
      </c>
      <c r="Z650" s="70">
        <f t="shared" si="186"/>
        <v>0</v>
      </c>
      <c r="AA650" s="70">
        <f t="shared" si="187"/>
        <v>0</v>
      </c>
      <c r="AB650" s="70">
        <f t="shared" si="188"/>
        <v>0</v>
      </c>
      <c r="AC650" s="70">
        <f t="shared" si="189"/>
        <v>0</v>
      </c>
      <c r="AD650" s="71">
        <f t="shared" si="190"/>
        <v>0</v>
      </c>
      <c r="AE650" s="49"/>
      <c r="AF650" s="21"/>
      <c r="AG650" s="69"/>
      <c r="AH650" s="70"/>
      <c r="AI650" s="70"/>
      <c r="AJ650" s="70"/>
      <c r="AK650" s="70"/>
      <c r="AL650" s="70"/>
      <c r="AM650" s="70"/>
      <c r="AN650" s="70" t="str">
        <f t="shared" si="191"/>
        <v>---</v>
      </c>
      <c r="AO650" s="70" t="str">
        <f t="shared" si="192"/>
        <v>---</v>
      </c>
      <c r="AP650" s="70" t="str">
        <f t="shared" si="193"/>
        <v>---</v>
      </c>
      <c r="AQ650" s="70" t="str">
        <f t="shared" si="194"/>
        <v>---</v>
      </c>
      <c r="AR650" s="70" t="str">
        <f t="shared" si="195"/>
        <v>---</v>
      </c>
      <c r="AS650" s="70" t="str">
        <f t="shared" si="196"/>
        <v>---</v>
      </c>
      <c r="AT650" s="71" t="str">
        <f t="shared" si="197"/>
        <v>---</v>
      </c>
    </row>
    <row r="651" spans="1:46" ht="30" customHeight="1" x14ac:dyDescent="0.3">
      <c r="A651" s="123">
        <f t="shared" si="181"/>
        <v>647</v>
      </c>
      <c r="B651" s="140">
        <f>INDEX('PEER GROUP'!B:B,MATCH($A651,'PEER GROUP'!$A:$A,0))</f>
        <v>0</v>
      </c>
      <c r="C651" s="83">
        <f>INDEX('PEER GROUP'!C:C,MATCH($A651,'PEER GROUP'!$A:$A,0))</f>
        <v>0</v>
      </c>
      <c r="D651" s="83">
        <f>INDEX('PEER GROUP'!D:D,MATCH($A651,'PEER GROUP'!$A:$A,0))</f>
        <v>0</v>
      </c>
      <c r="E651" s="83">
        <f>INDEX('PEER GROUP'!E:E,MATCH(A651,'PEER GROUP'!$A:$A,0))</f>
        <v>0</v>
      </c>
      <c r="F651" s="84">
        <f>INDEX('PEER GROUP'!F:F,MATCH($A651,'PEER GROUP'!$A:$A,0))</f>
        <v>0</v>
      </c>
      <c r="G651" s="84">
        <f>INDEX('PEER GROUP'!G:G,MATCH($A651,'PEER GROUP'!$A:$A,0))</f>
        <v>0</v>
      </c>
      <c r="H651" s="85"/>
      <c r="I651" s="85"/>
      <c r="J651" s="70">
        <f>INDEX('PEER GROUP'!K:K,MATCH($A651,'PEER GROUP'!$A:$A,0))</f>
        <v>0</v>
      </c>
      <c r="K651" s="70">
        <f>INDEX('PEER GROUP'!L:L,MATCH($A651,'PEER GROUP'!$A:$A,0))</f>
        <v>0</v>
      </c>
      <c r="L651" s="70">
        <f>INDEX('PEER GROUP'!M:M,MATCH($A651,'PEER GROUP'!$A:$A,0))</f>
        <v>0</v>
      </c>
      <c r="M651" s="86">
        <f>INDEX('PEER GROUP'!N:N,MATCH($A651,'PEER GROUP'!$A:$A,0))</f>
        <v>0</v>
      </c>
      <c r="N651" s="118"/>
      <c r="O651" s="115"/>
      <c r="P651" s="117"/>
      <c r="Q651" s="87"/>
      <c r="R651" s="87">
        <f t="shared" si="182"/>
        <v>0</v>
      </c>
      <c r="S651" s="87"/>
      <c r="T651" s="87"/>
      <c r="U651" s="87"/>
      <c r="V651" s="87">
        <f t="shared" si="183"/>
        <v>0</v>
      </c>
      <c r="W651" s="113">
        <f t="shared" si="180"/>
        <v>36.913096727263202</v>
      </c>
      <c r="X651" s="69">
        <f t="shared" si="184"/>
        <v>0</v>
      </c>
      <c r="Y651" s="70">
        <f t="shared" si="185"/>
        <v>0</v>
      </c>
      <c r="Z651" s="70">
        <f t="shared" si="186"/>
        <v>0</v>
      </c>
      <c r="AA651" s="70">
        <f t="shared" si="187"/>
        <v>0</v>
      </c>
      <c r="AB651" s="70">
        <f t="shared" si="188"/>
        <v>0</v>
      </c>
      <c r="AC651" s="70">
        <f t="shared" si="189"/>
        <v>0</v>
      </c>
      <c r="AD651" s="71">
        <f t="shared" si="190"/>
        <v>0</v>
      </c>
      <c r="AE651" s="49"/>
      <c r="AF651" s="21"/>
      <c r="AG651" s="69"/>
      <c r="AH651" s="70"/>
      <c r="AI651" s="70"/>
      <c r="AJ651" s="70"/>
      <c r="AK651" s="70"/>
      <c r="AL651" s="70"/>
      <c r="AM651" s="70"/>
      <c r="AN651" s="70" t="str">
        <f t="shared" si="191"/>
        <v>---</v>
      </c>
      <c r="AO651" s="70" t="str">
        <f t="shared" si="192"/>
        <v>---</v>
      </c>
      <c r="AP651" s="70" t="str">
        <f t="shared" si="193"/>
        <v>---</v>
      </c>
      <c r="AQ651" s="70" t="str">
        <f t="shared" si="194"/>
        <v>---</v>
      </c>
      <c r="AR651" s="70" t="str">
        <f t="shared" si="195"/>
        <v>---</v>
      </c>
      <c r="AS651" s="70" t="str">
        <f t="shared" si="196"/>
        <v>---</v>
      </c>
      <c r="AT651" s="71" t="str">
        <f t="shared" si="197"/>
        <v>---</v>
      </c>
    </row>
    <row r="652" spans="1:46" ht="30" customHeight="1" x14ac:dyDescent="0.3">
      <c r="A652" s="123">
        <f t="shared" si="181"/>
        <v>648</v>
      </c>
      <c r="B652" s="140">
        <f>INDEX('PEER GROUP'!B:B,MATCH($A652,'PEER GROUP'!$A:$A,0))</f>
        <v>0</v>
      </c>
      <c r="C652" s="83">
        <f>INDEX('PEER GROUP'!C:C,MATCH($A652,'PEER GROUP'!$A:$A,0))</f>
        <v>0</v>
      </c>
      <c r="D652" s="83">
        <f>INDEX('PEER GROUP'!D:D,MATCH($A652,'PEER GROUP'!$A:$A,0))</f>
        <v>0</v>
      </c>
      <c r="E652" s="83">
        <f>INDEX('PEER GROUP'!E:E,MATCH(A652,'PEER GROUP'!$A:$A,0))</f>
        <v>0</v>
      </c>
      <c r="F652" s="84">
        <f>INDEX('PEER GROUP'!F:F,MATCH($A652,'PEER GROUP'!$A:$A,0))</f>
        <v>0</v>
      </c>
      <c r="G652" s="84">
        <f>INDEX('PEER GROUP'!G:G,MATCH($A652,'PEER GROUP'!$A:$A,0))</f>
        <v>0</v>
      </c>
      <c r="H652" s="85"/>
      <c r="I652" s="85"/>
      <c r="J652" s="70">
        <f>INDEX('PEER GROUP'!K:K,MATCH($A652,'PEER GROUP'!$A:$A,0))</f>
        <v>0</v>
      </c>
      <c r="K652" s="70">
        <f>INDEX('PEER GROUP'!L:L,MATCH($A652,'PEER GROUP'!$A:$A,0))</f>
        <v>0</v>
      </c>
      <c r="L652" s="70">
        <f>INDEX('PEER GROUP'!M:M,MATCH($A652,'PEER GROUP'!$A:$A,0))</f>
        <v>0</v>
      </c>
      <c r="M652" s="86">
        <f>INDEX('PEER GROUP'!N:N,MATCH($A652,'PEER GROUP'!$A:$A,0))</f>
        <v>0</v>
      </c>
      <c r="N652" s="118"/>
      <c r="O652" s="115"/>
      <c r="P652" s="117"/>
      <c r="Q652" s="87"/>
      <c r="R652" s="87">
        <f t="shared" si="182"/>
        <v>0</v>
      </c>
      <c r="S652" s="87"/>
      <c r="T652" s="87"/>
      <c r="U652" s="87"/>
      <c r="V652" s="87">
        <f t="shared" si="183"/>
        <v>0</v>
      </c>
      <c r="W652" s="113">
        <f t="shared" si="180"/>
        <v>36.913096727263202</v>
      </c>
      <c r="X652" s="69">
        <f t="shared" si="184"/>
        <v>0</v>
      </c>
      <c r="Y652" s="70">
        <f t="shared" si="185"/>
        <v>0</v>
      </c>
      <c r="Z652" s="70">
        <f t="shared" si="186"/>
        <v>0</v>
      </c>
      <c r="AA652" s="70">
        <f t="shared" si="187"/>
        <v>0</v>
      </c>
      <c r="AB652" s="70">
        <f t="shared" si="188"/>
        <v>0</v>
      </c>
      <c r="AC652" s="70">
        <f t="shared" si="189"/>
        <v>0</v>
      </c>
      <c r="AD652" s="71">
        <f t="shared" si="190"/>
        <v>0</v>
      </c>
      <c r="AE652" s="49"/>
      <c r="AF652" s="21"/>
      <c r="AG652" s="69"/>
      <c r="AH652" s="70"/>
      <c r="AI652" s="70"/>
      <c r="AJ652" s="70"/>
      <c r="AK652" s="70"/>
      <c r="AL652" s="70"/>
      <c r="AM652" s="70"/>
      <c r="AN652" s="70" t="str">
        <f t="shared" si="191"/>
        <v>---</v>
      </c>
      <c r="AO652" s="70" t="str">
        <f t="shared" si="192"/>
        <v>---</v>
      </c>
      <c r="AP652" s="70" t="str">
        <f t="shared" si="193"/>
        <v>---</v>
      </c>
      <c r="AQ652" s="70" t="str">
        <f t="shared" si="194"/>
        <v>---</v>
      </c>
      <c r="AR652" s="70" t="str">
        <f t="shared" si="195"/>
        <v>---</v>
      </c>
      <c r="AS652" s="70" t="str">
        <f t="shared" si="196"/>
        <v>---</v>
      </c>
      <c r="AT652" s="71" t="str">
        <f t="shared" si="197"/>
        <v>---</v>
      </c>
    </row>
    <row r="653" spans="1:46" ht="30" customHeight="1" x14ac:dyDescent="0.3">
      <c r="A653" s="123">
        <f t="shared" si="181"/>
        <v>649</v>
      </c>
      <c r="B653" s="140">
        <f>INDEX('PEER GROUP'!B:B,MATCH($A653,'PEER GROUP'!$A:$A,0))</f>
        <v>0</v>
      </c>
      <c r="C653" s="83">
        <f>INDEX('PEER GROUP'!C:C,MATCH($A653,'PEER GROUP'!$A:$A,0))</f>
        <v>0</v>
      </c>
      <c r="D653" s="83">
        <f>INDEX('PEER GROUP'!D:D,MATCH($A653,'PEER GROUP'!$A:$A,0))</f>
        <v>0</v>
      </c>
      <c r="E653" s="83">
        <f>INDEX('PEER GROUP'!E:E,MATCH(A653,'PEER GROUP'!$A:$A,0))</f>
        <v>0</v>
      </c>
      <c r="F653" s="84">
        <f>INDEX('PEER GROUP'!F:F,MATCH($A653,'PEER GROUP'!$A:$A,0))</f>
        <v>0</v>
      </c>
      <c r="G653" s="84">
        <f>INDEX('PEER GROUP'!G:G,MATCH($A653,'PEER GROUP'!$A:$A,0))</f>
        <v>0</v>
      </c>
      <c r="H653" s="85"/>
      <c r="I653" s="85"/>
      <c r="J653" s="70">
        <f>INDEX('PEER GROUP'!K:K,MATCH($A653,'PEER GROUP'!$A:$A,0))</f>
        <v>0</v>
      </c>
      <c r="K653" s="70">
        <f>INDEX('PEER GROUP'!L:L,MATCH($A653,'PEER GROUP'!$A:$A,0))</f>
        <v>0</v>
      </c>
      <c r="L653" s="70">
        <f>INDEX('PEER GROUP'!M:M,MATCH($A653,'PEER GROUP'!$A:$A,0))</f>
        <v>0</v>
      </c>
      <c r="M653" s="86">
        <f>INDEX('PEER GROUP'!N:N,MATCH($A653,'PEER GROUP'!$A:$A,0))</f>
        <v>0</v>
      </c>
      <c r="N653" s="118"/>
      <c r="O653" s="115"/>
      <c r="P653" s="117"/>
      <c r="Q653" s="87"/>
      <c r="R653" s="87">
        <f t="shared" si="182"/>
        <v>0</v>
      </c>
      <c r="S653" s="87"/>
      <c r="T653" s="87"/>
      <c r="U653" s="87"/>
      <c r="V653" s="87">
        <f t="shared" si="183"/>
        <v>0</v>
      </c>
      <c r="W653" s="113">
        <f t="shared" si="180"/>
        <v>36.913096727263202</v>
      </c>
      <c r="X653" s="69">
        <f t="shared" si="184"/>
        <v>0</v>
      </c>
      <c r="Y653" s="70">
        <f t="shared" si="185"/>
        <v>0</v>
      </c>
      <c r="Z653" s="70">
        <f t="shared" si="186"/>
        <v>0</v>
      </c>
      <c r="AA653" s="70">
        <f t="shared" si="187"/>
        <v>0</v>
      </c>
      <c r="AB653" s="70">
        <f t="shared" si="188"/>
        <v>0</v>
      </c>
      <c r="AC653" s="70">
        <f t="shared" si="189"/>
        <v>0</v>
      </c>
      <c r="AD653" s="71">
        <f t="shared" si="190"/>
        <v>0</v>
      </c>
      <c r="AE653" s="49"/>
      <c r="AF653" s="21"/>
      <c r="AG653" s="69"/>
      <c r="AH653" s="70"/>
      <c r="AI653" s="70"/>
      <c r="AJ653" s="70"/>
      <c r="AK653" s="70"/>
      <c r="AL653" s="70"/>
      <c r="AM653" s="70"/>
      <c r="AN653" s="70" t="str">
        <f t="shared" si="191"/>
        <v>---</v>
      </c>
      <c r="AO653" s="70" t="str">
        <f t="shared" si="192"/>
        <v>---</v>
      </c>
      <c r="AP653" s="70" t="str">
        <f t="shared" si="193"/>
        <v>---</v>
      </c>
      <c r="AQ653" s="70" t="str">
        <f t="shared" si="194"/>
        <v>---</v>
      </c>
      <c r="AR653" s="70" t="str">
        <f t="shared" si="195"/>
        <v>---</v>
      </c>
      <c r="AS653" s="70" t="str">
        <f t="shared" si="196"/>
        <v>---</v>
      </c>
      <c r="AT653" s="71" t="str">
        <f t="shared" si="197"/>
        <v>---</v>
      </c>
    </row>
    <row r="654" spans="1:46" ht="30" customHeight="1" x14ac:dyDescent="0.3">
      <c r="B654" s="181" t="s">
        <v>12</v>
      </c>
      <c r="C654" s="181"/>
      <c r="D654" s="181"/>
      <c r="E654" s="181"/>
      <c r="F654" s="181"/>
      <c r="G654" s="181"/>
      <c r="H654" s="181"/>
      <c r="I654" s="181"/>
      <c r="J654" s="181"/>
      <c r="K654" s="181"/>
      <c r="L654" s="181"/>
      <c r="M654" s="181"/>
      <c r="N654" s="181"/>
      <c r="O654" s="181"/>
      <c r="P654" s="181"/>
      <c r="Q654" s="181"/>
      <c r="R654" s="181"/>
      <c r="S654" s="181"/>
      <c r="T654" s="181"/>
      <c r="U654" s="181"/>
      <c r="V654" s="181"/>
      <c r="W654" s="181"/>
      <c r="X654" s="181"/>
      <c r="Y654" s="181"/>
      <c r="Z654" s="181"/>
      <c r="AA654" s="181"/>
      <c r="AB654" s="181"/>
      <c r="AC654" s="181"/>
      <c r="AD654" s="181"/>
      <c r="AE654" s="43"/>
      <c r="AF654" s="23"/>
      <c r="AG654" s="52"/>
      <c r="AH654" s="23"/>
      <c r="AI654" s="23"/>
      <c r="AJ654" s="23"/>
      <c r="AK654" s="23"/>
      <c r="AL654" s="23"/>
      <c r="AM654" s="23"/>
      <c r="AN654" s="23"/>
      <c r="AO654" s="23"/>
      <c r="AP654" s="23"/>
      <c r="AQ654" s="23"/>
      <c r="AR654" s="23"/>
      <c r="AS654" s="23"/>
      <c r="AT654" s="53"/>
    </row>
    <row r="655" spans="1:46" ht="30" customHeight="1" x14ac:dyDescent="0.3">
      <c r="B655" s="128" t="s">
        <v>13</v>
      </c>
      <c r="C655" s="88"/>
      <c r="D655" s="88"/>
      <c r="E655" s="88"/>
      <c r="F655" s="88"/>
      <c r="G655" s="88"/>
      <c r="H655" s="80"/>
      <c r="I655" s="80"/>
      <c r="J655" s="67">
        <f>PERCENTILE($J$6:$J$35,0.9)</f>
        <v>0</v>
      </c>
      <c r="K655" s="67">
        <f>PERCENTILE($K$6:$K$35,0.9)</f>
        <v>0</v>
      </c>
      <c r="L655" s="67">
        <f>PERCENTILE($L$6:$L$35,0.9)</f>
        <v>0</v>
      </c>
      <c r="M655" s="81">
        <f>PERCENTILE($M$6:$M$35,0.9)</f>
        <v>0</v>
      </c>
      <c r="N655" s="98"/>
      <c r="O655" s="99"/>
      <c r="P655" s="98"/>
      <c r="Q655" s="89"/>
      <c r="R655" s="89"/>
      <c r="S655" s="89"/>
      <c r="T655" s="89"/>
      <c r="U655" s="89"/>
      <c r="V655" s="89"/>
      <c r="W655" s="99"/>
      <c r="X655" s="67">
        <f t="shared" ref="X655:AD655" si="198">PERCENTILE(X6:X35,0.9)</f>
        <v>0</v>
      </c>
      <c r="Y655" s="67">
        <f t="shared" si="198"/>
        <v>0</v>
      </c>
      <c r="Z655" s="67">
        <f t="shared" si="198"/>
        <v>0</v>
      </c>
      <c r="AA655" s="67">
        <f t="shared" si="198"/>
        <v>0</v>
      </c>
      <c r="AB655" s="67">
        <f t="shared" si="198"/>
        <v>0</v>
      </c>
      <c r="AC655" s="67">
        <f t="shared" si="198"/>
        <v>0</v>
      </c>
      <c r="AD655" s="68">
        <f t="shared" si="198"/>
        <v>0</v>
      </c>
      <c r="AE655" s="45"/>
      <c r="AF655" s="24"/>
      <c r="AG655" s="54"/>
      <c r="AH655" s="24"/>
      <c r="AI655" s="24"/>
      <c r="AJ655" s="24"/>
      <c r="AK655" s="24"/>
      <c r="AL655" s="24"/>
      <c r="AM655" s="24"/>
      <c r="AN655" s="24"/>
      <c r="AO655" s="24"/>
      <c r="AP655" s="24"/>
      <c r="AQ655" s="24"/>
      <c r="AR655" s="24"/>
      <c r="AS655" s="24"/>
      <c r="AT655" s="55"/>
    </row>
    <row r="656" spans="1:46" ht="30" customHeight="1" x14ac:dyDescent="0.3">
      <c r="B656" s="127" t="s">
        <v>14</v>
      </c>
      <c r="C656" s="96"/>
      <c r="D656" s="96"/>
      <c r="E656" s="96"/>
      <c r="F656" s="96"/>
      <c r="G656" s="96"/>
      <c r="H656" s="85"/>
      <c r="I656" s="85"/>
      <c r="J656" s="70">
        <f>PERCENTILE($J$6:$J$35,0.75)</f>
        <v>0</v>
      </c>
      <c r="K656" s="70">
        <f>PERCENTILE($K$6:$K$35,0.75)</f>
        <v>0</v>
      </c>
      <c r="L656" s="70">
        <f>PERCENTILE($L$6:$L$35,0.75)</f>
        <v>0</v>
      </c>
      <c r="M656" s="86">
        <f>PERCENTILE($M$6:$M$35,0.75)</f>
        <v>0</v>
      </c>
      <c r="N656" s="100"/>
      <c r="O656" s="101"/>
      <c r="P656" s="100"/>
      <c r="Q656" s="94"/>
      <c r="R656" s="94"/>
      <c r="S656" s="94"/>
      <c r="T656" s="94"/>
      <c r="U656" s="94"/>
      <c r="V656" s="94"/>
      <c r="W656" s="101"/>
      <c r="X656" s="70">
        <f t="shared" ref="X656:AD656" si="199">PERCENTILE(X6:X35,0.75)</f>
        <v>0</v>
      </c>
      <c r="Y656" s="70">
        <f t="shared" si="199"/>
        <v>0</v>
      </c>
      <c r="Z656" s="70">
        <f t="shared" si="199"/>
        <v>0</v>
      </c>
      <c r="AA656" s="70">
        <f t="shared" si="199"/>
        <v>0</v>
      </c>
      <c r="AB656" s="70">
        <f t="shared" si="199"/>
        <v>0</v>
      </c>
      <c r="AC656" s="70">
        <f t="shared" si="199"/>
        <v>0</v>
      </c>
      <c r="AD656" s="71">
        <f t="shared" si="199"/>
        <v>0</v>
      </c>
      <c r="AE656" s="46"/>
      <c r="AF656" s="24"/>
      <c r="AG656" s="54"/>
      <c r="AH656" s="24"/>
      <c r="AI656" s="24"/>
      <c r="AJ656" s="24"/>
      <c r="AK656" s="24"/>
      <c r="AL656" s="24"/>
      <c r="AM656" s="24"/>
      <c r="AN656" s="24"/>
      <c r="AO656" s="24"/>
      <c r="AP656" s="24"/>
      <c r="AQ656" s="24"/>
      <c r="AR656" s="24"/>
      <c r="AS656" s="24"/>
      <c r="AT656" s="55"/>
    </row>
    <row r="657" spans="1:46" ht="30" customHeight="1" x14ac:dyDescent="0.3">
      <c r="B657" s="129" t="s">
        <v>15</v>
      </c>
      <c r="C657" s="90"/>
      <c r="D657" s="90"/>
      <c r="E657" s="90"/>
      <c r="F657" s="90"/>
      <c r="G657" s="90"/>
      <c r="H657" s="91"/>
      <c r="I657" s="91"/>
      <c r="J657" s="92">
        <f>MEDIAN(J6:J35)</f>
        <v>0</v>
      </c>
      <c r="K657" s="92">
        <f>MEDIAN(K6:K35)</f>
        <v>0</v>
      </c>
      <c r="L657" s="92">
        <f>MEDIAN(L6:L35)</f>
        <v>0</v>
      </c>
      <c r="M657" s="93">
        <f>MEDIAN(M6:M35)</f>
        <v>0</v>
      </c>
      <c r="N657" s="100"/>
      <c r="O657" s="101"/>
      <c r="P657" s="100"/>
      <c r="Q657" s="94"/>
      <c r="R657" s="94"/>
      <c r="S657" s="94"/>
      <c r="T657" s="94"/>
      <c r="U657" s="94"/>
      <c r="V657" s="94"/>
      <c r="W657" s="101"/>
      <c r="X657" s="92">
        <f t="shared" ref="X657:AD657" si="200">MEDIAN(X6:X35)</f>
        <v>0</v>
      </c>
      <c r="Y657" s="92">
        <f t="shared" si="200"/>
        <v>0</v>
      </c>
      <c r="Z657" s="92">
        <f t="shared" si="200"/>
        <v>0</v>
      </c>
      <c r="AA657" s="92">
        <f t="shared" si="200"/>
        <v>0</v>
      </c>
      <c r="AB657" s="92">
        <f t="shared" si="200"/>
        <v>0</v>
      </c>
      <c r="AC657" s="92">
        <f t="shared" si="200"/>
        <v>0</v>
      </c>
      <c r="AD657" s="95">
        <f t="shared" si="200"/>
        <v>0</v>
      </c>
      <c r="AE657" s="47"/>
      <c r="AF657" s="24"/>
      <c r="AG657" s="54"/>
      <c r="AH657" s="24"/>
      <c r="AI657" s="24"/>
      <c r="AJ657" s="24"/>
      <c r="AK657" s="24"/>
      <c r="AL657" s="24"/>
      <c r="AM657" s="24"/>
      <c r="AN657" s="24"/>
      <c r="AO657" s="24"/>
      <c r="AP657" s="24"/>
      <c r="AQ657" s="24"/>
      <c r="AR657" s="24"/>
      <c r="AS657" s="24"/>
      <c r="AT657" s="55"/>
    </row>
    <row r="658" spans="1:46" ht="30" customHeight="1" x14ac:dyDescent="0.3">
      <c r="B658" s="127" t="s">
        <v>16</v>
      </c>
      <c r="C658" s="96"/>
      <c r="D658" s="96"/>
      <c r="E658" s="96"/>
      <c r="F658" s="96"/>
      <c r="G658" s="96"/>
      <c r="H658" s="85"/>
      <c r="I658" s="85"/>
      <c r="J658" s="70">
        <f>PERCENTILE($J$6:$J$35,0.25)</f>
        <v>0</v>
      </c>
      <c r="K658" s="70">
        <f>PERCENTILE($K$6:$K$35,0.25)</f>
        <v>0</v>
      </c>
      <c r="L658" s="70">
        <f>PERCENTILE($L$6:$L$35,0.25)</f>
        <v>0</v>
      </c>
      <c r="M658" s="86">
        <f>PERCENTILE($M$6:$M$35,0.25)</f>
        <v>0</v>
      </c>
      <c r="N658" s="100"/>
      <c r="O658" s="101"/>
      <c r="P658" s="100"/>
      <c r="Q658" s="94"/>
      <c r="R658" s="94"/>
      <c r="S658" s="94"/>
      <c r="T658" s="94"/>
      <c r="U658" s="94"/>
      <c r="V658" s="94"/>
      <c r="W658" s="101"/>
      <c r="X658" s="70">
        <f t="shared" ref="X658:AD658" si="201">PERCENTILE(X6:X35,0.25)</f>
        <v>0</v>
      </c>
      <c r="Y658" s="70">
        <f t="shared" si="201"/>
        <v>0</v>
      </c>
      <c r="Z658" s="70">
        <f t="shared" si="201"/>
        <v>0</v>
      </c>
      <c r="AA658" s="70">
        <f t="shared" si="201"/>
        <v>0</v>
      </c>
      <c r="AB658" s="70">
        <f t="shared" si="201"/>
        <v>0</v>
      </c>
      <c r="AC658" s="70">
        <f t="shared" si="201"/>
        <v>0</v>
      </c>
      <c r="AD658" s="71">
        <f t="shared" si="201"/>
        <v>0</v>
      </c>
      <c r="AE658" s="46"/>
      <c r="AF658" s="24"/>
      <c r="AG658" s="56"/>
      <c r="AH658" s="25"/>
      <c r="AI658" s="25"/>
      <c r="AJ658" s="25"/>
      <c r="AK658" s="25"/>
      <c r="AL658" s="25"/>
      <c r="AM658" s="25"/>
      <c r="AN658" s="25"/>
      <c r="AO658" s="25"/>
      <c r="AP658" s="25"/>
      <c r="AQ658" s="25"/>
      <c r="AR658" s="25"/>
      <c r="AS658" s="25"/>
      <c r="AT658" s="57"/>
    </row>
    <row r="659" spans="1:46" ht="30" customHeight="1" x14ac:dyDescent="0.3">
      <c r="N659" s="102"/>
      <c r="O659" s="104"/>
      <c r="P659" s="102"/>
      <c r="Q659" s="103"/>
      <c r="R659" s="103"/>
      <c r="S659" s="103"/>
      <c r="T659" s="103"/>
      <c r="U659" s="103"/>
      <c r="V659" s="103"/>
      <c r="W659" s="104"/>
      <c r="AE659" s="48"/>
      <c r="AG659" s="58"/>
      <c r="AH659" s="182" t="s">
        <v>21</v>
      </c>
      <c r="AI659" s="182"/>
      <c r="AJ659" s="182"/>
      <c r="AK659" s="182"/>
      <c r="AL659" s="182" t="s">
        <v>24</v>
      </c>
      <c r="AM659" s="182"/>
      <c r="AN659" s="182"/>
      <c r="AO659" s="182"/>
      <c r="AP659" s="182" t="s">
        <v>27</v>
      </c>
      <c r="AQ659" s="182"/>
      <c r="AR659" s="182"/>
      <c r="AS659" s="182"/>
      <c r="AT659" s="59"/>
    </row>
    <row r="660" spans="1:46" ht="30" customHeight="1" x14ac:dyDescent="0.3">
      <c r="B660" s="35" t="str">
        <f>$B$1</f>
        <v>NFP Organization XYZ</v>
      </c>
      <c r="C660" s="36"/>
      <c r="D660" s="36"/>
      <c r="E660" s="36"/>
      <c r="F660" s="37" t="str">
        <f>SETUP!C9</f>
        <v>Cambridge</v>
      </c>
      <c r="G660" s="38" t="str">
        <f>SETUP!C10</f>
        <v>Massachusetts</v>
      </c>
      <c r="H660" s="37" t="s">
        <v>18</v>
      </c>
      <c r="I660" s="37" t="s">
        <v>17</v>
      </c>
      <c r="J660" s="39">
        <f>'PEER GROUP'!K661</f>
        <v>0.99999899999999997</v>
      </c>
      <c r="K660" s="39">
        <f>'PEER GROUP'!L661</f>
        <v>0.99999899999999997</v>
      </c>
      <c r="L660" s="39">
        <f>'PEER GROUP'!M661</f>
        <v>0.99999899999999997</v>
      </c>
      <c r="M660" s="97">
        <f>'PEER GROUP'!N661</f>
        <v>50</v>
      </c>
      <c r="N660" s="131"/>
      <c r="O660" s="133"/>
      <c r="P660" s="131"/>
      <c r="Q660" s="132"/>
      <c r="R660" s="132"/>
      <c r="S660" s="132"/>
      <c r="T660" s="132"/>
      <c r="U660" s="132"/>
      <c r="V660" s="132">
        <f>COUNTIF(V6:V35,"&lt;&gt;---")</f>
        <v>30</v>
      </c>
      <c r="W660" s="133"/>
      <c r="X660" s="39">
        <v>0</v>
      </c>
      <c r="Y660" s="39">
        <v>0</v>
      </c>
      <c r="Z660" s="39">
        <f>SUM(X660:Y660)</f>
        <v>0</v>
      </c>
      <c r="AA660" s="39">
        <v>0</v>
      </c>
      <c r="AB660" s="39">
        <v>0</v>
      </c>
      <c r="AC660" s="39">
        <v>0</v>
      </c>
      <c r="AD660" s="40">
        <f>SUM(Z660:AC660)</f>
        <v>0</v>
      </c>
      <c r="AE660" s="43"/>
      <c r="AF660" s="23"/>
      <c r="AG660" s="60">
        <f>A661+0.99</f>
        <v>100.99</v>
      </c>
      <c r="AH660" s="65">
        <f>X658</f>
        <v>0</v>
      </c>
      <c r="AI660" s="65">
        <f>X657</f>
        <v>0</v>
      </c>
      <c r="AJ660" s="65">
        <f>X656</f>
        <v>0</v>
      </c>
      <c r="AK660" s="65">
        <f>X655</f>
        <v>0</v>
      </c>
      <c r="AL660" s="65">
        <f>Z658</f>
        <v>0</v>
      </c>
      <c r="AM660" s="65">
        <f>Z657</f>
        <v>0</v>
      </c>
      <c r="AN660" s="65">
        <f>Z656</f>
        <v>0</v>
      </c>
      <c r="AO660" s="65">
        <f>Z655</f>
        <v>0</v>
      </c>
      <c r="AP660" s="65">
        <f>AD658</f>
        <v>0</v>
      </c>
      <c r="AQ660" s="65">
        <f>AD657</f>
        <v>0</v>
      </c>
      <c r="AR660" s="65">
        <f>AD656</f>
        <v>0</v>
      </c>
      <c r="AS660" s="65">
        <f>AD655</f>
        <v>0</v>
      </c>
      <c r="AT660" s="61"/>
    </row>
    <row r="661" spans="1:46" ht="30" customHeight="1" x14ac:dyDescent="0.3">
      <c r="A661" s="74">
        <f>'PEER GROUP'!$A$661</f>
        <v>100</v>
      </c>
      <c r="B661" s="138" t="s">
        <v>32</v>
      </c>
      <c r="C661" s="109"/>
      <c r="D661" s="109"/>
      <c r="E661" s="109"/>
      <c r="F661" s="109"/>
      <c r="G661" s="109"/>
      <c r="H661" s="109"/>
      <c r="I661" s="110"/>
      <c r="J661" s="110" t="str">
        <f>IFERROR(IF(J660&lt;J658,"&lt;25",IF(J660&lt;=J657,25+25*(J660-J658)/(J657-J658),IF(J660&lt;=J656,50+25*(J660-J657)/(J656-J657),IF(J660&lt;=J655,75+15*(J660-J656)/(J655-J656),IF(J660/J655&lt;1.005,90,"&gt;90 (+"&amp;TEXT(J660/J655-1,"0%")&amp;")"))))),"---")</f>
        <v>---</v>
      </c>
      <c r="K661" s="110" t="str">
        <f>IFERROR(IF(K660&lt;K658,"&lt;25",IF(K660&lt;=K657,25+25*(K660-K658)/(K657-K658),IF(K660&lt;=K656,50+25*(K660-K657)/(K656-K657),IF(K660&lt;=K655,75+15*(K660-K656)/(K655-K656),IF(K660/K655&lt;1.005,90,"&gt;90 (+"&amp;TEXT(K660/K655-1,"0%")&amp;")"))))),"---")</f>
        <v>---</v>
      </c>
      <c r="L661" s="110" t="str">
        <f>IFERROR(IF(L660&lt;L658,"&lt;25",IF(L660&lt;=L657,25+25*(L660-L658)/(L657-L658),IF(L660&lt;=L656,50+25*(L660-L657)/(L656-L657),IF(L660&lt;=L655,75+15*(L660-L656)/(L655-L656),IF(L660/L655&lt;1.005,90,"&gt;90 (+"&amp;TEXT(L660/L655-1,"0%")&amp;")"))))),"---")</f>
        <v>---</v>
      </c>
      <c r="M661" s="111" t="str">
        <f>IFERROR(IF(M660&lt;M658,"&lt;25",IF(M660&lt;=M657,25+25*(M660-M658)/(M657-M658),IF(M660&lt;=M656,50+25*(M660-M657)/(M656-M657),IF(M660&lt;=M655,75+15*(M660-M656)/(M655-M656),IF(M660/M655&lt;1.005,90,"&gt;90 (+"&amp;TEXT(M660/M655-1,"0%")&amp;")"))))),"---")</f>
        <v>---</v>
      </c>
      <c r="N661" s="105"/>
      <c r="O661" s="106"/>
      <c r="P661" s="105"/>
      <c r="Q661" s="107"/>
      <c r="R661" s="107"/>
      <c r="S661" s="107"/>
      <c r="T661" s="107"/>
      <c r="U661" s="107"/>
      <c r="V661" s="107"/>
      <c r="W661" s="106"/>
      <c r="X661" s="108" t="str">
        <f>IFERROR(IF(X660&lt;X658,"&lt;25",IF(X660&lt;=X657,25+25*(X660-X658)/(X657-X658),IF(X660&lt;=X656,50+25*(X660-X657)/(X656-X657),IF(X660&lt;=X655,75+15*(X660-X656)/(X655-X656),IF(X660/X655&lt;1.005,90,"&gt;90 (+"&amp;TEXT(X660/X655-1,"0%")&amp;")"))))),"---")</f>
        <v>---</v>
      </c>
      <c r="Y661" s="109"/>
      <c r="Z661" s="110" t="str">
        <f>IFERROR(IF(Z660&lt;Z658,"&lt;25",IF(Z660&lt;=Z657,25+25*(Z660-Z658)/(Z657-Z658),IF(Z660&lt;=Z656,50+25*(Z660-Z657)/(Z656-Z657),IF(Z660&lt;=Z655,75+15*(Z660-Z656)/(Z655-Z656),IF(Z660/Z655&lt;1.005,90,"&gt;90 (+"&amp;TEXT(Z660/Z655-1,"0%")&amp;")"))))),"---")</f>
        <v>---</v>
      </c>
      <c r="AA661" s="109"/>
      <c r="AB661" s="109"/>
      <c r="AC661" s="109"/>
      <c r="AD661" s="111" t="str">
        <f>IFERROR(IF(AD660&lt;AD658,"&lt;25",IF(AD660&lt;=AD657,25+25*(AD660-AD658)/(AD657-AD658),IF(AD660&lt;=AD656,50+25*(AD660-AD657)/(AD656-AD657),IF(AD660&lt;=AD655,75+15*(AD660-AD656)/(AD655-AD656),IF(AD660/AD655&lt;1.005,90,"&gt;90 (+"&amp;TEXT(AD660/AD655-1,"0%")&amp;")"))))),"---")</f>
        <v>---</v>
      </c>
      <c r="AE661" s="44"/>
      <c r="AG661" s="62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4"/>
    </row>
  </sheetData>
  <autoFilter ref="A5:AT5" xr:uid="{474D6C73-1F09-435D-B15B-666702D29536}"/>
  <mergeCells count="10">
    <mergeCell ref="B654:AD654"/>
    <mergeCell ref="AH659:AK659"/>
    <mergeCell ref="AL659:AO659"/>
    <mergeCell ref="U1:V1"/>
    <mergeCell ref="AP659:AS659"/>
    <mergeCell ref="AN4:AT4"/>
    <mergeCell ref="AG4:AM4"/>
    <mergeCell ref="X4:AD4"/>
    <mergeCell ref="B4:M4"/>
    <mergeCell ref="P4:V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>
    <pageSetUpPr fitToPage="1"/>
  </sheetPr>
  <dimension ref="A1:AI661"/>
  <sheetViews>
    <sheetView showGridLines="0" zoomScale="80" zoomScaleNormal="85" zoomScaleSheetLayoutView="85" workbookViewId="0">
      <selection activeCell="I12" sqref="I12"/>
    </sheetView>
  </sheetViews>
  <sheetFormatPr defaultColWidth="9.1796875" defaultRowHeight="13" outlineLevelRow="1" outlineLevelCol="1" x14ac:dyDescent="0.3"/>
  <cols>
    <col min="1" max="1" width="7.54296875" style="12" bestFit="1" customWidth="1"/>
    <col min="2" max="2" width="34.1796875" style="12" customWidth="1"/>
    <col min="3" max="3" width="10.81640625" style="12" customWidth="1" outlineLevel="1"/>
    <col min="4" max="4" width="12.6328125" style="12" customWidth="1" outlineLevel="1"/>
    <col min="5" max="5" width="10.7265625" style="12" customWidth="1" outlineLevel="1"/>
    <col min="6" max="6" width="10.90625" style="12" bestFit="1" customWidth="1"/>
    <col min="7" max="7" width="11.81640625" style="12" customWidth="1"/>
    <col min="8" max="8" width="16.1796875" style="12" bestFit="1" customWidth="1"/>
    <col min="9" max="9" width="31.54296875" style="12" bestFit="1" customWidth="1"/>
    <col min="10" max="10" width="15.90625" style="12" bestFit="1" customWidth="1"/>
    <col min="11" max="11" width="20.08984375" style="12" bestFit="1" customWidth="1"/>
    <col min="12" max="12" width="16.90625" style="12" bestFit="1" customWidth="1"/>
    <col min="13" max="13" width="13.81640625" style="12" customWidth="1" outlineLevel="1"/>
    <col min="14" max="18" width="12.81640625" style="12" customWidth="1" outlineLevel="1"/>
    <col min="19" max="19" width="11.54296875" style="12" customWidth="1" outlineLevel="1"/>
    <col min="20" max="23" width="16.81640625" style="12" customWidth="1"/>
    <col min="24" max="24" width="16.81640625" style="12" customWidth="1" outlineLevel="1"/>
    <col min="25" max="25" width="4.453125" style="12" customWidth="1"/>
    <col min="26" max="35" width="16.81640625" style="12" customWidth="1" outlineLevel="1"/>
    <col min="36" max="16384" width="9.1796875" style="12"/>
  </cols>
  <sheetData>
    <row r="1" spans="1:35" s="7" customFormat="1" ht="25.5" x14ac:dyDescent="0.55000000000000004">
      <c r="B1" s="28" t="str">
        <f>SETUP!$C$4</f>
        <v>NFP Organization XYZ</v>
      </c>
      <c r="C1" s="8"/>
      <c r="J1" s="14"/>
      <c r="R1" s="147"/>
      <c r="S1" s="72">
        <f>SETUP!C5</f>
        <v>45292</v>
      </c>
    </row>
    <row r="2" spans="1:35" s="7" customFormat="1" ht="18" x14ac:dyDescent="0.4">
      <c r="B2" s="16" t="s">
        <v>63</v>
      </c>
      <c r="C2" s="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8" t="s">
        <v>33</v>
      </c>
      <c r="X2" s="17"/>
      <c r="Z2" s="10"/>
      <c r="AA2" s="10"/>
      <c r="AB2" s="10"/>
      <c r="AC2" s="10"/>
      <c r="AD2" s="10"/>
      <c r="AE2" s="10"/>
      <c r="AF2" s="10"/>
      <c r="AG2" s="10"/>
      <c r="AH2" s="10"/>
      <c r="AI2" s="10"/>
    </row>
    <row r="3" spans="1:35" s="7" customFormat="1" ht="14.5" x14ac:dyDescent="0.35"/>
    <row r="4" spans="1:35" s="7" customFormat="1" ht="15" customHeight="1" x14ac:dyDescent="0.35">
      <c r="B4" s="186" t="str">
        <f>"Peer Group Data ($000) - Effective: "&amp;TEXT(S1,"mmmm d, Yyyy")</f>
        <v>Peer Group Data ($000) - Effective: January 1, 2024</v>
      </c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75" t="s">
        <v>19</v>
      </c>
      <c r="N4" s="75" t="s">
        <v>20</v>
      </c>
      <c r="O4" s="187" t="s">
        <v>28</v>
      </c>
      <c r="P4" s="187"/>
      <c r="Q4" s="187"/>
      <c r="R4" s="187"/>
      <c r="S4" s="76"/>
      <c r="T4" s="181"/>
      <c r="U4" s="181"/>
      <c r="V4" s="181"/>
      <c r="W4" s="181"/>
      <c r="X4" s="148" t="s">
        <v>11</v>
      </c>
      <c r="Y4" s="149"/>
      <c r="Z4" s="185" t="s">
        <v>30</v>
      </c>
      <c r="AA4" s="185"/>
      <c r="AB4" s="185"/>
      <c r="AC4" s="188" t="s">
        <v>31</v>
      </c>
      <c r="AD4" s="188"/>
      <c r="AE4" s="188"/>
      <c r="AF4" s="188"/>
      <c r="AG4" s="188"/>
      <c r="AH4" s="188"/>
      <c r="AI4" s="188"/>
    </row>
    <row r="5" spans="1:35" ht="36" customHeight="1" x14ac:dyDescent="0.3">
      <c r="A5" s="123" t="s">
        <v>1</v>
      </c>
      <c r="B5" s="134" t="s">
        <v>2</v>
      </c>
      <c r="C5" s="134" t="s">
        <v>3</v>
      </c>
      <c r="D5" s="134" t="s">
        <v>4</v>
      </c>
      <c r="E5" s="134" t="s">
        <v>5</v>
      </c>
      <c r="F5" s="134" t="s">
        <v>6</v>
      </c>
      <c r="G5" s="134" t="s">
        <v>7</v>
      </c>
      <c r="H5" s="135" t="s">
        <v>18</v>
      </c>
      <c r="I5" s="135" t="s">
        <v>17</v>
      </c>
      <c r="J5" s="136" t="s">
        <v>8</v>
      </c>
      <c r="K5" s="136" t="s">
        <v>70</v>
      </c>
      <c r="L5" s="136" t="s">
        <v>10</v>
      </c>
      <c r="M5" s="75"/>
      <c r="N5" s="75"/>
      <c r="O5" s="77" t="s">
        <v>71</v>
      </c>
      <c r="P5" s="77" t="s">
        <v>72</v>
      </c>
      <c r="Q5" s="77" t="s">
        <v>73</v>
      </c>
      <c r="R5" s="77" t="s">
        <v>27</v>
      </c>
      <c r="S5" s="76" t="s">
        <v>29</v>
      </c>
      <c r="T5" s="137" t="s">
        <v>71</v>
      </c>
      <c r="U5" s="137" t="s">
        <v>72</v>
      </c>
      <c r="V5" s="137" t="s">
        <v>73</v>
      </c>
      <c r="W5" s="137" t="s">
        <v>45</v>
      </c>
      <c r="X5" s="148"/>
      <c r="Y5" s="149"/>
      <c r="Z5" s="50" t="s">
        <v>21</v>
      </c>
      <c r="AA5" s="50" t="s">
        <v>26</v>
      </c>
      <c r="AB5" s="50" t="s">
        <v>27</v>
      </c>
      <c r="AC5" s="150" t="s">
        <v>21</v>
      </c>
      <c r="AD5" s="150" t="s">
        <v>22</v>
      </c>
      <c r="AE5" s="150" t="s">
        <v>24</v>
      </c>
      <c r="AF5" s="150" t="s">
        <v>23</v>
      </c>
      <c r="AG5" s="150" t="s">
        <v>25</v>
      </c>
      <c r="AH5" s="150" t="s">
        <v>26</v>
      </c>
      <c r="AI5" s="150" t="s">
        <v>27</v>
      </c>
    </row>
    <row r="6" spans="1:35" ht="30" customHeight="1" x14ac:dyDescent="0.3">
      <c r="A6" s="123">
        <v>1</v>
      </c>
      <c r="B6" s="139" t="str">
        <f>INDEX('PEER GROUP'!B:B,MATCH($A6,'PEER GROUP'!$A:$A,0))</f>
        <v>Org A</v>
      </c>
      <c r="C6" s="78">
        <f>INDEX('PEER GROUP'!C:C,MATCH($A6,'PEER GROUP'!$A:$A,0))</f>
        <v>0</v>
      </c>
      <c r="D6" s="78">
        <f>INDEX('PEER GROUP'!D:D,MATCH($A6,'PEER GROUP'!$A:$A,0))</f>
        <v>44651</v>
      </c>
      <c r="E6" s="78">
        <f>INDEX('PEER GROUP'!E:E,MATCH(A6,'PEER GROUP'!$A:$A,0))</f>
        <v>44561</v>
      </c>
      <c r="F6" s="79">
        <f>INDEX('PEER GROUP'!F:F,MATCH($A6,'PEER GROUP'!$A:$A,0))</f>
        <v>0</v>
      </c>
      <c r="G6" s="79">
        <f>INDEX('PEER GROUP'!G:G,MATCH($A6,'PEER GROUP'!$A:$A,0))</f>
        <v>0</v>
      </c>
      <c r="H6" s="80"/>
      <c r="I6" s="80"/>
      <c r="J6" s="67">
        <f>INDEX('PEER GROUP'!K:K,MATCH($A6,'PEER GROUP'!$A:$A,0))</f>
        <v>77.362594000000001</v>
      </c>
      <c r="K6" s="67">
        <f>INDEX('PEER GROUP'!L:L,MATCH($A6,'PEER GROUP'!$A:$A,0))</f>
        <v>45.450752000000001</v>
      </c>
      <c r="L6" s="81">
        <f>INDEX('PEER GROUP'!N:N,MATCH($A6,'PEER GROUP'!$A:$A,0))</f>
        <v>1</v>
      </c>
      <c r="M6" s="116"/>
      <c r="N6" s="89"/>
      <c r="O6" s="116"/>
      <c r="P6" s="82"/>
      <c r="Q6" s="82"/>
      <c r="R6" s="82">
        <f>SUM(O6:Q6)</f>
        <v>0</v>
      </c>
      <c r="S6" s="112">
        <f t="shared" ref="S6:S34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T6" s="66">
        <f>O6*$S6</f>
        <v>0</v>
      </c>
      <c r="U6" s="67">
        <f>P6*$S6</f>
        <v>0</v>
      </c>
      <c r="V6" s="67">
        <f>Q6*$S6</f>
        <v>0</v>
      </c>
      <c r="W6" s="68">
        <f>SUM(T6:V6)</f>
        <v>0</v>
      </c>
      <c r="X6" s="49"/>
      <c r="Y6" s="151"/>
      <c r="Z6" s="66"/>
      <c r="AA6" s="67"/>
      <c r="AB6" s="67"/>
      <c r="AC6" s="67" t="str">
        <f t="shared" ref="AC6:AC35" si="1">IFERROR(O6/Z6-1,"---")</f>
        <v>---</v>
      </c>
      <c r="AD6" s="67" t="str">
        <f>IFERROR(P6/#REF!-1,"---")</f>
        <v>---</v>
      </c>
      <c r="AE6" s="67" t="str">
        <f>IFERROR(#REF!/#REF!-1,"---")</f>
        <v>---</v>
      </c>
      <c r="AF6" s="67" t="str">
        <f>IFERROR(Q6/#REF!-1,"---")</f>
        <v>---</v>
      </c>
      <c r="AG6" s="67" t="str">
        <f>IFERROR(#REF!/#REF!-1,"---")</f>
        <v>---</v>
      </c>
      <c r="AH6" s="67" t="str">
        <f>IFERROR(#REF!/AA6-1,"---")</f>
        <v>---</v>
      </c>
      <c r="AI6" s="68" t="str">
        <f t="shared" ref="AI6:AI35" si="2">IFERROR(R6/AB6-1,"---")</f>
        <v>---</v>
      </c>
    </row>
    <row r="7" spans="1:35" ht="30" customHeight="1" x14ac:dyDescent="0.3">
      <c r="A7" s="123">
        <v>2</v>
      </c>
      <c r="B7" s="140" t="str">
        <f>INDEX('PEER GROUP'!B:B,MATCH($A7,'PEER GROUP'!$A:$A,0))</f>
        <v>Org B</v>
      </c>
      <c r="C7" s="83">
        <f>INDEX('PEER GROUP'!C:C,MATCH($A7,'PEER GROUP'!$A:$A,0))</f>
        <v>0</v>
      </c>
      <c r="D7" s="83">
        <f>INDEX('PEER GROUP'!D:D,MATCH($A7,'PEER GROUP'!$A:$A,0))</f>
        <v>44561</v>
      </c>
      <c r="E7" s="83">
        <f>INDEX('PEER GROUP'!E:E,MATCH(A7,'PEER GROUP'!$A:$A,0))</f>
        <v>44561</v>
      </c>
      <c r="F7" s="84">
        <f>INDEX('PEER GROUP'!F:F,MATCH($A7,'PEER GROUP'!$A:$A,0))</f>
        <v>0</v>
      </c>
      <c r="G7" s="84">
        <f>INDEX('PEER GROUP'!G:G,MATCH($A7,'PEER GROUP'!$A:$A,0))</f>
        <v>0</v>
      </c>
      <c r="H7" s="85"/>
      <c r="I7" s="85"/>
      <c r="J7" s="70">
        <f>INDEX('PEER GROUP'!K:K,MATCH($A7,'PEER GROUP'!$A:$A,0))</f>
        <v>64.267240000000001</v>
      </c>
      <c r="K7" s="70">
        <f>INDEX('PEER GROUP'!L:L,MATCH($A7,'PEER GROUP'!$A:$A,0))</f>
        <v>35.324556999999999</v>
      </c>
      <c r="L7" s="81">
        <f>INDEX('PEER GROUP'!N:N,MATCH($A7,'PEER GROUP'!$A:$A,0))</f>
        <v>2</v>
      </c>
      <c r="M7" s="118"/>
      <c r="N7" s="115"/>
      <c r="O7" s="117"/>
      <c r="P7" s="87"/>
      <c r="Q7" s="87"/>
      <c r="R7" s="87">
        <f t="shared" ref="R7:R35" si="3">SUM(O7:Q7)</f>
        <v>0</v>
      </c>
      <c r="S7" s="113">
        <f t="shared" si="0"/>
        <v>1.0816035782601312</v>
      </c>
      <c r="T7" s="69">
        <f t="shared" ref="T7:V35" si="4">O7*$S7</f>
        <v>0</v>
      </c>
      <c r="U7" s="70">
        <f t="shared" si="4"/>
        <v>0</v>
      </c>
      <c r="V7" s="70">
        <f t="shared" si="4"/>
        <v>0</v>
      </c>
      <c r="W7" s="71">
        <f t="shared" ref="W7:W35" si="5">SUM(T7:V7)</f>
        <v>0</v>
      </c>
      <c r="X7" s="49"/>
      <c r="Y7" s="151"/>
      <c r="Z7" s="69"/>
      <c r="AA7" s="70"/>
      <c r="AB7" s="70"/>
      <c r="AC7" s="70" t="str">
        <f t="shared" si="1"/>
        <v>---</v>
      </c>
      <c r="AD7" s="70" t="str">
        <f>IFERROR(P7/#REF!-1,"---")</f>
        <v>---</v>
      </c>
      <c r="AE7" s="70" t="str">
        <f>IFERROR(#REF!/#REF!-1,"---")</f>
        <v>---</v>
      </c>
      <c r="AF7" s="70" t="str">
        <f>IFERROR(Q7/#REF!-1,"---")</f>
        <v>---</v>
      </c>
      <c r="AG7" s="70" t="str">
        <f>IFERROR(#REF!/#REF!-1,"---")</f>
        <v>---</v>
      </c>
      <c r="AH7" s="70" t="str">
        <f>IFERROR(#REF!/AA7-1,"---")</f>
        <v>---</v>
      </c>
      <c r="AI7" s="71" t="str">
        <f t="shared" si="2"/>
        <v>---</v>
      </c>
    </row>
    <row r="8" spans="1:35" ht="30" customHeight="1" x14ac:dyDescent="0.3">
      <c r="A8" s="123">
        <v>3</v>
      </c>
      <c r="B8" s="140">
        <f>INDEX('PEER GROUP'!B:B,MATCH($A8,'PEER GROUP'!$A:$A,0))</f>
        <v>0</v>
      </c>
      <c r="C8" s="83">
        <f>INDEX('PEER GROUP'!C:C,MATCH($A8,'PEER GROUP'!$A:$A,0))</f>
        <v>0</v>
      </c>
      <c r="D8" s="83">
        <f>INDEX('PEER GROUP'!D:D,MATCH($A8,'PEER GROUP'!$A:$A,0))</f>
        <v>0</v>
      </c>
      <c r="E8" s="83">
        <f>INDEX('PEER GROUP'!E:E,MATCH(A8,'PEER GROUP'!$A:$A,0))</f>
        <v>0</v>
      </c>
      <c r="F8" s="84">
        <f>INDEX('PEER GROUP'!F:F,MATCH($A8,'PEER GROUP'!$A:$A,0))</f>
        <v>0</v>
      </c>
      <c r="G8" s="84">
        <f>INDEX('PEER GROUP'!G:G,MATCH($A8,'PEER GROUP'!$A:$A,0))</f>
        <v>0</v>
      </c>
      <c r="H8" s="85"/>
      <c r="I8" s="85"/>
      <c r="J8" s="70">
        <f>INDEX('PEER GROUP'!K:K,MATCH($A8,'PEER GROUP'!$A:$A,0))</f>
        <v>0</v>
      </c>
      <c r="K8" s="70">
        <f>INDEX('PEER GROUP'!L:L,MATCH($A8,'PEER GROUP'!$A:$A,0))</f>
        <v>0</v>
      </c>
      <c r="L8" s="81">
        <f>INDEX('PEER GROUP'!N:N,MATCH($A8,'PEER GROUP'!$A:$A,0))</f>
        <v>0</v>
      </c>
      <c r="M8" s="118"/>
      <c r="N8" s="115"/>
      <c r="O8" s="117"/>
      <c r="P8" s="87"/>
      <c r="Q8" s="87"/>
      <c r="R8" s="87">
        <f t="shared" si="3"/>
        <v>0</v>
      </c>
      <c r="S8" s="113">
        <f t="shared" si="0"/>
        <v>36.913096727263202</v>
      </c>
      <c r="T8" s="69">
        <f t="shared" si="4"/>
        <v>0</v>
      </c>
      <c r="U8" s="70">
        <f t="shared" si="4"/>
        <v>0</v>
      </c>
      <c r="V8" s="70">
        <f t="shared" si="4"/>
        <v>0</v>
      </c>
      <c r="W8" s="71">
        <f t="shared" si="5"/>
        <v>0</v>
      </c>
      <c r="X8" s="49"/>
      <c r="Y8" s="151"/>
      <c r="Z8" s="69"/>
      <c r="AA8" s="70"/>
      <c r="AB8" s="70"/>
      <c r="AC8" s="70" t="str">
        <f t="shared" si="1"/>
        <v>---</v>
      </c>
      <c r="AD8" s="70" t="str">
        <f>IFERROR(P8/#REF!-1,"---")</f>
        <v>---</v>
      </c>
      <c r="AE8" s="70" t="str">
        <f>IFERROR(#REF!/#REF!-1,"---")</f>
        <v>---</v>
      </c>
      <c r="AF8" s="70" t="str">
        <f>IFERROR(Q8/#REF!-1,"---")</f>
        <v>---</v>
      </c>
      <c r="AG8" s="70" t="str">
        <f>IFERROR(#REF!/#REF!-1,"---")</f>
        <v>---</v>
      </c>
      <c r="AH8" s="70" t="str">
        <f>IFERROR(#REF!/AA8-1,"---")</f>
        <v>---</v>
      </c>
      <c r="AI8" s="71" t="str">
        <f t="shared" si="2"/>
        <v>---</v>
      </c>
    </row>
    <row r="9" spans="1:35" ht="30" customHeight="1" x14ac:dyDescent="0.3">
      <c r="A9" s="123">
        <v>4</v>
      </c>
      <c r="B9" s="140">
        <f>INDEX('PEER GROUP'!B:B,MATCH($A9,'PEER GROUP'!$A:$A,0))</f>
        <v>0</v>
      </c>
      <c r="C9" s="83">
        <f>INDEX('PEER GROUP'!C:C,MATCH($A9,'PEER GROUP'!$A:$A,0))</f>
        <v>0</v>
      </c>
      <c r="D9" s="83">
        <f>INDEX('PEER GROUP'!D:D,MATCH($A9,'PEER GROUP'!$A:$A,0))</f>
        <v>0</v>
      </c>
      <c r="E9" s="83">
        <f>INDEX('PEER GROUP'!E:E,MATCH(A9,'PEER GROUP'!$A:$A,0))</f>
        <v>0</v>
      </c>
      <c r="F9" s="84">
        <f>INDEX('PEER GROUP'!F:F,MATCH($A9,'PEER GROUP'!$A:$A,0))</f>
        <v>0</v>
      </c>
      <c r="G9" s="84">
        <f>INDEX('PEER GROUP'!G:G,MATCH($A9,'PEER GROUP'!$A:$A,0))</f>
        <v>0</v>
      </c>
      <c r="H9" s="85"/>
      <c r="I9" s="85"/>
      <c r="J9" s="70">
        <f>INDEX('PEER GROUP'!K:K,MATCH($A9,'PEER GROUP'!$A:$A,0))</f>
        <v>0</v>
      </c>
      <c r="K9" s="70">
        <f>INDEX('PEER GROUP'!L:L,MATCH($A9,'PEER GROUP'!$A:$A,0))</f>
        <v>0</v>
      </c>
      <c r="L9" s="81">
        <f>INDEX('PEER GROUP'!N:N,MATCH($A9,'PEER GROUP'!$A:$A,0))</f>
        <v>0</v>
      </c>
      <c r="M9" s="118"/>
      <c r="N9" s="115"/>
      <c r="O9" s="117"/>
      <c r="P9" s="87"/>
      <c r="Q9" s="87"/>
      <c r="R9" s="87">
        <f t="shared" si="3"/>
        <v>0</v>
      </c>
      <c r="S9" s="113">
        <f t="shared" si="0"/>
        <v>36.913096727263202</v>
      </c>
      <c r="T9" s="69">
        <f t="shared" si="4"/>
        <v>0</v>
      </c>
      <c r="U9" s="70">
        <f t="shared" si="4"/>
        <v>0</v>
      </c>
      <c r="V9" s="70">
        <f t="shared" si="4"/>
        <v>0</v>
      </c>
      <c r="W9" s="71">
        <f t="shared" si="5"/>
        <v>0</v>
      </c>
      <c r="X9" s="49"/>
      <c r="Y9" s="151"/>
      <c r="Z9" s="69"/>
      <c r="AA9" s="70"/>
      <c r="AB9" s="70"/>
      <c r="AC9" s="70" t="str">
        <f t="shared" si="1"/>
        <v>---</v>
      </c>
      <c r="AD9" s="70" t="str">
        <f>IFERROR(P9/#REF!-1,"---")</f>
        <v>---</v>
      </c>
      <c r="AE9" s="70" t="str">
        <f>IFERROR(#REF!/#REF!-1,"---")</f>
        <v>---</v>
      </c>
      <c r="AF9" s="70" t="str">
        <f>IFERROR(Q9/#REF!-1,"---")</f>
        <v>---</v>
      </c>
      <c r="AG9" s="70" t="str">
        <f>IFERROR(#REF!/#REF!-1,"---")</f>
        <v>---</v>
      </c>
      <c r="AH9" s="70" t="str">
        <f>IFERROR(#REF!/AA9-1,"---")</f>
        <v>---</v>
      </c>
      <c r="AI9" s="71" t="str">
        <f t="shared" si="2"/>
        <v>---</v>
      </c>
    </row>
    <row r="10" spans="1:35" ht="30" customHeight="1" x14ac:dyDescent="0.3">
      <c r="A10" s="123">
        <v>5</v>
      </c>
      <c r="B10" s="140">
        <f>INDEX('PEER GROUP'!B:B,MATCH($A10,'PEER GROUP'!$A:$A,0))</f>
        <v>0</v>
      </c>
      <c r="C10" s="83">
        <f>INDEX('PEER GROUP'!C:C,MATCH($A10,'PEER GROUP'!$A:$A,0))</f>
        <v>0</v>
      </c>
      <c r="D10" s="83">
        <f>INDEX('PEER GROUP'!D:D,MATCH($A10,'PEER GROUP'!$A:$A,0))</f>
        <v>0</v>
      </c>
      <c r="E10" s="83">
        <f>INDEX('PEER GROUP'!E:E,MATCH(A10,'PEER GROUP'!$A:$A,0))</f>
        <v>0</v>
      </c>
      <c r="F10" s="84">
        <f>INDEX('PEER GROUP'!F:F,MATCH($A10,'PEER GROUP'!$A:$A,0))</f>
        <v>0</v>
      </c>
      <c r="G10" s="84">
        <f>INDEX('PEER GROUP'!G:G,MATCH($A10,'PEER GROUP'!$A:$A,0))</f>
        <v>0</v>
      </c>
      <c r="H10" s="85"/>
      <c r="I10" s="85"/>
      <c r="J10" s="70">
        <f>INDEX('PEER GROUP'!K:K,MATCH($A10,'PEER GROUP'!$A:$A,0))</f>
        <v>0</v>
      </c>
      <c r="K10" s="70">
        <f>INDEX('PEER GROUP'!L:L,MATCH($A10,'PEER GROUP'!$A:$A,0))</f>
        <v>0</v>
      </c>
      <c r="L10" s="81">
        <f>INDEX('PEER GROUP'!N:N,MATCH($A10,'PEER GROUP'!$A:$A,0))</f>
        <v>0</v>
      </c>
      <c r="M10" s="118"/>
      <c r="N10" s="115"/>
      <c r="O10" s="117"/>
      <c r="P10" s="87"/>
      <c r="Q10" s="87"/>
      <c r="R10" s="87">
        <f t="shared" si="3"/>
        <v>0</v>
      </c>
      <c r="S10" s="113">
        <f t="shared" si="0"/>
        <v>36.913096727263202</v>
      </c>
      <c r="T10" s="69">
        <f t="shared" si="4"/>
        <v>0</v>
      </c>
      <c r="U10" s="70">
        <f t="shared" si="4"/>
        <v>0</v>
      </c>
      <c r="V10" s="70">
        <f t="shared" si="4"/>
        <v>0</v>
      </c>
      <c r="W10" s="71">
        <f t="shared" si="5"/>
        <v>0</v>
      </c>
      <c r="X10" s="49"/>
      <c r="Y10" s="151"/>
      <c r="Z10" s="69"/>
      <c r="AA10" s="70"/>
      <c r="AB10" s="70"/>
      <c r="AC10" s="70" t="str">
        <f t="shared" si="1"/>
        <v>---</v>
      </c>
      <c r="AD10" s="70" t="str">
        <f>IFERROR(P10/#REF!-1,"---")</f>
        <v>---</v>
      </c>
      <c r="AE10" s="70" t="str">
        <f>IFERROR(#REF!/#REF!-1,"---")</f>
        <v>---</v>
      </c>
      <c r="AF10" s="70" t="str">
        <f>IFERROR(Q10/#REF!-1,"---")</f>
        <v>---</v>
      </c>
      <c r="AG10" s="70" t="str">
        <f>IFERROR(#REF!/#REF!-1,"---")</f>
        <v>---</v>
      </c>
      <c r="AH10" s="70" t="str">
        <f>IFERROR(#REF!/AA10-1,"---")</f>
        <v>---</v>
      </c>
      <c r="AI10" s="71" t="str">
        <f t="shared" si="2"/>
        <v>---</v>
      </c>
    </row>
    <row r="11" spans="1:35" ht="30" customHeight="1" x14ac:dyDescent="0.3">
      <c r="A11" s="123">
        <v>6</v>
      </c>
      <c r="B11" s="140">
        <f>INDEX('PEER GROUP'!B:B,MATCH($A11,'PEER GROUP'!$A:$A,0))</f>
        <v>0</v>
      </c>
      <c r="C11" s="83">
        <f>INDEX('PEER GROUP'!C:C,MATCH($A11,'PEER GROUP'!$A:$A,0))</f>
        <v>0</v>
      </c>
      <c r="D11" s="83">
        <f>INDEX('PEER GROUP'!D:D,MATCH($A11,'PEER GROUP'!$A:$A,0))</f>
        <v>0</v>
      </c>
      <c r="E11" s="83">
        <f>INDEX('PEER GROUP'!E:E,MATCH(A11,'PEER GROUP'!$A:$A,0))</f>
        <v>0</v>
      </c>
      <c r="F11" s="84">
        <f>INDEX('PEER GROUP'!F:F,MATCH($A11,'PEER GROUP'!$A:$A,0))</f>
        <v>0</v>
      </c>
      <c r="G11" s="84">
        <f>INDEX('PEER GROUP'!G:G,MATCH($A11,'PEER GROUP'!$A:$A,0))</f>
        <v>0</v>
      </c>
      <c r="H11" s="85"/>
      <c r="I11" s="85"/>
      <c r="J11" s="70">
        <f>INDEX('PEER GROUP'!K:K,MATCH($A11,'PEER GROUP'!$A:$A,0))</f>
        <v>0</v>
      </c>
      <c r="K11" s="70">
        <f>INDEX('PEER GROUP'!L:L,MATCH($A11,'PEER GROUP'!$A:$A,0))</f>
        <v>0</v>
      </c>
      <c r="L11" s="81">
        <f>INDEX('PEER GROUP'!N:N,MATCH($A11,'PEER GROUP'!$A:$A,0))</f>
        <v>0</v>
      </c>
      <c r="M11" s="118"/>
      <c r="N11" s="115"/>
      <c r="O11" s="117"/>
      <c r="P11" s="87"/>
      <c r="Q11" s="87"/>
      <c r="R11" s="87">
        <f t="shared" si="3"/>
        <v>0</v>
      </c>
      <c r="S11" s="113">
        <f t="shared" si="0"/>
        <v>36.913096727263202</v>
      </c>
      <c r="T11" s="69">
        <f t="shared" si="4"/>
        <v>0</v>
      </c>
      <c r="U11" s="70">
        <f t="shared" si="4"/>
        <v>0</v>
      </c>
      <c r="V11" s="70">
        <f t="shared" si="4"/>
        <v>0</v>
      </c>
      <c r="W11" s="71">
        <f t="shared" si="5"/>
        <v>0</v>
      </c>
      <c r="X11" s="49"/>
      <c r="Y11" s="151"/>
      <c r="Z11" s="69"/>
      <c r="AA11" s="70"/>
      <c r="AB11" s="70"/>
      <c r="AC11" s="70" t="str">
        <f t="shared" si="1"/>
        <v>---</v>
      </c>
      <c r="AD11" s="70" t="str">
        <f>IFERROR(P11/#REF!-1,"---")</f>
        <v>---</v>
      </c>
      <c r="AE11" s="70" t="str">
        <f>IFERROR(#REF!/#REF!-1,"---")</f>
        <v>---</v>
      </c>
      <c r="AF11" s="70" t="str">
        <f>IFERROR(Q11/#REF!-1,"---")</f>
        <v>---</v>
      </c>
      <c r="AG11" s="70" t="str">
        <f>IFERROR(#REF!/#REF!-1,"---")</f>
        <v>---</v>
      </c>
      <c r="AH11" s="70" t="str">
        <f>IFERROR(#REF!/AA11-1,"---")</f>
        <v>---</v>
      </c>
      <c r="AI11" s="71" t="str">
        <f t="shared" si="2"/>
        <v>---</v>
      </c>
    </row>
    <row r="12" spans="1:35" ht="30" customHeight="1" x14ac:dyDescent="0.3">
      <c r="A12" s="123">
        <v>7</v>
      </c>
      <c r="B12" s="140">
        <f>INDEX('PEER GROUP'!B:B,MATCH($A12,'PEER GROUP'!$A:$A,0))</f>
        <v>0</v>
      </c>
      <c r="C12" s="83">
        <f>INDEX('PEER GROUP'!C:C,MATCH($A12,'PEER GROUP'!$A:$A,0))</f>
        <v>0</v>
      </c>
      <c r="D12" s="83">
        <f>INDEX('PEER GROUP'!D:D,MATCH($A12,'PEER GROUP'!$A:$A,0))</f>
        <v>0</v>
      </c>
      <c r="E12" s="83">
        <f>INDEX('PEER GROUP'!E:E,MATCH(A12,'PEER GROUP'!$A:$A,0))</f>
        <v>0</v>
      </c>
      <c r="F12" s="84">
        <f>INDEX('PEER GROUP'!F:F,MATCH($A12,'PEER GROUP'!$A:$A,0))</f>
        <v>0</v>
      </c>
      <c r="G12" s="84">
        <f>INDEX('PEER GROUP'!G:G,MATCH($A12,'PEER GROUP'!$A:$A,0))</f>
        <v>0</v>
      </c>
      <c r="H12" s="85"/>
      <c r="I12" s="85"/>
      <c r="J12" s="70">
        <f>INDEX('PEER GROUP'!K:K,MATCH($A12,'PEER GROUP'!$A:$A,0))</f>
        <v>0</v>
      </c>
      <c r="K12" s="70">
        <f>INDEX('PEER GROUP'!L:L,MATCH($A12,'PEER GROUP'!$A:$A,0))</f>
        <v>0</v>
      </c>
      <c r="L12" s="81">
        <f>INDEX('PEER GROUP'!N:N,MATCH($A12,'PEER GROUP'!$A:$A,0))</f>
        <v>0</v>
      </c>
      <c r="M12" s="118"/>
      <c r="N12" s="115"/>
      <c r="O12" s="117"/>
      <c r="P12" s="87"/>
      <c r="Q12" s="87"/>
      <c r="R12" s="87">
        <f t="shared" si="3"/>
        <v>0</v>
      </c>
      <c r="S12" s="113">
        <f t="shared" si="0"/>
        <v>36.913096727263202</v>
      </c>
      <c r="T12" s="69">
        <f t="shared" si="4"/>
        <v>0</v>
      </c>
      <c r="U12" s="70">
        <f t="shared" si="4"/>
        <v>0</v>
      </c>
      <c r="V12" s="70">
        <f t="shared" si="4"/>
        <v>0</v>
      </c>
      <c r="W12" s="71">
        <f t="shared" si="5"/>
        <v>0</v>
      </c>
      <c r="X12" s="49"/>
      <c r="Y12" s="151"/>
      <c r="Z12" s="69"/>
      <c r="AA12" s="70"/>
      <c r="AB12" s="70"/>
      <c r="AC12" s="70" t="str">
        <f t="shared" si="1"/>
        <v>---</v>
      </c>
      <c r="AD12" s="70" t="str">
        <f>IFERROR(P12/#REF!-1,"---")</f>
        <v>---</v>
      </c>
      <c r="AE12" s="70" t="str">
        <f>IFERROR(#REF!/#REF!-1,"---")</f>
        <v>---</v>
      </c>
      <c r="AF12" s="70" t="str">
        <f>IFERROR(Q12/#REF!-1,"---")</f>
        <v>---</v>
      </c>
      <c r="AG12" s="70" t="str">
        <f>IFERROR(#REF!/#REF!-1,"---")</f>
        <v>---</v>
      </c>
      <c r="AH12" s="70" t="str">
        <f>IFERROR(#REF!/AA12-1,"---")</f>
        <v>---</v>
      </c>
      <c r="AI12" s="71" t="str">
        <f t="shared" si="2"/>
        <v>---</v>
      </c>
    </row>
    <row r="13" spans="1:35" ht="30" customHeight="1" x14ac:dyDescent="0.3">
      <c r="A13" s="123">
        <v>8</v>
      </c>
      <c r="B13" s="140">
        <f>INDEX('PEER GROUP'!B:B,MATCH($A13,'PEER GROUP'!$A:$A,0))</f>
        <v>0</v>
      </c>
      <c r="C13" s="83">
        <f>INDEX('PEER GROUP'!C:C,MATCH($A13,'PEER GROUP'!$A:$A,0))</f>
        <v>0</v>
      </c>
      <c r="D13" s="83">
        <f>INDEX('PEER GROUP'!D:D,MATCH($A13,'PEER GROUP'!$A:$A,0))</f>
        <v>0</v>
      </c>
      <c r="E13" s="83">
        <f>INDEX('PEER GROUP'!E:E,MATCH(A13,'PEER GROUP'!$A:$A,0))</f>
        <v>0</v>
      </c>
      <c r="F13" s="84">
        <f>INDEX('PEER GROUP'!F:F,MATCH($A13,'PEER GROUP'!$A:$A,0))</f>
        <v>0</v>
      </c>
      <c r="G13" s="84">
        <f>INDEX('PEER GROUP'!G:G,MATCH($A13,'PEER GROUP'!$A:$A,0))</f>
        <v>0</v>
      </c>
      <c r="H13" s="85"/>
      <c r="I13" s="85"/>
      <c r="J13" s="70">
        <f>INDEX('PEER GROUP'!K:K,MATCH($A13,'PEER GROUP'!$A:$A,0))</f>
        <v>0</v>
      </c>
      <c r="K13" s="70">
        <f>INDEX('PEER GROUP'!L:L,MATCH($A13,'PEER GROUP'!$A:$A,0))</f>
        <v>0</v>
      </c>
      <c r="L13" s="81">
        <f>INDEX('PEER GROUP'!N:N,MATCH($A13,'PEER GROUP'!$A:$A,0))</f>
        <v>0</v>
      </c>
      <c r="M13" s="118"/>
      <c r="N13" s="115"/>
      <c r="O13" s="117"/>
      <c r="P13" s="87"/>
      <c r="Q13" s="87"/>
      <c r="R13" s="87">
        <f t="shared" si="3"/>
        <v>0</v>
      </c>
      <c r="S13" s="113">
        <f t="shared" si="0"/>
        <v>36.913096727263202</v>
      </c>
      <c r="T13" s="69">
        <f t="shared" si="4"/>
        <v>0</v>
      </c>
      <c r="U13" s="70">
        <f t="shared" si="4"/>
        <v>0</v>
      </c>
      <c r="V13" s="70">
        <f t="shared" si="4"/>
        <v>0</v>
      </c>
      <c r="W13" s="71">
        <f t="shared" si="5"/>
        <v>0</v>
      </c>
      <c r="X13" s="49"/>
      <c r="Y13" s="151"/>
      <c r="Z13" s="69"/>
      <c r="AA13" s="70"/>
      <c r="AB13" s="70"/>
      <c r="AC13" s="70" t="str">
        <f t="shared" si="1"/>
        <v>---</v>
      </c>
      <c r="AD13" s="70" t="str">
        <f>IFERROR(P13/#REF!-1,"---")</f>
        <v>---</v>
      </c>
      <c r="AE13" s="70" t="str">
        <f>IFERROR(#REF!/#REF!-1,"---")</f>
        <v>---</v>
      </c>
      <c r="AF13" s="70" t="str">
        <f>IFERROR(Q13/#REF!-1,"---")</f>
        <v>---</v>
      </c>
      <c r="AG13" s="70" t="str">
        <f>IFERROR(#REF!/#REF!-1,"---")</f>
        <v>---</v>
      </c>
      <c r="AH13" s="70" t="str">
        <f>IFERROR(#REF!/AA13-1,"---")</f>
        <v>---</v>
      </c>
      <c r="AI13" s="71" t="str">
        <f t="shared" si="2"/>
        <v>---</v>
      </c>
    </row>
    <row r="14" spans="1:35" ht="30" customHeight="1" x14ac:dyDescent="0.3">
      <c r="A14" s="123">
        <v>9</v>
      </c>
      <c r="B14" s="140">
        <f>INDEX('PEER GROUP'!B:B,MATCH($A14,'PEER GROUP'!$A:$A,0))</f>
        <v>0</v>
      </c>
      <c r="C14" s="83">
        <f>INDEX('PEER GROUP'!C:C,MATCH($A14,'PEER GROUP'!$A:$A,0))</f>
        <v>0</v>
      </c>
      <c r="D14" s="83">
        <f>INDEX('PEER GROUP'!D:D,MATCH($A14,'PEER GROUP'!$A:$A,0))</f>
        <v>0</v>
      </c>
      <c r="E14" s="83">
        <f>INDEX('PEER GROUP'!E:E,MATCH(A14,'PEER GROUP'!$A:$A,0))</f>
        <v>0</v>
      </c>
      <c r="F14" s="84">
        <f>INDEX('PEER GROUP'!F:F,MATCH($A14,'PEER GROUP'!$A:$A,0))</f>
        <v>0</v>
      </c>
      <c r="G14" s="84">
        <f>INDEX('PEER GROUP'!G:G,MATCH($A14,'PEER GROUP'!$A:$A,0))</f>
        <v>0</v>
      </c>
      <c r="H14" s="85"/>
      <c r="I14" s="85"/>
      <c r="J14" s="70">
        <f>INDEX('PEER GROUP'!K:K,MATCH($A14,'PEER GROUP'!$A:$A,0))</f>
        <v>0</v>
      </c>
      <c r="K14" s="70">
        <f>INDEX('PEER GROUP'!L:L,MATCH($A14,'PEER GROUP'!$A:$A,0))</f>
        <v>0</v>
      </c>
      <c r="L14" s="81">
        <f>INDEX('PEER GROUP'!N:N,MATCH($A14,'PEER GROUP'!$A:$A,0))</f>
        <v>0</v>
      </c>
      <c r="M14" s="118"/>
      <c r="N14" s="115"/>
      <c r="O14" s="117"/>
      <c r="P14" s="87"/>
      <c r="Q14" s="87"/>
      <c r="R14" s="87">
        <f t="shared" si="3"/>
        <v>0</v>
      </c>
      <c r="S14" s="113">
        <f t="shared" si="0"/>
        <v>36.913096727263202</v>
      </c>
      <c r="T14" s="69">
        <f t="shared" si="4"/>
        <v>0</v>
      </c>
      <c r="U14" s="70">
        <f t="shared" si="4"/>
        <v>0</v>
      </c>
      <c r="V14" s="70">
        <f t="shared" si="4"/>
        <v>0</v>
      </c>
      <c r="W14" s="71">
        <f t="shared" si="5"/>
        <v>0</v>
      </c>
      <c r="X14" s="49"/>
      <c r="Y14" s="151"/>
      <c r="Z14" s="69"/>
      <c r="AA14" s="70"/>
      <c r="AB14" s="70"/>
      <c r="AC14" s="70" t="str">
        <f t="shared" si="1"/>
        <v>---</v>
      </c>
      <c r="AD14" s="70" t="str">
        <f>IFERROR(P14/#REF!-1,"---")</f>
        <v>---</v>
      </c>
      <c r="AE14" s="70" t="str">
        <f>IFERROR(#REF!/#REF!-1,"---")</f>
        <v>---</v>
      </c>
      <c r="AF14" s="70" t="str">
        <f>IFERROR(Q14/#REF!-1,"---")</f>
        <v>---</v>
      </c>
      <c r="AG14" s="70" t="str">
        <f>IFERROR(#REF!/#REF!-1,"---")</f>
        <v>---</v>
      </c>
      <c r="AH14" s="70" t="str">
        <f>IFERROR(#REF!/AA14-1,"---")</f>
        <v>---</v>
      </c>
      <c r="AI14" s="71" t="str">
        <f t="shared" si="2"/>
        <v>---</v>
      </c>
    </row>
    <row r="15" spans="1:35" ht="30" customHeight="1" x14ac:dyDescent="0.3">
      <c r="A15" s="123">
        <v>10</v>
      </c>
      <c r="B15" s="140">
        <f>INDEX('PEER GROUP'!B:B,MATCH($A15,'PEER GROUP'!$A:$A,0))</f>
        <v>0</v>
      </c>
      <c r="C15" s="83">
        <f>INDEX('PEER GROUP'!C:C,MATCH($A15,'PEER GROUP'!$A:$A,0))</f>
        <v>0</v>
      </c>
      <c r="D15" s="83">
        <f>INDEX('PEER GROUP'!D:D,MATCH($A15,'PEER GROUP'!$A:$A,0))</f>
        <v>0</v>
      </c>
      <c r="E15" s="83">
        <f>INDEX('PEER GROUP'!E:E,MATCH(A15,'PEER GROUP'!$A:$A,0))</f>
        <v>0</v>
      </c>
      <c r="F15" s="84">
        <f>INDEX('PEER GROUP'!F:F,MATCH($A15,'PEER GROUP'!$A:$A,0))</f>
        <v>0</v>
      </c>
      <c r="G15" s="84">
        <f>INDEX('PEER GROUP'!G:G,MATCH($A15,'PEER GROUP'!$A:$A,0))</f>
        <v>0</v>
      </c>
      <c r="H15" s="85"/>
      <c r="I15" s="85"/>
      <c r="J15" s="70">
        <f>INDEX('PEER GROUP'!K:K,MATCH($A15,'PEER GROUP'!$A:$A,0))</f>
        <v>0</v>
      </c>
      <c r="K15" s="70">
        <f>INDEX('PEER GROUP'!L:L,MATCH($A15,'PEER GROUP'!$A:$A,0))</f>
        <v>0</v>
      </c>
      <c r="L15" s="81">
        <f>INDEX('PEER GROUP'!N:N,MATCH($A15,'PEER GROUP'!$A:$A,0))</f>
        <v>0</v>
      </c>
      <c r="M15" s="118"/>
      <c r="N15" s="115"/>
      <c r="O15" s="117"/>
      <c r="P15" s="87"/>
      <c r="Q15" s="87"/>
      <c r="R15" s="87">
        <f t="shared" si="3"/>
        <v>0</v>
      </c>
      <c r="S15" s="113">
        <f t="shared" si="0"/>
        <v>36.913096727263202</v>
      </c>
      <c r="T15" s="69">
        <f t="shared" si="4"/>
        <v>0</v>
      </c>
      <c r="U15" s="70">
        <f t="shared" si="4"/>
        <v>0</v>
      </c>
      <c r="V15" s="70">
        <f t="shared" si="4"/>
        <v>0</v>
      </c>
      <c r="W15" s="71">
        <f t="shared" si="5"/>
        <v>0</v>
      </c>
      <c r="X15" s="49"/>
      <c r="Y15" s="151"/>
      <c r="Z15" s="69"/>
      <c r="AA15" s="70"/>
      <c r="AB15" s="70"/>
      <c r="AC15" s="70" t="str">
        <f t="shared" si="1"/>
        <v>---</v>
      </c>
      <c r="AD15" s="70" t="str">
        <f>IFERROR(P15/#REF!-1,"---")</f>
        <v>---</v>
      </c>
      <c r="AE15" s="70" t="str">
        <f>IFERROR(#REF!/#REF!-1,"---")</f>
        <v>---</v>
      </c>
      <c r="AF15" s="70" t="str">
        <f>IFERROR(Q15/#REF!-1,"---")</f>
        <v>---</v>
      </c>
      <c r="AG15" s="70" t="str">
        <f>IFERROR(#REF!/#REF!-1,"---")</f>
        <v>---</v>
      </c>
      <c r="AH15" s="70" t="str">
        <f>IFERROR(#REF!/AA15-1,"---")</f>
        <v>---</v>
      </c>
      <c r="AI15" s="71" t="str">
        <f t="shared" si="2"/>
        <v>---</v>
      </c>
    </row>
    <row r="16" spans="1:35" ht="30" customHeight="1" x14ac:dyDescent="0.3">
      <c r="A16" s="123">
        <v>11</v>
      </c>
      <c r="B16" s="140">
        <f>INDEX('PEER GROUP'!B:B,MATCH($A16,'PEER GROUP'!$A:$A,0))</f>
        <v>0</v>
      </c>
      <c r="C16" s="83">
        <f>INDEX('PEER GROUP'!C:C,MATCH($A16,'PEER GROUP'!$A:$A,0))</f>
        <v>0</v>
      </c>
      <c r="D16" s="83">
        <f>INDEX('PEER GROUP'!D:D,MATCH($A16,'PEER GROUP'!$A:$A,0))</f>
        <v>0</v>
      </c>
      <c r="E16" s="83">
        <f>INDEX('PEER GROUP'!E:E,MATCH(A16,'PEER GROUP'!$A:$A,0))</f>
        <v>0</v>
      </c>
      <c r="F16" s="84">
        <f>INDEX('PEER GROUP'!F:F,MATCH($A16,'PEER GROUP'!$A:$A,0))</f>
        <v>0</v>
      </c>
      <c r="G16" s="84">
        <f>INDEX('PEER GROUP'!G:G,MATCH($A16,'PEER GROUP'!$A:$A,0))</f>
        <v>0</v>
      </c>
      <c r="H16" s="85"/>
      <c r="I16" s="85"/>
      <c r="J16" s="70">
        <f>INDEX('PEER GROUP'!K:K,MATCH($A16,'PEER GROUP'!$A:$A,0))</f>
        <v>0</v>
      </c>
      <c r="K16" s="70">
        <f>INDEX('PEER GROUP'!L:L,MATCH($A16,'PEER GROUP'!$A:$A,0))</f>
        <v>0</v>
      </c>
      <c r="L16" s="81">
        <f>INDEX('PEER GROUP'!N:N,MATCH($A16,'PEER GROUP'!$A:$A,0))</f>
        <v>0</v>
      </c>
      <c r="M16" s="118"/>
      <c r="N16" s="115"/>
      <c r="O16" s="117"/>
      <c r="P16" s="87"/>
      <c r="Q16" s="87"/>
      <c r="R16" s="87">
        <f t="shared" si="3"/>
        <v>0</v>
      </c>
      <c r="S16" s="113">
        <f t="shared" si="0"/>
        <v>36.913096727263202</v>
      </c>
      <c r="T16" s="69">
        <f t="shared" si="4"/>
        <v>0</v>
      </c>
      <c r="U16" s="70">
        <f t="shared" si="4"/>
        <v>0</v>
      </c>
      <c r="V16" s="70">
        <f t="shared" si="4"/>
        <v>0</v>
      </c>
      <c r="W16" s="71">
        <f t="shared" si="5"/>
        <v>0</v>
      </c>
      <c r="X16" s="49"/>
      <c r="Y16" s="151"/>
      <c r="Z16" s="69"/>
      <c r="AA16" s="70"/>
      <c r="AB16" s="70"/>
      <c r="AC16" s="70" t="str">
        <f t="shared" si="1"/>
        <v>---</v>
      </c>
      <c r="AD16" s="70" t="str">
        <f>IFERROR(P16/#REF!-1,"---")</f>
        <v>---</v>
      </c>
      <c r="AE16" s="70" t="str">
        <f>IFERROR(#REF!/#REF!-1,"---")</f>
        <v>---</v>
      </c>
      <c r="AF16" s="70" t="str">
        <f>IFERROR(Q16/#REF!-1,"---")</f>
        <v>---</v>
      </c>
      <c r="AG16" s="70" t="str">
        <f>IFERROR(#REF!/#REF!-1,"---")</f>
        <v>---</v>
      </c>
      <c r="AH16" s="70" t="str">
        <f>IFERROR(#REF!/AA16-1,"---")</f>
        <v>---</v>
      </c>
      <c r="AI16" s="71" t="str">
        <f t="shared" si="2"/>
        <v>---</v>
      </c>
    </row>
    <row r="17" spans="1:35" ht="30" customHeight="1" x14ac:dyDescent="0.3">
      <c r="A17" s="123">
        <v>12</v>
      </c>
      <c r="B17" s="140">
        <f>INDEX('PEER GROUP'!B:B,MATCH($A17,'PEER GROUP'!$A:$A,0))</f>
        <v>0</v>
      </c>
      <c r="C17" s="83">
        <f>INDEX('PEER GROUP'!C:C,MATCH($A17,'PEER GROUP'!$A:$A,0))</f>
        <v>0</v>
      </c>
      <c r="D17" s="83">
        <f>INDEX('PEER GROUP'!D:D,MATCH($A17,'PEER GROUP'!$A:$A,0))</f>
        <v>0</v>
      </c>
      <c r="E17" s="83">
        <f>INDEX('PEER GROUP'!E:E,MATCH(A17,'PEER GROUP'!$A:$A,0))</f>
        <v>0</v>
      </c>
      <c r="F17" s="84">
        <f>INDEX('PEER GROUP'!F:F,MATCH($A17,'PEER GROUP'!$A:$A,0))</f>
        <v>0</v>
      </c>
      <c r="G17" s="84">
        <f>INDEX('PEER GROUP'!G:G,MATCH($A17,'PEER GROUP'!$A:$A,0))</f>
        <v>0</v>
      </c>
      <c r="H17" s="85"/>
      <c r="I17" s="85"/>
      <c r="J17" s="70">
        <f>INDEX('PEER GROUP'!K:K,MATCH($A17,'PEER GROUP'!$A:$A,0))</f>
        <v>0</v>
      </c>
      <c r="K17" s="70">
        <f>INDEX('PEER GROUP'!L:L,MATCH($A17,'PEER GROUP'!$A:$A,0))</f>
        <v>0</v>
      </c>
      <c r="L17" s="81">
        <f>INDEX('PEER GROUP'!N:N,MATCH($A17,'PEER GROUP'!$A:$A,0))</f>
        <v>0</v>
      </c>
      <c r="M17" s="118"/>
      <c r="N17" s="115"/>
      <c r="O17" s="117"/>
      <c r="P17" s="87"/>
      <c r="Q17" s="87"/>
      <c r="R17" s="87">
        <f t="shared" si="3"/>
        <v>0</v>
      </c>
      <c r="S17" s="113">
        <f t="shared" si="0"/>
        <v>36.913096727263202</v>
      </c>
      <c r="T17" s="69">
        <f t="shared" si="4"/>
        <v>0</v>
      </c>
      <c r="U17" s="70">
        <f t="shared" si="4"/>
        <v>0</v>
      </c>
      <c r="V17" s="70">
        <f t="shared" si="4"/>
        <v>0</v>
      </c>
      <c r="W17" s="71">
        <f t="shared" si="5"/>
        <v>0</v>
      </c>
      <c r="X17" s="49"/>
      <c r="Y17" s="151"/>
      <c r="Z17" s="69"/>
      <c r="AA17" s="70"/>
      <c r="AB17" s="70"/>
      <c r="AC17" s="70" t="str">
        <f t="shared" si="1"/>
        <v>---</v>
      </c>
      <c r="AD17" s="70" t="str">
        <f>IFERROR(P17/#REF!-1,"---")</f>
        <v>---</v>
      </c>
      <c r="AE17" s="70" t="str">
        <f>IFERROR(#REF!/#REF!-1,"---")</f>
        <v>---</v>
      </c>
      <c r="AF17" s="70" t="str">
        <f>IFERROR(Q17/#REF!-1,"---")</f>
        <v>---</v>
      </c>
      <c r="AG17" s="70" t="str">
        <f>IFERROR(#REF!/#REF!-1,"---")</f>
        <v>---</v>
      </c>
      <c r="AH17" s="70" t="str">
        <f>IFERROR(#REF!/AA17-1,"---")</f>
        <v>---</v>
      </c>
      <c r="AI17" s="71" t="str">
        <f t="shared" si="2"/>
        <v>---</v>
      </c>
    </row>
    <row r="18" spans="1:35" ht="30" customHeight="1" x14ac:dyDescent="0.3">
      <c r="A18" s="123">
        <v>13</v>
      </c>
      <c r="B18" s="140">
        <f>INDEX('PEER GROUP'!B:B,MATCH($A18,'PEER GROUP'!$A:$A,0))</f>
        <v>0</v>
      </c>
      <c r="C18" s="83">
        <f>INDEX('PEER GROUP'!C:C,MATCH($A18,'PEER GROUP'!$A:$A,0))</f>
        <v>0</v>
      </c>
      <c r="D18" s="83">
        <f>INDEX('PEER GROUP'!D:D,MATCH($A18,'PEER GROUP'!$A:$A,0))</f>
        <v>0</v>
      </c>
      <c r="E18" s="83">
        <f>INDEX('PEER GROUP'!E:E,MATCH(A18,'PEER GROUP'!$A:$A,0))</f>
        <v>0</v>
      </c>
      <c r="F18" s="84">
        <f>INDEX('PEER GROUP'!F:F,MATCH($A18,'PEER GROUP'!$A:$A,0))</f>
        <v>0</v>
      </c>
      <c r="G18" s="84">
        <f>INDEX('PEER GROUP'!G:G,MATCH($A18,'PEER GROUP'!$A:$A,0))</f>
        <v>0</v>
      </c>
      <c r="H18" s="85"/>
      <c r="I18" s="85"/>
      <c r="J18" s="70">
        <f>INDEX('PEER GROUP'!K:K,MATCH($A18,'PEER GROUP'!$A:$A,0))</f>
        <v>0</v>
      </c>
      <c r="K18" s="70">
        <f>INDEX('PEER GROUP'!L:L,MATCH($A18,'PEER GROUP'!$A:$A,0))</f>
        <v>0</v>
      </c>
      <c r="L18" s="81">
        <f>INDEX('PEER GROUP'!N:N,MATCH($A18,'PEER GROUP'!$A:$A,0))</f>
        <v>0</v>
      </c>
      <c r="M18" s="118"/>
      <c r="N18" s="115"/>
      <c r="O18" s="117"/>
      <c r="P18" s="87"/>
      <c r="Q18" s="87"/>
      <c r="R18" s="87">
        <f t="shared" si="3"/>
        <v>0</v>
      </c>
      <c r="S18" s="113">
        <f t="shared" si="0"/>
        <v>36.913096727263202</v>
      </c>
      <c r="T18" s="69">
        <f t="shared" si="4"/>
        <v>0</v>
      </c>
      <c r="U18" s="70">
        <f t="shared" si="4"/>
        <v>0</v>
      </c>
      <c r="V18" s="70">
        <f t="shared" si="4"/>
        <v>0</v>
      </c>
      <c r="W18" s="71">
        <f t="shared" si="5"/>
        <v>0</v>
      </c>
      <c r="X18" s="49"/>
      <c r="Y18" s="151"/>
      <c r="Z18" s="69"/>
      <c r="AA18" s="70"/>
      <c r="AB18" s="70"/>
      <c r="AC18" s="70" t="str">
        <f t="shared" si="1"/>
        <v>---</v>
      </c>
      <c r="AD18" s="70" t="str">
        <f>IFERROR(P18/#REF!-1,"---")</f>
        <v>---</v>
      </c>
      <c r="AE18" s="70" t="str">
        <f>IFERROR(#REF!/#REF!-1,"---")</f>
        <v>---</v>
      </c>
      <c r="AF18" s="70" t="str">
        <f>IFERROR(Q18/#REF!-1,"---")</f>
        <v>---</v>
      </c>
      <c r="AG18" s="70" t="str">
        <f>IFERROR(#REF!/#REF!-1,"---")</f>
        <v>---</v>
      </c>
      <c r="AH18" s="70" t="str">
        <f>IFERROR(#REF!/AA18-1,"---")</f>
        <v>---</v>
      </c>
      <c r="AI18" s="71" t="str">
        <f t="shared" si="2"/>
        <v>---</v>
      </c>
    </row>
    <row r="19" spans="1:35" ht="30" customHeight="1" x14ac:dyDescent="0.3">
      <c r="A19" s="123">
        <v>14</v>
      </c>
      <c r="B19" s="140">
        <f>INDEX('PEER GROUP'!B:B,MATCH($A19,'PEER GROUP'!$A:$A,0))</f>
        <v>0</v>
      </c>
      <c r="C19" s="83">
        <f>INDEX('PEER GROUP'!C:C,MATCH($A19,'PEER GROUP'!$A:$A,0))</f>
        <v>0</v>
      </c>
      <c r="D19" s="83">
        <f>INDEX('PEER GROUP'!D:D,MATCH($A19,'PEER GROUP'!$A:$A,0))</f>
        <v>0</v>
      </c>
      <c r="E19" s="83">
        <f>INDEX('PEER GROUP'!E:E,MATCH(A19,'PEER GROUP'!$A:$A,0))</f>
        <v>0</v>
      </c>
      <c r="F19" s="84">
        <f>INDEX('PEER GROUP'!F:F,MATCH($A19,'PEER GROUP'!$A:$A,0))</f>
        <v>0</v>
      </c>
      <c r="G19" s="84">
        <f>INDEX('PEER GROUP'!G:G,MATCH($A19,'PEER GROUP'!$A:$A,0))</f>
        <v>0</v>
      </c>
      <c r="H19" s="85"/>
      <c r="I19" s="85"/>
      <c r="J19" s="70">
        <f>INDEX('PEER GROUP'!K:K,MATCH($A19,'PEER GROUP'!$A:$A,0))</f>
        <v>0</v>
      </c>
      <c r="K19" s="70">
        <f>INDEX('PEER GROUP'!L:L,MATCH($A19,'PEER GROUP'!$A:$A,0))</f>
        <v>0</v>
      </c>
      <c r="L19" s="81">
        <f>INDEX('PEER GROUP'!N:N,MATCH($A19,'PEER GROUP'!$A:$A,0))</f>
        <v>0</v>
      </c>
      <c r="M19" s="118"/>
      <c r="N19" s="115"/>
      <c r="O19" s="117"/>
      <c r="P19" s="87"/>
      <c r="Q19" s="87"/>
      <c r="R19" s="87">
        <f t="shared" si="3"/>
        <v>0</v>
      </c>
      <c r="S19" s="113">
        <f t="shared" si="0"/>
        <v>36.913096727263202</v>
      </c>
      <c r="T19" s="69">
        <f t="shared" si="4"/>
        <v>0</v>
      </c>
      <c r="U19" s="70">
        <f t="shared" si="4"/>
        <v>0</v>
      </c>
      <c r="V19" s="70">
        <f t="shared" si="4"/>
        <v>0</v>
      </c>
      <c r="W19" s="71">
        <f t="shared" si="5"/>
        <v>0</v>
      </c>
      <c r="X19" s="49"/>
      <c r="Y19" s="151"/>
      <c r="Z19" s="69"/>
      <c r="AA19" s="70"/>
      <c r="AB19" s="70"/>
      <c r="AC19" s="70" t="str">
        <f t="shared" si="1"/>
        <v>---</v>
      </c>
      <c r="AD19" s="70" t="str">
        <f>IFERROR(P19/#REF!-1,"---")</f>
        <v>---</v>
      </c>
      <c r="AE19" s="70" t="str">
        <f>IFERROR(#REF!/#REF!-1,"---")</f>
        <v>---</v>
      </c>
      <c r="AF19" s="70" t="str">
        <f>IFERROR(Q19/#REF!-1,"---")</f>
        <v>---</v>
      </c>
      <c r="AG19" s="70" t="str">
        <f>IFERROR(#REF!/#REF!-1,"---")</f>
        <v>---</v>
      </c>
      <c r="AH19" s="70" t="str">
        <f>IFERROR(#REF!/AA19-1,"---")</f>
        <v>---</v>
      </c>
      <c r="AI19" s="71" t="str">
        <f t="shared" si="2"/>
        <v>---</v>
      </c>
    </row>
    <row r="20" spans="1:35" ht="30" customHeight="1" x14ac:dyDescent="0.3">
      <c r="A20" s="123">
        <v>15</v>
      </c>
      <c r="B20" s="140">
        <f>INDEX('PEER GROUP'!B:B,MATCH($A20,'PEER GROUP'!$A:$A,0))</f>
        <v>0</v>
      </c>
      <c r="C20" s="83">
        <f>INDEX('PEER GROUP'!C:C,MATCH($A20,'PEER GROUP'!$A:$A,0))</f>
        <v>0</v>
      </c>
      <c r="D20" s="83">
        <f>INDEX('PEER GROUP'!D:D,MATCH($A20,'PEER GROUP'!$A:$A,0))</f>
        <v>0</v>
      </c>
      <c r="E20" s="83">
        <f>INDEX('PEER GROUP'!E:E,MATCH(A20,'PEER GROUP'!$A:$A,0))</f>
        <v>0</v>
      </c>
      <c r="F20" s="84">
        <f>INDEX('PEER GROUP'!F:F,MATCH($A20,'PEER GROUP'!$A:$A,0))</f>
        <v>0</v>
      </c>
      <c r="G20" s="84">
        <f>INDEX('PEER GROUP'!G:G,MATCH($A20,'PEER GROUP'!$A:$A,0))</f>
        <v>0</v>
      </c>
      <c r="H20" s="85"/>
      <c r="I20" s="85"/>
      <c r="J20" s="70">
        <f>INDEX('PEER GROUP'!K:K,MATCH($A20,'PEER GROUP'!$A:$A,0))</f>
        <v>0</v>
      </c>
      <c r="K20" s="70">
        <f>INDEX('PEER GROUP'!L:L,MATCH($A20,'PEER GROUP'!$A:$A,0))</f>
        <v>0</v>
      </c>
      <c r="L20" s="81">
        <f>INDEX('PEER GROUP'!N:N,MATCH($A20,'PEER GROUP'!$A:$A,0))</f>
        <v>0</v>
      </c>
      <c r="M20" s="118"/>
      <c r="N20" s="115"/>
      <c r="O20" s="117"/>
      <c r="P20" s="87"/>
      <c r="Q20" s="87"/>
      <c r="R20" s="87">
        <f t="shared" si="3"/>
        <v>0</v>
      </c>
      <c r="S20" s="113">
        <f t="shared" si="0"/>
        <v>36.913096727263202</v>
      </c>
      <c r="T20" s="69">
        <f t="shared" si="4"/>
        <v>0</v>
      </c>
      <c r="U20" s="70">
        <f t="shared" si="4"/>
        <v>0</v>
      </c>
      <c r="V20" s="70">
        <f t="shared" si="4"/>
        <v>0</v>
      </c>
      <c r="W20" s="71">
        <f t="shared" si="5"/>
        <v>0</v>
      </c>
      <c r="X20" s="49"/>
      <c r="Y20" s="151"/>
      <c r="Z20" s="69"/>
      <c r="AA20" s="70"/>
      <c r="AB20" s="70"/>
      <c r="AC20" s="70" t="str">
        <f t="shared" si="1"/>
        <v>---</v>
      </c>
      <c r="AD20" s="70" t="str">
        <f>IFERROR(P20/#REF!-1,"---")</f>
        <v>---</v>
      </c>
      <c r="AE20" s="70" t="str">
        <f>IFERROR(#REF!/#REF!-1,"---")</f>
        <v>---</v>
      </c>
      <c r="AF20" s="70" t="str">
        <f>IFERROR(Q20/#REF!-1,"---")</f>
        <v>---</v>
      </c>
      <c r="AG20" s="70" t="str">
        <f>IFERROR(#REF!/#REF!-1,"---")</f>
        <v>---</v>
      </c>
      <c r="AH20" s="70" t="str">
        <f>IFERROR(#REF!/AA20-1,"---")</f>
        <v>---</v>
      </c>
      <c r="AI20" s="71" t="str">
        <f t="shared" si="2"/>
        <v>---</v>
      </c>
    </row>
    <row r="21" spans="1:35" ht="30" customHeight="1" x14ac:dyDescent="0.3">
      <c r="A21" s="123">
        <v>16</v>
      </c>
      <c r="B21" s="140">
        <f>INDEX('PEER GROUP'!B:B,MATCH($A21,'PEER GROUP'!$A:$A,0))</f>
        <v>0</v>
      </c>
      <c r="C21" s="83">
        <f>INDEX('PEER GROUP'!C:C,MATCH($A21,'PEER GROUP'!$A:$A,0))</f>
        <v>0</v>
      </c>
      <c r="D21" s="83">
        <f>INDEX('PEER GROUP'!D:D,MATCH($A21,'PEER GROUP'!$A:$A,0))</f>
        <v>0</v>
      </c>
      <c r="E21" s="83">
        <f>INDEX('PEER GROUP'!E:E,MATCH(A21,'PEER GROUP'!$A:$A,0))</f>
        <v>0</v>
      </c>
      <c r="F21" s="84">
        <f>INDEX('PEER GROUP'!F:F,MATCH($A21,'PEER GROUP'!$A:$A,0))</f>
        <v>0</v>
      </c>
      <c r="G21" s="84">
        <f>INDEX('PEER GROUP'!G:G,MATCH($A21,'PEER GROUP'!$A:$A,0))</f>
        <v>0</v>
      </c>
      <c r="H21" s="85"/>
      <c r="I21" s="85"/>
      <c r="J21" s="70">
        <f>INDEX('PEER GROUP'!K:K,MATCH($A21,'PEER GROUP'!$A:$A,0))</f>
        <v>0</v>
      </c>
      <c r="K21" s="70">
        <f>INDEX('PEER GROUP'!L:L,MATCH($A21,'PEER GROUP'!$A:$A,0))</f>
        <v>0</v>
      </c>
      <c r="L21" s="81">
        <f>INDEX('PEER GROUP'!N:N,MATCH($A21,'PEER GROUP'!$A:$A,0))</f>
        <v>0</v>
      </c>
      <c r="M21" s="117"/>
      <c r="N21" s="94"/>
      <c r="O21" s="117"/>
      <c r="P21" s="87"/>
      <c r="Q21" s="87"/>
      <c r="R21" s="87">
        <f t="shared" si="3"/>
        <v>0</v>
      </c>
      <c r="S21" s="113">
        <f t="shared" si="0"/>
        <v>36.913096727263202</v>
      </c>
      <c r="T21" s="69">
        <f t="shared" si="4"/>
        <v>0</v>
      </c>
      <c r="U21" s="70">
        <f t="shared" si="4"/>
        <v>0</v>
      </c>
      <c r="V21" s="70">
        <f t="shared" si="4"/>
        <v>0</v>
      </c>
      <c r="W21" s="71">
        <f t="shared" si="5"/>
        <v>0</v>
      </c>
      <c r="X21" s="49"/>
      <c r="Y21" s="151"/>
      <c r="Z21" s="69"/>
      <c r="AA21" s="70"/>
      <c r="AB21" s="70"/>
      <c r="AC21" s="70" t="str">
        <f t="shared" si="1"/>
        <v>---</v>
      </c>
      <c r="AD21" s="70" t="str">
        <f>IFERROR(P21/#REF!-1,"---")</f>
        <v>---</v>
      </c>
      <c r="AE21" s="70" t="str">
        <f>IFERROR(#REF!/#REF!-1,"---")</f>
        <v>---</v>
      </c>
      <c r="AF21" s="70" t="str">
        <f>IFERROR(Q21/#REF!-1,"---")</f>
        <v>---</v>
      </c>
      <c r="AG21" s="70" t="str">
        <f>IFERROR(#REF!/#REF!-1,"---")</f>
        <v>---</v>
      </c>
      <c r="AH21" s="70" t="str">
        <f>IFERROR(#REF!/AA21-1,"---")</f>
        <v>---</v>
      </c>
      <c r="AI21" s="71" t="str">
        <f t="shared" si="2"/>
        <v>---</v>
      </c>
    </row>
    <row r="22" spans="1:35" ht="30" customHeight="1" x14ac:dyDescent="0.3">
      <c r="A22" s="123">
        <v>17</v>
      </c>
      <c r="B22" s="140">
        <f>INDEX('PEER GROUP'!B:B,MATCH($A22,'PEER GROUP'!$A:$A,0))</f>
        <v>0</v>
      </c>
      <c r="C22" s="83">
        <f>INDEX('PEER GROUP'!C:C,MATCH($A22,'PEER GROUP'!$A:$A,0))</f>
        <v>0</v>
      </c>
      <c r="D22" s="83">
        <f>INDEX('PEER GROUP'!D:D,MATCH($A22,'PEER GROUP'!$A:$A,0))</f>
        <v>0</v>
      </c>
      <c r="E22" s="83">
        <f>INDEX('PEER GROUP'!E:E,MATCH(A22,'PEER GROUP'!$A:$A,0))</f>
        <v>0</v>
      </c>
      <c r="F22" s="84">
        <f>INDEX('PEER GROUP'!F:F,MATCH($A22,'PEER GROUP'!$A:$A,0))</f>
        <v>0</v>
      </c>
      <c r="G22" s="84">
        <f>INDEX('PEER GROUP'!G:G,MATCH($A22,'PEER GROUP'!$A:$A,0))</f>
        <v>0</v>
      </c>
      <c r="H22" s="85"/>
      <c r="I22" s="85"/>
      <c r="J22" s="70">
        <f>INDEX('PEER GROUP'!K:K,MATCH($A22,'PEER GROUP'!$A:$A,0))</f>
        <v>0</v>
      </c>
      <c r="K22" s="70">
        <f>INDEX('PEER GROUP'!L:L,MATCH($A22,'PEER GROUP'!$A:$A,0))</f>
        <v>0</v>
      </c>
      <c r="L22" s="81">
        <f>INDEX('PEER GROUP'!N:N,MATCH($A22,'PEER GROUP'!$A:$A,0))</f>
        <v>0</v>
      </c>
      <c r="M22" s="118"/>
      <c r="N22" s="115"/>
      <c r="O22" s="117"/>
      <c r="P22" s="87"/>
      <c r="Q22" s="87"/>
      <c r="R22" s="87">
        <f t="shared" si="3"/>
        <v>0</v>
      </c>
      <c r="S22" s="113">
        <f t="shared" si="0"/>
        <v>36.913096727263202</v>
      </c>
      <c r="T22" s="69">
        <f t="shared" si="4"/>
        <v>0</v>
      </c>
      <c r="U22" s="70">
        <f t="shared" si="4"/>
        <v>0</v>
      </c>
      <c r="V22" s="70">
        <f t="shared" si="4"/>
        <v>0</v>
      </c>
      <c r="W22" s="71">
        <f t="shared" si="5"/>
        <v>0</v>
      </c>
      <c r="X22" s="49"/>
      <c r="Y22" s="151"/>
      <c r="Z22" s="69"/>
      <c r="AA22" s="70"/>
      <c r="AB22" s="70"/>
      <c r="AC22" s="70" t="str">
        <f t="shared" si="1"/>
        <v>---</v>
      </c>
      <c r="AD22" s="70" t="str">
        <f>IFERROR(P22/#REF!-1,"---")</f>
        <v>---</v>
      </c>
      <c r="AE22" s="70" t="str">
        <f>IFERROR(#REF!/#REF!-1,"---")</f>
        <v>---</v>
      </c>
      <c r="AF22" s="70" t="str">
        <f>IFERROR(Q22/#REF!-1,"---")</f>
        <v>---</v>
      </c>
      <c r="AG22" s="70" t="str">
        <f>IFERROR(#REF!/#REF!-1,"---")</f>
        <v>---</v>
      </c>
      <c r="AH22" s="70" t="str">
        <f>IFERROR(#REF!/AA22-1,"---")</f>
        <v>---</v>
      </c>
      <c r="AI22" s="71" t="str">
        <f t="shared" si="2"/>
        <v>---</v>
      </c>
    </row>
    <row r="23" spans="1:35" ht="30" customHeight="1" x14ac:dyDescent="0.3">
      <c r="A23" s="123">
        <v>18</v>
      </c>
      <c r="B23" s="140">
        <f>INDEX('PEER GROUP'!B:B,MATCH($A23,'PEER GROUP'!$A:$A,0))</f>
        <v>0</v>
      </c>
      <c r="C23" s="83">
        <f>INDEX('PEER GROUP'!C:C,MATCH($A23,'PEER GROUP'!$A:$A,0))</f>
        <v>0</v>
      </c>
      <c r="D23" s="83">
        <f>INDEX('PEER GROUP'!D:D,MATCH($A23,'PEER GROUP'!$A:$A,0))</f>
        <v>0</v>
      </c>
      <c r="E23" s="83">
        <f>INDEX('PEER GROUP'!E:E,MATCH(A23,'PEER GROUP'!$A:$A,0))</f>
        <v>0</v>
      </c>
      <c r="F23" s="84">
        <f>INDEX('PEER GROUP'!F:F,MATCH($A23,'PEER GROUP'!$A:$A,0))</f>
        <v>0</v>
      </c>
      <c r="G23" s="84">
        <f>INDEX('PEER GROUP'!G:G,MATCH($A23,'PEER GROUP'!$A:$A,0))</f>
        <v>0</v>
      </c>
      <c r="H23" s="85"/>
      <c r="I23" s="85"/>
      <c r="J23" s="70">
        <f>INDEX('PEER GROUP'!K:K,MATCH($A23,'PEER GROUP'!$A:$A,0))</f>
        <v>0</v>
      </c>
      <c r="K23" s="70">
        <f>INDEX('PEER GROUP'!L:L,MATCH($A23,'PEER GROUP'!$A:$A,0))</f>
        <v>0</v>
      </c>
      <c r="L23" s="81">
        <f>INDEX('PEER GROUP'!N:N,MATCH($A23,'PEER GROUP'!$A:$A,0))</f>
        <v>0</v>
      </c>
      <c r="M23" s="118"/>
      <c r="N23" s="115"/>
      <c r="O23" s="117"/>
      <c r="P23" s="87"/>
      <c r="Q23" s="87"/>
      <c r="R23" s="87">
        <f t="shared" si="3"/>
        <v>0</v>
      </c>
      <c r="S23" s="113">
        <f t="shared" si="0"/>
        <v>36.913096727263202</v>
      </c>
      <c r="T23" s="69">
        <f t="shared" si="4"/>
        <v>0</v>
      </c>
      <c r="U23" s="70">
        <f t="shared" si="4"/>
        <v>0</v>
      </c>
      <c r="V23" s="70">
        <f t="shared" si="4"/>
        <v>0</v>
      </c>
      <c r="W23" s="71">
        <f t="shared" si="5"/>
        <v>0</v>
      </c>
      <c r="X23" s="49"/>
      <c r="Y23" s="151"/>
      <c r="Z23" s="69"/>
      <c r="AA23" s="70"/>
      <c r="AB23" s="70"/>
      <c r="AC23" s="70" t="str">
        <f t="shared" si="1"/>
        <v>---</v>
      </c>
      <c r="AD23" s="70" t="str">
        <f>IFERROR(P23/#REF!-1,"---")</f>
        <v>---</v>
      </c>
      <c r="AE23" s="70" t="str">
        <f>IFERROR(#REF!/#REF!-1,"---")</f>
        <v>---</v>
      </c>
      <c r="AF23" s="70" t="str">
        <f>IFERROR(Q23/#REF!-1,"---")</f>
        <v>---</v>
      </c>
      <c r="AG23" s="70" t="str">
        <f>IFERROR(#REF!/#REF!-1,"---")</f>
        <v>---</v>
      </c>
      <c r="AH23" s="70" t="str">
        <f>IFERROR(#REF!/AA23-1,"---")</f>
        <v>---</v>
      </c>
      <c r="AI23" s="71" t="str">
        <f t="shared" si="2"/>
        <v>---</v>
      </c>
    </row>
    <row r="24" spans="1:35" ht="30" customHeight="1" x14ac:dyDescent="0.3">
      <c r="A24" s="123">
        <v>19</v>
      </c>
      <c r="B24" s="140">
        <f>INDEX('PEER GROUP'!B:B,MATCH($A24,'PEER GROUP'!$A:$A,0))</f>
        <v>0</v>
      </c>
      <c r="C24" s="83">
        <f>INDEX('PEER GROUP'!C:C,MATCH($A24,'PEER GROUP'!$A:$A,0))</f>
        <v>0</v>
      </c>
      <c r="D24" s="83">
        <f>INDEX('PEER GROUP'!D:D,MATCH($A24,'PEER GROUP'!$A:$A,0))</f>
        <v>0</v>
      </c>
      <c r="E24" s="83">
        <f>INDEX('PEER GROUP'!E:E,MATCH(A24,'PEER GROUP'!$A:$A,0))</f>
        <v>0</v>
      </c>
      <c r="F24" s="84">
        <f>INDEX('PEER GROUP'!F:F,MATCH($A24,'PEER GROUP'!$A:$A,0))</f>
        <v>0</v>
      </c>
      <c r="G24" s="84">
        <f>INDEX('PEER GROUP'!G:G,MATCH($A24,'PEER GROUP'!$A:$A,0))</f>
        <v>0</v>
      </c>
      <c r="H24" s="85"/>
      <c r="I24" s="85"/>
      <c r="J24" s="70">
        <f>INDEX('PEER GROUP'!K:K,MATCH($A24,'PEER GROUP'!$A:$A,0))</f>
        <v>0</v>
      </c>
      <c r="K24" s="70">
        <f>INDEX('PEER GROUP'!L:L,MATCH($A24,'PEER GROUP'!$A:$A,0))</f>
        <v>0</v>
      </c>
      <c r="L24" s="81">
        <f>INDEX('PEER GROUP'!N:N,MATCH($A24,'PEER GROUP'!$A:$A,0))</f>
        <v>0</v>
      </c>
      <c r="M24" s="118"/>
      <c r="N24" s="115"/>
      <c r="O24" s="117"/>
      <c r="P24" s="87"/>
      <c r="Q24" s="87"/>
      <c r="R24" s="87">
        <f t="shared" si="3"/>
        <v>0</v>
      </c>
      <c r="S24" s="113">
        <f t="shared" si="0"/>
        <v>36.913096727263202</v>
      </c>
      <c r="T24" s="69">
        <f t="shared" si="4"/>
        <v>0</v>
      </c>
      <c r="U24" s="70">
        <f t="shared" si="4"/>
        <v>0</v>
      </c>
      <c r="V24" s="70">
        <f t="shared" si="4"/>
        <v>0</v>
      </c>
      <c r="W24" s="71">
        <f t="shared" si="5"/>
        <v>0</v>
      </c>
      <c r="X24" s="49"/>
      <c r="Y24" s="151"/>
      <c r="Z24" s="69"/>
      <c r="AA24" s="70"/>
      <c r="AB24" s="70"/>
      <c r="AC24" s="70" t="str">
        <f t="shared" si="1"/>
        <v>---</v>
      </c>
      <c r="AD24" s="70" t="str">
        <f>IFERROR(P24/#REF!-1,"---")</f>
        <v>---</v>
      </c>
      <c r="AE24" s="70" t="str">
        <f>IFERROR(#REF!/#REF!-1,"---")</f>
        <v>---</v>
      </c>
      <c r="AF24" s="70" t="str">
        <f>IFERROR(Q24/#REF!-1,"---")</f>
        <v>---</v>
      </c>
      <c r="AG24" s="70" t="str">
        <f>IFERROR(#REF!/#REF!-1,"---")</f>
        <v>---</v>
      </c>
      <c r="AH24" s="70" t="str">
        <f>IFERROR(#REF!/AA24-1,"---")</f>
        <v>---</v>
      </c>
      <c r="AI24" s="71" t="str">
        <f t="shared" si="2"/>
        <v>---</v>
      </c>
    </row>
    <row r="25" spans="1:35" ht="30" customHeight="1" x14ac:dyDescent="0.3">
      <c r="A25" s="123">
        <v>20</v>
      </c>
      <c r="B25" s="140">
        <f>INDEX('PEER GROUP'!B:B,MATCH($A25,'PEER GROUP'!$A:$A,0))</f>
        <v>0</v>
      </c>
      <c r="C25" s="83">
        <f>INDEX('PEER GROUP'!C:C,MATCH($A25,'PEER GROUP'!$A:$A,0))</f>
        <v>0</v>
      </c>
      <c r="D25" s="83">
        <f>INDEX('PEER GROUP'!D:D,MATCH($A25,'PEER GROUP'!$A:$A,0))</f>
        <v>0</v>
      </c>
      <c r="E25" s="83">
        <f>INDEX('PEER GROUP'!E:E,MATCH(A25,'PEER GROUP'!$A:$A,0))</f>
        <v>0</v>
      </c>
      <c r="F25" s="84">
        <f>INDEX('PEER GROUP'!F:F,MATCH($A25,'PEER GROUP'!$A:$A,0))</f>
        <v>0</v>
      </c>
      <c r="G25" s="84">
        <f>INDEX('PEER GROUP'!G:G,MATCH($A25,'PEER GROUP'!$A:$A,0))</f>
        <v>0</v>
      </c>
      <c r="H25" s="85"/>
      <c r="I25" s="85"/>
      <c r="J25" s="70">
        <f>INDEX('PEER GROUP'!K:K,MATCH($A25,'PEER GROUP'!$A:$A,0))</f>
        <v>0</v>
      </c>
      <c r="K25" s="70">
        <f>INDEX('PEER GROUP'!L:L,MATCH($A25,'PEER GROUP'!$A:$A,0))</f>
        <v>0</v>
      </c>
      <c r="L25" s="81">
        <f>INDEX('PEER GROUP'!N:N,MATCH($A25,'PEER GROUP'!$A:$A,0))</f>
        <v>0</v>
      </c>
      <c r="M25" s="118"/>
      <c r="N25" s="115"/>
      <c r="O25" s="117"/>
      <c r="P25" s="87"/>
      <c r="Q25" s="87"/>
      <c r="R25" s="87">
        <f t="shared" si="3"/>
        <v>0</v>
      </c>
      <c r="S25" s="113">
        <f t="shared" si="0"/>
        <v>36.913096727263202</v>
      </c>
      <c r="T25" s="69">
        <f t="shared" si="4"/>
        <v>0</v>
      </c>
      <c r="U25" s="70">
        <f t="shared" si="4"/>
        <v>0</v>
      </c>
      <c r="V25" s="70">
        <f t="shared" si="4"/>
        <v>0</v>
      </c>
      <c r="W25" s="71">
        <f t="shared" si="5"/>
        <v>0</v>
      </c>
      <c r="X25" s="49"/>
      <c r="Y25" s="151"/>
      <c r="Z25" s="66"/>
      <c r="AA25" s="67"/>
      <c r="AB25" s="67"/>
      <c r="AC25" s="67" t="str">
        <f t="shared" si="1"/>
        <v>---</v>
      </c>
      <c r="AD25" s="67" t="str">
        <f>IFERROR(P25/#REF!-1,"---")</f>
        <v>---</v>
      </c>
      <c r="AE25" s="67" t="str">
        <f>IFERROR(#REF!/#REF!-1,"---")</f>
        <v>---</v>
      </c>
      <c r="AF25" s="67" t="str">
        <f>IFERROR(Q25/#REF!-1,"---")</f>
        <v>---</v>
      </c>
      <c r="AG25" s="67" t="str">
        <f>IFERROR(#REF!/#REF!-1,"---")</f>
        <v>---</v>
      </c>
      <c r="AH25" s="67" t="str">
        <f>IFERROR(#REF!/AA25-1,"---")</f>
        <v>---</v>
      </c>
      <c r="AI25" s="68" t="str">
        <f t="shared" si="2"/>
        <v>---</v>
      </c>
    </row>
    <row r="26" spans="1:35" ht="30" customHeight="1" x14ac:dyDescent="0.3">
      <c r="A26" s="123">
        <v>21</v>
      </c>
      <c r="B26" s="140">
        <f>INDEX('PEER GROUP'!B:B,MATCH($A26,'PEER GROUP'!$A:$A,0))</f>
        <v>0</v>
      </c>
      <c r="C26" s="83">
        <f>INDEX('PEER GROUP'!C:C,MATCH($A26,'PEER GROUP'!$A:$A,0))</f>
        <v>0</v>
      </c>
      <c r="D26" s="83">
        <f>INDEX('PEER GROUP'!D:D,MATCH($A26,'PEER GROUP'!$A:$A,0))</f>
        <v>0</v>
      </c>
      <c r="E26" s="83">
        <f>INDEX('PEER GROUP'!E:E,MATCH(A26,'PEER GROUP'!$A:$A,0))</f>
        <v>0</v>
      </c>
      <c r="F26" s="84">
        <f>INDEX('PEER GROUP'!F:F,MATCH($A26,'PEER GROUP'!$A:$A,0))</f>
        <v>0</v>
      </c>
      <c r="G26" s="84">
        <f>INDEX('PEER GROUP'!G:G,MATCH($A26,'PEER GROUP'!$A:$A,0))</f>
        <v>0</v>
      </c>
      <c r="H26" s="85"/>
      <c r="I26" s="85"/>
      <c r="J26" s="70">
        <f>INDEX('PEER GROUP'!K:K,MATCH($A26,'PEER GROUP'!$A:$A,0))</f>
        <v>0</v>
      </c>
      <c r="K26" s="70">
        <f>INDEX('PEER GROUP'!L:L,MATCH($A26,'PEER GROUP'!$A:$A,0))</f>
        <v>0</v>
      </c>
      <c r="L26" s="81">
        <f>INDEX('PEER GROUP'!N:N,MATCH($A26,'PEER GROUP'!$A:$A,0))</f>
        <v>0</v>
      </c>
      <c r="M26" s="118"/>
      <c r="N26" s="115"/>
      <c r="O26" s="117"/>
      <c r="P26" s="87"/>
      <c r="Q26" s="87"/>
      <c r="R26" s="87">
        <f t="shared" si="3"/>
        <v>0</v>
      </c>
      <c r="S26" s="113">
        <f t="shared" si="0"/>
        <v>36.913096727263202</v>
      </c>
      <c r="T26" s="69">
        <f t="shared" si="4"/>
        <v>0</v>
      </c>
      <c r="U26" s="70">
        <f t="shared" si="4"/>
        <v>0</v>
      </c>
      <c r="V26" s="70">
        <f t="shared" si="4"/>
        <v>0</v>
      </c>
      <c r="W26" s="71">
        <f t="shared" si="5"/>
        <v>0</v>
      </c>
      <c r="X26" s="49"/>
      <c r="Y26" s="151"/>
      <c r="Z26" s="69"/>
      <c r="AA26" s="70"/>
      <c r="AB26" s="70"/>
      <c r="AC26" s="70" t="str">
        <f t="shared" si="1"/>
        <v>---</v>
      </c>
      <c r="AD26" s="70" t="str">
        <f>IFERROR(P26/#REF!-1,"---")</f>
        <v>---</v>
      </c>
      <c r="AE26" s="70" t="str">
        <f>IFERROR(#REF!/#REF!-1,"---")</f>
        <v>---</v>
      </c>
      <c r="AF26" s="70" t="str">
        <f>IFERROR(Q26/#REF!-1,"---")</f>
        <v>---</v>
      </c>
      <c r="AG26" s="70" t="str">
        <f>IFERROR(#REF!/#REF!-1,"---")</f>
        <v>---</v>
      </c>
      <c r="AH26" s="70" t="str">
        <f>IFERROR(#REF!/AA26-1,"---")</f>
        <v>---</v>
      </c>
      <c r="AI26" s="71" t="str">
        <f t="shared" si="2"/>
        <v>---</v>
      </c>
    </row>
    <row r="27" spans="1:35" ht="30" customHeight="1" x14ac:dyDescent="0.3">
      <c r="A27" s="123">
        <v>22</v>
      </c>
      <c r="B27" s="140">
        <f>INDEX('PEER GROUP'!B:B,MATCH($A27,'PEER GROUP'!$A:$A,0))</f>
        <v>0</v>
      </c>
      <c r="C27" s="83">
        <f>INDEX('PEER GROUP'!C:C,MATCH($A27,'PEER GROUP'!$A:$A,0))</f>
        <v>0</v>
      </c>
      <c r="D27" s="83">
        <f>INDEX('PEER GROUP'!D:D,MATCH($A27,'PEER GROUP'!$A:$A,0))</f>
        <v>0</v>
      </c>
      <c r="E27" s="83">
        <f>INDEX('PEER GROUP'!E:E,MATCH(A27,'PEER GROUP'!$A:$A,0))</f>
        <v>0</v>
      </c>
      <c r="F27" s="84">
        <f>INDEX('PEER GROUP'!F:F,MATCH($A27,'PEER GROUP'!$A:$A,0))</f>
        <v>0</v>
      </c>
      <c r="G27" s="84">
        <f>INDEX('PEER GROUP'!G:G,MATCH($A27,'PEER GROUP'!$A:$A,0))</f>
        <v>0</v>
      </c>
      <c r="H27" s="85"/>
      <c r="I27" s="85"/>
      <c r="J27" s="70">
        <f>INDEX('PEER GROUP'!K:K,MATCH($A27,'PEER GROUP'!$A:$A,0))</f>
        <v>0</v>
      </c>
      <c r="K27" s="70">
        <f>INDEX('PEER GROUP'!L:L,MATCH($A27,'PEER GROUP'!$A:$A,0))</f>
        <v>0</v>
      </c>
      <c r="L27" s="81">
        <f>INDEX('PEER GROUP'!N:N,MATCH($A27,'PEER GROUP'!$A:$A,0))</f>
        <v>0</v>
      </c>
      <c r="M27" s="118"/>
      <c r="N27" s="115"/>
      <c r="O27" s="117"/>
      <c r="P27" s="87"/>
      <c r="Q27" s="87"/>
      <c r="R27" s="87">
        <f t="shared" si="3"/>
        <v>0</v>
      </c>
      <c r="S27" s="113">
        <f t="shared" si="0"/>
        <v>36.913096727263202</v>
      </c>
      <c r="T27" s="69">
        <f t="shared" si="4"/>
        <v>0</v>
      </c>
      <c r="U27" s="70">
        <f t="shared" si="4"/>
        <v>0</v>
      </c>
      <c r="V27" s="70">
        <f t="shared" si="4"/>
        <v>0</v>
      </c>
      <c r="W27" s="71">
        <f t="shared" si="5"/>
        <v>0</v>
      </c>
      <c r="X27" s="49"/>
      <c r="Y27" s="151"/>
      <c r="Z27" s="69"/>
      <c r="AA27" s="70"/>
      <c r="AB27" s="70"/>
      <c r="AC27" s="70" t="str">
        <f t="shared" si="1"/>
        <v>---</v>
      </c>
      <c r="AD27" s="70" t="str">
        <f>IFERROR(P27/#REF!-1,"---")</f>
        <v>---</v>
      </c>
      <c r="AE27" s="70" t="str">
        <f>IFERROR(#REF!/#REF!-1,"---")</f>
        <v>---</v>
      </c>
      <c r="AF27" s="70" t="str">
        <f>IFERROR(Q27/#REF!-1,"---")</f>
        <v>---</v>
      </c>
      <c r="AG27" s="70" t="str">
        <f>IFERROR(#REF!/#REF!-1,"---")</f>
        <v>---</v>
      </c>
      <c r="AH27" s="70" t="str">
        <f>IFERROR(#REF!/AA27-1,"---")</f>
        <v>---</v>
      </c>
      <c r="AI27" s="71" t="str">
        <f t="shared" si="2"/>
        <v>---</v>
      </c>
    </row>
    <row r="28" spans="1:35" ht="30" customHeight="1" x14ac:dyDescent="0.3">
      <c r="A28" s="123">
        <v>23</v>
      </c>
      <c r="B28" s="140">
        <f>INDEX('PEER GROUP'!B:B,MATCH($A28,'PEER GROUP'!$A:$A,0))</f>
        <v>0</v>
      </c>
      <c r="C28" s="83">
        <f>INDEX('PEER GROUP'!C:C,MATCH($A28,'PEER GROUP'!$A:$A,0))</f>
        <v>0</v>
      </c>
      <c r="D28" s="83">
        <f>INDEX('PEER GROUP'!D:D,MATCH($A28,'PEER GROUP'!$A:$A,0))</f>
        <v>0</v>
      </c>
      <c r="E28" s="83">
        <f>INDEX('PEER GROUP'!E:E,MATCH(A28,'PEER GROUP'!$A:$A,0))</f>
        <v>0</v>
      </c>
      <c r="F28" s="84">
        <f>INDEX('PEER GROUP'!F:F,MATCH($A28,'PEER GROUP'!$A:$A,0))</f>
        <v>0</v>
      </c>
      <c r="G28" s="84">
        <f>INDEX('PEER GROUP'!G:G,MATCH($A28,'PEER GROUP'!$A:$A,0))</f>
        <v>0</v>
      </c>
      <c r="H28" s="85"/>
      <c r="I28" s="85"/>
      <c r="J28" s="70">
        <f>INDEX('PEER GROUP'!K:K,MATCH($A28,'PEER GROUP'!$A:$A,0))</f>
        <v>0</v>
      </c>
      <c r="K28" s="70">
        <f>INDEX('PEER GROUP'!L:L,MATCH($A28,'PEER GROUP'!$A:$A,0))</f>
        <v>0</v>
      </c>
      <c r="L28" s="81">
        <f>INDEX('PEER GROUP'!N:N,MATCH($A28,'PEER GROUP'!$A:$A,0))</f>
        <v>0</v>
      </c>
      <c r="M28" s="118"/>
      <c r="N28" s="115"/>
      <c r="O28" s="117"/>
      <c r="P28" s="87"/>
      <c r="Q28" s="87"/>
      <c r="R28" s="87">
        <f t="shared" si="3"/>
        <v>0</v>
      </c>
      <c r="S28" s="113">
        <f t="shared" si="0"/>
        <v>36.913096727263202</v>
      </c>
      <c r="T28" s="69">
        <f t="shared" si="4"/>
        <v>0</v>
      </c>
      <c r="U28" s="70">
        <f t="shared" si="4"/>
        <v>0</v>
      </c>
      <c r="V28" s="70">
        <f t="shared" si="4"/>
        <v>0</v>
      </c>
      <c r="W28" s="71">
        <f t="shared" si="5"/>
        <v>0</v>
      </c>
      <c r="X28" s="49"/>
      <c r="Y28" s="151"/>
      <c r="Z28" s="69"/>
      <c r="AA28" s="70"/>
      <c r="AB28" s="70"/>
      <c r="AC28" s="70" t="str">
        <f t="shared" si="1"/>
        <v>---</v>
      </c>
      <c r="AD28" s="70" t="str">
        <f>IFERROR(P28/#REF!-1,"---")</f>
        <v>---</v>
      </c>
      <c r="AE28" s="70" t="str">
        <f>IFERROR(#REF!/#REF!-1,"---")</f>
        <v>---</v>
      </c>
      <c r="AF28" s="70" t="str">
        <f>IFERROR(Q28/#REF!-1,"---")</f>
        <v>---</v>
      </c>
      <c r="AG28" s="70" t="str">
        <f>IFERROR(#REF!/#REF!-1,"---")</f>
        <v>---</v>
      </c>
      <c r="AH28" s="70" t="str">
        <f>IFERROR(#REF!/AA28-1,"---")</f>
        <v>---</v>
      </c>
      <c r="AI28" s="71" t="str">
        <f t="shared" si="2"/>
        <v>---</v>
      </c>
    </row>
    <row r="29" spans="1:35" ht="30" customHeight="1" x14ac:dyDescent="0.3">
      <c r="A29" s="123">
        <v>24</v>
      </c>
      <c r="B29" s="140">
        <f>INDEX('PEER GROUP'!B:B,MATCH($A29,'PEER GROUP'!$A:$A,0))</f>
        <v>0</v>
      </c>
      <c r="C29" s="83">
        <f>INDEX('PEER GROUP'!C:C,MATCH($A29,'PEER GROUP'!$A:$A,0))</f>
        <v>0</v>
      </c>
      <c r="D29" s="83">
        <f>INDEX('PEER GROUP'!D:D,MATCH($A29,'PEER GROUP'!$A:$A,0))</f>
        <v>0</v>
      </c>
      <c r="E29" s="83">
        <f>INDEX('PEER GROUP'!E:E,MATCH(A29,'PEER GROUP'!$A:$A,0))</f>
        <v>0</v>
      </c>
      <c r="F29" s="84">
        <f>INDEX('PEER GROUP'!F:F,MATCH($A29,'PEER GROUP'!$A:$A,0))</f>
        <v>0</v>
      </c>
      <c r="G29" s="84">
        <f>INDEX('PEER GROUP'!G:G,MATCH($A29,'PEER GROUP'!$A:$A,0))</f>
        <v>0</v>
      </c>
      <c r="H29" s="85"/>
      <c r="I29" s="85"/>
      <c r="J29" s="70">
        <f>INDEX('PEER GROUP'!K:K,MATCH($A29,'PEER GROUP'!$A:$A,0))</f>
        <v>0</v>
      </c>
      <c r="K29" s="70">
        <f>INDEX('PEER GROUP'!L:L,MATCH($A29,'PEER GROUP'!$A:$A,0))</f>
        <v>0</v>
      </c>
      <c r="L29" s="81">
        <f>INDEX('PEER GROUP'!N:N,MATCH($A29,'PEER GROUP'!$A:$A,0))</f>
        <v>0</v>
      </c>
      <c r="M29" s="118"/>
      <c r="N29" s="115"/>
      <c r="O29" s="117"/>
      <c r="P29" s="87"/>
      <c r="Q29" s="87"/>
      <c r="R29" s="87">
        <f t="shared" si="3"/>
        <v>0</v>
      </c>
      <c r="S29" s="113">
        <f t="shared" si="0"/>
        <v>36.913096727263202</v>
      </c>
      <c r="T29" s="69">
        <f t="shared" si="4"/>
        <v>0</v>
      </c>
      <c r="U29" s="70">
        <f t="shared" si="4"/>
        <v>0</v>
      </c>
      <c r="V29" s="70">
        <f t="shared" si="4"/>
        <v>0</v>
      </c>
      <c r="W29" s="71">
        <f t="shared" si="5"/>
        <v>0</v>
      </c>
      <c r="X29" s="49"/>
      <c r="Y29" s="151"/>
      <c r="Z29" s="69"/>
      <c r="AA29" s="70"/>
      <c r="AB29" s="70"/>
      <c r="AC29" s="70" t="str">
        <f t="shared" si="1"/>
        <v>---</v>
      </c>
      <c r="AD29" s="70" t="str">
        <f>IFERROR(P29/#REF!-1,"---")</f>
        <v>---</v>
      </c>
      <c r="AE29" s="70" t="str">
        <f>IFERROR(#REF!/#REF!-1,"---")</f>
        <v>---</v>
      </c>
      <c r="AF29" s="70" t="str">
        <f>IFERROR(Q29/#REF!-1,"---")</f>
        <v>---</v>
      </c>
      <c r="AG29" s="70" t="str">
        <f>IFERROR(#REF!/#REF!-1,"---")</f>
        <v>---</v>
      </c>
      <c r="AH29" s="70" t="str">
        <f>IFERROR(#REF!/AA29-1,"---")</f>
        <v>---</v>
      </c>
      <c r="AI29" s="71" t="str">
        <f t="shared" si="2"/>
        <v>---</v>
      </c>
    </row>
    <row r="30" spans="1:35" ht="30" customHeight="1" x14ac:dyDescent="0.3">
      <c r="A30" s="123">
        <v>25</v>
      </c>
      <c r="B30" s="140">
        <f>INDEX('PEER GROUP'!B:B,MATCH($A30,'PEER GROUP'!$A:$A,0))</f>
        <v>0</v>
      </c>
      <c r="C30" s="83">
        <f>INDEX('PEER GROUP'!C:C,MATCH($A30,'PEER GROUP'!$A:$A,0))</f>
        <v>0</v>
      </c>
      <c r="D30" s="83">
        <f>INDEX('PEER GROUP'!D:D,MATCH($A30,'PEER GROUP'!$A:$A,0))</f>
        <v>0</v>
      </c>
      <c r="E30" s="83">
        <f>INDEX('PEER GROUP'!E:E,MATCH(A30,'PEER GROUP'!$A:$A,0))</f>
        <v>0</v>
      </c>
      <c r="F30" s="84">
        <f>INDEX('PEER GROUP'!F:F,MATCH($A30,'PEER GROUP'!$A:$A,0))</f>
        <v>0</v>
      </c>
      <c r="G30" s="84">
        <f>INDEX('PEER GROUP'!G:G,MATCH($A30,'PEER GROUP'!$A:$A,0))</f>
        <v>0</v>
      </c>
      <c r="H30" s="85"/>
      <c r="I30" s="85"/>
      <c r="J30" s="70">
        <f>INDEX('PEER GROUP'!K:K,MATCH($A30,'PEER GROUP'!$A:$A,0))</f>
        <v>0</v>
      </c>
      <c r="K30" s="70">
        <f>INDEX('PEER GROUP'!L:L,MATCH($A30,'PEER GROUP'!$A:$A,0))</f>
        <v>0</v>
      </c>
      <c r="L30" s="81">
        <f>INDEX('PEER GROUP'!N:N,MATCH($A30,'PEER GROUP'!$A:$A,0))</f>
        <v>0</v>
      </c>
      <c r="M30" s="118"/>
      <c r="N30" s="115"/>
      <c r="O30" s="117"/>
      <c r="P30" s="87"/>
      <c r="Q30" s="87"/>
      <c r="R30" s="87">
        <f t="shared" si="3"/>
        <v>0</v>
      </c>
      <c r="S30" s="113">
        <f t="shared" si="0"/>
        <v>36.913096727263202</v>
      </c>
      <c r="T30" s="69">
        <f t="shared" si="4"/>
        <v>0</v>
      </c>
      <c r="U30" s="70">
        <f t="shared" si="4"/>
        <v>0</v>
      </c>
      <c r="V30" s="70">
        <f t="shared" si="4"/>
        <v>0</v>
      </c>
      <c r="W30" s="71">
        <f t="shared" si="5"/>
        <v>0</v>
      </c>
      <c r="X30" s="49"/>
      <c r="Y30" s="151"/>
      <c r="Z30" s="69"/>
      <c r="AA30" s="70"/>
      <c r="AB30" s="70"/>
      <c r="AC30" s="70" t="str">
        <f t="shared" si="1"/>
        <v>---</v>
      </c>
      <c r="AD30" s="70" t="str">
        <f>IFERROR(P30/#REF!-1,"---")</f>
        <v>---</v>
      </c>
      <c r="AE30" s="70" t="str">
        <f>IFERROR(#REF!/#REF!-1,"---")</f>
        <v>---</v>
      </c>
      <c r="AF30" s="70" t="str">
        <f>IFERROR(Q30/#REF!-1,"---")</f>
        <v>---</v>
      </c>
      <c r="AG30" s="70" t="str">
        <f>IFERROR(#REF!/#REF!-1,"---")</f>
        <v>---</v>
      </c>
      <c r="AH30" s="70" t="str">
        <f>IFERROR(#REF!/AA30-1,"---")</f>
        <v>---</v>
      </c>
      <c r="AI30" s="71" t="str">
        <f t="shared" si="2"/>
        <v>---</v>
      </c>
    </row>
    <row r="31" spans="1:35" ht="30" customHeight="1" x14ac:dyDescent="0.3">
      <c r="A31" s="123">
        <v>26</v>
      </c>
      <c r="B31" s="140">
        <f>INDEX('PEER GROUP'!B:B,MATCH($A31,'PEER GROUP'!$A:$A,0))</f>
        <v>0</v>
      </c>
      <c r="C31" s="83">
        <f>INDEX('PEER GROUP'!C:C,MATCH($A31,'PEER GROUP'!$A:$A,0))</f>
        <v>0</v>
      </c>
      <c r="D31" s="83">
        <f>INDEX('PEER GROUP'!D:D,MATCH($A31,'PEER GROUP'!$A:$A,0))</f>
        <v>0</v>
      </c>
      <c r="E31" s="83">
        <f>INDEX('PEER GROUP'!E:E,MATCH(A31,'PEER GROUP'!$A:$A,0))</f>
        <v>0</v>
      </c>
      <c r="F31" s="84">
        <f>INDEX('PEER GROUP'!F:F,MATCH($A31,'PEER GROUP'!$A:$A,0))</f>
        <v>0</v>
      </c>
      <c r="G31" s="84">
        <f>INDEX('PEER GROUP'!G:G,MATCH($A31,'PEER GROUP'!$A:$A,0))</f>
        <v>0</v>
      </c>
      <c r="H31" s="85"/>
      <c r="I31" s="85"/>
      <c r="J31" s="70">
        <f>INDEX('PEER GROUP'!K:K,MATCH($A31,'PEER GROUP'!$A:$A,0))</f>
        <v>0</v>
      </c>
      <c r="K31" s="70">
        <f>INDEX('PEER GROUP'!L:L,MATCH($A31,'PEER GROUP'!$A:$A,0))</f>
        <v>0</v>
      </c>
      <c r="L31" s="81">
        <f>INDEX('PEER GROUP'!N:N,MATCH($A31,'PEER GROUP'!$A:$A,0))</f>
        <v>0</v>
      </c>
      <c r="M31" s="118"/>
      <c r="N31" s="115"/>
      <c r="O31" s="117"/>
      <c r="P31" s="87"/>
      <c r="Q31" s="87"/>
      <c r="R31" s="87">
        <f t="shared" si="3"/>
        <v>0</v>
      </c>
      <c r="S31" s="113">
        <f t="shared" si="0"/>
        <v>36.913096727263202</v>
      </c>
      <c r="T31" s="69">
        <f t="shared" si="4"/>
        <v>0</v>
      </c>
      <c r="U31" s="70">
        <f t="shared" si="4"/>
        <v>0</v>
      </c>
      <c r="V31" s="70">
        <f t="shared" si="4"/>
        <v>0</v>
      </c>
      <c r="W31" s="71">
        <f t="shared" si="5"/>
        <v>0</v>
      </c>
      <c r="X31" s="49"/>
      <c r="Y31" s="151"/>
      <c r="Z31" s="69"/>
      <c r="AA31" s="70"/>
      <c r="AB31" s="70"/>
      <c r="AC31" s="70" t="str">
        <f t="shared" si="1"/>
        <v>---</v>
      </c>
      <c r="AD31" s="70" t="str">
        <f>IFERROR(P31/#REF!-1,"---")</f>
        <v>---</v>
      </c>
      <c r="AE31" s="70" t="str">
        <f>IFERROR(#REF!/#REF!-1,"---")</f>
        <v>---</v>
      </c>
      <c r="AF31" s="70" t="str">
        <f>IFERROR(Q31/#REF!-1,"---")</f>
        <v>---</v>
      </c>
      <c r="AG31" s="70" t="str">
        <f>IFERROR(#REF!/#REF!-1,"---")</f>
        <v>---</v>
      </c>
      <c r="AH31" s="70" t="str">
        <f>IFERROR(#REF!/AA31-1,"---")</f>
        <v>---</v>
      </c>
      <c r="AI31" s="71" t="str">
        <f t="shared" si="2"/>
        <v>---</v>
      </c>
    </row>
    <row r="32" spans="1:35" ht="30" customHeight="1" x14ac:dyDescent="0.3">
      <c r="A32" s="123">
        <v>27</v>
      </c>
      <c r="B32" s="140">
        <f>INDEX('PEER GROUP'!B:B,MATCH($A32,'PEER GROUP'!$A:$A,0))</f>
        <v>0</v>
      </c>
      <c r="C32" s="83">
        <f>INDEX('PEER GROUP'!C:C,MATCH($A32,'PEER GROUP'!$A:$A,0))</f>
        <v>0</v>
      </c>
      <c r="D32" s="83">
        <f>INDEX('PEER GROUP'!D:D,MATCH($A32,'PEER GROUP'!$A:$A,0))</f>
        <v>0</v>
      </c>
      <c r="E32" s="83">
        <f>INDEX('PEER GROUP'!E:E,MATCH(A32,'PEER GROUP'!$A:$A,0))</f>
        <v>0</v>
      </c>
      <c r="F32" s="84">
        <f>INDEX('PEER GROUP'!F:F,MATCH($A32,'PEER GROUP'!$A:$A,0))</f>
        <v>0</v>
      </c>
      <c r="G32" s="84">
        <f>INDEX('PEER GROUP'!G:G,MATCH($A32,'PEER GROUP'!$A:$A,0))</f>
        <v>0</v>
      </c>
      <c r="H32" s="85"/>
      <c r="I32" s="85"/>
      <c r="J32" s="70">
        <f>INDEX('PEER GROUP'!K:K,MATCH($A32,'PEER GROUP'!$A:$A,0))</f>
        <v>0</v>
      </c>
      <c r="K32" s="70">
        <f>INDEX('PEER GROUP'!L:L,MATCH($A32,'PEER GROUP'!$A:$A,0))</f>
        <v>0</v>
      </c>
      <c r="L32" s="81">
        <f>INDEX('PEER GROUP'!N:N,MATCH($A32,'PEER GROUP'!$A:$A,0))</f>
        <v>0</v>
      </c>
      <c r="M32" s="118"/>
      <c r="N32" s="115"/>
      <c r="O32" s="117"/>
      <c r="P32" s="87"/>
      <c r="Q32" s="87"/>
      <c r="R32" s="87">
        <f t="shared" si="3"/>
        <v>0</v>
      </c>
      <c r="S32" s="113">
        <f t="shared" si="0"/>
        <v>36.913096727263202</v>
      </c>
      <c r="T32" s="69">
        <f t="shared" si="4"/>
        <v>0</v>
      </c>
      <c r="U32" s="70">
        <f t="shared" si="4"/>
        <v>0</v>
      </c>
      <c r="V32" s="70">
        <f t="shared" si="4"/>
        <v>0</v>
      </c>
      <c r="W32" s="71">
        <f t="shared" si="5"/>
        <v>0</v>
      </c>
      <c r="X32" s="49"/>
      <c r="Y32" s="151"/>
      <c r="Z32" s="69"/>
      <c r="AA32" s="70"/>
      <c r="AB32" s="70"/>
      <c r="AC32" s="70" t="str">
        <f t="shared" si="1"/>
        <v>---</v>
      </c>
      <c r="AD32" s="70" t="str">
        <f>IFERROR(P32/#REF!-1,"---")</f>
        <v>---</v>
      </c>
      <c r="AE32" s="70" t="str">
        <f>IFERROR(#REF!/#REF!-1,"---")</f>
        <v>---</v>
      </c>
      <c r="AF32" s="70" t="str">
        <f>IFERROR(Q32/#REF!-1,"---")</f>
        <v>---</v>
      </c>
      <c r="AG32" s="70" t="str">
        <f>IFERROR(#REF!/#REF!-1,"---")</f>
        <v>---</v>
      </c>
      <c r="AH32" s="70" t="str">
        <f>IFERROR(#REF!/AA32-1,"---")</f>
        <v>---</v>
      </c>
      <c r="AI32" s="71" t="str">
        <f t="shared" si="2"/>
        <v>---</v>
      </c>
    </row>
    <row r="33" spans="1:35" ht="30" customHeight="1" x14ac:dyDescent="0.3">
      <c r="A33" s="123">
        <v>28</v>
      </c>
      <c r="B33" s="140">
        <f>INDEX('PEER GROUP'!B:B,MATCH($A33,'PEER GROUP'!$A:$A,0))</f>
        <v>0</v>
      </c>
      <c r="C33" s="83">
        <f>INDEX('PEER GROUP'!C:C,MATCH($A33,'PEER GROUP'!$A:$A,0))</f>
        <v>0</v>
      </c>
      <c r="D33" s="83">
        <f>INDEX('PEER GROUP'!D:D,MATCH($A33,'PEER GROUP'!$A:$A,0))</f>
        <v>0</v>
      </c>
      <c r="E33" s="83">
        <f>INDEX('PEER GROUP'!E:E,MATCH(A33,'PEER GROUP'!$A:$A,0))</f>
        <v>0</v>
      </c>
      <c r="F33" s="84">
        <f>INDEX('PEER GROUP'!F:F,MATCH($A33,'PEER GROUP'!$A:$A,0))</f>
        <v>0</v>
      </c>
      <c r="G33" s="84">
        <f>INDEX('PEER GROUP'!G:G,MATCH($A33,'PEER GROUP'!$A:$A,0))</f>
        <v>0</v>
      </c>
      <c r="H33" s="85"/>
      <c r="I33" s="85"/>
      <c r="J33" s="70">
        <f>INDEX('PEER GROUP'!K:K,MATCH($A33,'PEER GROUP'!$A:$A,0))</f>
        <v>0</v>
      </c>
      <c r="K33" s="70">
        <f>INDEX('PEER GROUP'!L:L,MATCH($A33,'PEER GROUP'!$A:$A,0))</f>
        <v>0</v>
      </c>
      <c r="L33" s="81">
        <f>INDEX('PEER GROUP'!N:N,MATCH($A33,'PEER GROUP'!$A:$A,0))</f>
        <v>0</v>
      </c>
      <c r="M33" s="118"/>
      <c r="N33" s="115"/>
      <c r="O33" s="117"/>
      <c r="P33" s="87"/>
      <c r="Q33" s="87"/>
      <c r="R33" s="87">
        <f t="shared" si="3"/>
        <v>0</v>
      </c>
      <c r="S33" s="113">
        <f t="shared" si="0"/>
        <v>36.913096727263202</v>
      </c>
      <c r="T33" s="69">
        <f t="shared" si="4"/>
        <v>0</v>
      </c>
      <c r="U33" s="70">
        <f t="shared" si="4"/>
        <v>0</v>
      </c>
      <c r="V33" s="70">
        <f t="shared" si="4"/>
        <v>0</v>
      </c>
      <c r="W33" s="71">
        <f t="shared" si="5"/>
        <v>0</v>
      </c>
      <c r="X33" s="49"/>
      <c r="Y33" s="151"/>
      <c r="Z33" s="69"/>
      <c r="AA33" s="70"/>
      <c r="AB33" s="70"/>
      <c r="AC33" s="70" t="str">
        <f t="shared" si="1"/>
        <v>---</v>
      </c>
      <c r="AD33" s="70" t="str">
        <f>IFERROR(P33/#REF!-1,"---")</f>
        <v>---</v>
      </c>
      <c r="AE33" s="70" t="str">
        <f>IFERROR(#REF!/#REF!-1,"---")</f>
        <v>---</v>
      </c>
      <c r="AF33" s="70" t="str">
        <f>IFERROR(Q33/#REF!-1,"---")</f>
        <v>---</v>
      </c>
      <c r="AG33" s="70" t="str">
        <f>IFERROR(#REF!/#REF!-1,"---")</f>
        <v>---</v>
      </c>
      <c r="AH33" s="70" t="str">
        <f>IFERROR(#REF!/AA33-1,"---")</f>
        <v>---</v>
      </c>
      <c r="AI33" s="71" t="str">
        <f t="shared" si="2"/>
        <v>---</v>
      </c>
    </row>
    <row r="34" spans="1:35" ht="30" customHeight="1" x14ac:dyDescent="0.3">
      <c r="A34" s="123">
        <v>29</v>
      </c>
      <c r="B34" s="139">
        <f>INDEX('PEER GROUP'!B:B,MATCH($A34,'PEER GROUP'!$A:$A,0))</f>
        <v>0</v>
      </c>
      <c r="C34" s="78">
        <f>INDEX('PEER GROUP'!C:C,MATCH($A34,'PEER GROUP'!$A:$A,0))</f>
        <v>0</v>
      </c>
      <c r="D34" s="78">
        <f>INDEX('PEER GROUP'!D:D,MATCH($A34,'PEER GROUP'!$A:$A,0))</f>
        <v>0</v>
      </c>
      <c r="E34" s="78">
        <f>INDEX('PEER GROUP'!E:E,MATCH(A34,'PEER GROUP'!$A:$A,0))</f>
        <v>0</v>
      </c>
      <c r="F34" s="79">
        <f>INDEX('PEER GROUP'!F:F,MATCH($A34,'PEER GROUP'!$A:$A,0))</f>
        <v>0</v>
      </c>
      <c r="G34" s="79">
        <f>INDEX('PEER GROUP'!G:G,MATCH($A34,'PEER GROUP'!$A:$A,0))</f>
        <v>0</v>
      </c>
      <c r="H34" s="80"/>
      <c r="I34" s="80"/>
      <c r="J34" s="67">
        <f>INDEX('PEER GROUP'!K:K,MATCH($A34,'PEER GROUP'!$A:$A,0))</f>
        <v>0</v>
      </c>
      <c r="K34" s="67">
        <f>INDEX('PEER GROUP'!L:L,MATCH($A34,'PEER GROUP'!$A:$A,0))</f>
        <v>0</v>
      </c>
      <c r="L34" s="81">
        <f>INDEX('PEER GROUP'!N:N,MATCH($A34,'PEER GROUP'!$A:$A,0))</f>
        <v>0</v>
      </c>
      <c r="M34" s="152"/>
      <c r="N34" s="153"/>
      <c r="O34" s="116"/>
      <c r="P34" s="82"/>
      <c r="Q34" s="82"/>
      <c r="R34" s="82">
        <f t="shared" si="3"/>
        <v>0</v>
      </c>
      <c r="S34" s="112">
        <f t="shared" si="0"/>
        <v>36.913096727263202</v>
      </c>
      <c r="T34" s="66">
        <f t="shared" si="4"/>
        <v>0</v>
      </c>
      <c r="U34" s="67">
        <f t="shared" si="4"/>
        <v>0</v>
      </c>
      <c r="V34" s="67">
        <f t="shared" si="4"/>
        <v>0</v>
      </c>
      <c r="W34" s="68">
        <f t="shared" si="5"/>
        <v>0</v>
      </c>
      <c r="X34" s="49"/>
      <c r="Y34" s="151"/>
      <c r="Z34" s="69"/>
      <c r="AA34" s="70"/>
      <c r="AB34" s="70"/>
      <c r="AC34" s="70" t="str">
        <f t="shared" si="1"/>
        <v>---</v>
      </c>
      <c r="AD34" s="70" t="str">
        <f>IFERROR(P34/#REF!-1,"---")</f>
        <v>---</v>
      </c>
      <c r="AE34" s="70" t="str">
        <f>IFERROR(#REF!/#REF!-1,"---")</f>
        <v>---</v>
      </c>
      <c r="AF34" s="70" t="str">
        <f>IFERROR(Q34/#REF!-1,"---")</f>
        <v>---</v>
      </c>
      <c r="AG34" s="70" t="str">
        <f>IFERROR(#REF!/#REF!-1,"---")</f>
        <v>---</v>
      </c>
      <c r="AH34" s="70" t="str">
        <f>IFERROR(#REF!/AA34-1,"---")</f>
        <v>---</v>
      </c>
      <c r="AI34" s="71" t="str">
        <f t="shared" si="2"/>
        <v>---</v>
      </c>
    </row>
    <row r="35" spans="1:35" ht="30" customHeight="1" x14ac:dyDescent="0.3">
      <c r="A35" s="73">
        <v>30</v>
      </c>
      <c r="B35" s="140">
        <f>INDEX('PEER GROUP'!B:B,MATCH($A35,'PEER GROUP'!$A:$A,0))</f>
        <v>0</v>
      </c>
      <c r="C35" s="83">
        <f>INDEX('PEER GROUP'!C:C,MATCH($A35,'PEER GROUP'!$A:$A,0))</f>
        <v>0</v>
      </c>
      <c r="D35" s="83">
        <f>INDEX('PEER GROUP'!D:D,MATCH($A35,'PEER GROUP'!$A:$A,0))</f>
        <v>0</v>
      </c>
      <c r="E35" s="83">
        <f>INDEX('PEER GROUP'!E:E,MATCH(A35,'PEER GROUP'!$A:$A,0))</f>
        <v>0</v>
      </c>
      <c r="F35" s="84">
        <f>INDEX('PEER GROUP'!F:F,MATCH($A35,'PEER GROUP'!$A:$A,0))</f>
        <v>0</v>
      </c>
      <c r="G35" s="84">
        <f>INDEX('PEER GROUP'!G:G,MATCH($A35,'PEER GROUP'!$A:$A,0))</f>
        <v>0</v>
      </c>
      <c r="H35" s="85"/>
      <c r="I35" s="85"/>
      <c r="J35" s="70">
        <f>INDEX('PEER GROUP'!K:K,MATCH($A35,'PEER GROUP'!$A:$A,0))</f>
        <v>0</v>
      </c>
      <c r="K35" s="70">
        <f>INDEX('PEER GROUP'!L:L,MATCH($A35,'PEER GROUP'!$A:$A,0))</f>
        <v>0</v>
      </c>
      <c r="L35" s="81">
        <f>INDEX('PEER GROUP'!N:N,MATCH($A35,'PEER GROUP'!$A:$A,0))</f>
        <v>0</v>
      </c>
      <c r="M35" s="118"/>
      <c r="N35" s="115"/>
      <c r="O35" s="117"/>
      <c r="P35" s="87"/>
      <c r="Q35" s="87"/>
      <c r="R35" s="87">
        <f t="shared" si="3"/>
        <v>0</v>
      </c>
      <c r="S35" s="113">
        <f t="shared" ref="S35:S98" si="6">IF(DataEffDate&gt;DATE(2022,1,1),
IF(E35&lt;DATE(2022,1,1),
(1+UpdateFactor)^(IF(E35&lt;DataEffDate,1,-1)*YEARFRAC(E35,DATE(2022,1,1),1))+(1+UpdateFactor_TEMP)^(IF(DATE(2022,1,1)&lt;DataEffDate,1,-1)*YEARFRAC(DATE(2022,1,1),DataEffDate,1))-1,
(1+UpdateFactor_TEMP)^(IF(E35&lt;DataEffDate,1,-1)*YEARFRAC(E35,DataEffDate,1))),
(1+UpdateFactor)^(IF(E35&lt;DataEffDate,1,-1)*YEARFRAC(E35,DataEffDate,1)))</f>
        <v>36.913096727263202</v>
      </c>
      <c r="T35" s="69">
        <f t="shared" si="4"/>
        <v>0</v>
      </c>
      <c r="U35" s="70">
        <f t="shared" si="4"/>
        <v>0</v>
      </c>
      <c r="V35" s="70">
        <f t="shared" si="4"/>
        <v>0</v>
      </c>
      <c r="W35" s="71">
        <f t="shared" si="5"/>
        <v>0</v>
      </c>
      <c r="X35" s="49"/>
      <c r="Y35" s="151"/>
      <c r="Z35" s="69"/>
      <c r="AA35" s="70"/>
      <c r="AB35" s="70"/>
      <c r="AC35" s="70" t="str">
        <f t="shared" si="1"/>
        <v>---</v>
      </c>
      <c r="AD35" s="70" t="str">
        <f>IFERROR(P35/#REF!-1,"---")</f>
        <v>---</v>
      </c>
      <c r="AE35" s="70" t="str">
        <f>IFERROR(#REF!/#REF!-1,"---")</f>
        <v>---</v>
      </c>
      <c r="AF35" s="70" t="str">
        <f>IFERROR(Q35/#REF!-1,"---")</f>
        <v>---</v>
      </c>
      <c r="AG35" s="70" t="str">
        <f>IFERROR(#REF!/#REF!-1,"---")</f>
        <v>---</v>
      </c>
      <c r="AH35" s="70" t="str">
        <f>IFERROR(#REF!/AA35-1,"---")</f>
        <v>---</v>
      </c>
      <c r="AI35" s="71" t="str">
        <f t="shared" si="2"/>
        <v>---</v>
      </c>
    </row>
    <row r="36" spans="1:35" ht="30" customHeight="1" outlineLevel="1" x14ac:dyDescent="0.3">
      <c r="A36" s="123">
        <f t="shared" ref="A36:A99" si="7">A35+1</f>
        <v>31</v>
      </c>
      <c r="B36" s="140">
        <f>INDEX('PEER GROUP'!B:B,MATCH($A36,'PEER GROUP'!$A:$A,0))</f>
        <v>0</v>
      </c>
      <c r="C36" s="83">
        <f>INDEX('PEER GROUP'!C:C,MATCH($A36,'PEER GROUP'!$A:$A,0))</f>
        <v>0</v>
      </c>
      <c r="D36" s="83">
        <f>INDEX('PEER GROUP'!D:D,MATCH($A36,'PEER GROUP'!$A:$A,0))</f>
        <v>0</v>
      </c>
      <c r="E36" s="83">
        <f>INDEX('PEER GROUP'!E:E,MATCH(A36,'PEER GROUP'!$A:$A,0))</f>
        <v>0</v>
      </c>
      <c r="F36" s="84">
        <f>INDEX('PEER GROUP'!F:F,MATCH($A36,'PEER GROUP'!$A:$A,0))</f>
        <v>0</v>
      </c>
      <c r="G36" s="84">
        <f>INDEX('PEER GROUP'!G:G,MATCH($A36,'PEER GROUP'!$A:$A,0))</f>
        <v>0</v>
      </c>
      <c r="H36" s="85"/>
      <c r="I36" s="85"/>
      <c r="J36" s="70">
        <f>INDEX('PEER GROUP'!K:K,MATCH($A36,'PEER GROUP'!$A:$A,0))</f>
        <v>0</v>
      </c>
      <c r="K36" s="70">
        <f>INDEX('PEER GROUP'!L:L,MATCH($A36,'PEER GROUP'!$A:$A,0))</f>
        <v>0</v>
      </c>
      <c r="L36" s="81">
        <f>INDEX('PEER GROUP'!N:N,MATCH($A36,'PEER GROUP'!$A:$A,0))</f>
        <v>0</v>
      </c>
      <c r="M36" s="118"/>
      <c r="N36" s="115"/>
      <c r="O36" s="117"/>
      <c r="P36" s="87"/>
      <c r="Q36" s="87"/>
      <c r="R36" s="87">
        <f t="shared" ref="R36:R99" si="8">SUM(O36:Q36)</f>
        <v>0</v>
      </c>
      <c r="S36" s="113">
        <f t="shared" si="6"/>
        <v>36.913096727263202</v>
      </c>
      <c r="T36" s="69">
        <f t="shared" ref="T36:T99" si="9">O36*$S36</f>
        <v>0</v>
      </c>
      <c r="U36" s="70">
        <f t="shared" ref="U36:U99" si="10">P36*$S36</f>
        <v>0</v>
      </c>
      <c r="V36" s="70">
        <f t="shared" ref="V36:V99" si="11">Q36*$S36</f>
        <v>0</v>
      </c>
      <c r="W36" s="71">
        <f t="shared" ref="W36:W99" si="12">SUM(T36:V36)</f>
        <v>0</v>
      </c>
      <c r="X36" s="49"/>
      <c r="Y36" s="151"/>
      <c r="Z36" s="69"/>
      <c r="AA36" s="70"/>
      <c r="AB36" s="70"/>
      <c r="AC36" s="70" t="str">
        <f t="shared" ref="AC36:AC99" si="13">IFERROR(O36/Z36-1,"---")</f>
        <v>---</v>
      </c>
      <c r="AD36" s="70" t="str">
        <f>IFERROR(P36/#REF!-1,"---")</f>
        <v>---</v>
      </c>
      <c r="AE36" s="70" t="str">
        <f>IFERROR(#REF!/#REF!-1,"---")</f>
        <v>---</v>
      </c>
      <c r="AF36" s="70" t="str">
        <f>IFERROR(Q36/#REF!-1,"---")</f>
        <v>---</v>
      </c>
      <c r="AG36" s="70" t="str">
        <f>IFERROR(#REF!/#REF!-1,"---")</f>
        <v>---</v>
      </c>
      <c r="AH36" s="70" t="str">
        <f>IFERROR(#REF!/AA36-1,"---")</f>
        <v>---</v>
      </c>
      <c r="AI36" s="71" t="str">
        <f t="shared" ref="AI36:AI99" si="14">IFERROR(R36/AB36-1,"---")</f>
        <v>---</v>
      </c>
    </row>
    <row r="37" spans="1:35" ht="30" customHeight="1" x14ac:dyDescent="0.3">
      <c r="A37" s="123">
        <f t="shared" si="7"/>
        <v>32</v>
      </c>
      <c r="B37" s="140">
        <f>INDEX('PEER GROUP'!B:B,MATCH($A37,'PEER GROUP'!$A:$A,0))</f>
        <v>0</v>
      </c>
      <c r="C37" s="83">
        <f>INDEX('PEER GROUP'!C:C,MATCH($A37,'PEER GROUP'!$A:$A,0))</f>
        <v>0</v>
      </c>
      <c r="D37" s="83">
        <f>INDEX('PEER GROUP'!D:D,MATCH($A37,'PEER GROUP'!$A:$A,0))</f>
        <v>0</v>
      </c>
      <c r="E37" s="83">
        <f>INDEX('PEER GROUP'!E:E,MATCH(A37,'PEER GROUP'!$A:$A,0))</f>
        <v>0</v>
      </c>
      <c r="F37" s="84">
        <f>INDEX('PEER GROUP'!F:F,MATCH($A37,'PEER GROUP'!$A:$A,0))</f>
        <v>0</v>
      </c>
      <c r="G37" s="84">
        <f>INDEX('PEER GROUP'!G:G,MATCH($A37,'PEER GROUP'!$A:$A,0))</f>
        <v>0</v>
      </c>
      <c r="H37" s="85"/>
      <c r="I37" s="85"/>
      <c r="J37" s="70">
        <f>INDEX('PEER GROUP'!K:K,MATCH($A37,'PEER GROUP'!$A:$A,0))</f>
        <v>0</v>
      </c>
      <c r="K37" s="70">
        <f>INDEX('PEER GROUP'!L:L,MATCH($A37,'PEER GROUP'!$A:$A,0))</f>
        <v>0</v>
      </c>
      <c r="L37" s="81">
        <f>INDEX('PEER GROUP'!N:N,MATCH($A37,'PEER GROUP'!$A:$A,0))</f>
        <v>0</v>
      </c>
      <c r="M37" s="118"/>
      <c r="N37" s="115"/>
      <c r="O37" s="117"/>
      <c r="P37" s="87"/>
      <c r="Q37" s="87"/>
      <c r="R37" s="87">
        <f t="shared" si="8"/>
        <v>0</v>
      </c>
      <c r="S37" s="113">
        <f t="shared" si="6"/>
        <v>36.913096727263202</v>
      </c>
      <c r="T37" s="69">
        <f t="shared" si="9"/>
        <v>0</v>
      </c>
      <c r="U37" s="70">
        <f t="shared" si="10"/>
        <v>0</v>
      </c>
      <c r="V37" s="70">
        <f t="shared" si="11"/>
        <v>0</v>
      </c>
      <c r="W37" s="71">
        <f t="shared" si="12"/>
        <v>0</v>
      </c>
      <c r="X37" s="49"/>
      <c r="Y37" s="151"/>
      <c r="Z37" s="69"/>
      <c r="AA37" s="70"/>
      <c r="AB37" s="70"/>
      <c r="AC37" s="70" t="str">
        <f t="shared" si="13"/>
        <v>---</v>
      </c>
      <c r="AD37" s="70" t="str">
        <f>IFERROR(P37/#REF!-1,"---")</f>
        <v>---</v>
      </c>
      <c r="AE37" s="70" t="str">
        <f>IFERROR(#REF!/#REF!-1,"---")</f>
        <v>---</v>
      </c>
      <c r="AF37" s="70" t="str">
        <f>IFERROR(Q37/#REF!-1,"---")</f>
        <v>---</v>
      </c>
      <c r="AG37" s="70" t="str">
        <f>IFERROR(#REF!/#REF!-1,"---")</f>
        <v>---</v>
      </c>
      <c r="AH37" s="70" t="str">
        <f>IFERROR(#REF!/AA37-1,"---")</f>
        <v>---</v>
      </c>
      <c r="AI37" s="71" t="str">
        <f t="shared" si="14"/>
        <v>---</v>
      </c>
    </row>
    <row r="38" spans="1:35" ht="30" customHeight="1" x14ac:dyDescent="0.3">
      <c r="A38" s="123">
        <f t="shared" si="7"/>
        <v>33</v>
      </c>
      <c r="B38" s="140">
        <f>INDEX('PEER GROUP'!B:B,MATCH($A38,'PEER GROUP'!$A:$A,0))</f>
        <v>0</v>
      </c>
      <c r="C38" s="83">
        <f>INDEX('PEER GROUP'!C:C,MATCH($A38,'PEER GROUP'!$A:$A,0))</f>
        <v>0</v>
      </c>
      <c r="D38" s="83">
        <f>INDEX('PEER GROUP'!D:D,MATCH($A38,'PEER GROUP'!$A:$A,0))</f>
        <v>0</v>
      </c>
      <c r="E38" s="83">
        <f>INDEX('PEER GROUP'!E:E,MATCH(A38,'PEER GROUP'!$A:$A,0))</f>
        <v>0</v>
      </c>
      <c r="F38" s="84">
        <f>INDEX('PEER GROUP'!F:F,MATCH($A38,'PEER GROUP'!$A:$A,0))</f>
        <v>0</v>
      </c>
      <c r="G38" s="84">
        <f>INDEX('PEER GROUP'!G:G,MATCH($A38,'PEER GROUP'!$A:$A,0))</f>
        <v>0</v>
      </c>
      <c r="H38" s="85"/>
      <c r="I38" s="85"/>
      <c r="J38" s="70">
        <f>INDEX('PEER GROUP'!K:K,MATCH($A38,'PEER GROUP'!$A:$A,0))</f>
        <v>0</v>
      </c>
      <c r="K38" s="70">
        <f>INDEX('PEER GROUP'!L:L,MATCH($A38,'PEER GROUP'!$A:$A,0))</f>
        <v>0</v>
      </c>
      <c r="L38" s="81">
        <f>INDEX('PEER GROUP'!N:N,MATCH($A38,'PEER GROUP'!$A:$A,0))</f>
        <v>0</v>
      </c>
      <c r="M38" s="118"/>
      <c r="N38" s="115"/>
      <c r="O38" s="117"/>
      <c r="P38" s="87"/>
      <c r="Q38" s="87"/>
      <c r="R38" s="87">
        <f t="shared" si="8"/>
        <v>0</v>
      </c>
      <c r="S38" s="113">
        <f t="shared" si="6"/>
        <v>36.913096727263202</v>
      </c>
      <c r="T38" s="69">
        <f t="shared" si="9"/>
        <v>0</v>
      </c>
      <c r="U38" s="70">
        <f t="shared" si="10"/>
        <v>0</v>
      </c>
      <c r="V38" s="70">
        <f t="shared" si="11"/>
        <v>0</v>
      </c>
      <c r="W38" s="71">
        <f t="shared" si="12"/>
        <v>0</v>
      </c>
      <c r="X38" s="49"/>
      <c r="Y38" s="151"/>
      <c r="Z38" s="69"/>
      <c r="AA38" s="70"/>
      <c r="AB38" s="70"/>
      <c r="AC38" s="70" t="str">
        <f t="shared" si="13"/>
        <v>---</v>
      </c>
      <c r="AD38" s="70" t="str">
        <f>IFERROR(P38/#REF!-1,"---")</f>
        <v>---</v>
      </c>
      <c r="AE38" s="70" t="str">
        <f>IFERROR(#REF!/#REF!-1,"---")</f>
        <v>---</v>
      </c>
      <c r="AF38" s="70" t="str">
        <f>IFERROR(Q38/#REF!-1,"---")</f>
        <v>---</v>
      </c>
      <c r="AG38" s="70" t="str">
        <f>IFERROR(#REF!/#REF!-1,"---")</f>
        <v>---</v>
      </c>
      <c r="AH38" s="70" t="str">
        <f>IFERROR(#REF!/AA38-1,"---")</f>
        <v>---</v>
      </c>
      <c r="AI38" s="71" t="str">
        <f t="shared" si="14"/>
        <v>---</v>
      </c>
    </row>
    <row r="39" spans="1:35" ht="30" customHeight="1" x14ac:dyDescent="0.3">
      <c r="A39" s="123">
        <f t="shared" si="7"/>
        <v>34</v>
      </c>
      <c r="B39" s="140">
        <f>INDEX('PEER GROUP'!B:B,MATCH($A39,'PEER GROUP'!$A:$A,0))</f>
        <v>0</v>
      </c>
      <c r="C39" s="83">
        <f>INDEX('PEER GROUP'!C:C,MATCH($A39,'PEER GROUP'!$A:$A,0))</f>
        <v>0</v>
      </c>
      <c r="D39" s="83">
        <f>INDEX('PEER GROUP'!D:D,MATCH($A39,'PEER GROUP'!$A:$A,0))</f>
        <v>0</v>
      </c>
      <c r="E39" s="83">
        <f>INDEX('PEER GROUP'!E:E,MATCH(A39,'PEER GROUP'!$A:$A,0))</f>
        <v>0</v>
      </c>
      <c r="F39" s="84">
        <f>INDEX('PEER GROUP'!F:F,MATCH($A39,'PEER GROUP'!$A:$A,0))</f>
        <v>0</v>
      </c>
      <c r="G39" s="84">
        <f>INDEX('PEER GROUP'!G:G,MATCH($A39,'PEER GROUP'!$A:$A,0))</f>
        <v>0</v>
      </c>
      <c r="H39" s="85"/>
      <c r="I39" s="85"/>
      <c r="J39" s="70">
        <f>INDEX('PEER GROUP'!K:K,MATCH($A39,'PEER GROUP'!$A:$A,0))</f>
        <v>0</v>
      </c>
      <c r="K39" s="70">
        <f>INDEX('PEER GROUP'!L:L,MATCH($A39,'PEER GROUP'!$A:$A,0))</f>
        <v>0</v>
      </c>
      <c r="L39" s="81">
        <f>INDEX('PEER GROUP'!N:N,MATCH($A39,'PEER GROUP'!$A:$A,0))</f>
        <v>0</v>
      </c>
      <c r="M39" s="118"/>
      <c r="N39" s="115"/>
      <c r="O39" s="117"/>
      <c r="P39" s="87"/>
      <c r="Q39" s="87"/>
      <c r="R39" s="87">
        <f t="shared" si="8"/>
        <v>0</v>
      </c>
      <c r="S39" s="113">
        <f t="shared" si="6"/>
        <v>36.913096727263202</v>
      </c>
      <c r="T39" s="69">
        <f t="shared" si="9"/>
        <v>0</v>
      </c>
      <c r="U39" s="70">
        <f t="shared" si="10"/>
        <v>0</v>
      </c>
      <c r="V39" s="70">
        <f t="shared" si="11"/>
        <v>0</v>
      </c>
      <c r="W39" s="71">
        <f t="shared" si="12"/>
        <v>0</v>
      </c>
      <c r="X39" s="49"/>
      <c r="Y39" s="151"/>
      <c r="Z39" s="69"/>
      <c r="AA39" s="70"/>
      <c r="AB39" s="70"/>
      <c r="AC39" s="70" t="str">
        <f t="shared" si="13"/>
        <v>---</v>
      </c>
      <c r="AD39" s="70" t="str">
        <f>IFERROR(P39/#REF!-1,"---")</f>
        <v>---</v>
      </c>
      <c r="AE39" s="70" t="str">
        <f>IFERROR(#REF!/#REF!-1,"---")</f>
        <v>---</v>
      </c>
      <c r="AF39" s="70" t="str">
        <f>IFERROR(Q39/#REF!-1,"---")</f>
        <v>---</v>
      </c>
      <c r="AG39" s="70" t="str">
        <f>IFERROR(#REF!/#REF!-1,"---")</f>
        <v>---</v>
      </c>
      <c r="AH39" s="70" t="str">
        <f>IFERROR(#REF!/AA39-1,"---")</f>
        <v>---</v>
      </c>
      <c r="AI39" s="71" t="str">
        <f t="shared" si="14"/>
        <v>---</v>
      </c>
    </row>
    <row r="40" spans="1:35" ht="30" customHeight="1" x14ac:dyDescent="0.3">
      <c r="A40" s="123">
        <f t="shared" si="7"/>
        <v>35</v>
      </c>
      <c r="B40" s="140">
        <f>INDEX('PEER GROUP'!B:B,MATCH($A40,'PEER GROUP'!$A:$A,0))</f>
        <v>0</v>
      </c>
      <c r="C40" s="83">
        <f>INDEX('PEER GROUP'!C:C,MATCH($A40,'PEER GROUP'!$A:$A,0))</f>
        <v>0</v>
      </c>
      <c r="D40" s="83">
        <f>INDEX('PEER GROUP'!D:D,MATCH($A40,'PEER GROUP'!$A:$A,0))</f>
        <v>0</v>
      </c>
      <c r="E40" s="83">
        <f>INDEX('PEER GROUP'!E:E,MATCH(A40,'PEER GROUP'!$A:$A,0))</f>
        <v>0</v>
      </c>
      <c r="F40" s="84">
        <f>INDEX('PEER GROUP'!F:F,MATCH($A40,'PEER GROUP'!$A:$A,0))</f>
        <v>0</v>
      </c>
      <c r="G40" s="84">
        <f>INDEX('PEER GROUP'!G:G,MATCH($A40,'PEER GROUP'!$A:$A,0))</f>
        <v>0</v>
      </c>
      <c r="H40" s="85"/>
      <c r="I40" s="85"/>
      <c r="J40" s="70">
        <f>INDEX('PEER GROUP'!K:K,MATCH($A40,'PEER GROUP'!$A:$A,0))</f>
        <v>0</v>
      </c>
      <c r="K40" s="70">
        <f>INDEX('PEER GROUP'!L:L,MATCH($A40,'PEER GROUP'!$A:$A,0))</f>
        <v>0</v>
      </c>
      <c r="L40" s="81">
        <f>INDEX('PEER GROUP'!N:N,MATCH($A40,'PEER GROUP'!$A:$A,0))</f>
        <v>0</v>
      </c>
      <c r="M40" s="118"/>
      <c r="N40" s="115"/>
      <c r="O40" s="117"/>
      <c r="P40" s="87"/>
      <c r="Q40" s="87"/>
      <c r="R40" s="87">
        <f t="shared" si="8"/>
        <v>0</v>
      </c>
      <c r="S40" s="113">
        <f t="shared" si="6"/>
        <v>36.913096727263202</v>
      </c>
      <c r="T40" s="69">
        <f t="shared" si="9"/>
        <v>0</v>
      </c>
      <c r="U40" s="70">
        <f t="shared" si="10"/>
        <v>0</v>
      </c>
      <c r="V40" s="70">
        <f t="shared" si="11"/>
        <v>0</v>
      </c>
      <c r="W40" s="71">
        <f t="shared" si="12"/>
        <v>0</v>
      </c>
      <c r="X40" s="49"/>
      <c r="Y40" s="151"/>
      <c r="Z40" s="69"/>
      <c r="AA40" s="70"/>
      <c r="AB40" s="70"/>
      <c r="AC40" s="70" t="str">
        <f t="shared" si="13"/>
        <v>---</v>
      </c>
      <c r="AD40" s="70" t="str">
        <f>IFERROR(P40/#REF!-1,"---")</f>
        <v>---</v>
      </c>
      <c r="AE40" s="70" t="str">
        <f>IFERROR(#REF!/#REF!-1,"---")</f>
        <v>---</v>
      </c>
      <c r="AF40" s="70" t="str">
        <f>IFERROR(Q40/#REF!-1,"---")</f>
        <v>---</v>
      </c>
      <c r="AG40" s="70" t="str">
        <f>IFERROR(#REF!/#REF!-1,"---")</f>
        <v>---</v>
      </c>
      <c r="AH40" s="70" t="str">
        <f>IFERROR(#REF!/AA40-1,"---")</f>
        <v>---</v>
      </c>
      <c r="AI40" s="71" t="str">
        <f t="shared" si="14"/>
        <v>---</v>
      </c>
    </row>
    <row r="41" spans="1:35" ht="30" customHeight="1" x14ac:dyDescent="0.3">
      <c r="A41" s="123">
        <f t="shared" si="7"/>
        <v>36</v>
      </c>
      <c r="B41" s="140">
        <f>INDEX('PEER GROUP'!B:B,MATCH($A41,'PEER GROUP'!$A:$A,0))</f>
        <v>0</v>
      </c>
      <c r="C41" s="83">
        <f>INDEX('PEER GROUP'!C:C,MATCH($A41,'PEER GROUP'!$A:$A,0))</f>
        <v>0</v>
      </c>
      <c r="D41" s="83">
        <f>INDEX('PEER GROUP'!D:D,MATCH($A41,'PEER GROUP'!$A:$A,0))</f>
        <v>0</v>
      </c>
      <c r="E41" s="83">
        <f>INDEX('PEER GROUP'!E:E,MATCH(A41,'PEER GROUP'!$A:$A,0))</f>
        <v>0</v>
      </c>
      <c r="F41" s="84">
        <f>INDEX('PEER GROUP'!F:F,MATCH($A41,'PEER GROUP'!$A:$A,0))</f>
        <v>0</v>
      </c>
      <c r="G41" s="84">
        <f>INDEX('PEER GROUP'!G:G,MATCH($A41,'PEER GROUP'!$A:$A,0))</f>
        <v>0</v>
      </c>
      <c r="H41" s="85"/>
      <c r="I41" s="85"/>
      <c r="J41" s="70">
        <f>INDEX('PEER GROUP'!K:K,MATCH($A41,'PEER GROUP'!$A:$A,0))</f>
        <v>0</v>
      </c>
      <c r="K41" s="70">
        <f>INDEX('PEER GROUP'!L:L,MATCH($A41,'PEER GROUP'!$A:$A,0))</f>
        <v>0</v>
      </c>
      <c r="L41" s="81">
        <f>INDEX('PEER GROUP'!N:N,MATCH($A41,'PEER GROUP'!$A:$A,0))</f>
        <v>0</v>
      </c>
      <c r="M41" s="118"/>
      <c r="N41" s="115"/>
      <c r="O41" s="117"/>
      <c r="P41" s="87"/>
      <c r="Q41" s="87"/>
      <c r="R41" s="87">
        <f t="shared" si="8"/>
        <v>0</v>
      </c>
      <c r="S41" s="113">
        <f t="shared" si="6"/>
        <v>36.913096727263202</v>
      </c>
      <c r="T41" s="69">
        <f t="shared" si="9"/>
        <v>0</v>
      </c>
      <c r="U41" s="70">
        <f t="shared" si="10"/>
        <v>0</v>
      </c>
      <c r="V41" s="70">
        <f t="shared" si="11"/>
        <v>0</v>
      </c>
      <c r="W41" s="71">
        <f t="shared" si="12"/>
        <v>0</v>
      </c>
      <c r="X41" s="49"/>
      <c r="Y41" s="151"/>
      <c r="Z41" s="69"/>
      <c r="AA41" s="70"/>
      <c r="AB41" s="70"/>
      <c r="AC41" s="70" t="str">
        <f t="shared" si="13"/>
        <v>---</v>
      </c>
      <c r="AD41" s="70" t="str">
        <f>IFERROR(P41/#REF!-1,"---")</f>
        <v>---</v>
      </c>
      <c r="AE41" s="70" t="str">
        <f>IFERROR(#REF!/#REF!-1,"---")</f>
        <v>---</v>
      </c>
      <c r="AF41" s="70" t="str">
        <f>IFERROR(Q41/#REF!-1,"---")</f>
        <v>---</v>
      </c>
      <c r="AG41" s="70" t="str">
        <f>IFERROR(#REF!/#REF!-1,"---")</f>
        <v>---</v>
      </c>
      <c r="AH41" s="70" t="str">
        <f>IFERROR(#REF!/AA41-1,"---")</f>
        <v>---</v>
      </c>
      <c r="AI41" s="71" t="str">
        <f t="shared" si="14"/>
        <v>---</v>
      </c>
    </row>
    <row r="42" spans="1:35" ht="30" customHeight="1" x14ac:dyDescent="0.3">
      <c r="A42" s="123">
        <f t="shared" si="7"/>
        <v>37</v>
      </c>
      <c r="B42" s="140">
        <f>INDEX('PEER GROUP'!B:B,MATCH($A42,'PEER GROUP'!$A:$A,0))</f>
        <v>0</v>
      </c>
      <c r="C42" s="83">
        <f>INDEX('PEER GROUP'!C:C,MATCH($A42,'PEER GROUP'!$A:$A,0))</f>
        <v>0</v>
      </c>
      <c r="D42" s="83">
        <f>INDEX('PEER GROUP'!D:D,MATCH($A42,'PEER GROUP'!$A:$A,0))</f>
        <v>0</v>
      </c>
      <c r="E42" s="83">
        <f>INDEX('PEER GROUP'!E:E,MATCH(A42,'PEER GROUP'!$A:$A,0))</f>
        <v>0</v>
      </c>
      <c r="F42" s="84">
        <f>INDEX('PEER GROUP'!F:F,MATCH($A42,'PEER GROUP'!$A:$A,0))</f>
        <v>0</v>
      </c>
      <c r="G42" s="84">
        <f>INDEX('PEER GROUP'!G:G,MATCH($A42,'PEER GROUP'!$A:$A,0))</f>
        <v>0</v>
      </c>
      <c r="H42" s="85"/>
      <c r="I42" s="85"/>
      <c r="J42" s="70">
        <f>INDEX('PEER GROUP'!K:K,MATCH($A42,'PEER GROUP'!$A:$A,0))</f>
        <v>0</v>
      </c>
      <c r="K42" s="70">
        <f>INDEX('PEER GROUP'!L:L,MATCH($A42,'PEER GROUP'!$A:$A,0))</f>
        <v>0</v>
      </c>
      <c r="L42" s="81">
        <f>INDEX('PEER GROUP'!N:N,MATCH($A42,'PEER GROUP'!$A:$A,0))</f>
        <v>0</v>
      </c>
      <c r="M42" s="118"/>
      <c r="N42" s="115"/>
      <c r="O42" s="117"/>
      <c r="P42" s="87"/>
      <c r="Q42" s="87"/>
      <c r="R42" s="87">
        <f t="shared" si="8"/>
        <v>0</v>
      </c>
      <c r="S42" s="113">
        <f t="shared" si="6"/>
        <v>36.913096727263202</v>
      </c>
      <c r="T42" s="69">
        <f t="shared" si="9"/>
        <v>0</v>
      </c>
      <c r="U42" s="70">
        <f t="shared" si="10"/>
        <v>0</v>
      </c>
      <c r="V42" s="70">
        <f t="shared" si="11"/>
        <v>0</v>
      </c>
      <c r="W42" s="71">
        <f t="shared" si="12"/>
        <v>0</v>
      </c>
      <c r="X42" s="49"/>
      <c r="Y42" s="151"/>
      <c r="Z42" s="69"/>
      <c r="AA42" s="70"/>
      <c r="AB42" s="70"/>
      <c r="AC42" s="70" t="str">
        <f t="shared" si="13"/>
        <v>---</v>
      </c>
      <c r="AD42" s="70" t="str">
        <f>IFERROR(P42/#REF!-1,"---")</f>
        <v>---</v>
      </c>
      <c r="AE42" s="70" t="str">
        <f>IFERROR(#REF!/#REF!-1,"---")</f>
        <v>---</v>
      </c>
      <c r="AF42" s="70" t="str">
        <f>IFERROR(Q42/#REF!-1,"---")</f>
        <v>---</v>
      </c>
      <c r="AG42" s="70" t="str">
        <f>IFERROR(#REF!/#REF!-1,"---")</f>
        <v>---</v>
      </c>
      <c r="AH42" s="70" t="str">
        <f>IFERROR(#REF!/AA42-1,"---")</f>
        <v>---</v>
      </c>
      <c r="AI42" s="71" t="str">
        <f t="shared" si="14"/>
        <v>---</v>
      </c>
    </row>
    <row r="43" spans="1:35" ht="30" customHeight="1" x14ac:dyDescent="0.3">
      <c r="A43" s="123">
        <f t="shared" si="7"/>
        <v>38</v>
      </c>
      <c r="B43" s="140">
        <f>INDEX('PEER GROUP'!B:B,MATCH($A43,'PEER GROUP'!$A:$A,0))</f>
        <v>0</v>
      </c>
      <c r="C43" s="83">
        <f>INDEX('PEER GROUP'!C:C,MATCH($A43,'PEER GROUP'!$A:$A,0))</f>
        <v>0</v>
      </c>
      <c r="D43" s="83">
        <f>INDEX('PEER GROUP'!D:D,MATCH($A43,'PEER GROUP'!$A:$A,0))</f>
        <v>0</v>
      </c>
      <c r="E43" s="83">
        <f>INDEX('PEER GROUP'!E:E,MATCH(A43,'PEER GROUP'!$A:$A,0))</f>
        <v>0</v>
      </c>
      <c r="F43" s="84">
        <f>INDEX('PEER GROUP'!F:F,MATCH($A43,'PEER GROUP'!$A:$A,0))</f>
        <v>0</v>
      </c>
      <c r="G43" s="84">
        <f>INDEX('PEER GROUP'!G:G,MATCH($A43,'PEER GROUP'!$A:$A,0))</f>
        <v>0</v>
      </c>
      <c r="H43" s="85"/>
      <c r="I43" s="85"/>
      <c r="J43" s="70">
        <f>INDEX('PEER GROUP'!K:K,MATCH($A43,'PEER GROUP'!$A:$A,0))</f>
        <v>0</v>
      </c>
      <c r="K43" s="70">
        <f>INDEX('PEER GROUP'!L:L,MATCH($A43,'PEER GROUP'!$A:$A,0))</f>
        <v>0</v>
      </c>
      <c r="L43" s="81">
        <f>INDEX('PEER GROUP'!N:N,MATCH($A43,'PEER GROUP'!$A:$A,0))</f>
        <v>0</v>
      </c>
      <c r="M43" s="118"/>
      <c r="N43" s="115"/>
      <c r="O43" s="117"/>
      <c r="P43" s="87"/>
      <c r="Q43" s="87"/>
      <c r="R43" s="87">
        <f t="shared" si="8"/>
        <v>0</v>
      </c>
      <c r="S43" s="113">
        <f t="shared" si="6"/>
        <v>36.913096727263202</v>
      </c>
      <c r="T43" s="69">
        <f t="shared" si="9"/>
        <v>0</v>
      </c>
      <c r="U43" s="70">
        <f t="shared" si="10"/>
        <v>0</v>
      </c>
      <c r="V43" s="70">
        <f t="shared" si="11"/>
        <v>0</v>
      </c>
      <c r="W43" s="71">
        <f t="shared" si="12"/>
        <v>0</v>
      </c>
      <c r="X43" s="49"/>
      <c r="Y43" s="151"/>
      <c r="Z43" s="69"/>
      <c r="AA43" s="70"/>
      <c r="AB43" s="70"/>
      <c r="AC43" s="70" t="str">
        <f t="shared" si="13"/>
        <v>---</v>
      </c>
      <c r="AD43" s="70" t="str">
        <f>IFERROR(P43/#REF!-1,"---")</f>
        <v>---</v>
      </c>
      <c r="AE43" s="70" t="str">
        <f>IFERROR(#REF!/#REF!-1,"---")</f>
        <v>---</v>
      </c>
      <c r="AF43" s="70" t="str">
        <f>IFERROR(Q43/#REF!-1,"---")</f>
        <v>---</v>
      </c>
      <c r="AG43" s="70" t="str">
        <f>IFERROR(#REF!/#REF!-1,"---")</f>
        <v>---</v>
      </c>
      <c r="AH43" s="70" t="str">
        <f>IFERROR(#REF!/AA43-1,"---")</f>
        <v>---</v>
      </c>
      <c r="AI43" s="71" t="str">
        <f t="shared" si="14"/>
        <v>---</v>
      </c>
    </row>
    <row r="44" spans="1:35" ht="30" customHeight="1" x14ac:dyDescent="0.3">
      <c r="A44" s="123">
        <f t="shared" si="7"/>
        <v>39</v>
      </c>
      <c r="B44" s="140">
        <f>INDEX('PEER GROUP'!B:B,MATCH($A44,'PEER GROUP'!$A:$A,0))</f>
        <v>0</v>
      </c>
      <c r="C44" s="83">
        <f>INDEX('PEER GROUP'!C:C,MATCH($A44,'PEER GROUP'!$A:$A,0))</f>
        <v>0</v>
      </c>
      <c r="D44" s="83">
        <f>INDEX('PEER GROUP'!D:D,MATCH($A44,'PEER GROUP'!$A:$A,0))</f>
        <v>0</v>
      </c>
      <c r="E44" s="83">
        <f>INDEX('PEER GROUP'!E:E,MATCH(A44,'PEER GROUP'!$A:$A,0))</f>
        <v>0</v>
      </c>
      <c r="F44" s="84">
        <f>INDEX('PEER GROUP'!F:F,MATCH($A44,'PEER GROUP'!$A:$A,0))</f>
        <v>0</v>
      </c>
      <c r="G44" s="84">
        <f>INDEX('PEER GROUP'!G:G,MATCH($A44,'PEER GROUP'!$A:$A,0))</f>
        <v>0</v>
      </c>
      <c r="H44" s="85"/>
      <c r="I44" s="85"/>
      <c r="J44" s="70">
        <f>INDEX('PEER GROUP'!K:K,MATCH($A44,'PEER GROUP'!$A:$A,0))</f>
        <v>0</v>
      </c>
      <c r="K44" s="70">
        <f>INDEX('PEER GROUP'!L:L,MATCH($A44,'PEER GROUP'!$A:$A,0))</f>
        <v>0</v>
      </c>
      <c r="L44" s="81">
        <f>INDEX('PEER GROUP'!N:N,MATCH($A44,'PEER GROUP'!$A:$A,0))</f>
        <v>0</v>
      </c>
      <c r="M44" s="118"/>
      <c r="N44" s="115"/>
      <c r="O44" s="117"/>
      <c r="P44" s="87"/>
      <c r="Q44" s="87"/>
      <c r="R44" s="87">
        <f t="shared" si="8"/>
        <v>0</v>
      </c>
      <c r="S44" s="113">
        <f t="shared" si="6"/>
        <v>36.913096727263202</v>
      </c>
      <c r="T44" s="69">
        <f t="shared" si="9"/>
        <v>0</v>
      </c>
      <c r="U44" s="70">
        <f t="shared" si="10"/>
        <v>0</v>
      </c>
      <c r="V44" s="70">
        <f t="shared" si="11"/>
        <v>0</v>
      </c>
      <c r="W44" s="71">
        <f t="shared" si="12"/>
        <v>0</v>
      </c>
      <c r="X44" s="49"/>
      <c r="Y44" s="151"/>
      <c r="Z44" s="69"/>
      <c r="AA44" s="70"/>
      <c r="AB44" s="70"/>
      <c r="AC44" s="70" t="str">
        <f t="shared" si="13"/>
        <v>---</v>
      </c>
      <c r="AD44" s="70" t="str">
        <f>IFERROR(P44/#REF!-1,"---")</f>
        <v>---</v>
      </c>
      <c r="AE44" s="70" t="str">
        <f>IFERROR(#REF!/#REF!-1,"---")</f>
        <v>---</v>
      </c>
      <c r="AF44" s="70" t="str">
        <f>IFERROR(Q44/#REF!-1,"---")</f>
        <v>---</v>
      </c>
      <c r="AG44" s="70" t="str">
        <f>IFERROR(#REF!/#REF!-1,"---")</f>
        <v>---</v>
      </c>
      <c r="AH44" s="70" t="str">
        <f>IFERROR(#REF!/AA44-1,"---")</f>
        <v>---</v>
      </c>
      <c r="AI44" s="71" t="str">
        <f t="shared" si="14"/>
        <v>---</v>
      </c>
    </row>
    <row r="45" spans="1:35" ht="30" customHeight="1" x14ac:dyDescent="0.3">
      <c r="A45" s="123">
        <f t="shared" si="7"/>
        <v>40</v>
      </c>
      <c r="B45" s="140">
        <f>INDEX('PEER GROUP'!B:B,MATCH($A45,'PEER GROUP'!$A:$A,0))</f>
        <v>0</v>
      </c>
      <c r="C45" s="83">
        <f>INDEX('PEER GROUP'!C:C,MATCH($A45,'PEER GROUP'!$A:$A,0))</f>
        <v>0</v>
      </c>
      <c r="D45" s="83">
        <f>INDEX('PEER GROUP'!D:D,MATCH($A45,'PEER GROUP'!$A:$A,0))</f>
        <v>0</v>
      </c>
      <c r="E45" s="83">
        <f>INDEX('PEER GROUP'!E:E,MATCH(A45,'PEER GROUP'!$A:$A,0))</f>
        <v>0</v>
      </c>
      <c r="F45" s="84">
        <f>INDEX('PEER GROUP'!F:F,MATCH($A45,'PEER GROUP'!$A:$A,0))</f>
        <v>0</v>
      </c>
      <c r="G45" s="84">
        <f>INDEX('PEER GROUP'!G:G,MATCH($A45,'PEER GROUP'!$A:$A,0))</f>
        <v>0</v>
      </c>
      <c r="H45" s="85"/>
      <c r="I45" s="85"/>
      <c r="J45" s="70">
        <f>INDEX('PEER GROUP'!K:K,MATCH($A45,'PEER GROUP'!$A:$A,0))</f>
        <v>0</v>
      </c>
      <c r="K45" s="70">
        <f>INDEX('PEER GROUP'!L:L,MATCH($A45,'PEER GROUP'!$A:$A,0))</f>
        <v>0</v>
      </c>
      <c r="L45" s="81">
        <f>INDEX('PEER GROUP'!N:N,MATCH($A45,'PEER GROUP'!$A:$A,0))</f>
        <v>0</v>
      </c>
      <c r="M45" s="118"/>
      <c r="N45" s="115"/>
      <c r="O45" s="117"/>
      <c r="P45" s="87"/>
      <c r="Q45" s="87"/>
      <c r="R45" s="87">
        <f t="shared" si="8"/>
        <v>0</v>
      </c>
      <c r="S45" s="113">
        <f t="shared" si="6"/>
        <v>36.913096727263202</v>
      </c>
      <c r="T45" s="69">
        <f t="shared" si="9"/>
        <v>0</v>
      </c>
      <c r="U45" s="70">
        <f t="shared" si="10"/>
        <v>0</v>
      </c>
      <c r="V45" s="70">
        <f t="shared" si="11"/>
        <v>0</v>
      </c>
      <c r="W45" s="71">
        <f t="shared" si="12"/>
        <v>0</v>
      </c>
      <c r="X45" s="49"/>
      <c r="Y45" s="151"/>
      <c r="Z45" s="69"/>
      <c r="AA45" s="70"/>
      <c r="AB45" s="70"/>
      <c r="AC45" s="70" t="str">
        <f t="shared" si="13"/>
        <v>---</v>
      </c>
      <c r="AD45" s="70" t="str">
        <f>IFERROR(P45/#REF!-1,"---")</f>
        <v>---</v>
      </c>
      <c r="AE45" s="70" t="str">
        <f>IFERROR(#REF!/#REF!-1,"---")</f>
        <v>---</v>
      </c>
      <c r="AF45" s="70" t="str">
        <f>IFERROR(Q45/#REF!-1,"---")</f>
        <v>---</v>
      </c>
      <c r="AG45" s="70" t="str">
        <f>IFERROR(#REF!/#REF!-1,"---")</f>
        <v>---</v>
      </c>
      <c r="AH45" s="70" t="str">
        <f>IFERROR(#REF!/AA45-1,"---")</f>
        <v>---</v>
      </c>
      <c r="AI45" s="71" t="str">
        <f t="shared" si="14"/>
        <v>---</v>
      </c>
    </row>
    <row r="46" spans="1:35" ht="30" customHeight="1" x14ac:dyDescent="0.3">
      <c r="A46" s="123">
        <f t="shared" si="7"/>
        <v>41</v>
      </c>
      <c r="B46" s="140">
        <f>INDEX('PEER GROUP'!B:B,MATCH($A46,'PEER GROUP'!$A:$A,0))</f>
        <v>0</v>
      </c>
      <c r="C46" s="83">
        <f>INDEX('PEER GROUP'!C:C,MATCH($A46,'PEER GROUP'!$A:$A,0))</f>
        <v>0</v>
      </c>
      <c r="D46" s="83">
        <f>INDEX('PEER GROUP'!D:D,MATCH($A46,'PEER GROUP'!$A:$A,0))</f>
        <v>0</v>
      </c>
      <c r="E46" s="83">
        <f>INDEX('PEER GROUP'!E:E,MATCH(A46,'PEER GROUP'!$A:$A,0))</f>
        <v>0</v>
      </c>
      <c r="F46" s="84">
        <f>INDEX('PEER GROUP'!F:F,MATCH($A46,'PEER GROUP'!$A:$A,0))</f>
        <v>0</v>
      </c>
      <c r="G46" s="84">
        <f>INDEX('PEER GROUP'!G:G,MATCH($A46,'PEER GROUP'!$A:$A,0))</f>
        <v>0</v>
      </c>
      <c r="H46" s="85"/>
      <c r="I46" s="85"/>
      <c r="J46" s="70">
        <f>INDEX('PEER GROUP'!K:K,MATCH($A46,'PEER GROUP'!$A:$A,0))</f>
        <v>0</v>
      </c>
      <c r="K46" s="70">
        <f>INDEX('PEER GROUP'!L:L,MATCH($A46,'PEER GROUP'!$A:$A,0))</f>
        <v>0</v>
      </c>
      <c r="L46" s="81">
        <f>INDEX('PEER GROUP'!N:N,MATCH($A46,'PEER GROUP'!$A:$A,0))</f>
        <v>0</v>
      </c>
      <c r="M46" s="118"/>
      <c r="N46" s="115"/>
      <c r="O46" s="117"/>
      <c r="P46" s="87"/>
      <c r="Q46" s="87"/>
      <c r="R46" s="87">
        <f t="shared" si="8"/>
        <v>0</v>
      </c>
      <c r="S46" s="113">
        <f t="shared" si="6"/>
        <v>36.913096727263202</v>
      </c>
      <c r="T46" s="69">
        <f t="shared" si="9"/>
        <v>0</v>
      </c>
      <c r="U46" s="70">
        <f t="shared" si="10"/>
        <v>0</v>
      </c>
      <c r="V46" s="70">
        <f t="shared" si="11"/>
        <v>0</v>
      </c>
      <c r="W46" s="71">
        <f t="shared" si="12"/>
        <v>0</v>
      </c>
      <c r="X46" s="49"/>
      <c r="Y46" s="151"/>
      <c r="Z46" s="69"/>
      <c r="AA46" s="70"/>
      <c r="AB46" s="70"/>
      <c r="AC46" s="70" t="str">
        <f t="shared" si="13"/>
        <v>---</v>
      </c>
      <c r="AD46" s="70" t="str">
        <f>IFERROR(P46/#REF!-1,"---")</f>
        <v>---</v>
      </c>
      <c r="AE46" s="70" t="str">
        <f>IFERROR(#REF!/#REF!-1,"---")</f>
        <v>---</v>
      </c>
      <c r="AF46" s="70" t="str">
        <f>IFERROR(Q46/#REF!-1,"---")</f>
        <v>---</v>
      </c>
      <c r="AG46" s="70" t="str">
        <f>IFERROR(#REF!/#REF!-1,"---")</f>
        <v>---</v>
      </c>
      <c r="AH46" s="70" t="str">
        <f>IFERROR(#REF!/AA46-1,"---")</f>
        <v>---</v>
      </c>
      <c r="AI46" s="71" t="str">
        <f t="shared" si="14"/>
        <v>---</v>
      </c>
    </row>
    <row r="47" spans="1:35" ht="30" customHeight="1" x14ac:dyDescent="0.3">
      <c r="A47" s="123">
        <f t="shared" si="7"/>
        <v>42</v>
      </c>
      <c r="B47" s="140">
        <f>INDEX('PEER GROUP'!B:B,MATCH($A47,'PEER GROUP'!$A:$A,0))</f>
        <v>0</v>
      </c>
      <c r="C47" s="83">
        <f>INDEX('PEER GROUP'!C:C,MATCH($A47,'PEER GROUP'!$A:$A,0))</f>
        <v>0</v>
      </c>
      <c r="D47" s="83">
        <f>INDEX('PEER GROUP'!D:D,MATCH($A47,'PEER GROUP'!$A:$A,0))</f>
        <v>0</v>
      </c>
      <c r="E47" s="83">
        <f>INDEX('PEER GROUP'!E:E,MATCH(A47,'PEER GROUP'!$A:$A,0))</f>
        <v>0</v>
      </c>
      <c r="F47" s="84">
        <f>INDEX('PEER GROUP'!F:F,MATCH($A47,'PEER GROUP'!$A:$A,0))</f>
        <v>0</v>
      </c>
      <c r="G47" s="84">
        <f>INDEX('PEER GROUP'!G:G,MATCH($A47,'PEER GROUP'!$A:$A,0))</f>
        <v>0</v>
      </c>
      <c r="H47" s="85"/>
      <c r="I47" s="85"/>
      <c r="J47" s="70">
        <f>INDEX('PEER GROUP'!K:K,MATCH($A47,'PEER GROUP'!$A:$A,0))</f>
        <v>0</v>
      </c>
      <c r="K47" s="70">
        <f>INDEX('PEER GROUP'!L:L,MATCH($A47,'PEER GROUP'!$A:$A,0))</f>
        <v>0</v>
      </c>
      <c r="L47" s="81">
        <f>INDEX('PEER GROUP'!N:N,MATCH($A47,'PEER GROUP'!$A:$A,0))</f>
        <v>0</v>
      </c>
      <c r="M47" s="118"/>
      <c r="N47" s="115"/>
      <c r="O47" s="117"/>
      <c r="P47" s="87"/>
      <c r="Q47" s="87"/>
      <c r="R47" s="87">
        <f t="shared" si="8"/>
        <v>0</v>
      </c>
      <c r="S47" s="113">
        <f t="shared" si="6"/>
        <v>36.913096727263202</v>
      </c>
      <c r="T47" s="69">
        <f t="shared" si="9"/>
        <v>0</v>
      </c>
      <c r="U47" s="70">
        <f t="shared" si="10"/>
        <v>0</v>
      </c>
      <c r="V47" s="70">
        <f t="shared" si="11"/>
        <v>0</v>
      </c>
      <c r="W47" s="71">
        <f t="shared" si="12"/>
        <v>0</v>
      </c>
      <c r="X47" s="49"/>
      <c r="Y47" s="151"/>
      <c r="Z47" s="69"/>
      <c r="AA47" s="70"/>
      <c r="AB47" s="70"/>
      <c r="AC47" s="70" t="str">
        <f t="shared" si="13"/>
        <v>---</v>
      </c>
      <c r="AD47" s="70" t="str">
        <f>IFERROR(P47/#REF!-1,"---")</f>
        <v>---</v>
      </c>
      <c r="AE47" s="70" t="str">
        <f>IFERROR(#REF!/#REF!-1,"---")</f>
        <v>---</v>
      </c>
      <c r="AF47" s="70" t="str">
        <f>IFERROR(Q47/#REF!-1,"---")</f>
        <v>---</v>
      </c>
      <c r="AG47" s="70" t="str">
        <f>IFERROR(#REF!/#REF!-1,"---")</f>
        <v>---</v>
      </c>
      <c r="AH47" s="70" t="str">
        <f>IFERROR(#REF!/AA47-1,"---")</f>
        <v>---</v>
      </c>
      <c r="AI47" s="71" t="str">
        <f t="shared" si="14"/>
        <v>---</v>
      </c>
    </row>
    <row r="48" spans="1:35" ht="30" customHeight="1" x14ac:dyDescent="0.3">
      <c r="A48" s="123">
        <f t="shared" si="7"/>
        <v>43</v>
      </c>
      <c r="B48" s="140">
        <f>INDEX('PEER GROUP'!B:B,MATCH($A48,'PEER GROUP'!$A:$A,0))</f>
        <v>0</v>
      </c>
      <c r="C48" s="83">
        <f>INDEX('PEER GROUP'!C:C,MATCH($A48,'PEER GROUP'!$A:$A,0))</f>
        <v>0</v>
      </c>
      <c r="D48" s="83">
        <f>INDEX('PEER GROUP'!D:D,MATCH($A48,'PEER GROUP'!$A:$A,0))</f>
        <v>0</v>
      </c>
      <c r="E48" s="83">
        <f>INDEX('PEER GROUP'!E:E,MATCH(A48,'PEER GROUP'!$A:$A,0))</f>
        <v>0</v>
      </c>
      <c r="F48" s="84">
        <f>INDEX('PEER GROUP'!F:F,MATCH($A48,'PEER GROUP'!$A:$A,0))</f>
        <v>0</v>
      </c>
      <c r="G48" s="84">
        <f>INDEX('PEER GROUP'!G:G,MATCH($A48,'PEER GROUP'!$A:$A,0))</f>
        <v>0</v>
      </c>
      <c r="H48" s="85"/>
      <c r="I48" s="85"/>
      <c r="J48" s="70">
        <f>INDEX('PEER GROUP'!K:K,MATCH($A48,'PEER GROUP'!$A:$A,0))</f>
        <v>0</v>
      </c>
      <c r="K48" s="70">
        <f>INDEX('PEER GROUP'!L:L,MATCH($A48,'PEER GROUP'!$A:$A,0))</f>
        <v>0</v>
      </c>
      <c r="L48" s="81">
        <f>INDEX('PEER GROUP'!N:N,MATCH($A48,'PEER GROUP'!$A:$A,0))</f>
        <v>0</v>
      </c>
      <c r="M48" s="118"/>
      <c r="N48" s="115"/>
      <c r="O48" s="117"/>
      <c r="P48" s="87"/>
      <c r="Q48" s="87"/>
      <c r="R48" s="87">
        <f t="shared" si="8"/>
        <v>0</v>
      </c>
      <c r="S48" s="113">
        <f t="shared" si="6"/>
        <v>36.913096727263202</v>
      </c>
      <c r="T48" s="69">
        <f t="shared" si="9"/>
        <v>0</v>
      </c>
      <c r="U48" s="70">
        <f t="shared" si="10"/>
        <v>0</v>
      </c>
      <c r="V48" s="70">
        <f t="shared" si="11"/>
        <v>0</v>
      </c>
      <c r="W48" s="71">
        <f t="shared" si="12"/>
        <v>0</v>
      </c>
      <c r="X48" s="49"/>
      <c r="Y48" s="151"/>
      <c r="Z48" s="69"/>
      <c r="AA48" s="70"/>
      <c r="AB48" s="70"/>
      <c r="AC48" s="70" t="str">
        <f t="shared" si="13"/>
        <v>---</v>
      </c>
      <c r="AD48" s="70" t="str">
        <f>IFERROR(P48/#REF!-1,"---")</f>
        <v>---</v>
      </c>
      <c r="AE48" s="70" t="str">
        <f>IFERROR(#REF!/#REF!-1,"---")</f>
        <v>---</v>
      </c>
      <c r="AF48" s="70" t="str">
        <f>IFERROR(Q48/#REF!-1,"---")</f>
        <v>---</v>
      </c>
      <c r="AG48" s="70" t="str">
        <f>IFERROR(#REF!/#REF!-1,"---")</f>
        <v>---</v>
      </c>
      <c r="AH48" s="70" t="str">
        <f>IFERROR(#REF!/AA48-1,"---")</f>
        <v>---</v>
      </c>
      <c r="AI48" s="71" t="str">
        <f t="shared" si="14"/>
        <v>---</v>
      </c>
    </row>
    <row r="49" spans="1:35" ht="30" customHeight="1" x14ac:dyDescent="0.3">
      <c r="A49" s="123">
        <f t="shared" si="7"/>
        <v>44</v>
      </c>
      <c r="B49" s="140">
        <f>INDEX('PEER GROUP'!B:B,MATCH($A49,'PEER GROUP'!$A:$A,0))</f>
        <v>0</v>
      </c>
      <c r="C49" s="83">
        <f>INDEX('PEER GROUP'!C:C,MATCH($A49,'PEER GROUP'!$A:$A,0))</f>
        <v>0</v>
      </c>
      <c r="D49" s="83">
        <f>INDEX('PEER GROUP'!D:D,MATCH($A49,'PEER GROUP'!$A:$A,0))</f>
        <v>0</v>
      </c>
      <c r="E49" s="83">
        <f>INDEX('PEER GROUP'!E:E,MATCH(A49,'PEER GROUP'!$A:$A,0))</f>
        <v>0</v>
      </c>
      <c r="F49" s="84">
        <f>INDEX('PEER GROUP'!F:F,MATCH($A49,'PEER GROUP'!$A:$A,0))</f>
        <v>0</v>
      </c>
      <c r="G49" s="84">
        <f>INDEX('PEER GROUP'!G:G,MATCH($A49,'PEER GROUP'!$A:$A,0))</f>
        <v>0</v>
      </c>
      <c r="H49" s="85"/>
      <c r="I49" s="85"/>
      <c r="J49" s="70">
        <f>INDEX('PEER GROUP'!K:K,MATCH($A49,'PEER GROUP'!$A:$A,0))</f>
        <v>0</v>
      </c>
      <c r="K49" s="70">
        <f>INDEX('PEER GROUP'!L:L,MATCH($A49,'PEER GROUP'!$A:$A,0))</f>
        <v>0</v>
      </c>
      <c r="L49" s="81">
        <f>INDEX('PEER GROUP'!N:N,MATCH($A49,'PEER GROUP'!$A:$A,0))</f>
        <v>0</v>
      </c>
      <c r="M49" s="118"/>
      <c r="N49" s="115"/>
      <c r="O49" s="117"/>
      <c r="P49" s="87"/>
      <c r="Q49" s="87"/>
      <c r="R49" s="87">
        <f t="shared" si="8"/>
        <v>0</v>
      </c>
      <c r="S49" s="113">
        <f t="shared" si="6"/>
        <v>36.913096727263202</v>
      </c>
      <c r="T49" s="69">
        <f t="shared" si="9"/>
        <v>0</v>
      </c>
      <c r="U49" s="70">
        <f t="shared" si="10"/>
        <v>0</v>
      </c>
      <c r="V49" s="70">
        <f t="shared" si="11"/>
        <v>0</v>
      </c>
      <c r="W49" s="71">
        <f t="shared" si="12"/>
        <v>0</v>
      </c>
      <c r="X49" s="49"/>
      <c r="Y49" s="151"/>
      <c r="Z49" s="69"/>
      <c r="AA49" s="70"/>
      <c r="AB49" s="70"/>
      <c r="AC49" s="70" t="str">
        <f t="shared" si="13"/>
        <v>---</v>
      </c>
      <c r="AD49" s="70" t="str">
        <f>IFERROR(P49/#REF!-1,"---")</f>
        <v>---</v>
      </c>
      <c r="AE49" s="70" t="str">
        <f>IFERROR(#REF!/#REF!-1,"---")</f>
        <v>---</v>
      </c>
      <c r="AF49" s="70" t="str">
        <f>IFERROR(Q49/#REF!-1,"---")</f>
        <v>---</v>
      </c>
      <c r="AG49" s="70" t="str">
        <f>IFERROR(#REF!/#REF!-1,"---")</f>
        <v>---</v>
      </c>
      <c r="AH49" s="70" t="str">
        <f>IFERROR(#REF!/AA49-1,"---")</f>
        <v>---</v>
      </c>
      <c r="AI49" s="71" t="str">
        <f t="shared" si="14"/>
        <v>---</v>
      </c>
    </row>
    <row r="50" spans="1:35" ht="30" customHeight="1" x14ac:dyDescent="0.3">
      <c r="A50" s="123">
        <f t="shared" si="7"/>
        <v>45</v>
      </c>
      <c r="B50" s="140">
        <f>INDEX('PEER GROUP'!B:B,MATCH($A50,'PEER GROUP'!$A:$A,0))</f>
        <v>0</v>
      </c>
      <c r="C50" s="83">
        <f>INDEX('PEER GROUP'!C:C,MATCH($A50,'PEER GROUP'!$A:$A,0))</f>
        <v>0</v>
      </c>
      <c r="D50" s="83">
        <f>INDEX('PEER GROUP'!D:D,MATCH($A50,'PEER GROUP'!$A:$A,0))</f>
        <v>0</v>
      </c>
      <c r="E50" s="83">
        <f>INDEX('PEER GROUP'!E:E,MATCH(A50,'PEER GROUP'!$A:$A,0))</f>
        <v>0</v>
      </c>
      <c r="F50" s="84">
        <f>INDEX('PEER GROUP'!F:F,MATCH($A50,'PEER GROUP'!$A:$A,0))</f>
        <v>0</v>
      </c>
      <c r="G50" s="84">
        <f>INDEX('PEER GROUP'!G:G,MATCH($A50,'PEER GROUP'!$A:$A,0))</f>
        <v>0</v>
      </c>
      <c r="H50" s="85"/>
      <c r="I50" s="85"/>
      <c r="J50" s="70">
        <f>INDEX('PEER GROUP'!K:K,MATCH($A50,'PEER GROUP'!$A:$A,0))</f>
        <v>0</v>
      </c>
      <c r="K50" s="70">
        <f>INDEX('PEER GROUP'!L:L,MATCH($A50,'PEER GROUP'!$A:$A,0))</f>
        <v>0</v>
      </c>
      <c r="L50" s="81">
        <f>INDEX('PEER GROUP'!N:N,MATCH($A50,'PEER GROUP'!$A:$A,0))</f>
        <v>0</v>
      </c>
      <c r="M50" s="118"/>
      <c r="N50" s="115"/>
      <c r="O50" s="117"/>
      <c r="P50" s="87"/>
      <c r="Q50" s="87"/>
      <c r="R50" s="87">
        <f t="shared" si="8"/>
        <v>0</v>
      </c>
      <c r="S50" s="113">
        <f t="shared" si="6"/>
        <v>36.913096727263202</v>
      </c>
      <c r="T50" s="69">
        <f t="shared" si="9"/>
        <v>0</v>
      </c>
      <c r="U50" s="70">
        <f t="shared" si="10"/>
        <v>0</v>
      </c>
      <c r="V50" s="70">
        <f t="shared" si="11"/>
        <v>0</v>
      </c>
      <c r="W50" s="71">
        <f t="shared" si="12"/>
        <v>0</v>
      </c>
      <c r="X50" s="49"/>
      <c r="Y50" s="151"/>
      <c r="Z50" s="69"/>
      <c r="AA50" s="70"/>
      <c r="AB50" s="70"/>
      <c r="AC50" s="70" t="str">
        <f t="shared" si="13"/>
        <v>---</v>
      </c>
      <c r="AD50" s="70" t="str">
        <f>IFERROR(P50/#REF!-1,"---")</f>
        <v>---</v>
      </c>
      <c r="AE50" s="70" t="str">
        <f>IFERROR(#REF!/#REF!-1,"---")</f>
        <v>---</v>
      </c>
      <c r="AF50" s="70" t="str">
        <f>IFERROR(Q50/#REF!-1,"---")</f>
        <v>---</v>
      </c>
      <c r="AG50" s="70" t="str">
        <f>IFERROR(#REF!/#REF!-1,"---")</f>
        <v>---</v>
      </c>
      <c r="AH50" s="70" t="str">
        <f>IFERROR(#REF!/AA50-1,"---")</f>
        <v>---</v>
      </c>
      <c r="AI50" s="71" t="str">
        <f t="shared" si="14"/>
        <v>---</v>
      </c>
    </row>
    <row r="51" spans="1:35" ht="30" customHeight="1" x14ac:dyDescent="0.3">
      <c r="A51" s="123">
        <f t="shared" si="7"/>
        <v>46</v>
      </c>
      <c r="B51" s="140">
        <f>INDEX('PEER GROUP'!B:B,MATCH($A51,'PEER GROUP'!$A:$A,0))</f>
        <v>0</v>
      </c>
      <c r="C51" s="83">
        <f>INDEX('PEER GROUP'!C:C,MATCH($A51,'PEER GROUP'!$A:$A,0))</f>
        <v>0</v>
      </c>
      <c r="D51" s="83">
        <f>INDEX('PEER GROUP'!D:D,MATCH($A51,'PEER GROUP'!$A:$A,0))</f>
        <v>0</v>
      </c>
      <c r="E51" s="83">
        <f>INDEX('PEER GROUP'!E:E,MATCH(A51,'PEER GROUP'!$A:$A,0))</f>
        <v>0</v>
      </c>
      <c r="F51" s="84">
        <f>INDEX('PEER GROUP'!F:F,MATCH($A51,'PEER GROUP'!$A:$A,0))</f>
        <v>0</v>
      </c>
      <c r="G51" s="84">
        <f>INDEX('PEER GROUP'!G:G,MATCH($A51,'PEER GROUP'!$A:$A,0))</f>
        <v>0</v>
      </c>
      <c r="H51" s="85"/>
      <c r="I51" s="85"/>
      <c r="J51" s="70">
        <f>INDEX('PEER GROUP'!K:K,MATCH($A51,'PEER GROUP'!$A:$A,0))</f>
        <v>0</v>
      </c>
      <c r="K51" s="70">
        <f>INDEX('PEER GROUP'!L:L,MATCH($A51,'PEER GROUP'!$A:$A,0))</f>
        <v>0</v>
      </c>
      <c r="L51" s="81">
        <f>INDEX('PEER GROUP'!N:N,MATCH($A51,'PEER GROUP'!$A:$A,0))</f>
        <v>0</v>
      </c>
      <c r="M51" s="118"/>
      <c r="N51" s="115"/>
      <c r="O51" s="117"/>
      <c r="P51" s="87"/>
      <c r="Q51" s="87"/>
      <c r="R51" s="87">
        <f t="shared" si="8"/>
        <v>0</v>
      </c>
      <c r="S51" s="113">
        <f t="shared" si="6"/>
        <v>36.913096727263202</v>
      </c>
      <c r="T51" s="69">
        <f t="shared" si="9"/>
        <v>0</v>
      </c>
      <c r="U51" s="70">
        <f t="shared" si="10"/>
        <v>0</v>
      </c>
      <c r="V51" s="70">
        <f t="shared" si="11"/>
        <v>0</v>
      </c>
      <c r="W51" s="71">
        <f t="shared" si="12"/>
        <v>0</v>
      </c>
      <c r="X51" s="49"/>
      <c r="Y51" s="151"/>
      <c r="Z51" s="69"/>
      <c r="AA51" s="70"/>
      <c r="AB51" s="70"/>
      <c r="AC51" s="70" t="str">
        <f t="shared" si="13"/>
        <v>---</v>
      </c>
      <c r="AD51" s="70" t="str">
        <f>IFERROR(P51/#REF!-1,"---")</f>
        <v>---</v>
      </c>
      <c r="AE51" s="70" t="str">
        <f>IFERROR(#REF!/#REF!-1,"---")</f>
        <v>---</v>
      </c>
      <c r="AF51" s="70" t="str">
        <f>IFERROR(Q51/#REF!-1,"---")</f>
        <v>---</v>
      </c>
      <c r="AG51" s="70" t="str">
        <f>IFERROR(#REF!/#REF!-1,"---")</f>
        <v>---</v>
      </c>
      <c r="AH51" s="70" t="str">
        <f>IFERROR(#REF!/AA51-1,"---")</f>
        <v>---</v>
      </c>
      <c r="AI51" s="71" t="str">
        <f t="shared" si="14"/>
        <v>---</v>
      </c>
    </row>
    <row r="52" spans="1:35" ht="30" customHeight="1" x14ac:dyDescent="0.3">
      <c r="A52" s="123">
        <f t="shared" si="7"/>
        <v>47</v>
      </c>
      <c r="B52" s="140">
        <f>INDEX('PEER GROUP'!B:B,MATCH($A52,'PEER GROUP'!$A:$A,0))</f>
        <v>0</v>
      </c>
      <c r="C52" s="83">
        <f>INDEX('PEER GROUP'!C:C,MATCH($A52,'PEER GROUP'!$A:$A,0))</f>
        <v>0</v>
      </c>
      <c r="D52" s="83">
        <f>INDEX('PEER GROUP'!D:D,MATCH($A52,'PEER GROUP'!$A:$A,0))</f>
        <v>0</v>
      </c>
      <c r="E52" s="83">
        <f>INDEX('PEER GROUP'!E:E,MATCH(A52,'PEER GROUP'!$A:$A,0))</f>
        <v>0</v>
      </c>
      <c r="F52" s="84">
        <f>INDEX('PEER GROUP'!F:F,MATCH($A52,'PEER GROUP'!$A:$A,0))</f>
        <v>0</v>
      </c>
      <c r="G52" s="84">
        <f>INDEX('PEER GROUP'!G:G,MATCH($A52,'PEER GROUP'!$A:$A,0))</f>
        <v>0</v>
      </c>
      <c r="H52" s="85"/>
      <c r="I52" s="85"/>
      <c r="J52" s="70">
        <f>INDEX('PEER GROUP'!K:K,MATCH($A52,'PEER GROUP'!$A:$A,0))</f>
        <v>0</v>
      </c>
      <c r="K52" s="70">
        <f>INDEX('PEER GROUP'!L:L,MATCH($A52,'PEER GROUP'!$A:$A,0))</f>
        <v>0</v>
      </c>
      <c r="L52" s="81">
        <f>INDEX('PEER GROUP'!N:N,MATCH($A52,'PEER GROUP'!$A:$A,0))</f>
        <v>0</v>
      </c>
      <c r="M52" s="118"/>
      <c r="N52" s="115"/>
      <c r="O52" s="117"/>
      <c r="P52" s="87"/>
      <c r="Q52" s="87"/>
      <c r="R52" s="87">
        <f t="shared" si="8"/>
        <v>0</v>
      </c>
      <c r="S52" s="113">
        <f t="shared" si="6"/>
        <v>36.913096727263202</v>
      </c>
      <c r="T52" s="69">
        <f t="shared" si="9"/>
        <v>0</v>
      </c>
      <c r="U52" s="70">
        <f t="shared" si="10"/>
        <v>0</v>
      </c>
      <c r="V52" s="70">
        <f t="shared" si="11"/>
        <v>0</v>
      </c>
      <c r="W52" s="71">
        <f t="shared" si="12"/>
        <v>0</v>
      </c>
      <c r="X52" s="49"/>
      <c r="Y52" s="151"/>
      <c r="Z52" s="69"/>
      <c r="AA52" s="70"/>
      <c r="AB52" s="70"/>
      <c r="AC52" s="70" t="str">
        <f t="shared" si="13"/>
        <v>---</v>
      </c>
      <c r="AD52" s="70" t="str">
        <f>IFERROR(P52/#REF!-1,"---")</f>
        <v>---</v>
      </c>
      <c r="AE52" s="70" t="str">
        <f>IFERROR(#REF!/#REF!-1,"---")</f>
        <v>---</v>
      </c>
      <c r="AF52" s="70" t="str">
        <f>IFERROR(Q52/#REF!-1,"---")</f>
        <v>---</v>
      </c>
      <c r="AG52" s="70" t="str">
        <f>IFERROR(#REF!/#REF!-1,"---")</f>
        <v>---</v>
      </c>
      <c r="AH52" s="70" t="str">
        <f>IFERROR(#REF!/AA52-1,"---")</f>
        <v>---</v>
      </c>
      <c r="AI52" s="71" t="str">
        <f t="shared" si="14"/>
        <v>---</v>
      </c>
    </row>
    <row r="53" spans="1:35" ht="30" customHeight="1" x14ac:dyDescent="0.3">
      <c r="A53" s="123">
        <f t="shared" si="7"/>
        <v>48</v>
      </c>
      <c r="B53" s="140">
        <f>INDEX('PEER GROUP'!B:B,MATCH($A53,'PEER GROUP'!$A:$A,0))</f>
        <v>0</v>
      </c>
      <c r="C53" s="83">
        <f>INDEX('PEER GROUP'!C:C,MATCH($A53,'PEER GROUP'!$A:$A,0))</f>
        <v>0</v>
      </c>
      <c r="D53" s="83">
        <f>INDEX('PEER GROUP'!D:D,MATCH($A53,'PEER GROUP'!$A:$A,0))</f>
        <v>0</v>
      </c>
      <c r="E53" s="83">
        <f>INDEX('PEER GROUP'!E:E,MATCH(A53,'PEER GROUP'!$A:$A,0))</f>
        <v>0</v>
      </c>
      <c r="F53" s="84">
        <f>INDEX('PEER GROUP'!F:F,MATCH($A53,'PEER GROUP'!$A:$A,0))</f>
        <v>0</v>
      </c>
      <c r="G53" s="84">
        <f>INDEX('PEER GROUP'!G:G,MATCH($A53,'PEER GROUP'!$A:$A,0))</f>
        <v>0</v>
      </c>
      <c r="H53" s="85"/>
      <c r="I53" s="85"/>
      <c r="J53" s="70">
        <f>INDEX('PEER GROUP'!K:K,MATCH($A53,'PEER GROUP'!$A:$A,0))</f>
        <v>0</v>
      </c>
      <c r="K53" s="70">
        <f>INDEX('PEER GROUP'!L:L,MATCH($A53,'PEER GROUP'!$A:$A,0))</f>
        <v>0</v>
      </c>
      <c r="L53" s="81">
        <f>INDEX('PEER GROUP'!N:N,MATCH($A53,'PEER GROUP'!$A:$A,0))</f>
        <v>0</v>
      </c>
      <c r="M53" s="118"/>
      <c r="N53" s="115"/>
      <c r="O53" s="117"/>
      <c r="P53" s="87"/>
      <c r="Q53" s="87"/>
      <c r="R53" s="87">
        <f t="shared" si="8"/>
        <v>0</v>
      </c>
      <c r="S53" s="113">
        <f t="shared" si="6"/>
        <v>36.913096727263202</v>
      </c>
      <c r="T53" s="69">
        <f t="shared" si="9"/>
        <v>0</v>
      </c>
      <c r="U53" s="70">
        <f t="shared" si="10"/>
        <v>0</v>
      </c>
      <c r="V53" s="70">
        <f t="shared" si="11"/>
        <v>0</v>
      </c>
      <c r="W53" s="71">
        <f t="shared" si="12"/>
        <v>0</v>
      </c>
      <c r="X53" s="49"/>
      <c r="Y53" s="151"/>
      <c r="Z53" s="69"/>
      <c r="AA53" s="70"/>
      <c r="AB53" s="70"/>
      <c r="AC53" s="70" t="str">
        <f t="shared" si="13"/>
        <v>---</v>
      </c>
      <c r="AD53" s="70" t="str">
        <f>IFERROR(P53/#REF!-1,"---")</f>
        <v>---</v>
      </c>
      <c r="AE53" s="70" t="str">
        <f>IFERROR(#REF!/#REF!-1,"---")</f>
        <v>---</v>
      </c>
      <c r="AF53" s="70" t="str">
        <f>IFERROR(Q53/#REF!-1,"---")</f>
        <v>---</v>
      </c>
      <c r="AG53" s="70" t="str">
        <f>IFERROR(#REF!/#REF!-1,"---")</f>
        <v>---</v>
      </c>
      <c r="AH53" s="70" t="str">
        <f>IFERROR(#REF!/AA53-1,"---")</f>
        <v>---</v>
      </c>
      <c r="AI53" s="71" t="str">
        <f t="shared" si="14"/>
        <v>---</v>
      </c>
    </row>
    <row r="54" spans="1:35" ht="30" customHeight="1" x14ac:dyDescent="0.3">
      <c r="A54" s="123">
        <f t="shared" si="7"/>
        <v>49</v>
      </c>
      <c r="B54" s="140">
        <f>INDEX('PEER GROUP'!B:B,MATCH($A54,'PEER GROUP'!$A:$A,0))</f>
        <v>0</v>
      </c>
      <c r="C54" s="83">
        <f>INDEX('PEER GROUP'!C:C,MATCH($A54,'PEER GROUP'!$A:$A,0))</f>
        <v>0</v>
      </c>
      <c r="D54" s="83">
        <f>INDEX('PEER GROUP'!D:D,MATCH($A54,'PEER GROUP'!$A:$A,0))</f>
        <v>0</v>
      </c>
      <c r="E54" s="83">
        <f>INDEX('PEER GROUP'!E:E,MATCH(A54,'PEER GROUP'!$A:$A,0))</f>
        <v>0</v>
      </c>
      <c r="F54" s="84">
        <f>INDEX('PEER GROUP'!F:F,MATCH($A54,'PEER GROUP'!$A:$A,0))</f>
        <v>0</v>
      </c>
      <c r="G54" s="84">
        <f>INDEX('PEER GROUP'!G:G,MATCH($A54,'PEER GROUP'!$A:$A,0))</f>
        <v>0</v>
      </c>
      <c r="H54" s="85"/>
      <c r="I54" s="85"/>
      <c r="J54" s="70">
        <f>INDEX('PEER GROUP'!K:K,MATCH($A54,'PEER GROUP'!$A:$A,0))</f>
        <v>0</v>
      </c>
      <c r="K54" s="70">
        <f>INDEX('PEER GROUP'!L:L,MATCH($A54,'PEER GROUP'!$A:$A,0))</f>
        <v>0</v>
      </c>
      <c r="L54" s="81">
        <f>INDEX('PEER GROUP'!N:N,MATCH($A54,'PEER GROUP'!$A:$A,0))</f>
        <v>0</v>
      </c>
      <c r="M54" s="118"/>
      <c r="N54" s="115"/>
      <c r="O54" s="117"/>
      <c r="P54" s="87"/>
      <c r="Q54" s="87"/>
      <c r="R54" s="87">
        <f t="shared" si="8"/>
        <v>0</v>
      </c>
      <c r="S54" s="113">
        <f t="shared" si="6"/>
        <v>36.913096727263202</v>
      </c>
      <c r="T54" s="69">
        <f t="shared" si="9"/>
        <v>0</v>
      </c>
      <c r="U54" s="70">
        <f t="shared" si="10"/>
        <v>0</v>
      </c>
      <c r="V54" s="70">
        <f t="shared" si="11"/>
        <v>0</v>
      </c>
      <c r="W54" s="71">
        <f t="shared" si="12"/>
        <v>0</v>
      </c>
      <c r="X54" s="49"/>
      <c r="Y54" s="151"/>
      <c r="Z54" s="69"/>
      <c r="AA54" s="70"/>
      <c r="AB54" s="70"/>
      <c r="AC54" s="70" t="str">
        <f t="shared" si="13"/>
        <v>---</v>
      </c>
      <c r="AD54" s="70" t="str">
        <f>IFERROR(P54/#REF!-1,"---")</f>
        <v>---</v>
      </c>
      <c r="AE54" s="70" t="str">
        <f>IFERROR(#REF!/#REF!-1,"---")</f>
        <v>---</v>
      </c>
      <c r="AF54" s="70" t="str">
        <f>IFERROR(Q54/#REF!-1,"---")</f>
        <v>---</v>
      </c>
      <c r="AG54" s="70" t="str">
        <f>IFERROR(#REF!/#REF!-1,"---")</f>
        <v>---</v>
      </c>
      <c r="AH54" s="70" t="str">
        <f>IFERROR(#REF!/AA54-1,"---")</f>
        <v>---</v>
      </c>
      <c r="AI54" s="71" t="str">
        <f t="shared" si="14"/>
        <v>---</v>
      </c>
    </row>
    <row r="55" spans="1:35" ht="30" customHeight="1" x14ac:dyDescent="0.3">
      <c r="A55" s="123">
        <f t="shared" si="7"/>
        <v>50</v>
      </c>
      <c r="B55" s="140">
        <f>INDEX('PEER GROUP'!B:B,MATCH($A55,'PEER GROUP'!$A:$A,0))</f>
        <v>0</v>
      </c>
      <c r="C55" s="83">
        <f>INDEX('PEER GROUP'!C:C,MATCH($A55,'PEER GROUP'!$A:$A,0))</f>
        <v>0</v>
      </c>
      <c r="D55" s="83">
        <f>INDEX('PEER GROUP'!D:D,MATCH($A55,'PEER GROUP'!$A:$A,0))</f>
        <v>0</v>
      </c>
      <c r="E55" s="83">
        <f>INDEX('PEER GROUP'!E:E,MATCH(A55,'PEER GROUP'!$A:$A,0))</f>
        <v>0</v>
      </c>
      <c r="F55" s="84">
        <f>INDEX('PEER GROUP'!F:F,MATCH($A55,'PEER GROUP'!$A:$A,0))</f>
        <v>0</v>
      </c>
      <c r="G55" s="84">
        <f>INDEX('PEER GROUP'!G:G,MATCH($A55,'PEER GROUP'!$A:$A,0))</f>
        <v>0</v>
      </c>
      <c r="H55" s="85"/>
      <c r="I55" s="85"/>
      <c r="J55" s="70">
        <f>INDEX('PEER GROUP'!K:K,MATCH($A55,'PEER GROUP'!$A:$A,0))</f>
        <v>0</v>
      </c>
      <c r="K55" s="70">
        <f>INDEX('PEER GROUP'!L:L,MATCH($A55,'PEER GROUP'!$A:$A,0))</f>
        <v>0</v>
      </c>
      <c r="L55" s="81">
        <f>INDEX('PEER GROUP'!N:N,MATCH($A55,'PEER GROUP'!$A:$A,0))</f>
        <v>0</v>
      </c>
      <c r="M55" s="118"/>
      <c r="N55" s="115"/>
      <c r="O55" s="117"/>
      <c r="P55" s="87"/>
      <c r="Q55" s="87"/>
      <c r="R55" s="87">
        <f t="shared" si="8"/>
        <v>0</v>
      </c>
      <c r="S55" s="113">
        <f t="shared" si="6"/>
        <v>36.913096727263202</v>
      </c>
      <c r="T55" s="69">
        <f t="shared" si="9"/>
        <v>0</v>
      </c>
      <c r="U55" s="70">
        <f t="shared" si="10"/>
        <v>0</v>
      </c>
      <c r="V55" s="70">
        <f t="shared" si="11"/>
        <v>0</v>
      </c>
      <c r="W55" s="71">
        <f t="shared" si="12"/>
        <v>0</v>
      </c>
      <c r="X55" s="49"/>
      <c r="Y55" s="151"/>
      <c r="Z55" s="69"/>
      <c r="AA55" s="70"/>
      <c r="AB55" s="70"/>
      <c r="AC55" s="70" t="str">
        <f t="shared" si="13"/>
        <v>---</v>
      </c>
      <c r="AD55" s="70" t="str">
        <f>IFERROR(P55/#REF!-1,"---")</f>
        <v>---</v>
      </c>
      <c r="AE55" s="70" t="str">
        <f>IFERROR(#REF!/#REF!-1,"---")</f>
        <v>---</v>
      </c>
      <c r="AF55" s="70" t="str">
        <f>IFERROR(Q55/#REF!-1,"---")</f>
        <v>---</v>
      </c>
      <c r="AG55" s="70" t="str">
        <f>IFERROR(#REF!/#REF!-1,"---")</f>
        <v>---</v>
      </c>
      <c r="AH55" s="70" t="str">
        <f>IFERROR(#REF!/AA55-1,"---")</f>
        <v>---</v>
      </c>
      <c r="AI55" s="71" t="str">
        <f t="shared" si="14"/>
        <v>---</v>
      </c>
    </row>
    <row r="56" spans="1:35" ht="30" customHeight="1" x14ac:dyDescent="0.3">
      <c r="A56" s="123">
        <f t="shared" si="7"/>
        <v>51</v>
      </c>
      <c r="B56" s="140">
        <f>INDEX('PEER GROUP'!B:B,MATCH($A56,'PEER GROUP'!$A:$A,0))</f>
        <v>0</v>
      </c>
      <c r="C56" s="83">
        <f>INDEX('PEER GROUP'!C:C,MATCH($A56,'PEER GROUP'!$A:$A,0))</f>
        <v>0</v>
      </c>
      <c r="D56" s="83">
        <f>INDEX('PEER GROUP'!D:D,MATCH($A56,'PEER GROUP'!$A:$A,0))</f>
        <v>0</v>
      </c>
      <c r="E56" s="83">
        <f>INDEX('PEER GROUP'!E:E,MATCH(A56,'PEER GROUP'!$A:$A,0))</f>
        <v>0</v>
      </c>
      <c r="F56" s="84">
        <f>INDEX('PEER GROUP'!F:F,MATCH($A56,'PEER GROUP'!$A:$A,0))</f>
        <v>0</v>
      </c>
      <c r="G56" s="84">
        <f>INDEX('PEER GROUP'!G:G,MATCH($A56,'PEER GROUP'!$A:$A,0))</f>
        <v>0</v>
      </c>
      <c r="H56" s="85"/>
      <c r="I56" s="85"/>
      <c r="J56" s="70">
        <f>INDEX('PEER GROUP'!K:K,MATCH($A56,'PEER GROUP'!$A:$A,0))</f>
        <v>0</v>
      </c>
      <c r="K56" s="70">
        <f>INDEX('PEER GROUP'!L:L,MATCH($A56,'PEER GROUP'!$A:$A,0))</f>
        <v>0</v>
      </c>
      <c r="L56" s="81">
        <f>INDEX('PEER GROUP'!N:N,MATCH($A56,'PEER GROUP'!$A:$A,0))</f>
        <v>0</v>
      </c>
      <c r="M56" s="118"/>
      <c r="N56" s="115"/>
      <c r="O56" s="117"/>
      <c r="P56" s="87"/>
      <c r="Q56" s="87"/>
      <c r="R56" s="87">
        <f t="shared" si="8"/>
        <v>0</v>
      </c>
      <c r="S56" s="113">
        <f t="shared" si="6"/>
        <v>36.913096727263202</v>
      </c>
      <c r="T56" s="69">
        <f t="shared" si="9"/>
        <v>0</v>
      </c>
      <c r="U56" s="70">
        <f t="shared" si="10"/>
        <v>0</v>
      </c>
      <c r="V56" s="70">
        <f t="shared" si="11"/>
        <v>0</v>
      </c>
      <c r="W56" s="71">
        <f t="shared" si="12"/>
        <v>0</v>
      </c>
      <c r="X56" s="49"/>
      <c r="Y56" s="151"/>
      <c r="Z56" s="69"/>
      <c r="AA56" s="70"/>
      <c r="AB56" s="70"/>
      <c r="AC56" s="70" t="str">
        <f t="shared" si="13"/>
        <v>---</v>
      </c>
      <c r="AD56" s="70" t="str">
        <f>IFERROR(P56/#REF!-1,"---")</f>
        <v>---</v>
      </c>
      <c r="AE56" s="70" t="str">
        <f>IFERROR(#REF!/#REF!-1,"---")</f>
        <v>---</v>
      </c>
      <c r="AF56" s="70" t="str">
        <f>IFERROR(Q56/#REF!-1,"---")</f>
        <v>---</v>
      </c>
      <c r="AG56" s="70" t="str">
        <f>IFERROR(#REF!/#REF!-1,"---")</f>
        <v>---</v>
      </c>
      <c r="AH56" s="70" t="str">
        <f>IFERROR(#REF!/AA56-1,"---")</f>
        <v>---</v>
      </c>
      <c r="AI56" s="71" t="str">
        <f t="shared" si="14"/>
        <v>---</v>
      </c>
    </row>
    <row r="57" spans="1:35" ht="30" customHeight="1" x14ac:dyDescent="0.3">
      <c r="A57" s="123">
        <f t="shared" si="7"/>
        <v>52</v>
      </c>
      <c r="B57" s="140">
        <f>INDEX('PEER GROUP'!B:B,MATCH($A57,'PEER GROUP'!$A:$A,0))</f>
        <v>0</v>
      </c>
      <c r="C57" s="83">
        <f>INDEX('PEER GROUP'!C:C,MATCH($A57,'PEER GROUP'!$A:$A,0))</f>
        <v>0</v>
      </c>
      <c r="D57" s="83">
        <f>INDEX('PEER GROUP'!D:D,MATCH($A57,'PEER GROUP'!$A:$A,0))</f>
        <v>0</v>
      </c>
      <c r="E57" s="83">
        <f>INDEX('PEER GROUP'!E:E,MATCH(A57,'PEER GROUP'!$A:$A,0))</f>
        <v>0</v>
      </c>
      <c r="F57" s="84">
        <f>INDEX('PEER GROUP'!F:F,MATCH($A57,'PEER GROUP'!$A:$A,0))</f>
        <v>0</v>
      </c>
      <c r="G57" s="84">
        <f>INDEX('PEER GROUP'!G:G,MATCH($A57,'PEER GROUP'!$A:$A,0))</f>
        <v>0</v>
      </c>
      <c r="H57" s="85"/>
      <c r="I57" s="85"/>
      <c r="J57" s="70">
        <f>INDEX('PEER GROUP'!K:K,MATCH($A57,'PEER GROUP'!$A:$A,0))</f>
        <v>0</v>
      </c>
      <c r="K57" s="70">
        <f>INDEX('PEER GROUP'!L:L,MATCH($A57,'PEER GROUP'!$A:$A,0))</f>
        <v>0</v>
      </c>
      <c r="L57" s="81">
        <f>INDEX('PEER GROUP'!N:N,MATCH($A57,'PEER GROUP'!$A:$A,0))</f>
        <v>0</v>
      </c>
      <c r="M57" s="118"/>
      <c r="N57" s="115"/>
      <c r="O57" s="117"/>
      <c r="P57" s="87"/>
      <c r="Q57" s="87"/>
      <c r="R57" s="87">
        <f t="shared" si="8"/>
        <v>0</v>
      </c>
      <c r="S57" s="113">
        <f t="shared" si="6"/>
        <v>36.913096727263202</v>
      </c>
      <c r="T57" s="69">
        <f t="shared" si="9"/>
        <v>0</v>
      </c>
      <c r="U57" s="70">
        <f t="shared" si="10"/>
        <v>0</v>
      </c>
      <c r="V57" s="70">
        <f t="shared" si="11"/>
        <v>0</v>
      </c>
      <c r="W57" s="71">
        <f t="shared" si="12"/>
        <v>0</v>
      </c>
      <c r="X57" s="49"/>
      <c r="Y57" s="151"/>
      <c r="Z57" s="69"/>
      <c r="AA57" s="70"/>
      <c r="AB57" s="70"/>
      <c r="AC57" s="70" t="str">
        <f t="shared" si="13"/>
        <v>---</v>
      </c>
      <c r="AD57" s="70" t="str">
        <f>IFERROR(P57/#REF!-1,"---")</f>
        <v>---</v>
      </c>
      <c r="AE57" s="70" t="str">
        <f>IFERROR(#REF!/#REF!-1,"---")</f>
        <v>---</v>
      </c>
      <c r="AF57" s="70" t="str">
        <f>IFERROR(Q57/#REF!-1,"---")</f>
        <v>---</v>
      </c>
      <c r="AG57" s="70" t="str">
        <f>IFERROR(#REF!/#REF!-1,"---")</f>
        <v>---</v>
      </c>
      <c r="AH57" s="70" t="str">
        <f>IFERROR(#REF!/AA57-1,"---")</f>
        <v>---</v>
      </c>
      <c r="AI57" s="71" t="str">
        <f t="shared" si="14"/>
        <v>---</v>
      </c>
    </row>
    <row r="58" spans="1:35" ht="30" customHeight="1" x14ac:dyDescent="0.3">
      <c r="A58" s="123">
        <f t="shared" si="7"/>
        <v>53</v>
      </c>
      <c r="B58" s="140">
        <f>INDEX('PEER GROUP'!B:B,MATCH($A58,'PEER GROUP'!$A:$A,0))</f>
        <v>0</v>
      </c>
      <c r="C58" s="83">
        <f>INDEX('PEER GROUP'!C:C,MATCH($A58,'PEER GROUP'!$A:$A,0))</f>
        <v>0</v>
      </c>
      <c r="D58" s="83">
        <f>INDEX('PEER GROUP'!D:D,MATCH($A58,'PEER GROUP'!$A:$A,0))</f>
        <v>0</v>
      </c>
      <c r="E58" s="83">
        <f>INDEX('PEER GROUP'!E:E,MATCH(A58,'PEER GROUP'!$A:$A,0))</f>
        <v>0</v>
      </c>
      <c r="F58" s="84">
        <f>INDEX('PEER GROUP'!F:F,MATCH($A58,'PEER GROUP'!$A:$A,0))</f>
        <v>0</v>
      </c>
      <c r="G58" s="84">
        <f>INDEX('PEER GROUP'!G:G,MATCH($A58,'PEER GROUP'!$A:$A,0))</f>
        <v>0</v>
      </c>
      <c r="H58" s="85"/>
      <c r="I58" s="85"/>
      <c r="J58" s="70">
        <f>INDEX('PEER GROUP'!K:K,MATCH($A58,'PEER GROUP'!$A:$A,0))</f>
        <v>0</v>
      </c>
      <c r="K58" s="70">
        <f>INDEX('PEER GROUP'!L:L,MATCH($A58,'PEER GROUP'!$A:$A,0))</f>
        <v>0</v>
      </c>
      <c r="L58" s="81">
        <f>INDEX('PEER GROUP'!N:N,MATCH($A58,'PEER GROUP'!$A:$A,0))</f>
        <v>0</v>
      </c>
      <c r="M58" s="118"/>
      <c r="N58" s="115"/>
      <c r="O58" s="117"/>
      <c r="P58" s="87"/>
      <c r="Q58" s="87"/>
      <c r="R58" s="87">
        <f t="shared" si="8"/>
        <v>0</v>
      </c>
      <c r="S58" s="113">
        <f t="shared" si="6"/>
        <v>36.913096727263202</v>
      </c>
      <c r="T58" s="69">
        <f t="shared" si="9"/>
        <v>0</v>
      </c>
      <c r="U58" s="70">
        <f t="shared" si="10"/>
        <v>0</v>
      </c>
      <c r="V58" s="70">
        <f t="shared" si="11"/>
        <v>0</v>
      </c>
      <c r="W58" s="71">
        <f t="shared" si="12"/>
        <v>0</v>
      </c>
      <c r="X58" s="49"/>
      <c r="Y58" s="151"/>
      <c r="Z58" s="69"/>
      <c r="AA58" s="70"/>
      <c r="AB58" s="70"/>
      <c r="AC58" s="70" t="str">
        <f t="shared" si="13"/>
        <v>---</v>
      </c>
      <c r="AD58" s="70" t="str">
        <f>IFERROR(P58/#REF!-1,"---")</f>
        <v>---</v>
      </c>
      <c r="AE58" s="70" t="str">
        <f>IFERROR(#REF!/#REF!-1,"---")</f>
        <v>---</v>
      </c>
      <c r="AF58" s="70" t="str">
        <f>IFERROR(Q58/#REF!-1,"---")</f>
        <v>---</v>
      </c>
      <c r="AG58" s="70" t="str">
        <f>IFERROR(#REF!/#REF!-1,"---")</f>
        <v>---</v>
      </c>
      <c r="AH58" s="70" t="str">
        <f>IFERROR(#REF!/AA58-1,"---")</f>
        <v>---</v>
      </c>
      <c r="AI58" s="71" t="str">
        <f t="shared" si="14"/>
        <v>---</v>
      </c>
    </row>
    <row r="59" spans="1:35" ht="30" customHeight="1" x14ac:dyDescent="0.3">
      <c r="A59" s="123">
        <f t="shared" si="7"/>
        <v>54</v>
      </c>
      <c r="B59" s="140">
        <f>INDEX('PEER GROUP'!B:B,MATCH($A59,'PEER GROUP'!$A:$A,0))</f>
        <v>0</v>
      </c>
      <c r="C59" s="83">
        <f>INDEX('PEER GROUP'!C:C,MATCH($A59,'PEER GROUP'!$A:$A,0))</f>
        <v>0</v>
      </c>
      <c r="D59" s="83">
        <f>INDEX('PEER GROUP'!D:D,MATCH($A59,'PEER GROUP'!$A:$A,0))</f>
        <v>0</v>
      </c>
      <c r="E59" s="83">
        <f>INDEX('PEER GROUP'!E:E,MATCH(A59,'PEER GROUP'!$A:$A,0))</f>
        <v>0</v>
      </c>
      <c r="F59" s="84">
        <f>INDEX('PEER GROUP'!F:F,MATCH($A59,'PEER GROUP'!$A:$A,0))</f>
        <v>0</v>
      </c>
      <c r="G59" s="84">
        <f>INDEX('PEER GROUP'!G:G,MATCH($A59,'PEER GROUP'!$A:$A,0))</f>
        <v>0</v>
      </c>
      <c r="H59" s="85"/>
      <c r="I59" s="85"/>
      <c r="J59" s="70">
        <f>INDEX('PEER GROUP'!K:K,MATCH($A59,'PEER GROUP'!$A:$A,0))</f>
        <v>0</v>
      </c>
      <c r="K59" s="70">
        <f>INDEX('PEER GROUP'!L:L,MATCH($A59,'PEER GROUP'!$A:$A,0))</f>
        <v>0</v>
      </c>
      <c r="L59" s="81">
        <f>INDEX('PEER GROUP'!N:N,MATCH($A59,'PEER GROUP'!$A:$A,0))</f>
        <v>0</v>
      </c>
      <c r="M59" s="118"/>
      <c r="N59" s="115"/>
      <c r="O59" s="117"/>
      <c r="P59" s="87"/>
      <c r="Q59" s="87"/>
      <c r="R59" s="87">
        <f t="shared" si="8"/>
        <v>0</v>
      </c>
      <c r="S59" s="113">
        <f t="shared" si="6"/>
        <v>36.913096727263202</v>
      </c>
      <c r="T59" s="69">
        <f t="shared" si="9"/>
        <v>0</v>
      </c>
      <c r="U59" s="70">
        <f t="shared" si="10"/>
        <v>0</v>
      </c>
      <c r="V59" s="70">
        <f t="shared" si="11"/>
        <v>0</v>
      </c>
      <c r="W59" s="71">
        <f t="shared" si="12"/>
        <v>0</v>
      </c>
      <c r="X59" s="49"/>
      <c r="Y59" s="151"/>
      <c r="Z59" s="69"/>
      <c r="AA59" s="70"/>
      <c r="AB59" s="70"/>
      <c r="AC59" s="70" t="str">
        <f t="shared" si="13"/>
        <v>---</v>
      </c>
      <c r="AD59" s="70" t="str">
        <f>IFERROR(P59/#REF!-1,"---")</f>
        <v>---</v>
      </c>
      <c r="AE59" s="70" t="str">
        <f>IFERROR(#REF!/#REF!-1,"---")</f>
        <v>---</v>
      </c>
      <c r="AF59" s="70" t="str">
        <f>IFERROR(Q59/#REF!-1,"---")</f>
        <v>---</v>
      </c>
      <c r="AG59" s="70" t="str">
        <f>IFERROR(#REF!/#REF!-1,"---")</f>
        <v>---</v>
      </c>
      <c r="AH59" s="70" t="str">
        <f>IFERROR(#REF!/AA59-1,"---")</f>
        <v>---</v>
      </c>
      <c r="AI59" s="71" t="str">
        <f t="shared" si="14"/>
        <v>---</v>
      </c>
    </row>
    <row r="60" spans="1:35" ht="30" customHeight="1" x14ac:dyDescent="0.3">
      <c r="A60" s="123">
        <f t="shared" si="7"/>
        <v>55</v>
      </c>
      <c r="B60" s="140">
        <f>INDEX('PEER GROUP'!B:B,MATCH($A60,'PEER GROUP'!$A:$A,0))</f>
        <v>0</v>
      </c>
      <c r="C60" s="83">
        <f>INDEX('PEER GROUP'!C:C,MATCH($A60,'PEER GROUP'!$A:$A,0))</f>
        <v>0</v>
      </c>
      <c r="D60" s="83">
        <f>INDEX('PEER GROUP'!D:D,MATCH($A60,'PEER GROUP'!$A:$A,0))</f>
        <v>0</v>
      </c>
      <c r="E60" s="83">
        <f>INDEX('PEER GROUP'!E:E,MATCH(A60,'PEER GROUP'!$A:$A,0))</f>
        <v>0</v>
      </c>
      <c r="F60" s="84">
        <f>INDEX('PEER GROUP'!F:F,MATCH($A60,'PEER GROUP'!$A:$A,0))</f>
        <v>0</v>
      </c>
      <c r="G60" s="84">
        <f>INDEX('PEER GROUP'!G:G,MATCH($A60,'PEER GROUP'!$A:$A,0))</f>
        <v>0</v>
      </c>
      <c r="H60" s="85"/>
      <c r="I60" s="85"/>
      <c r="J60" s="70">
        <f>INDEX('PEER GROUP'!K:K,MATCH($A60,'PEER GROUP'!$A:$A,0))</f>
        <v>0</v>
      </c>
      <c r="K60" s="70">
        <f>INDEX('PEER GROUP'!L:L,MATCH($A60,'PEER GROUP'!$A:$A,0))</f>
        <v>0</v>
      </c>
      <c r="L60" s="81">
        <f>INDEX('PEER GROUP'!N:N,MATCH($A60,'PEER GROUP'!$A:$A,0))</f>
        <v>0</v>
      </c>
      <c r="M60" s="118"/>
      <c r="N60" s="115"/>
      <c r="O60" s="117"/>
      <c r="P60" s="87"/>
      <c r="Q60" s="87"/>
      <c r="R60" s="87">
        <f t="shared" si="8"/>
        <v>0</v>
      </c>
      <c r="S60" s="113">
        <f t="shared" si="6"/>
        <v>36.913096727263202</v>
      </c>
      <c r="T60" s="69">
        <f t="shared" si="9"/>
        <v>0</v>
      </c>
      <c r="U60" s="70">
        <f t="shared" si="10"/>
        <v>0</v>
      </c>
      <c r="V60" s="70">
        <f t="shared" si="11"/>
        <v>0</v>
      </c>
      <c r="W60" s="71">
        <f t="shared" si="12"/>
        <v>0</v>
      </c>
      <c r="X60" s="49"/>
      <c r="Y60" s="151"/>
      <c r="Z60" s="69"/>
      <c r="AA60" s="70"/>
      <c r="AB60" s="70"/>
      <c r="AC60" s="70" t="str">
        <f t="shared" si="13"/>
        <v>---</v>
      </c>
      <c r="AD60" s="70" t="str">
        <f>IFERROR(P60/#REF!-1,"---")</f>
        <v>---</v>
      </c>
      <c r="AE60" s="70" t="str">
        <f>IFERROR(#REF!/#REF!-1,"---")</f>
        <v>---</v>
      </c>
      <c r="AF60" s="70" t="str">
        <f>IFERROR(Q60/#REF!-1,"---")</f>
        <v>---</v>
      </c>
      <c r="AG60" s="70" t="str">
        <f>IFERROR(#REF!/#REF!-1,"---")</f>
        <v>---</v>
      </c>
      <c r="AH60" s="70" t="str">
        <f>IFERROR(#REF!/AA60-1,"---")</f>
        <v>---</v>
      </c>
      <c r="AI60" s="71" t="str">
        <f t="shared" si="14"/>
        <v>---</v>
      </c>
    </row>
    <row r="61" spans="1:35" ht="30" customHeight="1" x14ac:dyDescent="0.3">
      <c r="A61" s="123">
        <f t="shared" si="7"/>
        <v>56</v>
      </c>
      <c r="B61" s="140">
        <f>INDEX('PEER GROUP'!B:B,MATCH($A61,'PEER GROUP'!$A:$A,0))</f>
        <v>0</v>
      </c>
      <c r="C61" s="83">
        <f>INDEX('PEER GROUP'!C:C,MATCH($A61,'PEER GROUP'!$A:$A,0))</f>
        <v>0</v>
      </c>
      <c r="D61" s="83">
        <f>INDEX('PEER GROUP'!D:D,MATCH($A61,'PEER GROUP'!$A:$A,0))</f>
        <v>0</v>
      </c>
      <c r="E61" s="83">
        <f>INDEX('PEER GROUP'!E:E,MATCH(A61,'PEER GROUP'!$A:$A,0))</f>
        <v>0</v>
      </c>
      <c r="F61" s="84">
        <f>INDEX('PEER GROUP'!F:F,MATCH($A61,'PEER GROUP'!$A:$A,0))</f>
        <v>0</v>
      </c>
      <c r="G61" s="84">
        <f>INDEX('PEER GROUP'!G:G,MATCH($A61,'PEER GROUP'!$A:$A,0))</f>
        <v>0</v>
      </c>
      <c r="H61" s="85"/>
      <c r="I61" s="85"/>
      <c r="J61" s="70">
        <f>INDEX('PEER GROUP'!K:K,MATCH($A61,'PEER GROUP'!$A:$A,0))</f>
        <v>0</v>
      </c>
      <c r="K61" s="70">
        <f>INDEX('PEER GROUP'!L:L,MATCH($A61,'PEER GROUP'!$A:$A,0))</f>
        <v>0</v>
      </c>
      <c r="L61" s="81">
        <f>INDEX('PEER GROUP'!N:N,MATCH($A61,'PEER GROUP'!$A:$A,0))</f>
        <v>0</v>
      </c>
      <c r="M61" s="118"/>
      <c r="N61" s="115"/>
      <c r="O61" s="117"/>
      <c r="P61" s="87"/>
      <c r="Q61" s="87"/>
      <c r="R61" s="87">
        <f t="shared" si="8"/>
        <v>0</v>
      </c>
      <c r="S61" s="113">
        <f t="shared" si="6"/>
        <v>36.913096727263202</v>
      </c>
      <c r="T61" s="69">
        <f t="shared" si="9"/>
        <v>0</v>
      </c>
      <c r="U61" s="70">
        <f t="shared" si="10"/>
        <v>0</v>
      </c>
      <c r="V61" s="70">
        <f t="shared" si="11"/>
        <v>0</v>
      </c>
      <c r="W61" s="71">
        <f t="shared" si="12"/>
        <v>0</v>
      </c>
      <c r="X61" s="49"/>
      <c r="Y61" s="151"/>
      <c r="Z61" s="69"/>
      <c r="AA61" s="70"/>
      <c r="AB61" s="70"/>
      <c r="AC61" s="70" t="str">
        <f t="shared" si="13"/>
        <v>---</v>
      </c>
      <c r="AD61" s="70" t="str">
        <f>IFERROR(P61/#REF!-1,"---")</f>
        <v>---</v>
      </c>
      <c r="AE61" s="70" t="str">
        <f>IFERROR(#REF!/#REF!-1,"---")</f>
        <v>---</v>
      </c>
      <c r="AF61" s="70" t="str">
        <f>IFERROR(Q61/#REF!-1,"---")</f>
        <v>---</v>
      </c>
      <c r="AG61" s="70" t="str">
        <f>IFERROR(#REF!/#REF!-1,"---")</f>
        <v>---</v>
      </c>
      <c r="AH61" s="70" t="str">
        <f>IFERROR(#REF!/AA61-1,"---")</f>
        <v>---</v>
      </c>
      <c r="AI61" s="71" t="str">
        <f t="shared" si="14"/>
        <v>---</v>
      </c>
    </row>
    <row r="62" spans="1:35" ht="30" customHeight="1" x14ac:dyDescent="0.3">
      <c r="A62" s="123">
        <f t="shared" si="7"/>
        <v>57</v>
      </c>
      <c r="B62" s="140">
        <f>INDEX('PEER GROUP'!B:B,MATCH($A62,'PEER GROUP'!$A:$A,0))</f>
        <v>0</v>
      </c>
      <c r="C62" s="83">
        <f>INDEX('PEER GROUP'!C:C,MATCH($A62,'PEER GROUP'!$A:$A,0))</f>
        <v>0</v>
      </c>
      <c r="D62" s="83">
        <f>INDEX('PEER GROUP'!D:D,MATCH($A62,'PEER GROUP'!$A:$A,0))</f>
        <v>0</v>
      </c>
      <c r="E62" s="83">
        <f>INDEX('PEER GROUP'!E:E,MATCH(A62,'PEER GROUP'!$A:$A,0))</f>
        <v>0</v>
      </c>
      <c r="F62" s="84">
        <f>INDEX('PEER GROUP'!F:F,MATCH($A62,'PEER GROUP'!$A:$A,0))</f>
        <v>0</v>
      </c>
      <c r="G62" s="84">
        <f>INDEX('PEER GROUP'!G:G,MATCH($A62,'PEER GROUP'!$A:$A,0))</f>
        <v>0</v>
      </c>
      <c r="H62" s="85"/>
      <c r="I62" s="85"/>
      <c r="J62" s="70">
        <f>INDEX('PEER GROUP'!K:K,MATCH($A62,'PEER GROUP'!$A:$A,0))</f>
        <v>0</v>
      </c>
      <c r="K62" s="70">
        <f>INDEX('PEER GROUP'!L:L,MATCH($A62,'PEER GROUP'!$A:$A,0))</f>
        <v>0</v>
      </c>
      <c r="L62" s="81">
        <f>INDEX('PEER GROUP'!N:N,MATCH($A62,'PEER GROUP'!$A:$A,0))</f>
        <v>0</v>
      </c>
      <c r="M62" s="118"/>
      <c r="N62" s="115"/>
      <c r="O62" s="117"/>
      <c r="P62" s="87"/>
      <c r="Q62" s="87"/>
      <c r="R62" s="87">
        <f t="shared" si="8"/>
        <v>0</v>
      </c>
      <c r="S62" s="113">
        <f t="shared" si="6"/>
        <v>36.913096727263202</v>
      </c>
      <c r="T62" s="69">
        <f t="shared" si="9"/>
        <v>0</v>
      </c>
      <c r="U62" s="70">
        <f t="shared" si="10"/>
        <v>0</v>
      </c>
      <c r="V62" s="70">
        <f t="shared" si="11"/>
        <v>0</v>
      </c>
      <c r="W62" s="71">
        <f t="shared" si="12"/>
        <v>0</v>
      </c>
      <c r="X62" s="49"/>
      <c r="Y62" s="151"/>
      <c r="Z62" s="69"/>
      <c r="AA62" s="70"/>
      <c r="AB62" s="70"/>
      <c r="AC62" s="70" t="str">
        <f t="shared" si="13"/>
        <v>---</v>
      </c>
      <c r="AD62" s="70" t="str">
        <f>IFERROR(P62/#REF!-1,"---")</f>
        <v>---</v>
      </c>
      <c r="AE62" s="70" t="str">
        <f>IFERROR(#REF!/#REF!-1,"---")</f>
        <v>---</v>
      </c>
      <c r="AF62" s="70" t="str">
        <f>IFERROR(Q62/#REF!-1,"---")</f>
        <v>---</v>
      </c>
      <c r="AG62" s="70" t="str">
        <f>IFERROR(#REF!/#REF!-1,"---")</f>
        <v>---</v>
      </c>
      <c r="AH62" s="70" t="str">
        <f>IFERROR(#REF!/AA62-1,"---")</f>
        <v>---</v>
      </c>
      <c r="AI62" s="71" t="str">
        <f t="shared" si="14"/>
        <v>---</v>
      </c>
    </row>
    <row r="63" spans="1:35" ht="30" customHeight="1" x14ac:dyDescent="0.3">
      <c r="A63" s="123">
        <f t="shared" si="7"/>
        <v>58</v>
      </c>
      <c r="B63" s="140">
        <f>INDEX('PEER GROUP'!B:B,MATCH($A63,'PEER GROUP'!$A:$A,0))</f>
        <v>0</v>
      </c>
      <c r="C63" s="83">
        <f>INDEX('PEER GROUP'!C:C,MATCH($A63,'PEER GROUP'!$A:$A,0))</f>
        <v>0</v>
      </c>
      <c r="D63" s="83">
        <f>INDEX('PEER GROUP'!D:D,MATCH($A63,'PEER GROUP'!$A:$A,0))</f>
        <v>0</v>
      </c>
      <c r="E63" s="83">
        <f>INDEX('PEER GROUP'!E:E,MATCH(A63,'PEER GROUP'!$A:$A,0))</f>
        <v>0</v>
      </c>
      <c r="F63" s="84">
        <f>INDEX('PEER GROUP'!F:F,MATCH($A63,'PEER GROUP'!$A:$A,0))</f>
        <v>0</v>
      </c>
      <c r="G63" s="84">
        <f>INDEX('PEER GROUP'!G:G,MATCH($A63,'PEER GROUP'!$A:$A,0))</f>
        <v>0</v>
      </c>
      <c r="H63" s="85"/>
      <c r="I63" s="85"/>
      <c r="J63" s="70">
        <f>INDEX('PEER GROUP'!K:K,MATCH($A63,'PEER GROUP'!$A:$A,0))</f>
        <v>0</v>
      </c>
      <c r="K63" s="70">
        <f>INDEX('PEER GROUP'!L:L,MATCH($A63,'PEER GROUP'!$A:$A,0))</f>
        <v>0</v>
      </c>
      <c r="L63" s="81">
        <f>INDEX('PEER GROUP'!N:N,MATCH($A63,'PEER GROUP'!$A:$A,0))</f>
        <v>0</v>
      </c>
      <c r="M63" s="118"/>
      <c r="N63" s="115"/>
      <c r="O63" s="117"/>
      <c r="P63" s="87"/>
      <c r="Q63" s="87"/>
      <c r="R63" s="87">
        <f t="shared" si="8"/>
        <v>0</v>
      </c>
      <c r="S63" s="113">
        <f t="shared" si="6"/>
        <v>36.913096727263202</v>
      </c>
      <c r="T63" s="69">
        <f t="shared" si="9"/>
        <v>0</v>
      </c>
      <c r="U63" s="70">
        <f t="shared" si="10"/>
        <v>0</v>
      </c>
      <c r="V63" s="70">
        <f t="shared" si="11"/>
        <v>0</v>
      </c>
      <c r="W63" s="71">
        <f t="shared" si="12"/>
        <v>0</v>
      </c>
      <c r="X63" s="49"/>
      <c r="Y63" s="151"/>
      <c r="Z63" s="69"/>
      <c r="AA63" s="70"/>
      <c r="AB63" s="70"/>
      <c r="AC63" s="70" t="str">
        <f t="shared" si="13"/>
        <v>---</v>
      </c>
      <c r="AD63" s="70" t="str">
        <f>IFERROR(P63/#REF!-1,"---")</f>
        <v>---</v>
      </c>
      <c r="AE63" s="70" t="str">
        <f>IFERROR(#REF!/#REF!-1,"---")</f>
        <v>---</v>
      </c>
      <c r="AF63" s="70" t="str">
        <f>IFERROR(Q63/#REF!-1,"---")</f>
        <v>---</v>
      </c>
      <c r="AG63" s="70" t="str">
        <f>IFERROR(#REF!/#REF!-1,"---")</f>
        <v>---</v>
      </c>
      <c r="AH63" s="70" t="str">
        <f>IFERROR(#REF!/AA63-1,"---")</f>
        <v>---</v>
      </c>
      <c r="AI63" s="71" t="str">
        <f t="shared" si="14"/>
        <v>---</v>
      </c>
    </row>
    <row r="64" spans="1:35" ht="30" customHeight="1" x14ac:dyDescent="0.3">
      <c r="A64" s="123">
        <f t="shared" si="7"/>
        <v>59</v>
      </c>
      <c r="B64" s="140">
        <f>INDEX('PEER GROUP'!B:B,MATCH($A64,'PEER GROUP'!$A:$A,0))</f>
        <v>0</v>
      </c>
      <c r="C64" s="83">
        <f>INDEX('PEER GROUP'!C:C,MATCH($A64,'PEER GROUP'!$A:$A,0))</f>
        <v>0</v>
      </c>
      <c r="D64" s="83">
        <f>INDEX('PEER GROUP'!D:D,MATCH($A64,'PEER GROUP'!$A:$A,0))</f>
        <v>0</v>
      </c>
      <c r="E64" s="83">
        <f>INDEX('PEER GROUP'!E:E,MATCH(A64,'PEER GROUP'!$A:$A,0))</f>
        <v>0</v>
      </c>
      <c r="F64" s="84">
        <f>INDEX('PEER GROUP'!F:F,MATCH($A64,'PEER GROUP'!$A:$A,0))</f>
        <v>0</v>
      </c>
      <c r="G64" s="84">
        <f>INDEX('PEER GROUP'!G:G,MATCH($A64,'PEER GROUP'!$A:$A,0))</f>
        <v>0</v>
      </c>
      <c r="H64" s="85"/>
      <c r="I64" s="85"/>
      <c r="J64" s="70">
        <f>INDEX('PEER GROUP'!K:K,MATCH($A64,'PEER GROUP'!$A:$A,0))</f>
        <v>0</v>
      </c>
      <c r="K64" s="70">
        <f>INDEX('PEER GROUP'!L:L,MATCH($A64,'PEER GROUP'!$A:$A,0))</f>
        <v>0</v>
      </c>
      <c r="L64" s="81">
        <f>INDEX('PEER GROUP'!N:N,MATCH($A64,'PEER GROUP'!$A:$A,0))</f>
        <v>0</v>
      </c>
      <c r="M64" s="118"/>
      <c r="N64" s="115"/>
      <c r="O64" s="117"/>
      <c r="P64" s="87"/>
      <c r="Q64" s="87"/>
      <c r="R64" s="87">
        <f t="shared" si="8"/>
        <v>0</v>
      </c>
      <c r="S64" s="113">
        <f t="shared" si="6"/>
        <v>36.913096727263202</v>
      </c>
      <c r="T64" s="69">
        <f t="shared" si="9"/>
        <v>0</v>
      </c>
      <c r="U64" s="70">
        <f t="shared" si="10"/>
        <v>0</v>
      </c>
      <c r="V64" s="70">
        <f t="shared" si="11"/>
        <v>0</v>
      </c>
      <c r="W64" s="71">
        <f t="shared" si="12"/>
        <v>0</v>
      </c>
      <c r="X64" s="49"/>
      <c r="Y64" s="151"/>
      <c r="Z64" s="69"/>
      <c r="AA64" s="70"/>
      <c r="AB64" s="70"/>
      <c r="AC64" s="70" t="str">
        <f t="shared" si="13"/>
        <v>---</v>
      </c>
      <c r="AD64" s="70" t="str">
        <f>IFERROR(P64/#REF!-1,"---")</f>
        <v>---</v>
      </c>
      <c r="AE64" s="70" t="str">
        <f>IFERROR(#REF!/#REF!-1,"---")</f>
        <v>---</v>
      </c>
      <c r="AF64" s="70" t="str">
        <f>IFERROR(Q64/#REF!-1,"---")</f>
        <v>---</v>
      </c>
      <c r="AG64" s="70" t="str">
        <f>IFERROR(#REF!/#REF!-1,"---")</f>
        <v>---</v>
      </c>
      <c r="AH64" s="70" t="str">
        <f>IFERROR(#REF!/AA64-1,"---")</f>
        <v>---</v>
      </c>
      <c r="AI64" s="71" t="str">
        <f t="shared" si="14"/>
        <v>---</v>
      </c>
    </row>
    <row r="65" spans="1:35" ht="30" customHeight="1" x14ac:dyDescent="0.3">
      <c r="A65" s="123">
        <f t="shared" si="7"/>
        <v>60</v>
      </c>
      <c r="B65" s="140">
        <f>INDEX('PEER GROUP'!B:B,MATCH($A65,'PEER GROUP'!$A:$A,0))</f>
        <v>0</v>
      </c>
      <c r="C65" s="83">
        <f>INDEX('PEER GROUP'!C:C,MATCH($A65,'PEER GROUP'!$A:$A,0))</f>
        <v>0</v>
      </c>
      <c r="D65" s="83">
        <f>INDEX('PEER GROUP'!D:D,MATCH($A65,'PEER GROUP'!$A:$A,0))</f>
        <v>0</v>
      </c>
      <c r="E65" s="83">
        <f>INDEX('PEER GROUP'!E:E,MATCH(A65,'PEER GROUP'!$A:$A,0))</f>
        <v>0</v>
      </c>
      <c r="F65" s="84">
        <f>INDEX('PEER GROUP'!F:F,MATCH($A65,'PEER GROUP'!$A:$A,0))</f>
        <v>0</v>
      </c>
      <c r="G65" s="84">
        <f>INDEX('PEER GROUP'!G:G,MATCH($A65,'PEER GROUP'!$A:$A,0))</f>
        <v>0</v>
      </c>
      <c r="H65" s="85"/>
      <c r="I65" s="85"/>
      <c r="J65" s="70">
        <f>INDEX('PEER GROUP'!K:K,MATCH($A65,'PEER GROUP'!$A:$A,0))</f>
        <v>0</v>
      </c>
      <c r="K65" s="70">
        <f>INDEX('PEER GROUP'!L:L,MATCH($A65,'PEER GROUP'!$A:$A,0))</f>
        <v>0</v>
      </c>
      <c r="L65" s="81">
        <f>INDEX('PEER GROUP'!N:N,MATCH($A65,'PEER GROUP'!$A:$A,0))</f>
        <v>0</v>
      </c>
      <c r="M65" s="118"/>
      <c r="N65" s="115"/>
      <c r="O65" s="117"/>
      <c r="P65" s="87"/>
      <c r="Q65" s="87"/>
      <c r="R65" s="87">
        <f t="shared" si="8"/>
        <v>0</v>
      </c>
      <c r="S65" s="113">
        <f t="shared" si="6"/>
        <v>36.913096727263202</v>
      </c>
      <c r="T65" s="69">
        <f t="shared" si="9"/>
        <v>0</v>
      </c>
      <c r="U65" s="70">
        <f t="shared" si="10"/>
        <v>0</v>
      </c>
      <c r="V65" s="70">
        <f t="shared" si="11"/>
        <v>0</v>
      </c>
      <c r="W65" s="71">
        <f t="shared" si="12"/>
        <v>0</v>
      </c>
      <c r="X65" s="49"/>
      <c r="Y65" s="151"/>
      <c r="Z65" s="69"/>
      <c r="AA65" s="70"/>
      <c r="AB65" s="70"/>
      <c r="AC65" s="70" t="str">
        <f t="shared" si="13"/>
        <v>---</v>
      </c>
      <c r="AD65" s="70" t="str">
        <f>IFERROR(P65/#REF!-1,"---")</f>
        <v>---</v>
      </c>
      <c r="AE65" s="70" t="str">
        <f>IFERROR(#REF!/#REF!-1,"---")</f>
        <v>---</v>
      </c>
      <c r="AF65" s="70" t="str">
        <f>IFERROR(Q65/#REF!-1,"---")</f>
        <v>---</v>
      </c>
      <c r="AG65" s="70" t="str">
        <f>IFERROR(#REF!/#REF!-1,"---")</f>
        <v>---</v>
      </c>
      <c r="AH65" s="70" t="str">
        <f>IFERROR(#REF!/AA65-1,"---")</f>
        <v>---</v>
      </c>
      <c r="AI65" s="71" t="str">
        <f t="shared" si="14"/>
        <v>---</v>
      </c>
    </row>
    <row r="66" spans="1:35" ht="30" customHeight="1" x14ac:dyDescent="0.3">
      <c r="A66" s="123">
        <f t="shared" si="7"/>
        <v>61</v>
      </c>
      <c r="B66" s="140">
        <f>INDEX('PEER GROUP'!B:B,MATCH($A66,'PEER GROUP'!$A:$A,0))</f>
        <v>0</v>
      </c>
      <c r="C66" s="83">
        <f>INDEX('PEER GROUP'!C:C,MATCH($A66,'PEER GROUP'!$A:$A,0))</f>
        <v>0</v>
      </c>
      <c r="D66" s="83">
        <f>INDEX('PEER GROUP'!D:D,MATCH($A66,'PEER GROUP'!$A:$A,0))</f>
        <v>0</v>
      </c>
      <c r="E66" s="83">
        <f>INDEX('PEER GROUP'!E:E,MATCH(A66,'PEER GROUP'!$A:$A,0))</f>
        <v>0</v>
      </c>
      <c r="F66" s="84">
        <f>INDEX('PEER GROUP'!F:F,MATCH($A66,'PEER GROUP'!$A:$A,0))</f>
        <v>0</v>
      </c>
      <c r="G66" s="84">
        <f>INDEX('PEER GROUP'!G:G,MATCH($A66,'PEER GROUP'!$A:$A,0))</f>
        <v>0</v>
      </c>
      <c r="H66" s="85"/>
      <c r="I66" s="85"/>
      <c r="J66" s="70">
        <f>INDEX('PEER GROUP'!K:K,MATCH($A66,'PEER GROUP'!$A:$A,0))</f>
        <v>0</v>
      </c>
      <c r="K66" s="70">
        <f>INDEX('PEER GROUP'!L:L,MATCH($A66,'PEER GROUP'!$A:$A,0))</f>
        <v>0</v>
      </c>
      <c r="L66" s="81">
        <f>INDEX('PEER GROUP'!N:N,MATCH($A66,'PEER GROUP'!$A:$A,0))</f>
        <v>0</v>
      </c>
      <c r="M66" s="118"/>
      <c r="N66" s="115"/>
      <c r="O66" s="117"/>
      <c r="P66" s="87"/>
      <c r="Q66" s="87"/>
      <c r="R66" s="87">
        <f t="shared" si="8"/>
        <v>0</v>
      </c>
      <c r="S66" s="113">
        <f t="shared" si="6"/>
        <v>36.913096727263202</v>
      </c>
      <c r="T66" s="69">
        <f t="shared" si="9"/>
        <v>0</v>
      </c>
      <c r="U66" s="70">
        <f t="shared" si="10"/>
        <v>0</v>
      </c>
      <c r="V66" s="70">
        <f t="shared" si="11"/>
        <v>0</v>
      </c>
      <c r="W66" s="71">
        <f t="shared" si="12"/>
        <v>0</v>
      </c>
      <c r="X66" s="49"/>
      <c r="Y66" s="151"/>
      <c r="Z66" s="69"/>
      <c r="AA66" s="70"/>
      <c r="AB66" s="70"/>
      <c r="AC66" s="70" t="str">
        <f t="shared" si="13"/>
        <v>---</v>
      </c>
      <c r="AD66" s="70" t="str">
        <f>IFERROR(P66/#REF!-1,"---")</f>
        <v>---</v>
      </c>
      <c r="AE66" s="70" t="str">
        <f>IFERROR(#REF!/#REF!-1,"---")</f>
        <v>---</v>
      </c>
      <c r="AF66" s="70" t="str">
        <f>IFERROR(Q66/#REF!-1,"---")</f>
        <v>---</v>
      </c>
      <c r="AG66" s="70" t="str">
        <f>IFERROR(#REF!/#REF!-1,"---")</f>
        <v>---</v>
      </c>
      <c r="AH66" s="70" t="str">
        <f>IFERROR(#REF!/AA66-1,"---")</f>
        <v>---</v>
      </c>
      <c r="AI66" s="71" t="str">
        <f t="shared" si="14"/>
        <v>---</v>
      </c>
    </row>
    <row r="67" spans="1:35" ht="30" customHeight="1" x14ac:dyDescent="0.3">
      <c r="A67" s="123">
        <f t="shared" si="7"/>
        <v>62</v>
      </c>
      <c r="B67" s="140">
        <f>INDEX('PEER GROUP'!B:B,MATCH($A67,'PEER GROUP'!$A:$A,0))</f>
        <v>0</v>
      </c>
      <c r="C67" s="83">
        <f>INDEX('PEER GROUP'!C:C,MATCH($A67,'PEER GROUP'!$A:$A,0))</f>
        <v>0</v>
      </c>
      <c r="D67" s="83">
        <f>INDEX('PEER GROUP'!D:D,MATCH($A67,'PEER GROUP'!$A:$A,0))</f>
        <v>0</v>
      </c>
      <c r="E67" s="83">
        <f>INDEX('PEER GROUP'!E:E,MATCH(A67,'PEER GROUP'!$A:$A,0))</f>
        <v>0</v>
      </c>
      <c r="F67" s="84">
        <f>INDEX('PEER GROUP'!F:F,MATCH($A67,'PEER GROUP'!$A:$A,0))</f>
        <v>0</v>
      </c>
      <c r="G67" s="84">
        <f>INDEX('PEER GROUP'!G:G,MATCH($A67,'PEER GROUP'!$A:$A,0))</f>
        <v>0</v>
      </c>
      <c r="H67" s="85"/>
      <c r="I67" s="85"/>
      <c r="J67" s="70">
        <f>INDEX('PEER GROUP'!K:K,MATCH($A67,'PEER GROUP'!$A:$A,0))</f>
        <v>0</v>
      </c>
      <c r="K67" s="70">
        <f>INDEX('PEER GROUP'!L:L,MATCH($A67,'PEER GROUP'!$A:$A,0))</f>
        <v>0</v>
      </c>
      <c r="L67" s="81">
        <f>INDEX('PEER GROUP'!N:N,MATCH($A67,'PEER GROUP'!$A:$A,0))</f>
        <v>0</v>
      </c>
      <c r="M67" s="118"/>
      <c r="N67" s="115"/>
      <c r="O67" s="117"/>
      <c r="P67" s="87"/>
      <c r="Q67" s="87"/>
      <c r="R67" s="87">
        <f t="shared" si="8"/>
        <v>0</v>
      </c>
      <c r="S67" s="113">
        <f t="shared" si="6"/>
        <v>36.913096727263202</v>
      </c>
      <c r="T67" s="69">
        <f t="shared" si="9"/>
        <v>0</v>
      </c>
      <c r="U67" s="70">
        <f t="shared" si="10"/>
        <v>0</v>
      </c>
      <c r="V67" s="70">
        <f t="shared" si="11"/>
        <v>0</v>
      </c>
      <c r="W67" s="71">
        <f t="shared" si="12"/>
        <v>0</v>
      </c>
      <c r="X67" s="49"/>
      <c r="Y67" s="151"/>
      <c r="Z67" s="69"/>
      <c r="AA67" s="70"/>
      <c r="AB67" s="70"/>
      <c r="AC67" s="70" t="str">
        <f t="shared" si="13"/>
        <v>---</v>
      </c>
      <c r="AD67" s="70" t="str">
        <f>IFERROR(P67/#REF!-1,"---")</f>
        <v>---</v>
      </c>
      <c r="AE67" s="70" t="str">
        <f>IFERROR(#REF!/#REF!-1,"---")</f>
        <v>---</v>
      </c>
      <c r="AF67" s="70" t="str">
        <f>IFERROR(Q67/#REF!-1,"---")</f>
        <v>---</v>
      </c>
      <c r="AG67" s="70" t="str">
        <f>IFERROR(#REF!/#REF!-1,"---")</f>
        <v>---</v>
      </c>
      <c r="AH67" s="70" t="str">
        <f>IFERROR(#REF!/AA67-1,"---")</f>
        <v>---</v>
      </c>
      <c r="AI67" s="71" t="str">
        <f t="shared" si="14"/>
        <v>---</v>
      </c>
    </row>
    <row r="68" spans="1:35" ht="30" customHeight="1" x14ac:dyDescent="0.3">
      <c r="A68" s="123">
        <f t="shared" si="7"/>
        <v>63</v>
      </c>
      <c r="B68" s="140">
        <f>INDEX('PEER GROUP'!B:B,MATCH($A68,'PEER GROUP'!$A:$A,0))</f>
        <v>0</v>
      </c>
      <c r="C68" s="83">
        <f>INDEX('PEER GROUP'!C:C,MATCH($A68,'PEER GROUP'!$A:$A,0))</f>
        <v>0</v>
      </c>
      <c r="D68" s="83">
        <f>INDEX('PEER GROUP'!D:D,MATCH($A68,'PEER GROUP'!$A:$A,0))</f>
        <v>0</v>
      </c>
      <c r="E68" s="83">
        <f>INDEX('PEER GROUP'!E:E,MATCH(A68,'PEER GROUP'!$A:$A,0))</f>
        <v>0</v>
      </c>
      <c r="F68" s="84">
        <f>INDEX('PEER GROUP'!F:F,MATCH($A68,'PEER GROUP'!$A:$A,0))</f>
        <v>0</v>
      </c>
      <c r="G68" s="84">
        <f>INDEX('PEER GROUP'!G:G,MATCH($A68,'PEER GROUP'!$A:$A,0))</f>
        <v>0</v>
      </c>
      <c r="H68" s="85"/>
      <c r="I68" s="85"/>
      <c r="J68" s="70">
        <f>INDEX('PEER GROUP'!K:K,MATCH($A68,'PEER GROUP'!$A:$A,0))</f>
        <v>0</v>
      </c>
      <c r="K68" s="70">
        <f>INDEX('PEER GROUP'!L:L,MATCH($A68,'PEER GROUP'!$A:$A,0))</f>
        <v>0</v>
      </c>
      <c r="L68" s="81">
        <f>INDEX('PEER GROUP'!N:N,MATCH($A68,'PEER GROUP'!$A:$A,0))</f>
        <v>0</v>
      </c>
      <c r="M68" s="118"/>
      <c r="N68" s="115"/>
      <c r="O68" s="117"/>
      <c r="P68" s="87"/>
      <c r="Q68" s="87"/>
      <c r="R68" s="87">
        <f t="shared" si="8"/>
        <v>0</v>
      </c>
      <c r="S68" s="113">
        <f t="shared" si="6"/>
        <v>36.913096727263202</v>
      </c>
      <c r="T68" s="69">
        <f t="shared" si="9"/>
        <v>0</v>
      </c>
      <c r="U68" s="70">
        <f t="shared" si="10"/>
        <v>0</v>
      </c>
      <c r="V68" s="70">
        <f t="shared" si="11"/>
        <v>0</v>
      </c>
      <c r="W68" s="71">
        <f t="shared" si="12"/>
        <v>0</v>
      </c>
      <c r="X68" s="49"/>
      <c r="Y68" s="151"/>
      <c r="Z68" s="69"/>
      <c r="AA68" s="70"/>
      <c r="AB68" s="70"/>
      <c r="AC68" s="70" t="str">
        <f t="shared" si="13"/>
        <v>---</v>
      </c>
      <c r="AD68" s="70" t="str">
        <f>IFERROR(P68/#REF!-1,"---")</f>
        <v>---</v>
      </c>
      <c r="AE68" s="70" t="str">
        <f>IFERROR(#REF!/#REF!-1,"---")</f>
        <v>---</v>
      </c>
      <c r="AF68" s="70" t="str">
        <f>IFERROR(Q68/#REF!-1,"---")</f>
        <v>---</v>
      </c>
      <c r="AG68" s="70" t="str">
        <f>IFERROR(#REF!/#REF!-1,"---")</f>
        <v>---</v>
      </c>
      <c r="AH68" s="70" t="str">
        <f>IFERROR(#REF!/AA68-1,"---")</f>
        <v>---</v>
      </c>
      <c r="AI68" s="71" t="str">
        <f t="shared" si="14"/>
        <v>---</v>
      </c>
    </row>
    <row r="69" spans="1:35" ht="30" customHeight="1" x14ac:dyDescent="0.3">
      <c r="A69" s="123">
        <f t="shared" si="7"/>
        <v>64</v>
      </c>
      <c r="B69" s="140">
        <f>INDEX('PEER GROUP'!B:B,MATCH($A69,'PEER GROUP'!$A:$A,0))</f>
        <v>0</v>
      </c>
      <c r="C69" s="83">
        <f>INDEX('PEER GROUP'!C:C,MATCH($A69,'PEER GROUP'!$A:$A,0))</f>
        <v>0</v>
      </c>
      <c r="D69" s="83">
        <f>INDEX('PEER GROUP'!D:D,MATCH($A69,'PEER GROUP'!$A:$A,0))</f>
        <v>0</v>
      </c>
      <c r="E69" s="83">
        <f>INDEX('PEER GROUP'!E:E,MATCH(A69,'PEER GROUP'!$A:$A,0))</f>
        <v>0</v>
      </c>
      <c r="F69" s="84">
        <f>INDEX('PEER GROUP'!F:F,MATCH($A69,'PEER GROUP'!$A:$A,0))</f>
        <v>0</v>
      </c>
      <c r="G69" s="84">
        <f>INDEX('PEER GROUP'!G:G,MATCH($A69,'PEER GROUP'!$A:$A,0))</f>
        <v>0</v>
      </c>
      <c r="H69" s="85"/>
      <c r="I69" s="85"/>
      <c r="J69" s="70">
        <f>INDEX('PEER GROUP'!K:K,MATCH($A69,'PEER GROUP'!$A:$A,0))</f>
        <v>0</v>
      </c>
      <c r="K69" s="70">
        <f>INDEX('PEER GROUP'!L:L,MATCH($A69,'PEER GROUP'!$A:$A,0))</f>
        <v>0</v>
      </c>
      <c r="L69" s="81">
        <f>INDEX('PEER GROUP'!N:N,MATCH($A69,'PEER GROUP'!$A:$A,0))</f>
        <v>0</v>
      </c>
      <c r="M69" s="118"/>
      <c r="N69" s="115"/>
      <c r="O69" s="117"/>
      <c r="P69" s="87"/>
      <c r="Q69" s="87"/>
      <c r="R69" s="87">
        <f t="shared" si="8"/>
        <v>0</v>
      </c>
      <c r="S69" s="113">
        <f t="shared" si="6"/>
        <v>36.913096727263202</v>
      </c>
      <c r="T69" s="69">
        <f t="shared" si="9"/>
        <v>0</v>
      </c>
      <c r="U69" s="70">
        <f t="shared" si="10"/>
        <v>0</v>
      </c>
      <c r="V69" s="70">
        <f t="shared" si="11"/>
        <v>0</v>
      </c>
      <c r="W69" s="71">
        <f t="shared" si="12"/>
        <v>0</v>
      </c>
      <c r="X69" s="49"/>
      <c r="Y69" s="151"/>
      <c r="Z69" s="69"/>
      <c r="AA69" s="70"/>
      <c r="AB69" s="70"/>
      <c r="AC69" s="70" t="str">
        <f t="shared" si="13"/>
        <v>---</v>
      </c>
      <c r="AD69" s="70" t="str">
        <f>IFERROR(P69/#REF!-1,"---")</f>
        <v>---</v>
      </c>
      <c r="AE69" s="70" t="str">
        <f>IFERROR(#REF!/#REF!-1,"---")</f>
        <v>---</v>
      </c>
      <c r="AF69" s="70" t="str">
        <f>IFERROR(Q69/#REF!-1,"---")</f>
        <v>---</v>
      </c>
      <c r="AG69" s="70" t="str">
        <f>IFERROR(#REF!/#REF!-1,"---")</f>
        <v>---</v>
      </c>
      <c r="AH69" s="70" t="str">
        <f>IFERROR(#REF!/AA69-1,"---")</f>
        <v>---</v>
      </c>
      <c r="AI69" s="71" t="str">
        <f t="shared" si="14"/>
        <v>---</v>
      </c>
    </row>
    <row r="70" spans="1:35" ht="30" customHeight="1" x14ac:dyDescent="0.3">
      <c r="A70" s="123">
        <f t="shared" si="7"/>
        <v>65</v>
      </c>
      <c r="B70" s="140">
        <f>INDEX('PEER GROUP'!B:B,MATCH($A70,'PEER GROUP'!$A:$A,0))</f>
        <v>0</v>
      </c>
      <c r="C70" s="83">
        <f>INDEX('PEER GROUP'!C:C,MATCH($A70,'PEER GROUP'!$A:$A,0))</f>
        <v>0</v>
      </c>
      <c r="D70" s="83">
        <f>INDEX('PEER GROUP'!D:D,MATCH($A70,'PEER GROUP'!$A:$A,0))</f>
        <v>0</v>
      </c>
      <c r="E70" s="83">
        <f>INDEX('PEER GROUP'!E:E,MATCH(A70,'PEER GROUP'!$A:$A,0))</f>
        <v>0</v>
      </c>
      <c r="F70" s="84">
        <f>INDEX('PEER GROUP'!F:F,MATCH($A70,'PEER GROUP'!$A:$A,0))</f>
        <v>0</v>
      </c>
      <c r="G70" s="84">
        <f>INDEX('PEER GROUP'!G:G,MATCH($A70,'PEER GROUP'!$A:$A,0))</f>
        <v>0</v>
      </c>
      <c r="H70" s="85"/>
      <c r="I70" s="85"/>
      <c r="J70" s="70">
        <f>INDEX('PEER GROUP'!K:K,MATCH($A70,'PEER GROUP'!$A:$A,0))</f>
        <v>0</v>
      </c>
      <c r="K70" s="70">
        <f>INDEX('PEER GROUP'!L:L,MATCH($A70,'PEER GROUP'!$A:$A,0))</f>
        <v>0</v>
      </c>
      <c r="L70" s="81">
        <f>INDEX('PEER GROUP'!N:N,MATCH($A70,'PEER GROUP'!$A:$A,0))</f>
        <v>0</v>
      </c>
      <c r="M70" s="118"/>
      <c r="N70" s="115"/>
      <c r="O70" s="117"/>
      <c r="P70" s="87"/>
      <c r="Q70" s="87"/>
      <c r="R70" s="87">
        <f t="shared" si="8"/>
        <v>0</v>
      </c>
      <c r="S70" s="113">
        <f t="shared" si="6"/>
        <v>36.913096727263202</v>
      </c>
      <c r="T70" s="69">
        <f t="shared" si="9"/>
        <v>0</v>
      </c>
      <c r="U70" s="70">
        <f t="shared" si="10"/>
        <v>0</v>
      </c>
      <c r="V70" s="70">
        <f t="shared" si="11"/>
        <v>0</v>
      </c>
      <c r="W70" s="71">
        <f t="shared" si="12"/>
        <v>0</v>
      </c>
      <c r="X70" s="49"/>
      <c r="Y70" s="151"/>
      <c r="Z70" s="69"/>
      <c r="AA70" s="70"/>
      <c r="AB70" s="70"/>
      <c r="AC70" s="70" t="str">
        <f t="shared" si="13"/>
        <v>---</v>
      </c>
      <c r="AD70" s="70" t="str">
        <f>IFERROR(P70/#REF!-1,"---")</f>
        <v>---</v>
      </c>
      <c r="AE70" s="70" t="str">
        <f>IFERROR(#REF!/#REF!-1,"---")</f>
        <v>---</v>
      </c>
      <c r="AF70" s="70" t="str">
        <f>IFERROR(Q70/#REF!-1,"---")</f>
        <v>---</v>
      </c>
      <c r="AG70" s="70" t="str">
        <f>IFERROR(#REF!/#REF!-1,"---")</f>
        <v>---</v>
      </c>
      <c r="AH70" s="70" t="str">
        <f>IFERROR(#REF!/AA70-1,"---")</f>
        <v>---</v>
      </c>
      <c r="AI70" s="71" t="str">
        <f t="shared" si="14"/>
        <v>---</v>
      </c>
    </row>
    <row r="71" spans="1:35" ht="30" customHeight="1" x14ac:dyDescent="0.3">
      <c r="A71" s="123">
        <f t="shared" si="7"/>
        <v>66</v>
      </c>
      <c r="B71" s="140">
        <f>INDEX('PEER GROUP'!B:B,MATCH($A71,'PEER GROUP'!$A:$A,0))</f>
        <v>0</v>
      </c>
      <c r="C71" s="83">
        <f>INDEX('PEER GROUP'!C:C,MATCH($A71,'PEER GROUP'!$A:$A,0))</f>
        <v>0</v>
      </c>
      <c r="D71" s="83">
        <f>INDEX('PEER GROUP'!D:D,MATCH($A71,'PEER GROUP'!$A:$A,0))</f>
        <v>0</v>
      </c>
      <c r="E71" s="83">
        <f>INDEX('PEER GROUP'!E:E,MATCH(A71,'PEER GROUP'!$A:$A,0))</f>
        <v>0</v>
      </c>
      <c r="F71" s="84">
        <f>INDEX('PEER GROUP'!F:F,MATCH($A71,'PEER GROUP'!$A:$A,0))</f>
        <v>0</v>
      </c>
      <c r="G71" s="84">
        <f>INDEX('PEER GROUP'!G:G,MATCH($A71,'PEER GROUP'!$A:$A,0))</f>
        <v>0</v>
      </c>
      <c r="H71" s="85"/>
      <c r="I71" s="85"/>
      <c r="J71" s="70">
        <f>INDEX('PEER GROUP'!K:K,MATCH($A71,'PEER GROUP'!$A:$A,0))</f>
        <v>0</v>
      </c>
      <c r="K71" s="70">
        <f>INDEX('PEER GROUP'!L:L,MATCH($A71,'PEER GROUP'!$A:$A,0))</f>
        <v>0</v>
      </c>
      <c r="L71" s="81">
        <f>INDEX('PEER GROUP'!N:N,MATCH($A71,'PEER GROUP'!$A:$A,0))</f>
        <v>0</v>
      </c>
      <c r="M71" s="118"/>
      <c r="N71" s="115"/>
      <c r="O71" s="117"/>
      <c r="P71" s="87"/>
      <c r="Q71" s="87"/>
      <c r="R71" s="87">
        <f t="shared" si="8"/>
        <v>0</v>
      </c>
      <c r="S71" s="113">
        <f t="shared" si="6"/>
        <v>36.913096727263202</v>
      </c>
      <c r="T71" s="69">
        <f t="shared" si="9"/>
        <v>0</v>
      </c>
      <c r="U71" s="70">
        <f t="shared" si="10"/>
        <v>0</v>
      </c>
      <c r="V71" s="70">
        <f t="shared" si="11"/>
        <v>0</v>
      </c>
      <c r="W71" s="71">
        <f t="shared" si="12"/>
        <v>0</v>
      </c>
      <c r="X71" s="49"/>
      <c r="Y71" s="151"/>
      <c r="Z71" s="69"/>
      <c r="AA71" s="70"/>
      <c r="AB71" s="70"/>
      <c r="AC71" s="70" t="str">
        <f t="shared" si="13"/>
        <v>---</v>
      </c>
      <c r="AD71" s="70" t="str">
        <f>IFERROR(P71/#REF!-1,"---")</f>
        <v>---</v>
      </c>
      <c r="AE71" s="70" t="str">
        <f>IFERROR(#REF!/#REF!-1,"---")</f>
        <v>---</v>
      </c>
      <c r="AF71" s="70" t="str">
        <f>IFERROR(Q71/#REF!-1,"---")</f>
        <v>---</v>
      </c>
      <c r="AG71" s="70" t="str">
        <f>IFERROR(#REF!/#REF!-1,"---")</f>
        <v>---</v>
      </c>
      <c r="AH71" s="70" t="str">
        <f>IFERROR(#REF!/AA71-1,"---")</f>
        <v>---</v>
      </c>
      <c r="AI71" s="71" t="str">
        <f t="shared" si="14"/>
        <v>---</v>
      </c>
    </row>
    <row r="72" spans="1:35" ht="30" customHeight="1" x14ac:dyDescent="0.3">
      <c r="A72" s="123">
        <f t="shared" si="7"/>
        <v>67</v>
      </c>
      <c r="B72" s="140">
        <f>INDEX('PEER GROUP'!B:B,MATCH($A72,'PEER GROUP'!$A:$A,0))</f>
        <v>0</v>
      </c>
      <c r="C72" s="83">
        <f>INDEX('PEER GROUP'!C:C,MATCH($A72,'PEER GROUP'!$A:$A,0))</f>
        <v>0</v>
      </c>
      <c r="D72" s="83">
        <f>INDEX('PEER GROUP'!D:D,MATCH($A72,'PEER GROUP'!$A:$A,0))</f>
        <v>0</v>
      </c>
      <c r="E72" s="83">
        <f>INDEX('PEER GROUP'!E:E,MATCH(A72,'PEER GROUP'!$A:$A,0))</f>
        <v>0</v>
      </c>
      <c r="F72" s="84">
        <f>INDEX('PEER GROUP'!F:F,MATCH($A72,'PEER GROUP'!$A:$A,0))</f>
        <v>0</v>
      </c>
      <c r="G72" s="84">
        <f>INDEX('PEER GROUP'!G:G,MATCH($A72,'PEER GROUP'!$A:$A,0))</f>
        <v>0</v>
      </c>
      <c r="H72" s="85"/>
      <c r="I72" s="85"/>
      <c r="J72" s="70">
        <f>INDEX('PEER GROUP'!K:K,MATCH($A72,'PEER GROUP'!$A:$A,0))</f>
        <v>0</v>
      </c>
      <c r="K72" s="70">
        <f>INDEX('PEER GROUP'!L:L,MATCH($A72,'PEER GROUP'!$A:$A,0))</f>
        <v>0</v>
      </c>
      <c r="L72" s="81">
        <f>INDEX('PEER GROUP'!N:N,MATCH($A72,'PEER GROUP'!$A:$A,0))</f>
        <v>0</v>
      </c>
      <c r="M72" s="118"/>
      <c r="N72" s="115"/>
      <c r="O72" s="117"/>
      <c r="P72" s="87"/>
      <c r="Q72" s="87"/>
      <c r="R72" s="87">
        <f t="shared" si="8"/>
        <v>0</v>
      </c>
      <c r="S72" s="113">
        <f t="shared" si="6"/>
        <v>36.913096727263202</v>
      </c>
      <c r="T72" s="69">
        <f t="shared" si="9"/>
        <v>0</v>
      </c>
      <c r="U72" s="70">
        <f t="shared" si="10"/>
        <v>0</v>
      </c>
      <c r="V72" s="70">
        <f t="shared" si="11"/>
        <v>0</v>
      </c>
      <c r="W72" s="71">
        <f t="shared" si="12"/>
        <v>0</v>
      </c>
      <c r="X72" s="49"/>
      <c r="Y72" s="151"/>
      <c r="Z72" s="69"/>
      <c r="AA72" s="70"/>
      <c r="AB72" s="70"/>
      <c r="AC72" s="70" t="str">
        <f t="shared" si="13"/>
        <v>---</v>
      </c>
      <c r="AD72" s="70" t="str">
        <f>IFERROR(P72/#REF!-1,"---")</f>
        <v>---</v>
      </c>
      <c r="AE72" s="70" t="str">
        <f>IFERROR(#REF!/#REF!-1,"---")</f>
        <v>---</v>
      </c>
      <c r="AF72" s="70" t="str">
        <f>IFERROR(Q72/#REF!-1,"---")</f>
        <v>---</v>
      </c>
      <c r="AG72" s="70" t="str">
        <f>IFERROR(#REF!/#REF!-1,"---")</f>
        <v>---</v>
      </c>
      <c r="AH72" s="70" t="str">
        <f>IFERROR(#REF!/AA72-1,"---")</f>
        <v>---</v>
      </c>
      <c r="AI72" s="71" t="str">
        <f t="shared" si="14"/>
        <v>---</v>
      </c>
    </row>
    <row r="73" spans="1:35" ht="30" customHeight="1" x14ac:dyDescent="0.3">
      <c r="A73" s="123">
        <f t="shared" si="7"/>
        <v>68</v>
      </c>
      <c r="B73" s="140">
        <f>INDEX('PEER GROUP'!B:B,MATCH($A73,'PEER GROUP'!$A:$A,0))</f>
        <v>0</v>
      </c>
      <c r="C73" s="83">
        <f>INDEX('PEER GROUP'!C:C,MATCH($A73,'PEER GROUP'!$A:$A,0))</f>
        <v>0</v>
      </c>
      <c r="D73" s="83">
        <f>INDEX('PEER GROUP'!D:D,MATCH($A73,'PEER GROUP'!$A:$A,0))</f>
        <v>0</v>
      </c>
      <c r="E73" s="83">
        <f>INDEX('PEER GROUP'!E:E,MATCH(A73,'PEER GROUP'!$A:$A,0))</f>
        <v>0</v>
      </c>
      <c r="F73" s="84">
        <f>INDEX('PEER GROUP'!F:F,MATCH($A73,'PEER GROUP'!$A:$A,0))</f>
        <v>0</v>
      </c>
      <c r="G73" s="84">
        <f>INDEX('PEER GROUP'!G:G,MATCH($A73,'PEER GROUP'!$A:$A,0))</f>
        <v>0</v>
      </c>
      <c r="H73" s="85"/>
      <c r="I73" s="85"/>
      <c r="J73" s="70">
        <f>INDEX('PEER GROUP'!K:K,MATCH($A73,'PEER GROUP'!$A:$A,0))</f>
        <v>0</v>
      </c>
      <c r="K73" s="70">
        <f>INDEX('PEER GROUP'!L:L,MATCH($A73,'PEER GROUP'!$A:$A,0))</f>
        <v>0</v>
      </c>
      <c r="L73" s="81">
        <f>INDEX('PEER GROUP'!N:N,MATCH($A73,'PEER GROUP'!$A:$A,0))</f>
        <v>0</v>
      </c>
      <c r="M73" s="118"/>
      <c r="N73" s="115"/>
      <c r="O73" s="117"/>
      <c r="P73" s="87"/>
      <c r="Q73" s="87"/>
      <c r="R73" s="87">
        <f t="shared" si="8"/>
        <v>0</v>
      </c>
      <c r="S73" s="113">
        <f t="shared" si="6"/>
        <v>36.913096727263202</v>
      </c>
      <c r="T73" s="69">
        <f t="shared" si="9"/>
        <v>0</v>
      </c>
      <c r="U73" s="70">
        <f t="shared" si="10"/>
        <v>0</v>
      </c>
      <c r="V73" s="70">
        <f t="shared" si="11"/>
        <v>0</v>
      </c>
      <c r="W73" s="71">
        <f t="shared" si="12"/>
        <v>0</v>
      </c>
      <c r="X73" s="49"/>
      <c r="Y73" s="151"/>
      <c r="Z73" s="69"/>
      <c r="AA73" s="70"/>
      <c r="AB73" s="70"/>
      <c r="AC73" s="70" t="str">
        <f t="shared" si="13"/>
        <v>---</v>
      </c>
      <c r="AD73" s="70" t="str">
        <f>IFERROR(P73/#REF!-1,"---")</f>
        <v>---</v>
      </c>
      <c r="AE73" s="70" t="str">
        <f>IFERROR(#REF!/#REF!-1,"---")</f>
        <v>---</v>
      </c>
      <c r="AF73" s="70" t="str">
        <f>IFERROR(Q73/#REF!-1,"---")</f>
        <v>---</v>
      </c>
      <c r="AG73" s="70" t="str">
        <f>IFERROR(#REF!/#REF!-1,"---")</f>
        <v>---</v>
      </c>
      <c r="AH73" s="70" t="str">
        <f>IFERROR(#REF!/AA73-1,"---")</f>
        <v>---</v>
      </c>
      <c r="AI73" s="71" t="str">
        <f t="shared" si="14"/>
        <v>---</v>
      </c>
    </row>
    <row r="74" spans="1:35" ht="30" customHeight="1" x14ac:dyDescent="0.3">
      <c r="A74" s="123">
        <f t="shared" si="7"/>
        <v>69</v>
      </c>
      <c r="B74" s="140">
        <f>INDEX('PEER GROUP'!B:B,MATCH($A74,'PEER GROUP'!$A:$A,0))</f>
        <v>0</v>
      </c>
      <c r="C74" s="83">
        <f>INDEX('PEER GROUP'!C:C,MATCH($A74,'PEER GROUP'!$A:$A,0))</f>
        <v>0</v>
      </c>
      <c r="D74" s="83">
        <f>INDEX('PEER GROUP'!D:D,MATCH($A74,'PEER GROUP'!$A:$A,0))</f>
        <v>0</v>
      </c>
      <c r="E74" s="83">
        <f>INDEX('PEER GROUP'!E:E,MATCH(A74,'PEER GROUP'!$A:$A,0))</f>
        <v>0</v>
      </c>
      <c r="F74" s="84">
        <f>INDEX('PEER GROUP'!F:F,MATCH($A74,'PEER GROUP'!$A:$A,0))</f>
        <v>0</v>
      </c>
      <c r="G74" s="84">
        <f>INDEX('PEER GROUP'!G:G,MATCH($A74,'PEER GROUP'!$A:$A,0))</f>
        <v>0</v>
      </c>
      <c r="H74" s="85"/>
      <c r="I74" s="85"/>
      <c r="J74" s="70">
        <f>INDEX('PEER GROUP'!K:K,MATCH($A74,'PEER GROUP'!$A:$A,0))</f>
        <v>0</v>
      </c>
      <c r="K74" s="70">
        <f>INDEX('PEER GROUP'!L:L,MATCH($A74,'PEER GROUP'!$A:$A,0))</f>
        <v>0</v>
      </c>
      <c r="L74" s="81">
        <f>INDEX('PEER GROUP'!N:N,MATCH($A74,'PEER GROUP'!$A:$A,0))</f>
        <v>0</v>
      </c>
      <c r="M74" s="118"/>
      <c r="N74" s="115"/>
      <c r="O74" s="117"/>
      <c r="P74" s="87"/>
      <c r="Q74" s="87"/>
      <c r="R74" s="87">
        <f t="shared" si="8"/>
        <v>0</v>
      </c>
      <c r="S74" s="113">
        <f t="shared" si="6"/>
        <v>36.913096727263202</v>
      </c>
      <c r="T74" s="69">
        <f t="shared" si="9"/>
        <v>0</v>
      </c>
      <c r="U74" s="70">
        <f t="shared" si="10"/>
        <v>0</v>
      </c>
      <c r="V74" s="70">
        <f t="shared" si="11"/>
        <v>0</v>
      </c>
      <c r="W74" s="71">
        <f t="shared" si="12"/>
        <v>0</v>
      </c>
      <c r="X74" s="49"/>
      <c r="Y74" s="151"/>
      <c r="Z74" s="69"/>
      <c r="AA74" s="70"/>
      <c r="AB74" s="70"/>
      <c r="AC74" s="70" t="str">
        <f t="shared" si="13"/>
        <v>---</v>
      </c>
      <c r="AD74" s="70" t="str">
        <f>IFERROR(P74/#REF!-1,"---")</f>
        <v>---</v>
      </c>
      <c r="AE74" s="70" t="str">
        <f>IFERROR(#REF!/#REF!-1,"---")</f>
        <v>---</v>
      </c>
      <c r="AF74" s="70" t="str">
        <f>IFERROR(Q74/#REF!-1,"---")</f>
        <v>---</v>
      </c>
      <c r="AG74" s="70" t="str">
        <f>IFERROR(#REF!/#REF!-1,"---")</f>
        <v>---</v>
      </c>
      <c r="AH74" s="70" t="str">
        <f>IFERROR(#REF!/AA74-1,"---")</f>
        <v>---</v>
      </c>
      <c r="AI74" s="71" t="str">
        <f t="shared" si="14"/>
        <v>---</v>
      </c>
    </row>
    <row r="75" spans="1:35" ht="30" customHeight="1" x14ac:dyDescent="0.3">
      <c r="A75" s="123">
        <f t="shared" si="7"/>
        <v>70</v>
      </c>
      <c r="B75" s="140">
        <f>INDEX('PEER GROUP'!B:B,MATCH($A75,'PEER GROUP'!$A:$A,0))</f>
        <v>0</v>
      </c>
      <c r="C75" s="83">
        <f>INDEX('PEER GROUP'!C:C,MATCH($A75,'PEER GROUP'!$A:$A,0))</f>
        <v>0</v>
      </c>
      <c r="D75" s="83">
        <f>INDEX('PEER GROUP'!D:D,MATCH($A75,'PEER GROUP'!$A:$A,0))</f>
        <v>0</v>
      </c>
      <c r="E75" s="83">
        <f>INDEX('PEER GROUP'!E:E,MATCH(A75,'PEER GROUP'!$A:$A,0))</f>
        <v>0</v>
      </c>
      <c r="F75" s="84">
        <f>INDEX('PEER GROUP'!F:F,MATCH($A75,'PEER GROUP'!$A:$A,0))</f>
        <v>0</v>
      </c>
      <c r="G75" s="84">
        <f>INDEX('PEER GROUP'!G:G,MATCH($A75,'PEER GROUP'!$A:$A,0))</f>
        <v>0</v>
      </c>
      <c r="H75" s="85"/>
      <c r="I75" s="85"/>
      <c r="J75" s="70">
        <f>INDEX('PEER GROUP'!K:K,MATCH($A75,'PEER GROUP'!$A:$A,0))</f>
        <v>0</v>
      </c>
      <c r="K75" s="70">
        <f>INDEX('PEER GROUP'!L:L,MATCH($A75,'PEER GROUP'!$A:$A,0))</f>
        <v>0</v>
      </c>
      <c r="L75" s="81">
        <f>INDEX('PEER GROUP'!N:N,MATCH($A75,'PEER GROUP'!$A:$A,0))</f>
        <v>0</v>
      </c>
      <c r="M75" s="118"/>
      <c r="N75" s="115"/>
      <c r="O75" s="117"/>
      <c r="P75" s="87"/>
      <c r="Q75" s="87"/>
      <c r="R75" s="87">
        <f t="shared" si="8"/>
        <v>0</v>
      </c>
      <c r="S75" s="113">
        <f t="shared" si="6"/>
        <v>36.913096727263202</v>
      </c>
      <c r="T75" s="69">
        <f t="shared" si="9"/>
        <v>0</v>
      </c>
      <c r="U75" s="70">
        <f t="shared" si="10"/>
        <v>0</v>
      </c>
      <c r="V75" s="70">
        <f t="shared" si="11"/>
        <v>0</v>
      </c>
      <c r="W75" s="71">
        <f t="shared" si="12"/>
        <v>0</v>
      </c>
      <c r="X75" s="49"/>
      <c r="Y75" s="151"/>
      <c r="Z75" s="69"/>
      <c r="AA75" s="70"/>
      <c r="AB75" s="70"/>
      <c r="AC75" s="70" t="str">
        <f t="shared" si="13"/>
        <v>---</v>
      </c>
      <c r="AD75" s="70" t="str">
        <f>IFERROR(P75/#REF!-1,"---")</f>
        <v>---</v>
      </c>
      <c r="AE75" s="70" t="str">
        <f>IFERROR(#REF!/#REF!-1,"---")</f>
        <v>---</v>
      </c>
      <c r="AF75" s="70" t="str">
        <f>IFERROR(Q75/#REF!-1,"---")</f>
        <v>---</v>
      </c>
      <c r="AG75" s="70" t="str">
        <f>IFERROR(#REF!/#REF!-1,"---")</f>
        <v>---</v>
      </c>
      <c r="AH75" s="70" t="str">
        <f>IFERROR(#REF!/AA75-1,"---")</f>
        <v>---</v>
      </c>
      <c r="AI75" s="71" t="str">
        <f t="shared" si="14"/>
        <v>---</v>
      </c>
    </row>
    <row r="76" spans="1:35" ht="30" customHeight="1" x14ac:dyDescent="0.3">
      <c r="A76" s="123">
        <f t="shared" si="7"/>
        <v>71</v>
      </c>
      <c r="B76" s="140">
        <f>INDEX('PEER GROUP'!B:B,MATCH($A76,'PEER GROUP'!$A:$A,0))</f>
        <v>0</v>
      </c>
      <c r="C76" s="83">
        <f>INDEX('PEER GROUP'!C:C,MATCH($A76,'PEER GROUP'!$A:$A,0))</f>
        <v>0</v>
      </c>
      <c r="D76" s="83">
        <f>INDEX('PEER GROUP'!D:D,MATCH($A76,'PEER GROUP'!$A:$A,0))</f>
        <v>0</v>
      </c>
      <c r="E76" s="83">
        <f>INDEX('PEER GROUP'!E:E,MATCH(A76,'PEER GROUP'!$A:$A,0))</f>
        <v>0</v>
      </c>
      <c r="F76" s="84">
        <f>INDEX('PEER GROUP'!F:F,MATCH($A76,'PEER GROUP'!$A:$A,0))</f>
        <v>0</v>
      </c>
      <c r="G76" s="84">
        <f>INDEX('PEER GROUP'!G:G,MATCH($A76,'PEER GROUP'!$A:$A,0))</f>
        <v>0</v>
      </c>
      <c r="H76" s="85"/>
      <c r="I76" s="85"/>
      <c r="J76" s="70">
        <f>INDEX('PEER GROUP'!K:K,MATCH($A76,'PEER GROUP'!$A:$A,0))</f>
        <v>0</v>
      </c>
      <c r="K76" s="70">
        <f>INDEX('PEER GROUP'!L:L,MATCH($A76,'PEER GROUP'!$A:$A,0))</f>
        <v>0</v>
      </c>
      <c r="L76" s="81">
        <f>INDEX('PEER GROUP'!N:N,MATCH($A76,'PEER GROUP'!$A:$A,0))</f>
        <v>0</v>
      </c>
      <c r="M76" s="118"/>
      <c r="N76" s="115"/>
      <c r="O76" s="117"/>
      <c r="P76" s="87"/>
      <c r="Q76" s="87"/>
      <c r="R76" s="87">
        <f t="shared" si="8"/>
        <v>0</v>
      </c>
      <c r="S76" s="113">
        <f t="shared" si="6"/>
        <v>36.913096727263202</v>
      </c>
      <c r="T76" s="69">
        <f t="shared" si="9"/>
        <v>0</v>
      </c>
      <c r="U76" s="70">
        <f t="shared" si="10"/>
        <v>0</v>
      </c>
      <c r="V76" s="70">
        <f t="shared" si="11"/>
        <v>0</v>
      </c>
      <c r="W76" s="71">
        <f t="shared" si="12"/>
        <v>0</v>
      </c>
      <c r="X76" s="49"/>
      <c r="Y76" s="151"/>
      <c r="Z76" s="69"/>
      <c r="AA76" s="70"/>
      <c r="AB76" s="70"/>
      <c r="AC76" s="70" t="str">
        <f t="shared" si="13"/>
        <v>---</v>
      </c>
      <c r="AD76" s="70" t="str">
        <f>IFERROR(P76/#REF!-1,"---")</f>
        <v>---</v>
      </c>
      <c r="AE76" s="70" t="str">
        <f>IFERROR(#REF!/#REF!-1,"---")</f>
        <v>---</v>
      </c>
      <c r="AF76" s="70" t="str">
        <f>IFERROR(Q76/#REF!-1,"---")</f>
        <v>---</v>
      </c>
      <c r="AG76" s="70" t="str">
        <f>IFERROR(#REF!/#REF!-1,"---")</f>
        <v>---</v>
      </c>
      <c r="AH76" s="70" t="str">
        <f>IFERROR(#REF!/AA76-1,"---")</f>
        <v>---</v>
      </c>
      <c r="AI76" s="71" t="str">
        <f t="shared" si="14"/>
        <v>---</v>
      </c>
    </row>
    <row r="77" spans="1:35" ht="30" customHeight="1" x14ac:dyDescent="0.3">
      <c r="A77" s="123">
        <f t="shared" si="7"/>
        <v>72</v>
      </c>
      <c r="B77" s="140">
        <f>INDEX('PEER GROUP'!B:B,MATCH($A77,'PEER GROUP'!$A:$A,0))</f>
        <v>0</v>
      </c>
      <c r="C77" s="83">
        <f>INDEX('PEER GROUP'!C:C,MATCH($A77,'PEER GROUP'!$A:$A,0))</f>
        <v>0</v>
      </c>
      <c r="D77" s="83">
        <f>INDEX('PEER GROUP'!D:D,MATCH($A77,'PEER GROUP'!$A:$A,0))</f>
        <v>0</v>
      </c>
      <c r="E77" s="83">
        <f>INDEX('PEER GROUP'!E:E,MATCH(A77,'PEER GROUP'!$A:$A,0))</f>
        <v>0</v>
      </c>
      <c r="F77" s="84">
        <f>INDEX('PEER GROUP'!F:F,MATCH($A77,'PEER GROUP'!$A:$A,0))</f>
        <v>0</v>
      </c>
      <c r="G77" s="84">
        <f>INDEX('PEER GROUP'!G:G,MATCH($A77,'PEER GROUP'!$A:$A,0))</f>
        <v>0</v>
      </c>
      <c r="H77" s="85"/>
      <c r="I77" s="85"/>
      <c r="J77" s="70">
        <f>INDEX('PEER GROUP'!K:K,MATCH($A77,'PEER GROUP'!$A:$A,0))</f>
        <v>0</v>
      </c>
      <c r="K77" s="70">
        <f>INDEX('PEER GROUP'!L:L,MATCH($A77,'PEER GROUP'!$A:$A,0))</f>
        <v>0</v>
      </c>
      <c r="L77" s="81">
        <f>INDEX('PEER GROUP'!N:N,MATCH($A77,'PEER GROUP'!$A:$A,0))</f>
        <v>0</v>
      </c>
      <c r="M77" s="118"/>
      <c r="N77" s="115"/>
      <c r="O77" s="117"/>
      <c r="P77" s="87"/>
      <c r="Q77" s="87"/>
      <c r="R77" s="87">
        <f t="shared" si="8"/>
        <v>0</v>
      </c>
      <c r="S77" s="113">
        <f t="shared" si="6"/>
        <v>36.913096727263202</v>
      </c>
      <c r="T77" s="69">
        <f t="shared" si="9"/>
        <v>0</v>
      </c>
      <c r="U77" s="70">
        <f t="shared" si="10"/>
        <v>0</v>
      </c>
      <c r="V77" s="70">
        <f t="shared" si="11"/>
        <v>0</v>
      </c>
      <c r="W77" s="71">
        <f t="shared" si="12"/>
        <v>0</v>
      </c>
      <c r="X77" s="49"/>
      <c r="Y77" s="151"/>
      <c r="Z77" s="69"/>
      <c r="AA77" s="70"/>
      <c r="AB77" s="70"/>
      <c r="AC77" s="70" t="str">
        <f t="shared" si="13"/>
        <v>---</v>
      </c>
      <c r="AD77" s="70" t="str">
        <f>IFERROR(P77/#REF!-1,"---")</f>
        <v>---</v>
      </c>
      <c r="AE77" s="70" t="str">
        <f>IFERROR(#REF!/#REF!-1,"---")</f>
        <v>---</v>
      </c>
      <c r="AF77" s="70" t="str">
        <f>IFERROR(Q77/#REF!-1,"---")</f>
        <v>---</v>
      </c>
      <c r="AG77" s="70" t="str">
        <f>IFERROR(#REF!/#REF!-1,"---")</f>
        <v>---</v>
      </c>
      <c r="AH77" s="70" t="str">
        <f>IFERROR(#REF!/AA77-1,"---")</f>
        <v>---</v>
      </c>
      <c r="AI77" s="71" t="str">
        <f t="shared" si="14"/>
        <v>---</v>
      </c>
    </row>
    <row r="78" spans="1:35" ht="30" customHeight="1" x14ac:dyDescent="0.3">
      <c r="A78" s="123">
        <f t="shared" si="7"/>
        <v>73</v>
      </c>
      <c r="B78" s="140">
        <f>INDEX('PEER GROUP'!B:B,MATCH($A78,'PEER GROUP'!$A:$A,0))</f>
        <v>0</v>
      </c>
      <c r="C78" s="83">
        <f>INDEX('PEER GROUP'!C:C,MATCH($A78,'PEER GROUP'!$A:$A,0))</f>
        <v>0</v>
      </c>
      <c r="D78" s="83">
        <f>INDEX('PEER GROUP'!D:D,MATCH($A78,'PEER GROUP'!$A:$A,0))</f>
        <v>0</v>
      </c>
      <c r="E78" s="83">
        <f>INDEX('PEER GROUP'!E:E,MATCH(A78,'PEER GROUP'!$A:$A,0))</f>
        <v>0</v>
      </c>
      <c r="F78" s="84">
        <f>INDEX('PEER GROUP'!F:F,MATCH($A78,'PEER GROUP'!$A:$A,0))</f>
        <v>0</v>
      </c>
      <c r="G78" s="84">
        <f>INDEX('PEER GROUP'!G:G,MATCH($A78,'PEER GROUP'!$A:$A,0))</f>
        <v>0</v>
      </c>
      <c r="H78" s="85"/>
      <c r="I78" s="85"/>
      <c r="J78" s="70">
        <f>INDEX('PEER GROUP'!K:K,MATCH($A78,'PEER GROUP'!$A:$A,0))</f>
        <v>0</v>
      </c>
      <c r="K78" s="70">
        <f>INDEX('PEER GROUP'!L:L,MATCH($A78,'PEER GROUP'!$A:$A,0))</f>
        <v>0</v>
      </c>
      <c r="L78" s="81">
        <f>INDEX('PEER GROUP'!N:N,MATCH($A78,'PEER GROUP'!$A:$A,0))</f>
        <v>0</v>
      </c>
      <c r="M78" s="118"/>
      <c r="N78" s="115"/>
      <c r="O78" s="117"/>
      <c r="P78" s="87"/>
      <c r="Q78" s="87"/>
      <c r="R78" s="87">
        <f t="shared" si="8"/>
        <v>0</v>
      </c>
      <c r="S78" s="113">
        <f t="shared" si="6"/>
        <v>36.913096727263202</v>
      </c>
      <c r="T78" s="69">
        <f t="shared" si="9"/>
        <v>0</v>
      </c>
      <c r="U78" s="70">
        <f t="shared" si="10"/>
        <v>0</v>
      </c>
      <c r="V78" s="70">
        <f t="shared" si="11"/>
        <v>0</v>
      </c>
      <c r="W78" s="71">
        <f t="shared" si="12"/>
        <v>0</v>
      </c>
      <c r="X78" s="49"/>
      <c r="Y78" s="151"/>
      <c r="Z78" s="69"/>
      <c r="AA78" s="70"/>
      <c r="AB78" s="70"/>
      <c r="AC78" s="70" t="str">
        <f t="shared" si="13"/>
        <v>---</v>
      </c>
      <c r="AD78" s="70" t="str">
        <f>IFERROR(P78/#REF!-1,"---")</f>
        <v>---</v>
      </c>
      <c r="AE78" s="70" t="str">
        <f>IFERROR(#REF!/#REF!-1,"---")</f>
        <v>---</v>
      </c>
      <c r="AF78" s="70" t="str">
        <f>IFERROR(Q78/#REF!-1,"---")</f>
        <v>---</v>
      </c>
      <c r="AG78" s="70" t="str">
        <f>IFERROR(#REF!/#REF!-1,"---")</f>
        <v>---</v>
      </c>
      <c r="AH78" s="70" t="str">
        <f>IFERROR(#REF!/AA78-1,"---")</f>
        <v>---</v>
      </c>
      <c r="AI78" s="71" t="str">
        <f t="shared" si="14"/>
        <v>---</v>
      </c>
    </row>
    <row r="79" spans="1:35" ht="30" customHeight="1" x14ac:dyDescent="0.3">
      <c r="A79" s="123">
        <f t="shared" si="7"/>
        <v>74</v>
      </c>
      <c r="B79" s="140">
        <f>INDEX('PEER GROUP'!B:B,MATCH($A79,'PEER GROUP'!$A:$A,0))</f>
        <v>0</v>
      </c>
      <c r="C79" s="83">
        <f>INDEX('PEER GROUP'!C:C,MATCH($A79,'PEER GROUP'!$A:$A,0))</f>
        <v>0</v>
      </c>
      <c r="D79" s="83">
        <f>INDEX('PEER GROUP'!D:D,MATCH($A79,'PEER GROUP'!$A:$A,0))</f>
        <v>0</v>
      </c>
      <c r="E79" s="83">
        <f>INDEX('PEER GROUP'!E:E,MATCH(A79,'PEER GROUP'!$A:$A,0))</f>
        <v>0</v>
      </c>
      <c r="F79" s="84">
        <f>INDEX('PEER GROUP'!F:F,MATCH($A79,'PEER GROUP'!$A:$A,0))</f>
        <v>0</v>
      </c>
      <c r="G79" s="84">
        <f>INDEX('PEER GROUP'!G:G,MATCH($A79,'PEER GROUP'!$A:$A,0))</f>
        <v>0</v>
      </c>
      <c r="H79" s="85"/>
      <c r="I79" s="85"/>
      <c r="J79" s="70">
        <f>INDEX('PEER GROUP'!K:K,MATCH($A79,'PEER GROUP'!$A:$A,0))</f>
        <v>0</v>
      </c>
      <c r="K79" s="70">
        <f>INDEX('PEER GROUP'!L:L,MATCH($A79,'PEER GROUP'!$A:$A,0))</f>
        <v>0</v>
      </c>
      <c r="L79" s="81">
        <f>INDEX('PEER GROUP'!N:N,MATCH($A79,'PEER GROUP'!$A:$A,0))</f>
        <v>0</v>
      </c>
      <c r="M79" s="118"/>
      <c r="N79" s="115"/>
      <c r="O79" s="117"/>
      <c r="P79" s="87"/>
      <c r="Q79" s="87"/>
      <c r="R79" s="87">
        <f t="shared" si="8"/>
        <v>0</v>
      </c>
      <c r="S79" s="113">
        <f t="shared" si="6"/>
        <v>36.913096727263202</v>
      </c>
      <c r="T79" s="69">
        <f t="shared" si="9"/>
        <v>0</v>
      </c>
      <c r="U79" s="70">
        <f t="shared" si="10"/>
        <v>0</v>
      </c>
      <c r="V79" s="70">
        <f t="shared" si="11"/>
        <v>0</v>
      </c>
      <c r="W79" s="71">
        <f t="shared" si="12"/>
        <v>0</v>
      </c>
      <c r="X79" s="49"/>
      <c r="Y79" s="151"/>
      <c r="Z79" s="69"/>
      <c r="AA79" s="70"/>
      <c r="AB79" s="70"/>
      <c r="AC79" s="70" t="str">
        <f t="shared" si="13"/>
        <v>---</v>
      </c>
      <c r="AD79" s="70" t="str">
        <f>IFERROR(P79/#REF!-1,"---")</f>
        <v>---</v>
      </c>
      <c r="AE79" s="70" t="str">
        <f>IFERROR(#REF!/#REF!-1,"---")</f>
        <v>---</v>
      </c>
      <c r="AF79" s="70" t="str">
        <f>IFERROR(Q79/#REF!-1,"---")</f>
        <v>---</v>
      </c>
      <c r="AG79" s="70" t="str">
        <f>IFERROR(#REF!/#REF!-1,"---")</f>
        <v>---</v>
      </c>
      <c r="AH79" s="70" t="str">
        <f>IFERROR(#REF!/AA79-1,"---")</f>
        <v>---</v>
      </c>
      <c r="AI79" s="71" t="str">
        <f t="shared" si="14"/>
        <v>---</v>
      </c>
    </row>
    <row r="80" spans="1:35" ht="30" customHeight="1" x14ac:dyDescent="0.3">
      <c r="A80" s="123">
        <f t="shared" si="7"/>
        <v>75</v>
      </c>
      <c r="B80" s="140">
        <f>INDEX('PEER GROUP'!B:B,MATCH($A80,'PEER GROUP'!$A:$A,0))</f>
        <v>0</v>
      </c>
      <c r="C80" s="83">
        <f>INDEX('PEER GROUP'!C:C,MATCH($A80,'PEER GROUP'!$A:$A,0))</f>
        <v>0</v>
      </c>
      <c r="D80" s="83">
        <f>INDEX('PEER GROUP'!D:D,MATCH($A80,'PEER GROUP'!$A:$A,0))</f>
        <v>0</v>
      </c>
      <c r="E80" s="83">
        <f>INDEX('PEER GROUP'!E:E,MATCH(A80,'PEER GROUP'!$A:$A,0))</f>
        <v>0</v>
      </c>
      <c r="F80" s="84">
        <f>INDEX('PEER GROUP'!F:F,MATCH($A80,'PEER GROUP'!$A:$A,0))</f>
        <v>0</v>
      </c>
      <c r="G80" s="84">
        <f>INDEX('PEER GROUP'!G:G,MATCH($A80,'PEER GROUP'!$A:$A,0))</f>
        <v>0</v>
      </c>
      <c r="H80" s="85"/>
      <c r="I80" s="85"/>
      <c r="J80" s="70">
        <f>INDEX('PEER GROUP'!K:K,MATCH($A80,'PEER GROUP'!$A:$A,0))</f>
        <v>0</v>
      </c>
      <c r="K80" s="70">
        <f>INDEX('PEER GROUP'!L:L,MATCH($A80,'PEER GROUP'!$A:$A,0))</f>
        <v>0</v>
      </c>
      <c r="L80" s="81">
        <f>INDEX('PEER GROUP'!N:N,MATCH($A80,'PEER GROUP'!$A:$A,0))</f>
        <v>0</v>
      </c>
      <c r="M80" s="118"/>
      <c r="N80" s="115"/>
      <c r="O80" s="117"/>
      <c r="P80" s="87"/>
      <c r="Q80" s="87"/>
      <c r="R80" s="87">
        <f t="shared" si="8"/>
        <v>0</v>
      </c>
      <c r="S80" s="113">
        <f t="shared" si="6"/>
        <v>36.913096727263202</v>
      </c>
      <c r="T80" s="69">
        <f t="shared" si="9"/>
        <v>0</v>
      </c>
      <c r="U80" s="70">
        <f t="shared" si="10"/>
        <v>0</v>
      </c>
      <c r="V80" s="70">
        <f t="shared" si="11"/>
        <v>0</v>
      </c>
      <c r="W80" s="71">
        <f t="shared" si="12"/>
        <v>0</v>
      </c>
      <c r="X80" s="49"/>
      <c r="Y80" s="151"/>
      <c r="Z80" s="69"/>
      <c r="AA80" s="70"/>
      <c r="AB80" s="70"/>
      <c r="AC80" s="70" t="str">
        <f t="shared" si="13"/>
        <v>---</v>
      </c>
      <c r="AD80" s="70" t="str">
        <f>IFERROR(P80/#REF!-1,"---")</f>
        <v>---</v>
      </c>
      <c r="AE80" s="70" t="str">
        <f>IFERROR(#REF!/#REF!-1,"---")</f>
        <v>---</v>
      </c>
      <c r="AF80" s="70" t="str">
        <f>IFERROR(Q80/#REF!-1,"---")</f>
        <v>---</v>
      </c>
      <c r="AG80" s="70" t="str">
        <f>IFERROR(#REF!/#REF!-1,"---")</f>
        <v>---</v>
      </c>
      <c r="AH80" s="70" t="str">
        <f>IFERROR(#REF!/AA80-1,"---")</f>
        <v>---</v>
      </c>
      <c r="AI80" s="71" t="str">
        <f t="shared" si="14"/>
        <v>---</v>
      </c>
    </row>
    <row r="81" spans="1:35" ht="30" customHeight="1" x14ac:dyDescent="0.3">
      <c r="A81" s="123">
        <f t="shared" si="7"/>
        <v>76</v>
      </c>
      <c r="B81" s="140">
        <f>INDEX('PEER GROUP'!B:B,MATCH($A81,'PEER GROUP'!$A:$A,0))</f>
        <v>0</v>
      </c>
      <c r="C81" s="83">
        <f>INDEX('PEER GROUP'!C:C,MATCH($A81,'PEER GROUP'!$A:$A,0))</f>
        <v>0</v>
      </c>
      <c r="D81" s="83">
        <f>INDEX('PEER GROUP'!D:D,MATCH($A81,'PEER GROUP'!$A:$A,0))</f>
        <v>0</v>
      </c>
      <c r="E81" s="83">
        <f>INDEX('PEER GROUP'!E:E,MATCH(A81,'PEER GROUP'!$A:$A,0))</f>
        <v>0</v>
      </c>
      <c r="F81" s="84">
        <f>INDEX('PEER GROUP'!F:F,MATCH($A81,'PEER GROUP'!$A:$A,0))</f>
        <v>0</v>
      </c>
      <c r="G81" s="84">
        <f>INDEX('PEER GROUP'!G:G,MATCH($A81,'PEER GROUP'!$A:$A,0))</f>
        <v>0</v>
      </c>
      <c r="H81" s="85"/>
      <c r="I81" s="85"/>
      <c r="J81" s="70">
        <f>INDEX('PEER GROUP'!K:K,MATCH($A81,'PEER GROUP'!$A:$A,0))</f>
        <v>0</v>
      </c>
      <c r="K81" s="70">
        <f>INDEX('PEER GROUP'!L:L,MATCH($A81,'PEER GROUP'!$A:$A,0))</f>
        <v>0</v>
      </c>
      <c r="L81" s="81">
        <f>INDEX('PEER GROUP'!N:N,MATCH($A81,'PEER GROUP'!$A:$A,0))</f>
        <v>0</v>
      </c>
      <c r="M81" s="118"/>
      <c r="N81" s="115"/>
      <c r="O81" s="117"/>
      <c r="P81" s="87"/>
      <c r="Q81" s="87"/>
      <c r="R81" s="87">
        <f t="shared" si="8"/>
        <v>0</v>
      </c>
      <c r="S81" s="113">
        <f t="shared" si="6"/>
        <v>36.913096727263202</v>
      </c>
      <c r="T81" s="69">
        <f t="shared" si="9"/>
        <v>0</v>
      </c>
      <c r="U81" s="70">
        <f t="shared" si="10"/>
        <v>0</v>
      </c>
      <c r="V81" s="70">
        <f t="shared" si="11"/>
        <v>0</v>
      </c>
      <c r="W81" s="71">
        <f t="shared" si="12"/>
        <v>0</v>
      </c>
      <c r="X81" s="49"/>
      <c r="Y81" s="151"/>
      <c r="Z81" s="69"/>
      <c r="AA81" s="70"/>
      <c r="AB81" s="70"/>
      <c r="AC81" s="70" t="str">
        <f t="shared" si="13"/>
        <v>---</v>
      </c>
      <c r="AD81" s="70" t="str">
        <f>IFERROR(P81/#REF!-1,"---")</f>
        <v>---</v>
      </c>
      <c r="AE81" s="70" t="str">
        <f>IFERROR(#REF!/#REF!-1,"---")</f>
        <v>---</v>
      </c>
      <c r="AF81" s="70" t="str">
        <f>IFERROR(Q81/#REF!-1,"---")</f>
        <v>---</v>
      </c>
      <c r="AG81" s="70" t="str">
        <f>IFERROR(#REF!/#REF!-1,"---")</f>
        <v>---</v>
      </c>
      <c r="AH81" s="70" t="str">
        <f>IFERROR(#REF!/AA81-1,"---")</f>
        <v>---</v>
      </c>
      <c r="AI81" s="71" t="str">
        <f t="shared" si="14"/>
        <v>---</v>
      </c>
    </row>
    <row r="82" spans="1:35" ht="30" customHeight="1" x14ac:dyDescent="0.3">
      <c r="A82" s="123">
        <f t="shared" si="7"/>
        <v>77</v>
      </c>
      <c r="B82" s="140">
        <f>INDEX('PEER GROUP'!B:B,MATCH($A82,'PEER GROUP'!$A:$A,0))</f>
        <v>0</v>
      </c>
      <c r="C82" s="83">
        <f>INDEX('PEER GROUP'!C:C,MATCH($A82,'PEER GROUP'!$A:$A,0))</f>
        <v>0</v>
      </c>
      <c r="D82" s="83">
        <f>INDEX('PEER GROUP'!D:D,MATCH($A82,'PEER GROUP'!$A:$A,0))</f>
        <v>0</v>
      </c>
      <c r="E82" s="83">
        <f>INDEX('PEER GROUP'!E:E,MATCH(A82,'PEER GROUP'!$A:$A,0))</f>
        <v>0</v>
      </c>
      <c r="F82" s="84">
        <f>INDEX('PEER GROUP'!F:F,MATCH($A82,'PEER GROUP'!$A:$A,0))</f>
        <v>0</v>
      </c>
      <c r="G82" s="84">
        <f>INDEX('PEER GROUP'!G:G,MATCH($A82,'PEER GROUP'!$A:$A,0))</f>
        <v>0</v>
      </c>
      <c r="H82" s="85"/>
      <c r="I82" s="85"/>
      <c r="J82" s="70">
        <f>INDEX('PEER GROUP'!K:K,MATCH($A82,'PEER GROUP'!$A:$A,0))</f>
        <v>0</v>
      </c>
      <c r="K82" s="70">
        <f>INDEX('PEER GROUP'!L:L,MATCH($A82,'PEER GROUP'!$A:$A,0))</f>
        <v>0</v>
      </c>
      <c r="L82" s="81">
        <f>INDEX('PEER GROUP'!N:N,MATCH($A82,'PEER GROUP'!$A:$A,0))</f>
        <v>0</v>
      </c>
      <c r="M82" s="118"/>
      <c r="N82" s="115"/>
      <c r="O82" s="117"/>
      <c r="P82" s="87"/>
      <c r="Q82" s="87"/>
      <c r="R82" s="87">
        <f t="shared" si="8"/>
        <v>0</v>
      </c>
      <c r="S82" s="113">
        <f t="shared" si="6"/>
        <v>36.913096727263202</v>
      </c>
      <c r="T82" s="69">
        <f t="shared" si="9"/>
        <v>0</v>
      </c>
      <c r="U82" s="70">
        <f t="shared" si="10"/>
        <v>0</v>
      </c>
      <c r="V82" s="70">
        <f t="shared" si="11"/>
        <v>0</v>
      </c>
      <c r="W82" s="71">
        <f t="shared" si="12"/>
        <v>0</v>
      </c>
      <c r="X82" s="49"/>
      <c r="Y82" s="151"/>
      <c r="Z82" s="69"/>
      <c r="AA82" s="70"/>
      <c r="AB82" s="70"/>
      <c r="AC82" s="70" t="str">
        <f t="shared" si="13"/>
        <v>---</v>
      </c>
      <c r="AD82" s="70" t="str">
        <f>IFERROR(P82/#REF!-1,"---")</f>
        <v>---</v>
      </c>
      <c r="AE82" s="70" t="str">
        <f>IFERROR(#REF!/#REF!-1,"---")</f>
        <v>---</v>
      </c>
      <c r="AF82" s="70" t="str">
        <f>IFERROR(Q82/#REF!-1,"---")</f>
        <v>---</v>
      </c>
      <c r="AG82" s="70" t="str">
        <f>IFERROR(#REF!/#REF!-1,"---")</f>
        <v>---</v>
      </c>
      <c r="AH82" s="70" t="str">
        <f>IFERROR(#REF!/AA82-1,"---")</f>
        <v>---</v>
      </c>
      <c r="AI82" s="71" t="str">
        <f t="shared" si="14"/>
        <v>---</v>
      </c>
    </row>
    <row r="83" spans="1:35" ht="30" customHeight="1" x14ac:dyDescent="0.3">
      <c r="A83" s="123">
        <f t="shared" si="7"/>
        <v>78</v>
      </c>
      <c r="B83" s="140">
        <f>INDEX('PEER GROUP'!B:B,MATCH($A83,'PEER GROUP'!$A:$A,0))</f>
        <v>0</v>
      </c>
      <c r="C83" s="83">
        <f>INDEX('PEER GROUP'!C:C,MATCH($A83,'PEER GROUP'!$A:$A,0))</f>
        <v>0</v>
      </c>
      <c r="D83" s="83">
        <f>INDEX('PEER GROUP'!D:D,MATCH($A83,'PEER GROUP'!$A:$A,0))</f>
        <v>0</v>
      </c>
      <c r="E83" s="83">
        <f>INDEX('PEER GROUP'!E:E,MATCH(A83,'PEER GROUP'!$A:$A,0))</f>
        <v>0</v>
      </c>
      <c r="F83" s="84">
        <f>INDEX('PEER GROUP'!F:F,MATCH($A83,'PEER GROUP'!$A:$A,0))</f>
        <v>0</v>
      </c>
      <c r="G83" s="84">
        <f>INDEX('PEER GROUP'!G:G,MATCH($A83,'PEER GROUP'!$A:$A,0))</f>
        <v>0</v>
      </c>
      <c r="H83" s="85"/>
      <c r="I83" s="85"/>
      <c r="J83" s="70">
        <f>INDEX('PEER GROUP'!K:K,MATCH($A83,'PEER GROUP'!$A:$A,0))</f>
        <v>0</v>
      </c>
      <c r="K83" s="70">
        <f>INDEX('PEER GROUP'!L:L,MATCH($A83,'PEER GROUP'!$A:$A,0))</f>
        <v>0</v>
      </c>
      <c r="L83" s="81">
        <f>INDEX('PEER GROUP'!N:N,MATCH($A83,'PEER GROUP'!$A:$A,0))</f>
        <v>0</v>
      </c>
      <c r="M83" s="118"/>
      <c r="N83" s="115"/>
      <c r="O83" s="117"/>
      <c r="P83" s="87"/>
      <c r="Q83" s="87"/>
      <c r="R83" s="87">
        <f t="shared" si="8"/>
        <v>0</v>
      </c>
      <c r="S83" s="113">
        <f t="shared" si="6"/>
        <v>36.913096727263202</v>
      </c>
      <c r="T83" s="69">
        <f t="shared" si="9"/>
        <v>0</v>
      </c>
      <c r="U83" s="70">
        <f t="shared" si="10"/>
        <v>0</v>
      </c>
      <c r="V83" s="70">
        <f t="shared" si="11"/>
        <v>0</v>
      </c>
      <c r="W83" s="71">
        <f t="shared" si="12"/>
        <v>0</v>
      </c>
      <c r="X83" s="49"/>
      <c r="Y83" s="151"/>
      <c r="Z83" s="69"/>
      <c r="AA83" s="70"/>
      <c r="AB83" s="70"/>
      <c r="AC83" s="70" t="str">
        <f t="shared" si="13"/>
        <v>---</v>
      </c>
      <c r="AD83" s="70" t="str">
        <f>IFERROR(P83/#REF!-1,"---")</f>
        <v>---</v>
      </c>
      <c r="AE83" s="70" t="str">
        <f>IFERROR(#REF!/#REF!-1,"---")</f>
        <v>---</v>
      </c>
      <c r="AF83" s="70" t="str">
        <f>IFERROR(Q83/#REF!-1,"---")</f>
        <v>---</v>
      </c>
      <c r="AG83" s="70" t="str">
        <f>IFERROR(#REF!/#REF!-1,"---")</f>
        <v>---</v>
      </c>
      <c r="AH83" s="70" t="str">
        <f>IFERROR(#REF!/AA83-1,"---")</f>
        <v>---</v>
      </c>
      <c r="AI83" s="71" t="str">
        <f t="shared" si="14"/>
        <v>---</v>
      </c>
    </row>
    <row r="84" spans="1:35" ht="30" customHeight="1" x14ac:dyDescent="0.3">
      <c r="A84" s="123">
        <f t="shared" si="7"/>
        <v>79</v>
      </c>
      <c r="B84" s="140">
        <f>INDEX('PEER GROUP'!B:B,MATCH($A84,'PEER GROUP'!$A:$A,0))</f>
        <v>0</v>
      </c>
      <c r="C84" s="83">
        <f>INDEX('PEER GROUP'!C:C,MATCH($A84,'PEER GROUP'!$A:$A,0))</f>
        <v>0</v>
      </c>
      <c r="D84" s="83">
        <f>INDEX('PEER GROUP'!D:D,MATCH($A84,'PEER GROUP'!$A:$A,0))</f>
        <v>0</v>
      </c>
      <c r="E84" s="83">
        <f>INDEX('PEER GROUP'!E:E,MATCH(A84,'PEER GROUP'!$A:$A,0))</f>
        <v>0</v>
      </c>
      <c r="F84" s="84">
        <f>INDEX('PEER GROUP'!F:F,MATCH($A84,'PEER GROUP'!$A:$A,0))</f>
        <v>0</v>
      </c>
      <c r="G84" s="84">
        <f>INDEX('PEER GROUP'!G:G,MATCH($A84,'PEER GROUP'!$A:$A,0))</f>
        <v>0</v>
      </c>
      <c r="H84" s="85"/>
      <c r="I84" s="85"/>
      <c r="J84" s="70">
        <f>INDEX('PEER GROUP'!K:K,MATCH($A84,'PEER GROUP'!$A:$A,0))</f>
        <v>0</v>
      </c>
      <c r="K84" s="70">
        <f>INDEX('PEER GROUP'!L:L,MATCH($A84,'PEER GROUP'!$A:$A,0))</f>
        <v>0</v>
      </c>
      <c r="L84" s="81">
        <f>INDEX('PEER GROUP'!N:N,MATCH($A84,'PEER GROUP'!$A:$A,0))</f>
        <v>0</v>
      </c>
      <c r="M84" s="118"/>
      <c r="N84" s="115"/>
      <c r="O84" s="117"/>
      <c r="P84" s="87"/>
      <c r="Q84" s="87"/>
      <c r="R84" s="87">
        <f t="shared" si="8"/>
        <v>0</v>
      </c>
      <c r="S84" s="113">
        <f t="shared" si="6"/>
        <v>36.913096727263202</v>
      </c>
      <c r="T84" s="69">
        <f t="shared" si="9"/>
        <v>0</v>
      </c>
      <c r="U84" s="70">
        <f t="shared" si="10"/>
        <v>0</v>
      </c>
      <c r="V84" s="70">
        <f t="shared" si="11"/>
        <v>0</v>
      </c>
      <c r="W84" s="71">
        <f t="shared" si="12"/>
        <v>0</v>
      </c>
      <c r="X84" s="49"/>
      <c r="Y84" s="151"/>
      <c r="Z84" s="69"/>
      <c r="AA84" s="70"/>
      <c r="AB84" s="70"/>
      <c r="AC84" s="70" t="str">
        <f t="shared" si="13"/>
        <v>---</v>
      </c>
      <c r="AD84" s="70" t="str">
        <f>IFERROR(P84/#REF!-1,"---")</f>
        <v>---</v>
      </c>
      <c r="AE84" s="70" t="str">
        <f>IFERROR(#REF!/#REF!-1,"---")</f>
        <v>---</v>
      </c>
      <c r="AF84" s="70" t="str">
        <f>IFERROR(Q84/#REF!-1,"---")</f>
        <v>---</v>
      </c>
      <c r="AG84" s="70" t="str">
        <f>IFERROR(#REF!/#REF!-1,"---")</f>
        <v>---</v>
      </c>
      <c r="AH84" s="70" t="str">
        <f>IFERROR(#REF!/AA84-1,"---")</f>
        <v>---</v>
      </c>
      <c r="AI84" s="71" t="str">
        <f t="shared" si="14"/>
        <v>---</v>
      </c>
    </row>
    <row r="85" spans="1:35" ht="30" customHeight="1" x14ac:dyDescent="0.3">
      <c r="A85" s="123">
        <f t="shared" si="7"/>
        <v>80</v>
      </c>
      <c r="B85" s="140">
        <f>INDEX('PEER GROUP'!B:B,MATCH($A85,'PEER GROUP'!$A:$A,0))</f>
        <v>0</v>
      </c>
      <c r="C85" s="83">
        <f>INDEX('PEER GROUP'!C:C,MATCH($A85,'PEER GROUP'!$A:$A,0))</f>
        <v>0</v>
      </c>
      <c r="D85" s="83">
        <f>INDEX('PEER GROUP'!D:D,MATCH($A85,'PEER GROUP'!$A:$A,0))</f>
        <v>0</v>
      </c>
      <c r="E85" s="83">
        <f>INDEX('PEER GROUP'!E:E,MATCH(A85,'PEER GROUP'!$A:$A,0))</f>
        <v>0</v>
      </c>
      <c r="F85" s="84">
        <f>INDEX('PEER GROUP'!F:F,MATCH($A85,'PEER GROUP'!$A:$A,0))</f>
        <v>0</v>
      </c>
      <c r="G85" s="84">
        <f>INDEX('PEER GROUP'!G:G,MATCH($A85,'PEER GROUP'!$A:$A,0))</f>
        <v>0</v>
      </c>
      <c r="H85" s="85"/>
      <c r="I85" s="85"/>
      <c r="J85" s="70">
        <f>INDEX('PEER GROUP'!K:K,MATCH($A85,'PEER GROUP'!$A:$A,0))</f>
        <v>0</v>
      </c>
      <c r="K85" s="70">
        <f>INDEX('PEER GROUP'!L:L,MATCH($A85,'PEER GROUP'!$A:$A,0))</f>
        <v>0</v>
      </c>
      <c r="L85" s="81">
        <f>INDEX('PEER GROUP'!N:N,MATCH($A85,'PEER GROUP'!$A:$A,0))</f>
        <v>0</v>
      </c>
      <c r="M85" s="118"/>
      <c r="N85" s="115"/>
      <c r="O85" s="117"/>
      <c r="P85" s="87"/>
      <c r="Q85" s="87"/>
      <c r="R85" s="87">
        <f t="shared" si="8"/>
        <v>0</v>
      </c>
      <c r="S85" s="113">
        <f t="shared" si="6"/>
        <v>36.913096727263202</v>
      </c>
      <c r="T85" s="69">
        <f t="shared" si="9"/>
        <v>0</v>
      </c>
      <c r="U85" s="70">
        <f t="shared" si="10"/>
        <v>0</v>
      </c>
      <c r="V85" s="70">
        <f t="shared" si="11"/>
        <v>0</v>
      </c>
      <c r="W85" s="71">
        <f t="shared" si="12"/>
        <v>0</v>
      </c>
      <c r="X85" s="49"/>
      <c r="Y85" s="151"/>
      <c r="Z85" s="69"/>
      <c r="AA85" s="70"/>
      <c r="AB85" s="70"/>
      <c r="AC85" s="70" t="str">
        <f t="shared" si="13"/>
        <v>---</v>
      </c>
      <c r="AD85" s="70" t="str">
        <f>IFERROR(P85/#REF!-1,"---")</f>
        <v>---</v>
      </c>
      <c r="AE85" s="70" t="str">
        <f>IFERROR(#REF!/#REF!-1,"---")</f>
        <v>---</v>
      </c>
      <c r="AF85" s="70" t="str">
        <f>IFERROR(Q85/#REF!-1,"---")</f>
        <v>---</v>
      </c>
      <c r="AG85" s="70" t="str">
        <f>IFERROR(#REF!/#REF!-1,"---")</f>
        <v>---</v>
      </c>
      <c r="AH85" s="70" t="str">
        <f>IFERROR(#REF!/AA85-1,"---")</f>
        <v>---</v>
      </c>
      <c r="AI85" s="71" t="str">
        <f t="shared" si="14"/>
        <v>---</v>
      </c>
    </row>
    <row r="86" spans="1:35" ht="30" customHeight="1" x14ac:dyDescent="0.3">
      <c r="A86" s="123">
        <f t="shared" si="7"/>
        <v>81</v>
      </c>
      <c r="B86" s="140">
        <f>INDEX('PEER GROUP'!B:B,MATCH($A86,'PEER GROUP'!$A:$A,0))</f>
        <v>0</v>
      </c>
      <c r="C86" s="83">
        <f>INDEX('PEER GROUP'!C:C,MATCH($A86,'PEER GROUP'!$A:$A,0))</f>
        <v>0</v>
      </c>
      <c r="D86" s="83">
        <f>INDEX('PEER GROUP'!D:D,MATCH($A86,'PEER GROUP'!$A:$A,0))</f>
        <v>0</v>
      </c>
      <c r="E86" s="83">
        <f>INDEX('PEER GROUP'!E:E,MATCH(A86,'PEER GROUP'!$A:$A,0))</f>
        <v>0</v>
      </c>
      <c r="F86" s="84">
        <f>INDEX('PEER GROUP'!F:F,MATCH($A86,'PEER GROUP'!$A:$A,0))</f>
        <v>0</v>
      </c>
      <c r="G86" s="84">
        <f>INDEX('PEER GROUP'!G:G,MATCH($A86,'PEER GROUP'!$A:$A,0))</f>
        <v>0</v>
      </c>
      <c r="H86" s="85"/>
      <c r="I86" s="85"/>
      <c r="J86" s="70">
        <f>INDEX('PEER GROUP'!K:K,MATCH($A86,'PEER GROUP'!$A:$A,0))</f>
        <v>0</v>
      </c>
      <c r="K86" s="70">
        <f>INDEX('PEER GROUP'!L:L,MATCH($A86,'PEER GROUP'!$A:$A,0))</f>
        <v>0</v>
      </c>
      <c r="L86" s="81">
        <f>INDEX('PEER GROUP'!N:N,MATCH($A86,'PEER GROUP'!$A:$A,0))</f>
        <v>0</v>
      </c>
      <c r="M86" s="118"/>
      <c r="N86" s="115"/>
      <c r="O86" s="117"/>
      <c r="P86" s="87"/>
      <c r="Q86" s="87"/>
      <c r="R86" s="87">
        <f t="shared" si="8"/>
        <v>0</v>
      </c>
      <c r="S86" s="113">
        <f t="shared" si="6"/>
        <v>36.913096727263202</v>
      </c>
      <c r="T86" s="69">
        <f t="shared" si="9"/>
        <v>0</v>
      </c>
      <c r="U86" s="70">
        <f t="shared" si="10"/>
        <v>0</v>
      </c>
      <c r="V86" s="70">
        <f t="shared" si="11"/>
        <v>0</v>
      </c>
      <c r="W86" s="71">
        <f t="shared" si="12"/>
        <v>0</v>
      </c>
      <c r="X86" s="49"/>
      <c r="Y86" s="151"/>
      <c r="Z86" s="69"/>
      <c r="AA86" s="70"/>
      <c r="AB86" s="70"/>
      <c r="AC86" s="70" t="str">
        <f t="shared" si="13"/>
        <v>---</v>
      </c>
      <c r="AD86" s="70" t="str">
        <f>IFERROR(P86/#REF!-1,"---")</f>
        <v>---</v>
      </c>
      <c r="AE86" s="70" t="str">
        <f>IFERROR(#REF!/#REF!-1,"---")</f>
        <v>---</v>
      </c>
      <c r="AF86" s="70" t="str">
        <f>IFERROR(Q86/#REF!-1,"---")</f>
        <v>---</v>
      </c>
      <c r="AG86" s="70" t="str">
        <f>IFERROR(#REF!/#REF!-1,"---")</f>
        <v>---</v>
      </c>
      <c r="AH86" s="70" t="str">
        <f>IFERROR(#REF!/AA86-1,"---")</f>
        <v>---</v>
      </c>
      <c r="AI86" s="71" t="str">
        <f t="shared" si="14"/>
        <v>---</v>
      </c>
    </row>
    <row r="87" spans="1:35" ht="30" customHeight="1" x14ac:dyDescent="0.3">
      <c r="A87" s="123">
        <f t="shared" si="7"/>
        <v>82</v>
      </c>
      <c r="B87" s="140">
        <f>INDEX('PEER GROUP'!B:B,MATCH($A87,'PEER GROUP'!$A:$A,0))</f>
        <v>0</v>
      </c>
      <c r="C87" s="83">
        <f>INDEX('PEER GROUP'!C:C,MATCH($A87,'PEER GROUP'!$A:$A,0))</f>
        <v>0</v>
      </c>
      <c r="D87" s="83">
        <f>INDEX('PEER GROUP'!D:D,MATCH($A87,'PEER GROUP'!$A:$A,0))</f>
        <v>0</v>
      </c>
      <c r="E87" s="83">
        <f>INDEX('PEER GROUP'!E:E,MATCH(A87,'PEER GROUP'!$A:$A,0))</f>
        <v>0</v>
      </c>
      <c r="F87" s="84">
        <f>INDEX('PEER GROUP'!F:F,MATCH($A87,'PEER GROUP'!$A:$A,0))</f>
        <v>0</v>
      </c>
      <c r="G87" s="84">
        <f>INDEX('PEER GROUP'!G:G,MATCH($A87,'PEER GROUP'!$A:$A,0))</f>
        <v>0</v>
      </c>
      <c r="H87" s="85"/>
      <c r="I87" s="85"/>
      <c r="J87" s="70">
        <f>INDEX('PEER GROUP'!K:K,MATCH($A87,'PEER GROUP'!$A:$A,0))</f>
        <v>0</v>
      </c>
      <c r="K87" s="70">
        <f>INDEX('PEER GROUP'!L:L,MATCH($A87,'PEER GROUP'!$A:$A,0))</f>
        <v>0</v>
      </c>
      <c r="L87" s="81">
        <f>INDEX('PEER GROUP'!N:N,MATCH($A87,'PEER GROUP'!$A:$A,0))</f>
        <v>0</v>
      </c>
      <c r="M87" s="118"/>
      <c r="N87" s="115"/>
      <c r="O87" s="117"/>
      <c r="P87" s="87"/>
      <c r="Q87" s="87"/>
      <c r="R87" s="87">
        <f t="shared" si="8"/>
        <v>0</v>
      </c>
      <c r="S87" s="113">
        <f t="shared" si="6"/>
        <v>36.913096727263202</v>
      </c>
      <c r="T87" s="69">
        <f t="shared" si="9"/>
        <v>0</v>
      </c>
      <c r="U87" s="70">
        <f t="shared" si="10"/>
        <v>0</v>
      </c>
      <c r="V87" s="70">
        <f t="shared" si="11"/>
        <v>0</v>
      </c>
      <c r="W87" s="71">
        <f t="shared" si="12"/>
        <v>0</v>
      </c>
      <c r="X87" s="49"/>
      <c r="Y87" s="151"/>
      <c r="Z87" s="69"/>
      <c r="AA87" s="70"/>
      <c r="AB87" s="70"/>
      <c r="AC87" s="70" t="str">
        <f t="shared" si="13"/>
        <v>---</v>
      </c>
      <c r="AD87" s="70" t="str">
        <f>IFERROR(P87/#REF!-1,"---")</f>
        <v>---</v>
      </c>
      <c r="AE87" s="70" t="str">
        <f>IFERROR(#REF!/#REF!-1,"---")</f>
        <v>---</v>
      </c>
      <c r="AF87" s="70" t="str">
        <f>IFERROR(Q87/#REF!-1,"---")</f>
        <v>---</v>
      </c>
      <c r="AG87" s="70" t="str">
        <f>IFERROR(#REF!/#REF!-1,"---")</f>
        <v>---</v>
      </c>
      <c r="AH87" s="70" t="str">
        <f>IFERROR(#REF!/AA87-1,"---")</f>
        <v>---</v>
      </c>
      <c r="AI87" s="71" t="str">
        <f t="shared" si="14"/>
        <v>---</v>
      </c>
    </row>
    <row r="88" spans="1:35" ht="30" customHeight="1" x14ac:dyDescent="0.3">
      <c r="A88" s="123">
        <f t="shared" si="7"/>
        <v>83</v>
      </c>
      <c r="B88" s="140">
        <f>INDEX('PEER GROUP'!B:B,MATCH($A88,'PEER GROUP'!$A:$A,0))</f>
        <v>0</v>
      </c>
      <c r="C88" s="83">
        <f>INDEX('PEER GROUP'!C:C,MATCH($A88,'PEER GROUP'!$A:$A,0))</f>
        <v>0</v>
      </c>
      <c r="D88" s="83">
        <f>INDEX('PEER GROUP'!D:D,MATCH($A88,'PEER GROUP'!$A:$A,0))</f>
        <v>0</v>
      </c>
      <c r="E88" s="83">
        <f>INDEX('PEER GROUP'!E:E,MATCH(A88,'PEER GROUP'!$A:$A,0))</f>
        <v>0</v>
      </c>
      <c r="F88" s="84">
        <f>INDEX('PEER GROUP'!F:F,MATCH($A88,'PEER GROUP'!$A:$A,0))</f>
        <v>0</v>
      </c>
      <c r="G88" s="84">
        <f>INDEX('PEER GROUP'!G:G,MATCH($A88,'PEER GROUP'!$A:$A,0))</f>
        <v>0</v>
      </c>
      <c r="H88" s="85"/>
      <c r="I88" s="85"/>
      <c r="J88" s="70">
        <f>INDEX('PEER GROUP'!K:K,MATCH($A88,'PEER GROUP'!$A:$A,0))</f>
        <v>0</v>
      </c>
      <c r="K88" s="70">
        <f>INDEX('PEER GROUP'!L:L,MATCH($A88,'PEER GROUP'!$A:$A,0))</f>
        <v>0</v>
      </c>
      <c r="L88" s="81">
        <f>INDEX('PEER GROUP'!N:N,MATCH($A88,'PEER GROUP'!$A:$A,0))</f>
        <v>0</v>
      </c>
      <c r="M88" s="118"/>
      <c r="N88" s="115"/>
      <c r="O88" s="117"/>
      <c r="P88" s="87"/>
      <c r="Q88" s="87"/>
      <c r="R88" s="87">
        <f t="shared" si="8"/>
        <v>0</v>
      </c>
      <c r="S88" s="113">
        <f t="shared" si="6"/>
        <v>36.913096727263202</v>
      </c>
      <c r="T88" s="69">
        <f t="shared" si="9"/>
        <v>0</v>
      </c>
      <c r="U88" s="70">
        <f t="shared" si="10"/>
        <v>0</v>
      </c>
      <c r="V88" s="70">
        <f t="shared" si="11"/>
        <v>0</v>
      </c>
      <c r="W88" s="71">
        <f t="shared" si="12"/>
        <v>0</v>
      </c>
      <c r="X88" s="49"/>
      <c r="Y88" s="151"/>
      <c r="Z88" s="69"/>
      <c r="AA88" s="70"/>
      <c r="AB88" s="70"/>
      <c r="AC88" s="70" t="str">
        <f t="shared" si="13"/>
        <v>---</v>
      </c>
      <c r="AD88" s="70" t="str">
        <f>IFERROR(P88/#REF!-1,"---")</f>
        <v>---</v>
      </c>
      <c r="AE88" s="70" t="str">
        <f>IFERROR(#REF!/#REF!-1,"---")</f>
        <v>---</v>
      </c>
      <c r="AF88" s="70" t="str">
        <f>IFERROR(Q88/#REF!-1,"---")</f>
        <v>---</v>
      </c>
      <c r="AG88" s="70" t="str">
        <f>IFERROR(#REF!/#REF!-1,"---")</f>
        <v>---</v>
      </c>
      <c r="AH88" s="70" t="str">
        <f>IFERROR(#REF!/AA88-1,"---")</f>
        <v>---</v>
      </c>
      <c r="AI88" s="71" t="str">
        <f t="shared" si="14"/>
        <v>---</v>
      </c>
    </row>
    <row r="89" spans="1:35" ht="30" customHeight="1" x14ac:dyDescent="0.3">
      <c r="A89" s="123">
        <f t="shared" si="7"/>
        <v>84</v>
      </c>
      <c r="B89" s="140">
        <f>INDEX('PEER GROUP'!B:B,MATCH($A89,'PEER GROUP'!$A:$A,0))</f>
        <v>0</v>
      </c>
      <c r="C89" s="83">
        <f>INDEX('PEER GROUP'!C:C,MATCH($A89,'PEER GROUP'!$A:$A,0))</f>
        <v>0</v>
      </c>
      <c r="D89" s="83">
        <f>INDEX('PEER GROUP'!D:D,MATCH($A89,'PEER GROUP'!$A:$A,0))</f>
        <v>0</v>
      </c>
      <c r="E89" s="83">
        <f>INDEX('PEER GROUP'!E:E,MATCH(A89,'PEER GROUP'!$A:$A,0))</f>
        <v>0</v>
      </c>
      <c r="F89" s="84">
        <f>INDEX('PEER GROUP'!F:F,MATCH($A89,'PEER GROUP'!$A:$A,0))</f>
        <v>0</v>
      </c>
      <c r="G89" s="84">
        <f>INDEX('PEER GROUP'!G:G,MATCH($A89,'PEER GROUP'!$A:$A,0))</f>
        <v>0</v>
      </c>
      <c r="H89" s="85"/>
      <c r="I89" s="85"/>
      <c r="J89" s="70">
        <f>INDEX('PEER GROUP'!K:K,MATCH($A89,'PEER GROUP'!$A:$A,0))</f>
        <v>0</v>
      </c>
      <c r="K89" s="70">
        <f>INDEX('PEER GROUP'!L:L,MATCH($A89,'PEER GROUP'!$A:$A,0))</f>
        <v>0</v>
      </c>
      <c r="L89" s="81">
        <f>INDEX('PEER GROUP'!N:N,MATCH($A89,'PEER GROUP'!$A:$A,0))</f>
        <v>0</v>
      </c>
      <c r="M89" s="118"/>
      <c r="N89" s="115"/>
      <c r="O89" s="117"/>
      <c r="P89" s="87"/>
      <c r="Q89" s="87"/>
      <c r="R89" s="87">
        <f t="shared" si="8"/>
        <v>0</v>
      </c>
      <c r="S89" s="113">
        <f t="shared" si="6"/>
        <v>36.913096727263202</v>
      </c>
      <c r="T89" s="69">
        <f t="shared" si="9"/>
        <v>0</v>
      </c>
      <c r="U89" s="70">
        <f t="shared" si="10"/>
        <v>0</v>
      </c>
      <c r="V89" s="70">
        <f t="shared" si="11"/>
        <v>0</v>
      </c>
      <c r="W89" s="71">
        <f t="shared" si="12"/>
        <v>0</v>
      </c>
      <c r="X89" s="49"/>
      <c r="Y89" s="151"/>
      <c r="Z89" s="69"/>
      <c r="AA89" s="70"/>
      <c r="AB89" s="70"/>
      <c r="AC89" s="70" t="str">
        <f t="shared" si="13"/>
        <v>---</v>
      </c>
      <c r="AD89" s="70" t="str">
        <f>IFERROR(P89/#REF!-1,"---")</f>
        <v>---</v>
      </c>
      <c r="AE89" s="70" t="str">
        <f>IFERROR(#REF!/#REF!-1,"---")</f>
        <v>---</v>
      </c>
      <c r="AF89" s="70" t="str">
        <f>IFERROR(Q89/#REF!-1,"---")</f>
        <v>---</v>
      </c>
      <c r="AG89" s="70" t="str">
        <f>IFERROR(#REF!/#REF!-1,"---")</f>
        <v>---</v>
      </c>
      <c r="AH89" s="70" t="str">
        <f>IFERROR(#REF!/AA89-1,"---")</f>
        <v>---</v>
      </c>
      <c r="AI89" s="71" t="str">
        <f t="shared" si="14"/>
        <v>---</v>
      </c>
    </row>
    <row r="90" spans="1:35" ht="30" customHeight="1" x14ac:dyDescent="0.3">
      <c r="A90" s="123">
        <f t="shared" si="7"/>
        <v>85</v>
      </c>
      <c r="B90" s="140">
        <f>INDEX('PEER GROUP'!B:B,MATCH($A90,'PEER GROUP'!$A:$A,0))</f>
        <v>0</v>
      </c>
      <c r="C90" s="83">
        <f>INDEX('PEER GROUP'!C:C,MATCH($A90,'PEER GROUP'!$A:$A,0))</f>
        <v>0</v>
      </c>
      <c r="D90" s="83">
        <f>INDEX('PEER GROUP'!D:D,MATCH($A90,'PEER GROUP'!$A:$A,0))</f>
        <v>0</v>
      </c>
      <c r="E90" s="83">
        <f>INDEX('PEER GROUP'!E:E,MATCH(A90,'PEER GROUP'!$A:$A,0))</f>
        <v>0</v>
      </c>
      <c r="F90" s="84">
        <f>INDEX('PEER GROUP'!F:F,MATCH($A90,'PEER GROUP'!$A:$A,0))</f>
        <v>0</v>
      </c>
      <c r="G90" s="84">
        <f>INDEX('PEER GROUP'!G:G,MATCH($A90,'PEER GROUP'!$A:$A,0))</f>
        <v>0</v>
      </c>
      <c r="H90" s="85"/>
      <c r="I90" s="85"/>
      <c r="J90" s="70">
        <f>INDEX('PEER GROUP'!K:K,MATCH($A90,'PEER GROUP'!$A:$A,0))</f>
        <v>0</v>
      </c>
      <c r="K90" s="70">
        <f>INDEX('PEER GROUP'!L:L,MATCH($A90,'PEER GROUP'!$A:$A,0))</f>
        <v>0</v>
      </c>
      <c r="L90" s="81">
        <f>INDEX('PEER GROUP'!N:N,MATCH($A90,'PEER GROUP'!$A:$A,0))</f>
        <v>0</v>
      </c>
      <c r="M90" s="118"/>
      <c r="N90" s="115"/>
      <c r="O90" s="117"/>
      <c r="P90" s="87"/>
      <c r="Q90" s="87"/>
      <c r="R90" s="87">
        <f t="shared" si="8"/>
        <v>0</v>
      </c>
      <c r="S90" s="113">
        <f t="shared" si="6"/>
        <v>36.913096727263202</v>
      </c>
      <c r="T90" s="69">
        <f t="shared" si="9"/>
        <v>0</v>
      </c>
      <c r="U90" s="70">
        <f t="shared" si="10"/>
        <v>0</v>
      </c>
      <c r="V90" s="70">
        <f t="shared" si="11"/>
        <v>0</v>
      </c>
      <c r="W90" s="71">
        <f t="shared" si="12"/>
        <v>0</v>
      </c>
      <c r="X90" s="49"/>
      <c r="Y90" s="151"/>
      <c r="Z90" s="69"/>
      <c r="AA90" s="70"/>
      <c r="AB90" s="70"/>
      <c r="AC90" s="70" t="str">
        <f t="shared" si="13"/>
        <v>---</v>
      </c>
      <c r="AD90" s="70" t="str">
        <f>IFERROR(P90/#REF!-1,"---")</f>
        <v>---</v>
      </c>
      <c r="AE90" s="70" t="str">
        <f>IFERROR(#REF!/#REF!-1,"---")</f>
        <v>---</v>
      </c>
      <c r="AF90" s="70" t="str">
        <f>IFERROR(Q90/#REF!-1,"---")</f>
        <v>---</v>
      </c>
      <c r="AG90" s="70" t="str">
        <f>IFERROR(#REF!/#REF!-1,"---")</f>
        <v>---</v>
      </c>
      <c r="AH90" s="70" t="str">
        <f>IFERROR(#REF!/AA90-1,"---")</f>
        <v>---</v>
      </c>
      <c r="AI90" s="71" t="str">
        <f t="shared" si="14"/>
        <v>---</v>
      </c>
    </row>
    <row r="91" spans="1:35" ht="30" customHeight="1" x14ac:dyDescent="0.3">
      <c r="A91" s="123">
        <f t="shared" si="7"/>
        <v>86</v>
      </c>
      <c r="B91" s="140">
        <f>INDEX('PEER GROUP'!B:B,MATCH($A91,'PEER GROUP'!$A:$A,0))</f>
        <v>0</v>
      </c>
      <c r="C91" s="83">
        <f>INDEX('PEER GROUP'!C:C,MATCH($A91,'PEER GROUP'!$A:$A,0))</f>
        <v>0</v>
      </c>
      <c r="D91" s="83">
        <f>INDEX('PEER GROUP'!D:D,MATCH($A91,'PEER GROUP'!$A:$A,0))</f>
        <v>0</v>
      </c>
      <c r="E91" s="83">
        <f>INDEX('PEER GROUP'!E:E,MATCH(A91,'PEER GROUP'!$A:$A,0))</f>
        <v>0</v>
      </c>
      <c r="F91" s="84">
        <f>INDEX('PEER GROUP'!F:F,MATCH($A91,'PEER GROUP'!$A:$A,0))</f>
        <v>0</v>
      </c>
      <c r="G91" s="84">
        <f>INDEX('PEER GROUP'!G:G,MATCH($A91,'PEER GROUP'!$A:$A,0))</f>
        <v>0</v>
      </c>
      <c r="H91" s="85"/>
      <c r="I91" s="85"/>
      <c r="J91" s="70">
        <f>INDEX('PEER GROUP'!K:K,MATCH($A91,'PEER GROUP'!$A:$A,0))</f>
        <v>0</v>
      </c>
      <c r="K91" s="70">
        <f>INDEX('PEER GROUP'!L:L,MATCH($A91,'PEER GROUP'!$A:$A,0))</f>
        <v>0</v>
      </c>
      <c r="L91" s="81">
        <f>INDEX('PEER GROUP'!N:N,MATCH($A91,'PEER GROUP'!$A:$A,0))</f>
        <v>0</v>
      </c>
      <c r="M91" s="118"/>
      <c r="N91" s="115"/>
      <c r="O91" s="117"/>
      <c r="P91" s="87"/>
      <c r="Q91" s="87"/>
      <c r="R91" s="87">
        <f t="shared" si="8"/>
        <v>0</v>
      </c>
      <c r="S91" s="113">
        <f t="shared" si="6"/>
        <v>36.913096727263202</v>
      </c>
      <c r="T91" s="69">
        <f t="shared" si="9"/>
        <v>0</v>
      </c>
      <c r="U91" s="70">
        <f t="shared" si="10"/>
        <v>0</v>
      </c>
      <c r="V91" s="70">
        <f t="shared" si="11"/>
        <v>0</v>
      </c>
      <c r="W91" s="71">
        <f t="shared" si="12"/>
        <v>0</v>
      </c>
      <c r="X91" s="49"/>
      <c r="Y91" s="151"/>
      <c r="Z91" s="69"/>
      <c r="AA91" s="70"/>
      <c r="AB91" s="70"/>
      <c r="AC91" s="70" t="str">
        <f t="shared" si="13"/>
        <v>---</v>
      </c>
      <c r="AD91" s="70" t="str">
        <f>IFERROR(P91/#REF!-1,"---")</f>
        <v>---</v>
      </c>
      <c r="AE91" s="70" t="str">
        <f>IFERROR(#REF!/#REF!-1,"---")</f>
        <v>---</v>
      </c>
      <c r="AF91" s="70" t="str">
        <f>IFERROR(Q91/#REF!-1,"---")</f>
        <v>---</v>
      </c>
      <c r="AG91" s="70" t="str">
        <f>IFERROR(#REF!/#REF!-1,"---")</f>
        <v>---</v>
      </c>
      <c r="AH91" s="70" t="str">
        <f>IFERROR(#REF!/AA91-1,"---")</f>
        <v>---</v>
      </c>
      <c r="AI91" s="71" t="str">
        <f t="shared" si="14"/>
        <v>---</v>
      </c>
    </row>
    <row r="92" spans="1:35" ht="30" customHeight="1" x14ac:dyDescent="0.3">
      <c r="A92" s="123">
        <f t="shared" si="7"/>
        <v>87</v>
      </c>
      <c r="B92" s="140">
        <f>INDEX('PEER GROUP'!B:B,MATCH($A92,'PEER GROUP'!$A:$A,0))</f>
        <v>0</v>
      </c>
      <c r="C92" s="83">
        <f>INDEX('PEER GROUP'!C:C,MATCH($A92,'PEER GROUP'!$A:$A,0))</f>
        <v>0</v>
      </c>
      <c r="D92" s="83">
        <f>INDEX('PEER GROUP'!D:D,MATCH($A92,'PEER GROUP'!$A:$A,0))</f>
        <v>0</v>
      </c>
      <c r="E92" s="83">
        <f>INDEX('PEER GROUP'!E:E,MATCH(A92,'PEER GROUP'!$A:$A,0))</f>
        <v>0</v>
      </c>
      <c r="F92" s="84">
        <f>INDEX('PEER GROUP'!F:F,MATCH($A92,'PEER GROUP'!$A:$A,0))</f>
        <v>0</v>
      </c>
      <c r="G92" s="84">
        <f>INDEX('PEER GROUP'!G:G,MATCH($A92,'PEER GROUP'!$A:$A,0))</f>
        <v>0</v>
      </c>
      <c r="H92" s="85"/>
      <c r="I92" s="85"/>
      <c r="J92" s="70">
        <f>INDEX('PEER GROUP'!K:K,MATCH($A92,'PEER GROUP'!$A:$A,0))</f>
        <v>0</v>
      </c>
      <c r="K92" s="70">
        <f>INDEX('PEER GROUP'!L:L,MATCH($A92,'PEER GROUP'!$A:$A,0))</f>
        <v>0</v>
      </c>
      <c r="L92" s="81">
        <f>INDEX('PEER GROUP'!N:N,MATCH($A92,'PEER GROUP'!$A:$A,0))</f>
        <v>0</v>
      </c>
      <c r="M92" s="118"/>
      <c r="N92" s="115"/>
      <c r="O92" s="117"/>
      <c r="P92" s="87"/>
      <c r="Q92" s="87"/>
      <c r="R92" s="87">
        <f t="shared" si="8"/>
        <v>0</v>
      </c>
      <c r="S92" s="113">
        <f t="shared" si="6"/>
        <v>36.913096727263202</v>
      </c>
      <c r="T92" s="69">
        <f t="shared" si="9"/>
        <v>0</v>
      </c>
      <c r="U92" s="70">
        <f t="shared" si="10"/>
        <v>0</v>
      </c>
      <c r="V92" s="70">
        <f t="shared" si="11"/>
        <v>0</v>
      </c>
      <c r="W92" s="71">
        <f t="shared" si="12"/>
        <v>0</v>
      </c>
      <c r="X92" s="49"/>
      <c r="Y92" s="151"/>
      <c r="Z92" s="69"/>
      <c r="AA92" s="70"/>
      <c r="AB92" s="70"/>
      <c r="AC92" s="70" t="str">
        <f t="shared" si="13"/>
        <v>---</v>
      </c>
      <c r="AD92" s="70" t="str">
        <f>IFERROR(P92/#REF!-1,"---")</f>
        <v>---</v>
      </c>
      <c r="AE92" s="70" t="str">
        <f>IFERROR(#REF!/#REF!-1,"---")</f>
        <v>---</v>
      </c>
      <c r="AF92" s="70" t="str">
        <f>IFERROR(Q92/#REF!-1,"---")</f>
        <v>---</v>
      </c>
      <c r="AG92" s="70" t="str">
        <f>IFERROR(#REF!/#REF!-1,"---")</f>
        <v>---</v>
      </c>
      <c r="AH92" s="70" t="str">
        <f>IFERROR(#REF!/AA92-1,"---")</f>
        <v>---</v>
      </c>
      <c r="AI92" s="71" t="str">
        <f t="shared" si="14"/>
        <v>---</v>
      </c>
    </row>
    <row r="93" spans="1:35" ht="30" customHeight="1" x14ac:dyDescent="0.3">
      <c r="A93" s="123">
        <f t="shared" si="7"/>
        <v>88</v>
      </c>
      <c r="B93" s="140">
        <f>INDEX('PEER GROUP'!B:B,MATCH($A93,'PEER GROUP'!$A:$A,0))</f>
        <v>0</v>
      </c>
      <c r="C93" s="83">
        <f>INDEX('PEER GROUP'!C:C,MATCH($A93,'PEER GROUP'!$A:$A,0))</f>
        <v>0</v>
      </c>
      <c r="D93" s="83">
        <f>INDEX('PEER GROUP'!D:D,MATCH($A93,'PEER GROUP'!$A:$A,0))</f>
        <v>0</v>
      </c>
      <c r="E93" s="83">
        <f>INDEX('PEER GROUP'!E:E,MATCH(A93,'PEER GROUP'!$A:$A,0))</f>
        <v>0</v>
      </c>
      <c r="F93" s="84">
        <f>INDEX('PEER GROUP'!F:F,MATCH($A93,'PEER GROUP'!$A:$A,0))</f>
        <v>0</v>
      </c>
      <c r="G93" s="84">
        <f>INDEX('PEER GROUP'!G:G,MATCH($A93,'PEER GROUP'!$A:$A,0))</f>
        <v>0</v>
      </c>
      <c r="H93" s="85"/>
      <c r="I93" s="85"/>
      <c r="J93" s="70">
        <f>INDEX('PEER GROUP'!K:K,MATCH($A93,'PEER GROUP'!$A:$A,0))</f>
        <v>0</v>
      </c>
      <c r="K93" s="70">
        <f>INDEX('PEER GROUP'!L:L,MATCH($A93,'PEER GROUP'!$A:$A,0))</f>
        <v>0</v>
      </c>
      <c r="L93" s="81">
        <f>INDEX('PEER GROUP'!N:N,MATCH($A93,'PEER GROUP'!$A:$A,0))</f>
        <v>0</v>
      </c>
      <c r="M93" s="118"/>
      <c r="N93" s="115"/>
      <c r="O93" s="117"/>
      <c r="P93" s="87"/>
      <c r="Q93" s="87"/>
      <c r="R93" s="87">
        <f t="shared" si="8"/>
        <v>0</v>
      </c>
      <c r="S93" s="113">
        <f t="shared" si="6"/>
        <v>36.913096727263202</v>
      </c>
      <c r="T93" s="69">
        <f t="shared" si="9"/>
        <v>0</v>
      </c>
      <c r="U93" s="70">
        <f t="shared" si="10"/>
        <v>0</v>
      </c>
      <c r="V93" s="70">
        <f t="shared" si="11"/>
        <v>0</v>
      </c>
      <c r="W93" s="71">
        <f t="shared" si="12"/>
        <v>0</v>
      </c>
      <c r="X93" s="49"/>
      <c r="Y93" s="151"/>
      <c r="Z93" s="69"/>
      <c r="AA93" s="70"/>
      <c r="AB93" s="70"/>
      <c r="AC93" s="70" t="str">
        <f t="shared" si="13"/>
        <v>---</v>
      </c>
      <c r="AD93" s="70" t="str">
        <f>IFERROR(P93/#REF!-1,"---")</f>
        <v>---</v>
      </c>
      <c r="AE93" s="70" t="str">
        <f>IFERROR(#REF!/#REF!-1,"---")</f>
        <v>---</v>
      </c>
      <c r="AF93" s="70" t="str">
        <f>IFERROR(Q93/#REF!-1,"---")</f>
        <v>---</v>
      </c>
      <c r="AG93" s="70" t="str">
        <f>IFERROR(#REF!/#REF!-1,"---")</f>
        <v>---</v>
      </c>
      <c r="AH93" s="70" t="str">
        <f>IFERROR(#REF!/AA93-1,"---")</f>
        <v>---</v>
      </c>
      <c r="AI93" s="71" t="str">
        <f t="shared" si="14"/>
        <v>---</v>
      </c>
    </row>
    <row r="94" spans="1:35" ht="30" customHeight="1" x14ac:dyDescent="0.3">
      <c r="A94" s="123">
        <f t="shared" si="7"/>
        <v>89</v>
      </c>
      <c r="B94" s="140">
        <f>INDEX('PEER GROUP'!B:B,MATCH($A94,'PEER GROUP'!$A:$A,0))</f>
        <v>0</v>
      </c>
      <c r="C94" s="83">
        <f>INDEX('PEER GROUP'!C:C,MATCH($A94,'PEER GROUP'!$A:$A,0))</f>
        <v>0</v>
      </c>
      <c r="D94" s="83">
        <f>INDEX('PEER GROUP'!D:D,MATCH($A94,'PEER GROUP'!$A:$A,0))</f>
        <v>0</v>
      </c>
      <c r="E94" s="83">
        <f>INDEX('PEER GROUP'!E:E,MATCH(A94,'PEER GROUP'!$A:$A,0))</f>
        <v>0</v>
      </c>
      <c r="F94" s="84">
        <f>INDEX('PEER GROUP'!F:F,MATCH($A94,'PEER GROUP'!$A:$A,0))</f>
        <v>0</v>
      </c>
      <c r="G94" s="84">
        <f>INDEX('PEER GROUP'!G:G,MATCH($A94,'PEER GROUP'!$A:$A,0))</f>
        <v>0</v>
      </c>
      <c r="H94" s="85"/>
      <c r="I94" s="85"/>
      <c r="J94" s="70">
        <f>INDEX('PEER GROUP'!K:K,MATCH($A94,'PEER GROUP'!$A:$A,0))</f>
        <v>0</v>
      </c>
      <c r="K94" s="70">
        <f>INDEX('PEER GROUP'!L:L,MATCH($A94,'PEER GROUP'!$A:$A,0))</f>
        <v>0</v>
      </c>
      <c r="L94" s="81">
        <f>INDEX('PEER GROUP'!N:N,MATCH($A94,'PEER GROUP'!$A:$A,0))</f>
        <v>0</v>
      </c>
      <c r="M94" s="118"/>
      <c r="N94" s="115"/>
      <c r="O94" s="117"/>
      <c r="P94" s="87"/>
      <c r="Q94" s="87"/>
      <c r="R94" s="87">
        <f t="shared" si="8"/>
        <v>0</v>
      </c>
      <c r="S94" s="113">
        <f t="shared" si="6"/>
        <v>36.913096727263202</v>
      </c>
      <c r="T94" s="69">
        <f t="shared" si="9"/>
        <v>0</v>
      </c>
      <c r="U94" s="70">
        <f t="shared" si="10"/>
        <v>0</v>
      </c>
      <c r="V94" s="70">
        <f t="shared" si="11"/>
        <v>0</v>
      </c>
      <c r="W94" s="71">
        <f t="shared" si="12"/>
        <v>0</v>
      </c>
      <c r="X94" s="49"/>
      <c r="Y94" s="151"/>
      <c r="Z94" s="69"/>
      <c r="AA94" s="70"/>
      <c r="AB94" s="70"/>
      <c r="AC94" s="70" t="str">
        <f t="shared" si="13"/>
        <v>---</v>
      </c>
      <c r="AD94" s="70" t="str">
        <f>IFERROR(P94/#REF!-1,"---")</f>
        <v>---</v>
      </c>
      <c r="AE94" s="70" t="str">
        <f>IFERROR(#REF!/#REF!-1,"---")</f>
        <v>---</v>
      </c>
      <c r="AF94" s="70" t="str">
        <f>IFERROR(Q94/#REF!-1,"---")</f>
        <v>---</v>
      </c>
      <c r="AG94" s="70" t="str">
        <f>IFERROR(#REF!/#REF!-1,"---")</f>
        <v>---</v>
      </c>
      <c r="AH94" s="70" t="str">
        <f>IFERROR(#REF!/AA94-1,"---")</f>
        <v>---</v>
      </c>
      <c r="AI94" s="71" t="str">
        <f t="shared" si="14"/>
        <v>---</v>
      </c>
    </row>
    <row r="95" spans="1:35" ht="30" customHeight="1" x14ac:dyDescent="0.3">
      <c r="A95" s="123">
        <f t="shared" si="7"/>
        <v>90</v>
      </c>
      <c r="B95" s="140">
        <f>INDEX('PEER GROUP'!B:B,MATCH($A95,'PEER GROUP'!$A:$A,0))</f>
        <v>0</v>
      </c>
      <c r="C95" s="83">
        <f>INDEX('PEER GROUP'!C:C,MATCH($A95,'PEER GROUP'!$A:$A,0))</f>
        <v>0</v>
      </c>
      <c r="D95" s="83">
        <f>INDEX('PEER GROUP'!D:D,MATCH($A95,'PEER GROUP'!$A:$A,0))</f>
        <v>0</v>
      </c>
      <c r="E95" s="83">
        <f>INDEX('PEER GROUP'!E:E,MATCH(A95,'PEER GROUP'!$A:$A,0))</f>
        <v>0</v>
      </c>
      <c r="F95" s="84">
        <f>INDEX('PEER GROUP'!F:F,MATCH($A95,'PEER GROUP'!$A:$A,0))</f>
        <v>0</v>
      </c>
      <c r="G95" s="84">
        <f>INDEX('PEER GROUP'!G:G,MATCH($A95,'PEER GROUP'!$A:$A,0))</f>
        <v>0</v>
      </c>
      <c r="H95" s="85"/>
      <c r="I95" s="85"/>
      <c r="J95" s="70">
        <f>INDEX('PEER GROUP'!K:K,MATCH($A95,'PEER GROUP'!$A:$A,0))</f>
        <v>0</v>
      </c>
      <c r="K95" s="70">
        <f>INDEX('PEER GROUP'!L:L,MATCH($A95,'PEER GROUP'!$A:$A,0))</f>
        <v>0</v>
      </c>
      <c r="L95" s="81">
        <f>INDEX('PEER GROUP'!N:N,MATCH($A95,'PEER GROUP'!$A:$A,0))</f>
        <v>0</v>
      </c>
      <c r="M95" s="118"/>
      <c r="N95" s="115"/>
      <c r="O95" s="117"/>
      <c r="P95" s="87"/>
      <c r="Q95" s="87"/>
      <c r="R95" s="87">
        <f t="shared" si="8"/>
        <v>0</v>
      </c>
      <c r="S95" s="113">
        <f t="shared" si="6"/>
        <v>36.913096727263202</v>
      </c>
      <c r="T95" s="69">
        <f t="shared" si="9"/>
        <v>0</v>
      </c>
      <c r="U95" s="70">
        <f t="shared" si="10"/>
        <v>0</v>
      </c>
      <c r="V95" s="70">
        <f t="shared" si="11"/>
        <v>0</v>
      </c>
      <c r="W95" s="71">
        <f t="shared" si="12"/>
        <v>0</v>
      </c>
      <c r="X95" s="49"/>
      <c r="Y95" s="151"/>
      <c r="Z95" s="69"/>
      <c r="AA95" s="70"/>
      <c r="AB95" s="70"/>
      <c r="AC95" s="70" t="str">
        <f t="shared" si="13"/>
        <v>---</v>
      </c>
      <c r="AD95" s="70" t="str">
        <f>IFERROR(P95/#REF!-1,"---")</f>
        <v>---</v>
      </c>
      <c r="AE95" s="70" t="str">
        <f>IFERROR(#REF!/#REF!-1,"---")</f>
        <v>---</v>
      </c>
      <c r="AF95" s="70" t="str">
        <f>IFERROR(Q95/#REF!-1,"---")</f>
        <v>---</v>
      </c>
      <c r="AG95" s="70" t="str">
        <f>IFERROR(#REF!/#REF!-1,"---")</f>
        <v>---</v>
      </c>
      <c r="AH95" s="70" t="str">
        <f>IFERROR(#REF!/AA95-1,"---")</f>
        <v>---</v>
      </c>
      <c r="AI95" s="71" t="str">
        <f t="shared" si="14"/>
        <v>---</v>
      </c>
    </row>
    <row r="96" spans="1:35" ht="30" customHeight="1" x14ac:dyDescent="0.3">
      <c r="A96" s="123">
        <f t="shared" si="7"/>
        <v>91</v>
      </c>
      <c r="B96" s="140">
        <f>INDEX('PEER GROUP'!B:B,MATCH($A96,'PEER GROUP'!$A:$A,0))</f>
        <v>0</v>
      </c>
      <c r="C96" s="83">
        <f>INDEX('PEER GROUP'!C:C,MATCH($A96,'PEER GROUP'!$A:$A,0))</f>
        <v>0</v>
      </c>
      <c r="D96" s="83">
        <f>INDEX('PEER GROUP'!D:D,MATCH($A96,'PEER GROUP'!$A:$A,0))</f>
        <v>0</v>
      </c>
      <c r="E96" s="83">
        <f>INDEX('PEER GROUP'!E:E,MATCH(A96,'PEER GROUP'!$A:$A,0))</f>
        <v>0</v>
      </c>
      <c r="F96" s="84">
        <f>INDEX('PEER GROUP'!F:F,MATCH($A96,'PEER GROUP'!$A:$A,0))</f>
        <v>0</v>
      </c>
      <c r="G96" s="84">
        <f>INDEX('PEER GROUP'!G:G,MATCH($A96,'PEER GROUP'!$A:$A,0))</f>
        <v>0</v>
      </c>
      <c r="H96" s="85"/>
      <c r="I96" s="85"/>
      <c r="J96" s="70">
        <f>INDEX('PEER GROUP'!K:K,MATCH($A96,'PEER GROUP'!$A:$A,0))</f>
        <v>0</v>
      </c>
      <c r="K96" s="70">
        <f>INDEX('PEER GROUP'!L:L,MATCH($A96,'PEER GROUP'!$A:$A,0))</f>
        <v>0</v>
      </c>
      <c r="L96" s="81">
        <f>INDEX('PEER GROUP'!N:N,MATCH($A96,'PEER GROUP'!$A:$A,0))</f>
        <v>0</v>
      </c>
      <c r="M96" s="118"/>
      <c r="N96" s="115"/>
      <c r="O96" s="117"/>
      <c r="P96" s="87"/>
      <c r="Q96" s="87"/>
      <c r="R96" s="87">
        <f t="shared" si="8"/>
        <v>0</v>
      </c>
      <c r="S96" s="113">
        <f t="shared" si="6"/>
        <v>36.913096727263202</v>
      </c>
      <c r="T96" s="69">
        <f t="shared" si="9"/>
        <v>0</v>
      </c>
      <c r="U96" s="70">
        <f t="shared" si="10"/>
        <v>0</v>
      </c>
      <c r="V96" s="70">
        <f t="shared" si="11"/>
        <v>0</v>
      </c>
      <c r="W96" s="71">
        <f t="shared" si="12"/>
        <v>0</v>
      </c>
      <c r="X96" s="49"/>
      <c r="Y96" s="151"/>
      <c r="Z96" s="69"/>
      <c r="AA96" s="70"/>
      <c r="AB96" s="70"/>
      <c r="AC96" s="70" t="str">
        <f t="shared" si="13"/>
        <v>---</v>
      </c>
      <c r="AD96" s="70" t="str">
        <f>IFERROR(P96/#REF!-1,"---")</f>
        <v>---</v>
      </c>
      <c r="AE96" s="70" t="str">
        <f>IFERROR(#REF!/#REF!-1,"---")</f>
        <v>---</v>
      </c>
      <c r="AF96" s="70" t="str">
        <f>IFERROR(Q96/#REF!-1,"---")</f>
        <v>---</v>
      </c>
      <c r="AG96" s="70" t="str">
        <f>IFERROR(#REF!/#REF!-1,"---")</f>
        <v>---</v>
      </c>
      <c r="AH96" s="70" t="str">
        <f>IFERROR(#REF!/AA96-1,"---")</f>
        <v>---</v>
      </c>
      <c r="AI96" s="71" t="str">
        <f t="shared" si="14"/>
        <v>---</v>
      </c>
    </row>
    <row r="97" spans="1:35" ht="30" customHeight="1" x14ac:dyDescent="0.3">
      <c r="A97" s="123">
        <f t="shared" si="7"/>
        <v>92</v>
      </c>
      <c r="B97" s="140">
        <f>INDEX('PEER GROUP'!B:B,MATCH($A97,'PEER GROUP'!$A:$A,0))</f>
        <v>0</v>
      </c>
      <c r="C97" s="83">
        <f>INDEX('PEER GROUP'!C:C,MATCH($A97,'PEER GROUP'!$A:$A,0))</f>
        <v>0</v>
      </c>
      <c r="D97" s="83">
        <f>INDEX('PEER GROUP'!D:D,MATCH($A97,'PEER GROUP'!$A:$A,0))</f>
        <v>0</v>
      </c>
      <c r="E97" s="83">
        <f>INDEX('PEER GROUP'!E:E,MATCH(A97,'PEER GROUP'!$A:$A,0))</f>
        <v>0</v>
      </c>
      <c r="F97" s="84">
        <f>INDEX('PEER GROUP'!F:F,MATCH($A97,'PEER GROUP'!$A:$A,0))</f>
        <v>0</v>
      </c>
      <c r="G97" s="84">
        <f>INDEX('PEER GROUP'!G:G,MATCH($A97,'PEER GROUP'!$A:$A,0))</f>
        <v>0</v>
      </c>
      <c r="H97" s="85"/>
      <c r="I97" s="85"/>
      <c r="J97" s="70">
        <f>INDEX('PEER GROUP'!K:K,MATCH($A97,'PEER GROUP'!$A:$A,0))</f>
        <v>0</v>
      </c>
      <c r="K97" s="70">
        <f>INDEX('PEER GROUP'!L:L,MATCH($A97,'PEER GROUP'!$A:$A,0))</f>
        <v>0</v>
      </c>
      <c r="L97" s="81">
        <f>INDEX('PEER GROUP'!N:N,MATCH($A97,'PEER GROUP'!$A:$A,0))</f>
        <v>0</v>
      </c>
      <c r="M97" s="118"/>
      <c r="N97" s="115"/>
      <c r="O97" s="117"/>
      <c r="P97" s="87"/>
      <c r="Q97" s="87"/>
      <c r="R97" s="87">
        <f t="shared" si="8"/>
        <v>0</v>
      </c>
      <c r="S97" s="113">
        <f t="shared" si="6"/>
        <v>36.913096727263202</v>
      </c>
      <c r="T97" s="69">
        <f t="shared" si="9"/>
        <v>0</v>
      </c>
      <c r="U97" s="70">
        <f t="shared" si="10"/>
        <v>0</v>
      </c>
      <c r="V97" s="70">
        <f t="shared" si="11"/>
        <v>0</v>
      </c>
      <c r="W97" s="71">
        <f t="shared" si="12"/>
        <v>0</v>
      </c>
      <c r="X97" s="49"/>
      <c r="Y97" s="151"/>
      <c r="Z97" s="69"/>
      <c r="AA97" s="70"/>
      <c r="AB97" s="70"/>
      <c r="AC97" s="70" t="str">
        <f t="shared" si="13"/>
        <v>---</v>
      </c>
      <c r="AD97" s="70" t="str">
        <f>IFERROR(P97/#REF!-1,"---")</f>
        <v>---</v>
      </c>
      <c r="AE97" s="70" t="str">
        <f>IFERROR(#REF!/#REF!-1,"---")</f>
        <v>---</v>
      </c>
      <c r="AF97" s="70" t="str">
        <f>IFERROR(Q97/#REF!-1,"---")</f>
        <v>---</v>
      </c>
      <c r="AG97" s="70" t="str">
        <f>IFERROR(#REF!/#REF!-1,"---")</f>
        <v>---</v>
      </c>
      <c r="AH97" s="70" t="str">
        <f>IFERROR(#REF!/AA97-1,"---")</f>
        <v>---</v>
      </c>
      <c r="AI97" s="71" t="str">
        <f t="shared" si="14"/>
        <v>---</v>
      </c>
    </row>
    <row r="98" spans="1:35" ht="30" customHeight="1" x14ac:dyDescent="0.3">
      <c r="A98" s="123">
        <f t="shared" si="7"/>
        <v>93</v>
      </c>
      <c r="B98" s="140">
        <f>INDEX('PEER GROUP'!B:B,MATCH($A98,'PEER GROUP'!$A:$A,0))</f>
        <v>0</v>
      </c>
      <c r="C98" s="83">
        <f>INDEX('PEER GROUP'!C:C,MATCH($A98,'PEER GROUP'!$A:$A,0))</f>
        <v>0</v>
      </c>
      <c r="D98" s="83">
        <f>INDEX('PEER GROUP'!D:D,MATCH($A98,'PEER GROUP'!$A:$A,0))</f>
        <v>0</v>
      </c>
      <c r="E98" s="83">
        <f>INDEX('PEER GROUP'!E:E,MATCH(A98,'PEER GROUP'!$A:$A,0))</f>
        <v>0</v>
      </c>
      <c r="F98" s="84">
        <f>INDEX('PEER GROUP'!F:F,MATCH($A98,'PEER GROUP'!$A:$A,0))</f>
        <v>0</v>
      </c>
      <c r="G98" s="84">
        <f>INDEX('PEER GROUP'!G:G,MATCH($A98,'PEER GROUP'!$A:$A,0))</f>
        <v>0</v>
      </c>
      <c r="H98" s="85"/>
      <c r="I98" s="85"/>
      <c r="J98" s="70">
        <f>INDEX('PEER GROUP'!K:K,MATCH($A98,'PEER GROUP'!$A:$A,0))</f>
        <v>0</v>
      </c>
      <c r="K98" s="70">
        <f>INDEX('PEER GROUP'!L:L,MATCH($A98,'PEER GROUP'!$A:$A,0))</f>
        <v>0</v>
      </c>
      <c r="L98" s="81">
        <f>INDEX('PEER GROUP'!N:N,MATCH($A98,'PEER GROUP'!$A:$A,0))</f>
        <v>0</v>
      </c>
      <c r="M98" s="118"/>
      <c r="N98" s="115"/>
      <c r="O98" s="117"/>
      <c r="P98" s="87"/>
      <c r="Q98" s="87"/>
      <c r="R98" s="87">
        <f t="shared" si="8"/>
        <v>0</v>
      </c>
      <c r="S98" s="113">
        <f t="shared" si="6"/>
        <v>36.913096727263202</v>
      </c>
      <c r="T98" s="69">
        <f t="shared" si="9"/>
        <v>0</v>
      </c>
      <c r="U98" s="70">
        <f t="shared" si="10"/>
        <v>0</v>
      </c>
      <c r="V98" s="70">
        <f t="shared" si="11"/>
        <v>0</v>
      </c>
      <c r="W98" s="71">
        <f t="shared" si="12"/>
        <v>0</v>
      </c>
      <c r="X98" s="49"/>
      <c r="Y98" s="151"/>
      <c r="Z98" s="69"/>
      <c r="AA98" s="70"/>
      <c r="AB98" s="70"/>
      <c r="AC98" s="70" t="str">
        <f t="shared" si="13"/>
        <v>---</v>
      </c>
      <c r="AD98" s="70" t="str">
        <f>IFERROR(P98/#REF!-1,"---")</f>
        <v>---</v>
      </c>
      <c r="AE98" s="70" t="str">
        <f>IFERROR(#REF!/#REF!-1,"---")</f>
        <v>---</v>
      </c>
      <c r="AF98" s="70" t="str">
        <f>IFERROR(Q98/#REF!-1,"---")</f>
        <v>---</v>
      </c>
      <c r="AG98" s="70" t="str">
        <f>IFERROR(#REF!/#REF!-1,"---")</f>
        <v>---</v>
      </c>
      <c r="AH98" s="70" t="str">
        <f>IFERROR(#REF!/AA98-1,"---")</f>
        <v>---</v>
      </c>
      <c r="AI98" s="71" t="str">
        <f t="shared" si="14"/>
        <v>---</v>
      </c>
    </row>
    <row r="99" spans="1:35" ht="30" customHeight="1" x14ac:dyDescent="0.3">
      <c r="A99" s="123">
        <f t="shared" si="7"/>
        <v>94</v>
      </c>
      <c r="B99" s="140">
        <f>INDEX('PEER GROUP'!B:B,MATCH($A99,'PEER GROUP'!$A:$A,0))</f>
        <v>0</v>
      </c>
      <c r="C99" s="83">
        <f>INDEX('PEER GROUP'!C:C,MATCH($A99,'PEER GROUP'!$A:$A,0))</f>
        <v>0</v>
      </c>
      <c r="D99" s="83">
        <f>INDEX('PEER GROUP'!D:D,MATCH($A99,'PEER GROUP'!$A:$A,0))</f>
        <v>0</v>
      </c>
      <c r="E99" s="83">
        <f>INDEX('PEER GROUP'!E:E,MATCH(A99,'PEER GROUP'!$A:$A,0))</f>
        <v>0</v>
      </c>
      <c r="F99" s="84">
        <f>INDEX('PEER GROUP'!F:F,MATCH($A99,'PEER GROUP'!$A:$A,0))</f>
        <v>0</v>
      </c>
      <c r="G99" s="84">
        <f>INDEX('PEER GROUP'!G:G,MATCH($A99,'PEER GROUP'!$A:$A,0))</f>
        <v>0</v>
      </c>
      <c r="H99" s="85"/>
      <c r="I99" s="85"/>
      <c r="J99" s="70">
        <f>INDEX('PEER GROUP'!K:K,MATCH($A99,'PEER GROUP'!$A:$A,0))</f>
        <v>0</v>
      </c>
      <c r="K99" s="70">
        <f>INDEX('PEER GROUP'!L:L,MATCH($A99,'PEER GROUP'!$A:$A,0))</f>
        <v>0</v>
      </c>
      <c r="L99" s="81">
        <f>INDEX('PEER GROUP'!N:N,MATCH($A99,'PEER GROUP'!$A:$A,0))</f>
        <v>0</v>
      </c>
      <c r="M99" s="118"/>
      <c r="N99" s="115"/>
      <c r="O99" s="117"/>
      <c r="P99" s="87"/>
      <c r="Q99" s="87"/>
      <c r="R99" s="87">
        <f t="shared" si="8"/>
        <v>0</v>
      </c>
      <c r="S99" s="113">
        <f t="shared" ref="S99:S162" si="15">IF(DataEffDate&gt;DATE(2022,1,1),
IF(E99&lt;DATE(2022,1,1),
(1+UpdateFactor)^(IF(E99&lt;DataEffDate,1,-1)*YEARFRAC(E99,DATE(2022,1,1),1))+(1+UpdateFactor_TEMP)^(IF(DATE(2022,1,1)&lt;DataEffDate,1,-1)*YEARFRAC(DATE(2022,1,1),DataEffDate,1))-1,
(1+UpdateFactor_TEMP)^(IF(E99&lt;DataEffDate,1,-1)*YEARFRAC(E99,DataEffDate,1))),
(1+UpdateFactor)^(IF(E99&lt;DataEffDate,1,-1)*YEARFRAC(E99,DataEffDate,1)))</f>
        <v>36.913096727263202</v>
      </c>
      <c r="T99" s="69">
        <f t="shared" si="9"/>
        <v>0</v>
      </c>
      <c r="U99" s="70">
        <f t="shared" si="10"/>
        <v>0</v>
      </c>
      <c r="V99" s="70">
        <f t="shared" si="11"/>
        <v>0</v>
      </c>
      <c r="W99" s="71">
        <f t="shared" si="12"/>
        <v>0</v>
      </c>
      <c r="X99" s="49"/>
      <c r="Y99" s="151"/>
      <c r="Z99" s="69"/>
      <c r="AA99" s="70"/>
      <c r="AB99" s="70"/>
      <c r="AC99" s="70" t="str">
        <f t="shared" si="13"/>
        <v>---</v>
      </c>
      <c r="AD99" s="70" t="str">
        <f>IFERROR(P99/#REF!-1,"---")</f>
        <v>---</v>
      </c>
      <c r="AE99" s="70" t="str">
        <f>IFERROR(#REF!/#REF!-1,"---")</f>
        <v>---</v>
      </c>
      <c r="AF99" s="70" t="str">
        <f>IFERROR(Q99/#REF!-1,"---")</f>
        <v>---</v>
      </c>
      <c r="AG99" s="70" t="str">
        <f>IFERROR(#REF!/#REF!-1,"---")</f>
        <v>---</v>
      </c>
      <c r="AH99" s="70" t="str">
        <f>IFERROR(#REF!/AA99-1,"---")</f>
        <v>---</v>
      </c>
      <c r="AI99" s="71" t="str">
        <f t="shared" si="14"/>
        <v>---</v>
      </c>
    </row>
    <row r="100" spans="1:35" ht="30" customHeight="1" x14ac:dyDescent="0.3">
      <c r="A100" s="123">
        <f t="shared" ref="A100:A163" si="16">A99+1</f>
        <v>95</v>
      </c>
      <c r="B100" s="140">
        <f>INDEX('PEER GROUP'!B:B,MATCH($A100,'PEER GROUP'!$A:$A,0))</f>
        <v>0</v>
      </c>
      <c r="C100" s="83">
        <f>INDEX('PEER GROUP'!C:C,MATCH($A100,'PEER GROUP'!$A:$A,0))</f>
        <v>0</v>
      </c>
      <c r="D100" s="83">
        <f>INDEX('PEER GROUP'!D:D,MATCH($A100,'PEER GROUP'!$A:$A,0))</f>
        <v>0</v>
      </c>
      <c r="E100" s="83">
        <f>INDEX('PEER GROUP'!E:E,MATCH(A100,'PEER GROUP'!$A:$A,0))</f>
        <v>0</v>
      </c>
      <c r="F100" s="84">
        <f>INDEX('PEER GROUP'!F:F,MATCH($A100,'PEER GROUP'!$A:$A,0))</f>
        <v>0</v>
      </c>
      <c r="G100" s="84">
        <f>INDEX('PEER GROUP'!G:G,MATCH($A100,'PEER GROUP'!$A:$A,0))</f>
        <v>0</v>
      </c>
      <c r="H100" s="85"/>
      <c r="I100" s="85"/>
      <c r="J100" s="70">
        <f>INDEX('PEER GROUP'!K:K,MATCH($A100,'PEER GROUP'!$A:$A,0))</f>
        <v>0</v>
      </c>
      <c r="K100" s="70">
        <f>INDEX('PEER GROUP'!L:L,MATCH($A100,'PEER GROUP'!$A:$A,0))</f>
        <v>0</v>
      </c>
      <c r="L100" s="81">
        <f>INDEX('PEER GROUP'!N:N,MATCH($A100,'PEER GROUP'!$A:$A,0))</f>
        <v>0</v>
      </c>
      <c r="M100" s="118"/>
      <c r="N100" s="115"/>
      <c r="O100" s="117"/>
      <c r="P100" s="87"/>
      <c r="Q100" s="87"/>
      <c r="R100" s="87">
        <f t="shared" ref="R100:R163" si="17">SUM(O100:Q100)</f>
        <v>0</v>
      </c>
      <c r="S100" s="113">
        <f t="shared" si="15"/>
        <v>36.913096727263202</v>
      </c>
      <c r="T100" s="69">
        <f t="shared" ref="T100:T163" si="18">O100*$S100</f>
        <v>0</v>
      </c>
      <c r="U100" s="70">
        <f t="shared" ref="U100:U163" si="19">P100*$S100</f>
        <v>0</v>
      </c>
      <c r="V100" s="70">
        <f t="shared" ref="V100:V163" si="20">Q100*$S100</f>
        <v>0</v>
      </c>
      <c r="W100" s="71">
        <f t="shared" ref="W100:W163" si="21">SUM(T100:V100)</f>
        <v>0</v>
      </c>
      <c r="X100" s="49"/>
      <c r="Y100" s="151"/>
      <c r="Z100" s="69"/>
      <c r="AA100" s="70"/>
      <c r="AB100" s="70"/>
      <c r="AC100" s="70" t="str">
        <f t="shared" ref="AC100:AC163" si="22">IFERROR(O100/Z100-1,"---")</f>
        <v>---</v>
      </c>
      <c r="AD100" s="70" t="str">
        <f>IFERROR(P100/#REF!-1,"---")</f>
        <v>---</v>
      </c>
      <c r="AE100" s="70" t="str">
        <f>IFERROR(#REF!/#REF!-1,"---")</f>
        <v>---</v>
      </c>
      <c r="AF100" s="70" t="str">
        <f>IFERROR(Q100/#REF!-1,"---")</f>
        <v>---</v>
      </c>
      <c r="AG100" s="70" t="str">
        <f>IFERROR(#REF!/#REF!-1,"---")</f>
        <v>---</v>
      </c>
      <c r="AH100" s="70" t="str">
        <f>IFERROR(#REF!/AA100-1,"---")</f>
        <v>---</v>
      </c>
      <c r="AI100" s="71" t="str">
        <f t="shared" ref="AI100:AI163" si="23">IFERROR(R100/AB100-1,"---")</f>
        <v>---</v>
      </c>
    </row>
    <row r="101" spans="1:35" ht="30" customHeight="1" x14ac:dyDescent="0.3">
      <c r="A101" s="123">
        <f t="shared" si="16"/>
        <v>96</v>
      </c>
      <c r="B101" s="140">
        <f>INDEX('PEER GROUP'!B:B,MATCH($A101,'PEER GROUP'!$A:$A,0))</f>
        <v>0</v>
      </c>
      <c r="C101" s="83">
        <f>INDEX('PEER GROUP'!C:C,MATCH($A101,'PEER GROUP'!$A:$A,0))</f>
        <v>0</v>
      </c>
      <c r="D101" s="83">
        <f>INDEX('PEER GROUP'!D:D,MATCH($A101,'PEER GROUP'!$A:$A,0))</f>
        <v>0</v>
      </c>
      <c r="E101" s="83">
        <f>INDEX('PEER GROUP'!E:E,MATCH(A101,'PEER GROUP'!$A:$A,0))</f>
        <v>0</v>
      </c>
      <c r="F101" s="84">
        <f>INDEX('PEER GROUP'!F:F,MATCH($A101,'PEER GROUP'!$A:$A,0))</f>
        <v>0</v>
      </c>
      <c r="G101" s="84">
        <f>INDEX('PEER GROUP'!G:G,MATCH($A101,'PEER GROUP'!$A:$A,0))</f>
        <v>0</v>
      </c>
      <c r="H101" s="85"/>
      <c r="I101" s="85"/>
      <c r="J101" s="70">
        <f>INDEX('PEER GROUP'!K:K,MATCH($A101,'PEER GROUP'!$A:$A,0))</f>
        <v>0</v>
      </c>
      <c r="K101" s="70">
        <f>INDEX('PEER GROUP'!L:L,MATCH($A101,'PEER GROUP'!$A:$A,0))</f>
        <v>0</v>
      </c>
      <c r="L101" s="81">
        <f>INDEX('PEER GROUP'!N:N,MATCH($A101,'PEER GROUP'!$A:$A,0))</f>
        <v>0</v>
      </c>
      <c r="M101" s="118"/>
      <c r="N101" s="115"/>
      <c r="O101" s="117"/>
      <c r="P101" s="87"/>
      <c r="Q101" s="87"/>
      <c r="R101" s="87">
        <f t="shared" si="17"/>
        <v>0</v>
      </c>
      <c r="S101" s="113">
        <f t="shared" si="15"/>
        <v>36.913096727263202</v>
      </c>
      <c r="T101" s="69">
        <f t="shared" si="18"/>
        <v>0</v>
      </c>
      <c r="U101" s="70">
        <f t="shared" si="19"/>
        <v>0</v>
      </c>
      <c r="V101" s="70">
        <f t="shared" si="20"/>
        <v>0</v>
      </c>
      <c r="W101" s="71">
        <f t="shared" si="21"/>
        <v>0</v>
      </c>
      <c r="X101" s="49"/>
      <c r="Y101" s="151"/>
      <c r="Z101" s="69"/>
      <c r="AA101" s="70"/>
      <c r="AB101" s="70"/>
      <c r="AC101" s="70" t="str">
        <f t="shared" si="22"/>
        <v>---</v>
      </c>
      <c r="AD101" s="70" t="str">
        <f>IFERROR(P101/#REF!-1,"---")</f>
        <v>---</v>
      </c>
      <c r="AE101" s="70" t="str">
        <f>IFERROR(#REF!/#REF!-1,"---")</f>
        <v>---</v>
      </c>
      <c r="AF101" s="70" t="str">
        <f>IFERROR(Q101/#REF!-1,"---")</f>
        <v>---</v>
      </c>
      <c r="AG101" s="70" t="str">
        <f>IFERROR(#REF!/#REF!-1,"---")</f>
        <v>---</v>
      </c>
      <c r="AH101" s="70" t="str">
        <f>IFERROR(#REF!/AA101-1,"---")</f>
        <v>---</v>
      </c>
      <c r="AI101" s="71" t="str">
        <f t="shared" si="23"/>
        <v>---</v>
      </c>
    </row>
    <row r="102" spans="1:35" ht="30" customHeight="1" x14ac:dyDescent="0.3">
      <c r="A102" s="123">
        <f t="shared" si="16"/>
        <v>97</v>
      </c>
      <c r="B102" s="140">
        <f>INDEX('PEER GROUP'!B:B,MATCH($A102,'PEER GROUP'!$A:$A,0))</f>
        <v>0</v>
      </c>
      <c r="C102" s="83">
        <f>INDEX('PEER GROUP'!C:C,MATCH($A102,'PEER GROUP'!$A:$A,0))</f>
        <v>0</v>
      </c>
      <c r="D102" s="83">
        <f>INDEX('PEER GROUP'!D:D,MATCH($A102,'PEER GROUP'!$A:$A,0))</f>
        <v>0</v>
      </c>
      <c r="E102" s="83">
        <f>INDEX('PEER GROUP'!E:E,MATCH(A102,'PEER GROUP'!$A:$A,0))</f>
        <v>0</v>
      </c>
      <c r="F102" s="84">
        <f>INDEX('PEER GROUP'!F:F,MATCH($A102,'PEER GROUP'!$A:$A,0))</f>
        <v>0</v>
      </c>
      <c r="G102" s="84">
        <f>INDEX('PEER GROUP'!G:G,MATCH($A102,'PEER GROUP'!$A:$A,0))</f>
        <v>0</v>
      </c>
      <c r="H102" s="85"/>
      <c r="I102" s="85"/>
      <c r="J102" s="70">
        <f>INDEX('PEER GROUP'!K:K,MATCH($A102,'PEER GROUP'!$A:$A,0))</f>
        <v>0</v>
      </c>
      <c r="K102" s="70">
        <f>INDEX('PEER GROUP'!L:L,MATCH($A102,'PEER GROUP'!$A:$A,0))</f>
        <v>0</v>
      </c>
      <c r="L102" s="81">
        <f>INDEX('PEER GROUP'!N:N,MATCH($A102,'PEER GROUP'!$A:$A,0))</f>
        <v>0</v>
      </c>
      <c r="M102" s="118"/>
      <c r="N102" s="115"/>
      <c r="O102" s="117"/>
      <c r="P102" s="87"/>
      <c r="Q102" s="87"/>
      <c r="R102" s="87">
        <f t="shared" si="17"/>
        <v>0</v>
      </c>
      <c r="S102" s="113">
        <f t="shared" si="15"/>
        <v>36.913096727263202</v>
      </c>
      <c r="T102" s="69">
        <f t="shared" si="18"/>
        <v>0</v>
      </c>
      <c r="U102" s="70">
        <f t="shared" si="19"/>
        <v>0</v>
      </c>
      <c r="V102" s="70">
        <f t="shared" si="20"/>
        <v>0</v>
      </c>
      <c r="W102" s="71">
        <f t="shared" si="21"/>
        <v>0</v>
      </c>
      <c r="X102" s="49"/>
      <c r="Y102" s="151"/>
      <c r="Z102" s="69"/>
      <c r="AA102" s="70"/>
      <c r="AB102" s="70"/>
      <c r="AC102" s="70" t="str">
        <f t="shared" si="22"/>
        <v>---</v>
      </c>
      <c r="AD102" s="70" t="str">
        <f>IFERROR(P102/#REF!-1,"---")</f>
        <v>---</v>
      </c>
      <c r="AE102" s="70" t="str">
        <f>IFERROR(#REF!/#REF!-1,"---")</f>
        <v>---</v>
      </c>
      <c r="AF102" s="70" t="str">
        <f>IFERROR(Q102/#REF!-1,"---")</f>
        <v>---</v>
      </c>
      <c r="AG102" s="70" t="str">
        <f>IFERROR(#REF!/#REF!-1,"---")</f>
        <v>---</v>
      </c>
      <c r="AH102" s="70" t="str">
        <f>IFERROR(#REF!/AA102-1,"---")</f>
        <v>---</v>
      </c>
      <c r="AI102" s="71" t="str">
        <f t="shared" si="23"/>
        <v>---</v>
      </c>
    </row>
    <row r="103" spans="1:35" ht="30" customHeight="1" x14ac:dyDescent="0.3">
      <c r="A103" s="123">
        <f t="shared" si="16"/>
        <v>98</v>
      </c>
      <c r="B103" s="140">
        <f>INDEX('PEER GROUP'!B:B,MATCH($A103,'PEER GROUP'!$A:$A,0))</f>
        <v>0</v>
      </c>
      <c r="C103" s="83">
        <f>INDEX('PEER GROUP'!C:C,MATCH($A103,'PEER GROUP'!$A:$A,0))</f>
        <v>0</v>
      </c>
      <c r="D103" s="83">
        <f>INDEX('PEER GROUP'!D:D,MATCH($A103,'PEER GROUP'!$A:$A,0))</f>
        <v>0</v>
      </c>
      <c r="E103" s="83">
        <f>INDEX('PEER GROUP'!E:E,MATCH(A103,'PEER GROUP'!$A:$A,0))</f>
        <v>0</v>
      </c>
      <c r="F103" s="84">
        <f>INDEX('PEER GROUP'!F:F,MATCH($A103,'PEER GROUP'!$A:$A,0))</f>
        <v>0</v>
      </c>
      <c r="G103" s="84">
        <f>INDEX('PEER GROUP'!G:G,MATCH($A103,'PEER GROUP'!$A:$A,0))</f>
        <v>0</v>
      </c>
      <c r="H103" s="85"/>
      <c r="I103" s="85"/>
      <c r="J103" s="70">
        <f>INDEX('PEER GROUP'!K:K,MATCH($A103,'PEER GROUP'!$A:$A,0))</f>
        <v>0</v>
      </c>
      <c r="K103" s="70">
        <f>INDEX('PEER GROUP'!L:L,MATCH($A103,'PEER GROUP'!$A:$A,0))</f>
        <v>0</v>
      </c>
      <c r="L103" s="81">
        <f>INDEX('PEER GROUP'!N:N,MATCH($A103,'PEER GROUP'!$A:$A,0))</f>
        <v>0</v>
      </c>
      <c r="M103" s="118"/>
      <c r="N103" s="115"/>
      <c r="O103" s="117"/>
      <c r="P103" s="87"/>
      <c r="Q103" s="87"/>
      <c r="R103" s="87">
        <f t="shared" si="17"/>
        <v>0</v>
      </c>
      <c r="S103" s="113">
        <f t="shared" si="15"/>
        <v>36.913096727263202</v>
      </c>
      <c r="T103" s="69">
        <f t="shared" si="18"/>
        <v>0</v>
      </c>
      <c r="U103" s="70">
        <f t="shared" si="19"/>
        <v>0</v>
      </c>
      <c r="V103" s="70">
        <f t="shared" si="20"/>
        <v>0</v>
      </c>
      <c r="W103" s="71">
        <f t="shared" si="21"/>
        <v>0</v>
      </c>
      <c r="X103" s="49"/>
      <c r="Y103" s="151"/>
      <c r="Z103" s="69"/>
      <c r="AA103" s="70"/>
      <c r="AB103" s="70"/>
      <c r="AC103" s="70" t="str">
        <f t="shared" si="22"/>
        <v>---</v>
      </c>
      <c r="AD103" s="70" t="str">
        <f>IFERROR(P103/#REF!-1,"---")</f>
        <v>---</v>
      </c>
      <c r="AE103" s="70" t="str">
        <f>IFERROR(#REF!/#REF!-1,"---")</f>
        <v>---</v>
      </c>
      <c r="AF103" s="70" t="str">
        <f>IFERROR(Q103/#REF!-1,"---")</f>
        <v>---</v>
      </c>
      <c r="AG103" s="70" t="str">
        <f>IFERROR(#REF!/#REF!-1,"---")</f>
        <v>---</v>
      </c>
      <c r="AH103" s="70" t="str">
        <f>IFERROR(#REF!/AA103-1,"---")</f>
        <v>---</v>
      </c>
      <c r="AI103" s="71" t="str">
        <f t="shared" si="23"/>
        <v>---</v>
      </c>
    </row>
    <row r="104" spans="1:35" ht="30" customHeight="1" x14ac:dyDescent="0.3">
      <c r="A104" s="123">
        <f t="shared" si="16"/>
        <v>99</v>
      </c>
      <c r="B104" s="140">
        <f>INDEX('PEER GROUP'!B:B,MATCH($A104,'PEER GROUP'!$A:$A,0))</f>
        <v>0</v>
      </c>
      <c r="C104" s="83">
        <f>INDEX('PEER GROUP'!C:C,MATCH($A104,'PEER GROUP'!$A:$A,0))</f>
        <v>0</v>
      </c>
      <c r="D104" s="83">
        <f>INDEX('PEER GROUP'!D:D,MATCH($A104,'PEER GROUP'!$A:$A,0))</f>
        <v>0</v>
      </c>
      <c r="E104" s="83">
        <f>INDEX('PEER GROUP'!E:E,MATCH(A104,'PEER GROUP'!$A:$A,0))</f>
        <v>0</v>
      </c>
      <c r="F104" s="84">
        <f>INDEX('PEER GROUP'!F:F,MATCH($A104,'PEER GROUP'!$A:$A,0))</f>
        <v>0</v>
      </c>
      <c r="G104" s="84">
        <f>INDEX('PEER GROUP'!G:G,MATCH($A104,'PEER GROUP'!$A:$A,0))</f>
        <v>0</v>
      </c>
      <c r="H104" s="85"/>
      <c r="I104" s="85"/>
      <c r="J104" s="70">
        <f>INDEX('PEER GROUP'!K:K,MATCH($A104,'PEER GROUP'!$A:$A,0))</f>
        <v>0</v>
      </c>
      <c r="K104" s="70">
        <f>INDEX('PEER GROUP'!L:L,MATCH($A104,'PEER GROUP'!$A:$A,0))</f>
        <v>0</v>
      </c>
      <c r="L104" s="81">
        <f>INDEX('PEER GROUP'!N:N,MATCH($A104,'PEER GROUP'!$A:$A,0))</f>
        <v>0</v>
      </c>
      <c r="M104" s="118"/>
      <c r="N104" s="115"/>
      <c r="O104" s="117"/>
      <c r="P104" s="87"/>
      <c r="Q104" s="87"/>
      <c r="R104" s="87">
        <f t="shared" si="17"/>
        <v>0</v>
      </c>
      <c r="S104" s="113">
        <f t="shared" si="15"/>
        <v>36.913096727263202</v>
      </c>
      <c r="T104" s="69">
        <f t="shared" si="18"/>
        <v>0</v>
      </c>
      <c r="U104" s="70">
        <f t="shared" si="19"/>
        <v>0</v>
      </c>
      <c r="V104" s="70">
        <f t="shared" si="20"/>
        <v>0</v>
      </c>
      <c r="W104" s="71">
        <f t="shared" si="21"/>
        <v>0</v>
      </c>
      <c r="X104" s="49"/>
      <c r="Y104" s="151"/>
      <c r="Z104" s="69"/>
      <c r="AA104" s="70"/>
      <c r="AB104" s="70"/>
      <c r="AC104" s="70" t="str">
        <f t="shared" si="22"/>
        <v>---</v>
      </c>
      <c r="AD104" s="70" t="str">
        <f>IFERROR(P104/#REF!-1,"---")</f>
        <v>---</v>
      </c>
      <c r="AE104" s="70" t="str">
        <f>IFERROR(#REF!/#REF!-1,"---")</f>
        <v>---</v>
      </c>
      <c r="AF104" s="70" t="str">
        <f>IFERROR(Q104/#REF!-1,"---")</f>
        <v>---</v>
      </c>
      <c r="AG104" s="70" t="str">
        <f>IFERROR(#REF!/#REF!-1,"---")</f>
        <v>---</v>
      </c>
      <c r="AH104" s="70" t="str">
        <f>IFERROR(#REF!/AA104-1,"---")</f>
        <v>---</v>
      </c>
      <c r="AI104" s="71" t="str">
        <f t="shared" si="23"/>
        <v>---</v>
      </c>
    </row>
    <row r="105" spans="1:35" ht="30" customHeight="1" x14ac:dyDescent="0.3">
      <c r="A105" s="123">
        <v>101</v>
      </c>
      <c r="B105" s="140">
        <f>INDEX('PEER GROUP'!B:B,MATCH($A105,'PEER GROUP'!$A:$A,0))</f>
        <v>0</v>
      </c>
      <c r="C105" s="83">
        <f>INDEX('PEER GROUP'!C:C,MATCH($A105,'PEER GROUP'!$A:$A,0))</f>
        <v>0</v>
      </c>
      <c r="D105" s="83">
        <f>INDEX('PEER GROUP'!D:D,MATCH($A105,'PEER GROUP'!$A:$A,0))</f>
        <v>0</v>
      </c>
      <c r="E105" s="83">
        <f>INDEX('PEER GROUP'!E:E,MATCH(A105,'PEER GROUP'!$A:$A,0))</f>
        <v>0</v>
      </c>
      <c r="F105" s="84">
        <f>INDEX('PEER GROUP'!F:F,MATCH($A105,'PEER GROUP'!$A:$A,0))</f>
        <v>0</v>
      </c>
      <c r="G105" s="84">
        <f>INDEX('PEER GROUP'!G:G,MATCH($A105,'PEER GROUP'!$A:$A,0))</f>
        <v>0</v>
      </c>
      <c r="H105" s="85"/>
      <c r="I105" s="85"/>
      <c r="J105" s="70">
        <f>INDEX('PEER GROUP'!K:K,MATCH($A105,'PEER GROUP'!$A:$A,0))</f>
        <v>0</v>
      </c>
      <c r="K105" s="70">
        <f>INDEX('PEER GROUP'!L:L,MATCH($A105,'PEER GROUP'!$A:$A,0))</f>
        <v>0</v>
      </c>
      <c r="L105" s="81">
        <f>INDEX('PEER GROUP'!N:N,MATCH($A105,'PEER GROUP'!$A:$A,0))</f>
        <v>0</v>
      </c>
      <c r="M105" s="118"/>
      <c r="N105" s="115"/>
      <c r="O105" s="117"/>
      <c r="P105" s="87"/>
      <c r="Q105" s="87"/>
      <c r="R105" s="87">
        <f t="shared" si="17"/>
        <v>0</v>
      </c>
      <c r="S105" s="113">
        <f t="shared" si="15"/>
        <v>36.913096727263202</v>
      </c>
      <c r="T105" s="69">
        <f t="shared" si="18"/>
        <v>0</v>
      </c>
      <c r="U105" s="70">
        <f t="shared" si="19"/>
        <v>0</v>
      </c>
      <c r="V105" s="70">
        <f t="shared" si="20"/>
        <v>0</v>
      </c>
      <c r="W105" s="71">
        <f t="shared" si="21"/>
        <v>0</v>
      </c>
      <c r="X105" s="49"/>
      <c r="Y105" s="151"/>
      <c r="Z105" s="69"/>
      <c r="AA105" s="70"/>
      <c r="AB105" s="70"/>
      <c r="AC105" s="70" t="str">
        <f t="shared" si="22"/>
        <v>---</v>
      </c>
      <c r="AD105" s="70" t="str">
        <f>IFERROR(P105/#REF!-1,"---")</f>
        <v>---</v>
      </c>
      <c r="AE105" s="70" t="str">
        <f>IFERROR(#REF!/#REF!-1,"---")</f>
        <v>---</v>
      </c>
      <c r="AF105" s="70" t="str">
        <f>IFERROR(Q105/#REF!-1,"---")</f>
        <v>---</v>
      </c>
      <c r="AG105" s="70" t="str">
        <f>IFERROR(#REF!/#REF!-1,"---")</f>
        <v>---</v>
      </c>
      <c r="AH105" s="70" t="str">
        <f>IFERROR(#REF!/AA105-1,"---")</f>
        <v>---</v>
      </c>
      <c r="AI105" s="71" t="str">
        <f t="shared" si="23"/>
        <v>---</v>
      </c>
    </row>
    <row r="106" spans="1:35" ht="30" customHeight="1" x14ac:dyDescent="0.3">
      <c r="A106" s="123">
        <f t="shared" si="16"/>
        <v>102</v>
      </c>
      <c r="B106" s="140">
        <f>INDEX('PEER GROUP'!B:B,MATCH($A106,'PEER GROUP'!$A:$A,0))</f>
        <v>0</v>
      </c>
      <c r="C106" s="83">
        <f>INDEX('PEER GROUP'!C:C,MATCH($A106,'PEER GROUP'!$A:$A,0))</f>
        <v>0</v>
      </c>
      <c r="D106" s="83">
        <f>INDEX('PEER GROUP'!D:D,MATCH($A106,'PEER GROUP'!$A:$A,0))</f>
        <v>0</v>
      </c>
      <c r="E106" s="83">
        <f>INDEX('PEER GROUP'!E:E,MATCH(A106,'PEER GROUP'!$A:$A,0))</f>
        <v>0</v>
      </c>
      <c r="F106" s="84">
        <f>INDEX('PEER GROUP'!F:F,MATCH($A106,'PEER GROUP'!$A:$A,0))</f>
        <v>0</v>
      </c>
      <c r="G106" s="84">
        <f>INDEX('PEER GROUP'!G:G,MATCH($A106,'PEER GROUP'!$A:$A,0))</f>
        <v>0</v>
      </c>
      <c r="H106" s="85"/>
      <c r="I106" s="85"/>
      <c r="J106" s="70">
        <f>INDEX('PEER GROUP'!K:K,MATCH($A106,'PEER GROUP'!$A:$A,0))</f>
        <v>0</v>
      </c>
      <c r="K106" s="70">
        <f>INDEX('PEER GROUP'!L:L,MATCH($A106,'PEER GROUP'!$A:$A,0))</f>
        <v>0</v>
      </c>
      <c r="L106" s="81">
        <f>INDEX('PEER GROUP'!N:N,MATCH($A106,'PEER GROUP'!$A:$A,0))</f>
        <v>0</v>
      </c>
      <c r="M106" s="118"/>
      <c r="N106" s="115"/>
      <c r="O106" s="117"/>
      <c r="P106" s="87"/>
      <c r="Q106" s="87"/>
      <c r="R106" s="87">
        <f t="shared" si="17"/>
        <v>0</v>
      </c>
      <c r="S106" s="113">
        <f t="shared" si="15"/>
        <v>36.913096727263202</v>
      </c>
      <c r="T106" s="69">
        <f t="shared" si="18"/>
        <v>0</v>
      </c>
      <c r="U106" s="70">
        <f t="shared" si="19"/>
        <v>0</v>
      </c>
      <c r="V106" s="70">
        <f t="shared" si="20"/>
        <v>0</v>
      </c>
      <c r="W106" s="71">
        <f t="shared" si="21"/>
        <v>0</v>
      </c>
      <c r="X106" s="49"/>
      <c r="Y106" s="151"/>
      <c r="Z106" s="69"/>
      <c r="AA106" s="70"/>
      <c r="AB106" s="70"/>
      <c r="AC106" s="70" t="str">
        <f t="shared" si="22"/>
        <v>---</v>
      </c>
      <c r="AD106" s="70" t="str">
        <f>IFERROR(P106/#REF!-1,"---")</f>
        <v>---</v>
      </c>
      <c r="AE106" s="70" t="str">
        <f>IFERROR(#REF!/#REF!-1,"---")</f>
        <v>---</v>
      </c>
      <c r="AF106" s="70" t="str">
        <f>IFERROR(Q106/#REF!-1,"---")</f>
        <v>---</v>
      </c>
      <c r="AG106" s="70" t="str">
        <f>IFERROR(#REF!/#REF!-1,"---")</f>
        <v>---</v>
      </c>
      <c r="AH106" s="70" t="str">
        <f>IFERROR(#REF!/AA106-1,"---")</f>
        <v>---</v>
      </c>
      <c r="AI106" s="71" t="str">
        <f t="shared" si="23"/>
        <v>---</v>
      </c>
    </row>
    <row r="107" spans="1:35" ht="30" customHeight="1" x14ac:dyDescent="0.3">
      <c r="A107" s="123">
        <f t="shared" si="16"/>
        <v>103</v>
      </c>
      <c r="B107" s="140">
        <f>INDEX('PEER GROUP'!B:B,MATCH($A107,'PEER GROUP'!$A:$A,0))</f>
        <v>0</v>
      </c>
      <c r="C107" s="83">
        <f>INDEX('PEER GROUP'!C:C,MATCH($A107,'PEER GROUP'!$A:$A,0))</f>
        <v>0</v>
      </c>
      <c r="D107" s="83">
        <f>INDEX('PEER GROUP'!D:D,MATCH($A107,'PEER GROUP'!$A:$A,0))</f>
        <v>0</v>
      </c>
      <c r="E107" s="83">
        <f>INDEX('PEER GROUP'!E:E,MATCH(A107,'PEER GROUP'!$A:$A,0))</f>
        <v>0</v>
      </c>
      <c r="F107" s="84">
        <f>INDEX('PEER GROUP'!F:F,MATCH($A107,'PEER GROUP'!$A:$A,0))</f>
        <v>0</v>
      </c>
      <c r="G107" s="84">
        <f>INDEX('PEER GROUP'!G:G,MATCH($A107,'PEER GROUP'!$A:$A,0))</f>
        <v>0</v>
      </c>
      <c r="H107" s="85"/>
      <c r="I107" s="85"/>
      <c r="J107" s="70">
        <f>INDEX('PEER GROUP'!K:K,MATCH($A107,'PEER GROUP'!$A:$A,0))</f>
        <v>0</v>
      </c>
      <c r="K107" s="70">
        <f>INDEX('PEER GROUP'!L:L,MATCH($A107,'PEER GROUP'!$A:$A,0))</f>
        <v>0</v>
      </c>
      <c r="L107" s="81">
        <f>INDEX('PEER GROUP'!N:N,MATCH($A107,'PEER GROUP'!$A:$A,0))</f>
        <v>0</v>
      </c>
      <c r="M107" s="118"/>
      <c r="N107" s="115"/>
      <c r="O107" s="117"/>
      <c r="P107" s="87"/>
      <c r="Q107" s="87"/>
      <c r="R107" s="87">
        <f t="shared" si="17"/>
        <v>0</v>
      </c>
      <c r="S107" s="113">
        <f t="shared" si="15"/>
        <v>36.913096727263202</v>
      </c>
      <c r="T107" s="69">
        <f t="shared" si="18"/>
        <v>0</v>
      </c>
      <c r="U107" s="70">
        <f t="shared" si="19"/>
        <v>0</v>
      </c>
      <c r="V107" s="70">
        <f t="shared" si="20"/>
        <v>0</v>
      </c>
      <c r="W107" s="71">
        <f t="shared" si="21"/>
        <v>0</v>
      </c>
      <c r="X107" s="49"/>
      <c r="Y107" s="151"/>
      <c r="Z107" s="69"/>
      <c r="AA107" s="70"/>
      <c r="AB107" s="70"/>
      <c r="AC107" s="70" t="str">
        <f t="shared" si="22"/>
        <v>---</v>
      </c>
      <c r="AD107" s="70" t="str">
        <f>IFERROR(P107/#REF!-1,"---")</f>
        <v>---</v>
      </c>
      <c r="AE107" s="70" t="str">
        <f>IFERROR(#REF!/#REF!-1,"---")</f>
        <v>---</v>
      </c>
      <c r="AF107" s="70" t="str">
        <f>IFERROR(Q107/#REF!-1,"---")</f>
        <v>---</v>
      </c>
      <c r="AG107" s="70" t="str">
        <f>IFERROR(#REF!/#REF!-1,"---")</f>
        <v>---</v>
      </c>
      <c r="AH107" s="70" t="str">
        <f>IFERROR(#REF!/AA107-1,"---")</f>
        <v>---</v>
      </c>
      <c r="AI107" s="71" t="str">
        <f t="shared" si="23"/>
        <v>---</v>
      </c>
    </row>
    <row r="108" spans="1:35" ht="30" customHeight="1" x14ac:dyDescent="0.3">
      <c r="A108" s="123">
        <f t="shared" si="16"/>
        <v>104</v>
      </c>
      <c r="B108" s="140">
        <f>INDEX('PEER GROUP'!B:B,MATCH($A108,'PEER GROUP'!$A:$A,0))</f>
        <v>0</v>
      </c>
      <c r="C108" s="83">
        <f>INDEX('PEER GROUP'!C:C,MATCH($A108,'PEER GROUP'!$A:$A,0))</f>
        <v>0</v>
      </c>
      <c r="D108" s="83">
        <f>INDEX('PEER GROUP'!D:D,MATCH($A108,'PEER GROUP'!$A:$A,0))</f>
        <v>0</v>
      </c>
      <c r="E108" s="83">
        <f>INDEX('PEER GROUP'!E:E,MATCH(A108,'PEER GROUP'!$A:$A,0))</f>
        <v>0</v>
      </c>
      <c r="F108" s="84">
        <f>INDEX('PEER GROUP'!F:F,MATCH($A108,'PEER GROUP'!$A:$A,0))</f>
        <v>0</v>
      </c>
      <c r="G108" s="84">
        <f>INDEX('PEER GROUP'!G:G,MATCH($A108,'PEER GROUP'!$A:$A,0))</f>
        <v>0</v>
      </c>
      <c r="H108" s="85"/>
      <c r="I108" s="85"/>
      <c r="J108" s="70">
        <f>INDEX('PEER GROUP'!K:K,MATCH($A108,'PEER GROUP'!$A:$A,0))</f>
        <v>0</v>
      </c>
      <c r="K108" s="70">
        <f>INDEX('PEER GROUP'!L:L,MATCH($A108,'PEER GROUP'!$A:$A,0))</f>
        <v>0</v>
      </c>
      <c r="L108" s="81">
        <f>INDEX('PEER GROUP'!N:N,MATCH($A108,'PEER GROUP'!$A:$A,0))</f>
        <v>0</v>
      </c>
      <c r="M108" s="118"/>
      <c r="N108" s="115"/>
      <c r="O108" s="117"/>
      <c r="P108" s="87"/>
      <c r="Q108" s="87"/>
      <c r="R108" s="87">
        <f t="shared" si="17"/>
        <v>0</v>
      </c>
      <c r="S108" s="113">
        <f t="shared" si="15"/>
        <v>36.913096727263202</v>
      </c>
      <c r="T108" s="69">
        <f t="shared" si="18"/>
        <v>0</v>
      </c>
      <c r="U108" s="70">
        <f t="shared" si="19"/>
        <v>0</v>
      </c>
      <c r="V108" s="70">
        <f t="shared" si="20"/>
        <v>0</v>
      </c>
      <c r="W108" s="71">
        <f t="shared" si="21"/>
        <v>0</v>
      </c>
      <c r="X108" s="49"/>
      <c r="Y108" s="151"/>
      <c r="Z108" s="69"/>
      <c r="AA108" s="70"/>
      <c r="AB108" s="70"/>
      <c r="AC108" s="70" t="str">
        <f t="shared" si="22"/>
        <v>---</v>
      </c>
      <c r="AD108" s="70" t="str">
        <f>IFERROR(P108/#REF!-1,"---")</f>
        <v>---</v>
      </c>
      <c r="AE108" s="70" t="str">
        <f>IFERROR(#REF!/#REF!-1,"---")</f>
        <v>---</v>
      </c>
      <c r="AF108" s="70" t="str">
        <f>IFERROR(Q108/#REF!-1,"---")</f>
        <v>---</v>
      </c>
      <c r="AG108" s="70" t="str">
        <f>IFERROR(#REF!/#REF!-1,"---")</f>
        <v>---</v>
      </c>
      <c r="AH108" s="70" t="str">
        <f>IFERROR(#REF!/AA108-1,"---")</f>
        <v>---</v>
      </c>
      <c r="AI108" s="71" t="str">
        <f t="shared" si="23"/>
        <v>---</v>
      </c>
    </row>
    <row r="109" spans="1:35" ht="30" customHeight="1" x14ac:dyDescent="0.3">
      <c r="A109" s="123">
        <f t="shared" si="16"/>
        <v>105</v>
      </c>
      <c r="B109" s="140">
        <f>INDEX('PEER GROUP'!B:B,MATCH($A109,'PEER GROUP'!$A:$A,0))</f>
        <v>0</v>
      </c>
      <c r="C109" s="83">
        <f>INDEX('PEER GROUP'!C:C,MATCH($A109,'PEER GROUP'!$A:$A,0))</f>
        <v>0</v>
      </c>
      <c r="D109" s="83">
        <f>INDEX('PEER GROUP'!D:D,MATCH($A109,'PEER GROUP'!$A:$A,0))</f>
        <v>0</v>
      </c>
      <c r="E109" s="83">
        <f>INDEX('PEER GROUP'!E:E,MATCH(A109,'PEER GROUP'!$A:$A,0))</f>
        <v>0</v>
      </c>
      <c r="F109" s="84">
        <f>INDEX('PEER GROUP'!F:F,MATCH($A109,'PEER GROUP'!$A:$A,0))</f>
        <v>0</v>
      </c>
      <c r="G109" s="84">
        <f>INDEX('PEER GROUP'!G:G,MATCH($A109,'PEER GROUP'!$A:$A,0))</f>
        <v>0</v>
      </c>
      <c r="H109" s="85"/>
      <c r="I109" s="85"/>
      <c r="J109" s="70">
        <f>INDEX('PEER GROUP'!K:K,MATCH($A109,'PEER GROUP'!$A:$A,0))</f>
        <v>0</v>
      </c>
      <c r="K109" s="70">
        <f>INDEX('PEER GROUP'!L:L,MATCH($A109,'PEER GROUP'!$A:$A,0))</f>
        <v>0</v>
      </c>
      <c r="L109" s="81">
        <f>INDEX('PEER GROUP'!N:N,MATCH($A109,'PEER GROUP'!$A:$A,0))</f>
        <v>0</v>
      </c>
      <c r="M109" s="118"/>
      <c r="N109" s="115"/>
      <c r="O109" s="117"/>
      <c r="P109" s="87"/>
      <c r="Q109" s="87"/>
      <c r="R109" s="87">
        <f t="shared" si="17"/>
        <v>0</v>
      </c>
      <c r="S109" s="113">
        <f t="shared" si="15"/>
        <v>36.913096727263202</v>
      </c>
      <c r="T109" s="69">
        <f t="shared" si="18"/>
        <v>0</v>
      </c>
      <c r="U109" s="70">
        <f t="shared" si="19"/>
        <v>0</v>
      </c>
      <c r="V109" s="70">
        <f t="shared" si="20"/>
        <v>0</v>
      </c>
      <c r="W109" s="71">
        <f t="shared" si="21"/>
        <v>0</v>
      </c>
      <c r="X109" s="49"/>
      <c r="Y109" s="151"/>
      <c r="Z109" s="69"/>
      <c r="AA109" s="70"/>
      <c r="AB109" s="70"/>
      <c r="AC109" s="70" t="str">
        <f t="shared" si="22"/>
        <v>---</v>
      </c>
      <c r="AD109" s="70" t="str">
        <f>IFERROR(P109/#REF!-1,"---")</f>
        <v>---</v>
      </c>
      <c r="AE109" s="70" t="str">
        <f>IFERROR(#REF!/#REF!-1,"---")</f>
        <v>---</v>
      </c>
      <c r="AF109" s="70" t="str">
        <f>IFERROR(Q109/#REF!-1,"---")</f>
        <v>---</v>
      </c>
      <c r="AG109" s="70" t="str">
        <f>IFERROR(#REF!/#REF!-1,"---")</f>
        <v>---</v>
      </c>
      <c r="AH109" s="70" t="str">
        <f>IFERROR(#REF!/AA109-1,"---")</f>
        <v>---</v>
      </c>
      <c r="AI109" s="71" t="str">
        <f t="shared" si="23"/>
        <v>---</v>
      </c>
    </row>
    <row r="110" spans="1:35" ht="30" customHeight="1" x14ac:dyDescent="0.3">
      <c r="A110" s="123">
        <f t="shared" si="16"/>
        <v>106</v>
      </c>
      <c r="B110" s="140">
        <f>INDEX('PEER GROUP'!B:B,MATCH($A110,'PEER GROUP'!$A:$A,0))</f>
        <v>0</v>
      </c>
      <c r="C110" s="83">
        <f>INDEX('PEER GROUP'!C:C,MATCH($A110,'PEER GROUP'!$A:$A,0))</f>
        <v>0</v>
      </c>
      <c r="D110" s="83">
        <f>INDEX('PEER GROUP'!D:D,MATCH($A110,'PEER GROUP'!$A:$A,0))</f>
        <v>0</v>
      </c>
      <c r="E110" s="83">
        <f>INDEX('PEER GROUP'!E:E,MATCH(A110,'PEER GROUP'!$A:$A,0))</f>
        <v>0</v>
      </c>
      <c r="F110" s="84">
        <f>INDEX('PEER GROUP'!F:F,MATCH($A110,'PEER GROUP'!$A:$A,0))</f>
        <v>0</v>
      </c>
      <c r="G110" s="84">
        <f>INDEX('PEER GROUP'!G:G,MATCH($A110,'PEER GROUP'!$A:$A,0))</f>
        <v>0</v>
      </c>
      <c r="H110" s="85"/>
      <c r="I110" s="85"/>
      <c r="J110" s="70">
        <f>INDEX('PEER GROUP'!K:K,MATCH($A110,'PEER GROUP'!$A:$A,0))</f>
        <v>0</v>
      </c>
      <c r="K110" s="70">
        <f>INDEX('PEER GROUP'!L:L,MATCH($A110,'PEER GROUP'!$A:$A,0))</f>
        <v>0</v>
      </c>
      <c r="L110" s="81">
        <f>INDEX('PEER GROUP'!N:N,MATCH($A110,'PEER GROUP'!$A:$A,0))</f>
        <v>0</v>
      </c>
      <c r="M110" s="118"/>
      <c r="N110" s="115"/>
      <c r="O110" s="117"/>
      <c r="P110" s="87"/>
      <c r="Q110" s="87"/>
      <c r="R110" s="87">
        <f t="shared" si="17"/>
        <v>0</v>
      </c>
      <c r="S110" s="113">
        <f t="shared" si="15"/>
        <v>36.913096727263202</v>
      </c>
      <c r="T110" s="69">
        <f t="shared" si="18"/>
        <v>0</v>
      </c>
      <c r="U110" s="70">
        <f t="shared" si="19"/>
        <v>0</v>
      </c>
      <c r="V110" s="70">
        <f t="shared" si="20"/>
        <v>0</v>
      </c>
      <c r="W110" s="71">
        <f t="shared" si="21"/>
        <v>0</v>
      </c>
      <c r="X110" s="49"/>
      <c r="Y110" s="151"/>
      <c r="Z110" s="69"/>
      <c r="AA110" s="70"/>
      <c r="AB110" s="70"/>
      <c r="AC110" s="70" t="str">
        <f t="shared" si="22"/>
        <v>---</v>
      </c>
      <c r="AD110" s="70" t="str">
        <f>IFERROR(P110/#REF!-1,"---")</f>
        <v>---</v>
      </c>
      <c r="AE110" s="70" t="str">
        <f>IFERROR(#REF!/#REF!-1,"---")</f>
        <v>---</v>
      </c>
      <c r="AF110" s="70" t="str">
        <f>IFERROR(Q110/#REF!-1,"---")</f>
        <v>---</v>
      </c>
      <c r="AG110" s="70" t="str">
        <f>IFERROR(#REF!/#REF!-1,"---")</f>
        <v>---</v>
      </c>
      <c r="AH110" s="70" t="str">
        <f>IFERROR(#REF!/AA110-1,"---")</f>
        <v>---</v>
      </c>
      <c r="AI110" s="71" t="str">
        <f t="shared" si="23"/>
        <v>---</v>
      </c>
    </row>
    <row r="111" spans="1:35" ht="30" customHeight="1" x14ac:dyDescent="0.3">
      <c r="A111" s="123">
        <f t="shared" si="16"/>
        <v>107</v>
      </c>
      <c r="B111" s="140">
        <f>INDEX('PEER GROUP'!B:B,MATCH($A111,'PEER GROUP'!$A:$A,0))</f>
        <v>0</v>
      </c>
      <c r="C111" s="83">
        <f>INDEX('PEER GROUP'!C:C,MATCH($A111,'PEER GROUP'!$A:$A,0))</f>
        <v>0</v>
      </c>
      <c r="D111" s="83">
        <f>INDEX('PEER GROUP'!D:D,MATCH($A111,'PEER GROUP'!$A:$A,0))</f>
        <v>0</v>
      </c>
      <c r="E111" s="83">
        <f>INDEX('PEER GROUP'!E:E,MATCH(A111,'PEER GROUP'!$A:$A,0))</f>
        <v>0</v>
      </c>
      <c r="F111" s="84">
        <f>INDEX('PEER GROUP'!F:F,MATCH($A111,'PEER GROUP'!$A:$A,0))</f>
        <v>0</v>
      </c>
      <c r="G111" s="84">
        <f>INDEX('PEER GROUP'!G:G,MATCH($A111,'PEER GROUP'!$A:$A,0))</f>
        <v>0</v>
      </c>
      <c r="H111" s="85"/>
      <c r="I111" s="85"/>
      <c r="J111" s="70">
        <f>INDEX('PEER GROUP'!K:K,MATCH($A111,'PEER GROUP'!$A:$A,0))</f>
        <v>0</v>
      </c>
      <c r="K111" s="70">
        <f>INDEX('PEER GROUP'!L:L,MATCH($A111,'PEER GROUP'!$A:$A,0))</f>
        <v>0</v>
      </c>
      <c r="L111" s="81">
        <f>INDEX('PEER GROUP'!N:N,MATCH($A111,'PEER GROUP'!$A:$A,0))</f>
        <v>0</v>
      </c>
      <c r="M111" s="118"/>
      <c r="N111" s="115"/>
      <c r="O111" s="117"/>
      <c r="P111" s="87"/>
      <c r="Q111" s="87"/>
      <c r="R111" s="87">
        <f t="shared" si="17"/>
        <v>0</v>
      </c>
      <c r="S111" s="113">
        <f t="shared" si="15"/>
        <v>36.913096727263202</v>
      </c>
      <c r="T111" s="69">
        <f t="shared" si="18"/>
        <v>0</v>
      </c>
      <c r="U111" s="70">
        <f t="shared" si="19"/>
        <v>0</v>
      </c>
      <c r="V111" s="70">
        <f t="shared" si="20"/>
        <v>0</v>
      </c>
      <c r="W111" s="71">
        <f t="shared" si="21"/>
        <v>0</v>
      </c>
      <c r="X111" s="49"/>
      <c r="Y111" s="151"/>
      <c r="Z111" s="69"/>
      <c r="AA111" s="70"/>
      <c r="AB111" s="70"/>
      <c r="AC111" s="70" t="str">
        <f t="shared" si="22"/>
        <v>---</v>
      </c>
      <c r="AD111" s="70" t="str">
        <f>IFERROR(P111/#REF!-1,"---")</f>
        <v>---</v>
      </c>
      <c r="AE111" s="70" t="str">
        <f>IFERROR(#REF!/#REF!-1,"---")</f>
        <v>---</v>
      </c>
      <c r="AF111" s="70" t="str">
        <f>IFERROR(Q111/#REF!-1,"---")</f>
        <v>---</v>
      </c>
      <c r="AG111" s="70" t="str">
        <f>IFERROR(#REF!/#REF!-1,"---")</f>
        <v>---</v>
      </c>
      <c r="AH111" s="70" t="str">
        <f>IFERROR(#REF!/AA111-1,"---")</f>
        <v>---</v>
      </c>
      <c r="AI111" s="71" t="str">
        <f t="shared" si="23"/>
        <v>---</v>
      </c>
    </row>
    <row r="112" spans="1:35" ht="30" customHeight="1" x14ac:dyDescent="0.3">
      <c r="A112" s="123">
        <f t="shared" si="16"/>
        <v>108</v>
      </c>
      <c r="B112" s="140">
        <f>INDEX('PEER GROUP'!B:B,MATCH($A112,'PEER GROUP'!$A:$A,0))</f>
        <v>0</v>
      </c>
      <c r="C112" s="83">
        <f>INDEX('PEER GROUP'!C:C,MATCH($A112,'PEER GROUP'!$A:$A,0))</f>
        <v>0</v>
      </c>
      <c r="D112" s="83">
        <f>INDEX('PEER GROUP'!D:D,MATCH($A112,'PEER GROUP'!$A:$A,0))</f>
        <v>0</v>
      </c>
      <c r="E112" s="83">
        <f>INDEX('PEER GROUP'!E:E,MATCH(A112,'PEER GROUP'!$A:$A,0))</f>
        <v>0</v>
      </c>
      <c r="F112" s="84">
        <f>INDEX('PEER GROUP'!F:F,MATCH($A112,'PEER GROUP'!$A:$A,0))</f>
        <v>0</v>
      </c>
      <c r="G112" s="84">
        <f>INDEX('PEER GROUP'!G:G,MATCH($A112,'PEER GROUP'!$A:$A,0))</f>
        <v>0</v>
      </c>
      <c r="H112" s="85"/>
      <c r="I112" s="85"/>
      <c r="J112" s="70">
        <f>INDEX('PEER GROUP'!K:K,MATCH($A112,'PEER GROUP'!$A:$A,0))</f>
        <v>0</v>
      </c>
      <c r="K112" s="70">
        <f>INDEX('PEER GROUP'!L:L,MATCH($A112,'PEER GROUP'!$A:$A,0))</f>
        <v>0</v>
      </c>
      <c r="L112" s="81">
        <f>INDEX('PEER GROUP'!N:N,MATCH($A112,'PEER GROUP'!$A:$A,0))</f>
        <v>0</v>
      </c>
      <c r="M112" s="118"/>
      <c r="N112" s="115"/>
      <c r="O112" s="117"/>
      <c r="P112" s="87"/>
      <c r="Q112" s="87"/>
      <c r="R112" s="87">
        <f t="shared" si="17"/>
        <v>0</v>
      </c>
      <c r="S112" s="113">
        <f t="shared" si="15"/>
        <v>36.913096727263202</v>
      </c>
      <c r="T112" s="69">
        <f t="shared" si="18"/>
        <v>0</v>
      </c>
      <c r="U112" s="70">
        <f t="shared" si="19"/>
        <v>0</v>
      </c>
      <c r="V112" s="70">
        <f t="shared" si="20"/>
        <v>0</v>
      </c>
      <c r="W112" s="71">
        <f t="shared" si="21"/>
        <v>0</v>
      </c>
      <c r="X112" s="49"/>
      <c r="Y112" s="151"/>
      <c r="Z112" s="69"/>
      <c r="AA112" s="70"/>
      <c r="AB112" s="70"/>
      <c r="AC112" s="70" t="str">
        <f t="shared" si="22"/>
        <v>---</v>
      </c>
      <c r="AD112" s="70" t="str">
        <f>IFERROR(P112/#REF!-1,"---")</f>
        <v>---</v>
      </c>
      <c r="AE112" s="70" t="str">
        <f>IFERROR(#REF!/#REF!-1,"---")</f>
        <v>---</v>
      </c>
      <c r="AF112" s="70" t="str">
        <f>IFERROR(Q112/#REF!-1,"---")</f>
        <v>---</v>
      </c>
      <c r="AG112" s="70" t="str">
        <f>IFERROR(#REF!/#REF!-1,"---")</f>
        <v>---</v>
      </c>
      <c r="AH112" s="70" t="str">
        <f>IFERROR(#REF!/AA112-1,"---")</f>
        <v>---</v>
      </c>
      <c r="AI112" s="71" t="str">
        <f t="shared" si="23"/>
        <v>---</v>
      </c>
    </row>
    <row r="113" spans="1:35" ht="30" customHeight="1" x14ac:dyDescent="0.3">
      <c r="A113" s="123">
        <f t="shared" si="16"/>
        <v>109</v>
      </c>
      <c r="B113" s="140">
        <f>INDEX('PEER GROUP'!B:B,MATCH($A113,'PEER GROUP'!$A:$A,0))</f>
        <v>0</v>
      </c>
      <c r="C113" s="83">
        <f>INDEX('PEER GROUP'!C:C,MATCH($A113,'PEER GROUP'!$A:$A,0))</f>
        <v>0</v>
      </c>
      <c r="D113" s="83">
        <f>INDEX('PEER GROUP'!D:D,MATCH($A113,'PEER GROUP'!$A:$A,0))</f>
        <v>0</v>
      </c>
      <c r="E113" s="83">
        <f>INDEX('PEER GROUP'!E:E,MATCH(A113,'PEER GROUP'!$A:$A,0))</f>
        <v>0</v>
      </c>
      <c r="F113" s="84">
        <f>INDEX('PEER GROUP'!F:F,MATCH($A113,'PEER GROUP'!$A:$A,0))</f>
        <v>0</v>
      </c>
      <c r="G113" s="84">
        <f>INDEX('PEER GROUP'!G:G,MATCH($A113,'PEER GROUP'!$A:$A,0))</f>
        <v>0</v>
      </c>
      <c r="H113" s="85"/>
      <c r="I113" s="85"/>
      <c r="J113" s="70">
        <f>INDEX('PEER GROUP'!K:K,MATCH($A113,'PEER GROUP'!$A:$A,0))</f>
        <v>0</v>
      </c>
      <c r="K113" s="70">
        <f>INDEX('PEER GROUP'!L:L,MATCH($A113,'PEER GROUP'!$A:$A,0))</f>
        <v>0</v>
      </c>
      <c r="L113" s="81">
        <f>INDEX('PEER GROUP'!N:N,MATCH($A113,'PEER GROUP'!$A:$A,0))</f>
        <v>0</v>
      </c>
      <c r="M113" s="118"/>
      <c r="N113" s="115"/>
      <c r="O113" s="117"/>
      <c r="P113" s="87"/>
      <c r="Q113" s="87"/>
      <c r="R113" s="87">
        <f t="shared" si="17"/>
        <v>0</v>
      </c>
      <c r="S113" s="113">
        <f t="shared" si="15"/>
        <v>36.913096727263202</v>
      </c>
      <c r="T113" s="69">
        <f t="shared" si="18"/>
        <v>0</v>
      </c>
      <c r="U113" s="70">
        <f t="shared" si="19"/>
        <v>0</v>
      </c>
      <c r="V113" s="70">
        <f t="shared" si="20"/>
        <v>0</v>
      </c>
      <c r="W113" s="71">
        <f t="shared" si="21"/>
        <v>0</v>
      </c>
      <c r="X113" s="49"/>
      <c r="Y113" s="151"/>
      <c r="Z113" s="69"/>
      <c r="AA113" s="70"/>
      <c r="AB113" s="70"/>
      <c r="AC113" s="70" t="str">
        <f t="shared" si="22"/>
        <v>---</v>
      </c>
      <c r="AD113" s="70" t="str">
        <f>IFERROR(P113/#REF!-1,"---")</f>
        <v>---</v>
      </c>
      <c r="AE113" s="70" t="str">
        <f>IFERROR(#REF!/#REF!-1,"---")</f>
        <v>---</v>
      </c>
      <c r="AF113" s="70" t="str">
        <f>IFERROR(Q113/#REF!-1,"---")</f>
        <v>---</v>
      </c>
      <c r="AG113" s="70" t="str">
        <f>IFERROR(#REF!/#REF!-1,"---")</f>
        <v>---</v>
      </c>
      <c r="AH113" s="70" t="str">
        <f>IFERROR(#REF!/AA113-1,"---")</f>
        <v>---</v>
      </c>
      <c r="AI113" s="71" t="str">
        <f t="shared" si="23"/>
        <v>---</v>
      </c>
    </row>
    <row r="114" spans="1:35" ht="30" customHeight="1" x14ac:dyDescent="0.3">
      <c r="A114" s="123">
        <f t="shared" si="16"/>
        <v>110</v>
      </c>
      <c r="B114" s="140">
        <f>INDEX('PEER GROUP'!B:B,MATCH($A114,'PEER GROUP'!$A:$A,0))</f>
        <v>0</v>
      </c>
      <c r="C114" s="83">
        <f>INDEX('PEER GROUP'!C:C,MATCH($A114,'PEER GROUP'!$A:$A,0))</f>
        <v>0</v>
      </c>
      <c r="D114" s="83">
        <f>INDEX('PEER GROUP'!D:D,MATCH($A114,'PEER GROUP'!$A:$A,0))</f>
        <v>0</v>
      </c>
      <c r="E114" s="83">
        <f>INDEX('PEER GROUP'!E:E,MATCH(A114,'PEER GROUP'!$A:$A,0))</f>
        <v>0</v>
      </c>
      <c r="F114" s="84">
        <f>INDEX('PEER GROUP'!F:F,MATCH($A114,'PEER GROUP'!$A:$A,0))</f>
        <v>0</v>
      </c>
      <c r="G114" s="84">
        <f>INDEX('PEER GROUP'!G:G,MATCH($A114,'PEER GROUP'!$A:$A,0))</f>
        <v>0</v>
      </c>
      <c r="H114" s="85"/>
      <c r="I114" s="85"/>
      <c r="J114" s="70">
        <f>INDEX('PEER GROUP'!K:K,MATCH($A114,'PEER GROUP'!$A:$A,0))</f>
        <v>0</v>
      </c>
      <c r="K114" s="70">
        <f>INDEX('PEER GROUP'!L:L,MATCH($A114,'PEER GROUP'!$A:$A,0))</f>
        <v>0</v>
      </c>
      <c r="L114" s="81">
        <f>INDEX('PEER GROUP'!N:N,MATCH($A114,'PEER GROUP'!$A:$A,0))</f>
        <v>0</v>
      </c>
      <c r="M114" s="118"/>
      <c r="N114" s="115"/>
      <c r="O114" s="117"/>
      <c r="P114" s="87"/>
      <c r="Q114" s="87"/>
      <c r="R114" s="87">
        <f t="shared" si="17"/>
        <v>0</v>
      </c>
      <c r="S114" s="113">
        <f t="shared" si="15"/>
        <v>36.913096727263202</v>
      </c>
      <c r="T114" s="69">
        <f t="shared" si="18"/>
        <v>0</v>
      </c>
      <c r="U114" s="70">
        <f t="shared" si="19"/>
        <v>0</v>
      </c>
      <c r="V114" s="70">
        <f t="shared" si="20"/>
        <v>0</v>
      </c>
      <c r="W114" s="71">
        <f t="shared" si="21"/>
        <v>0</v>
      </c>
      <c r="X114" s="49"/>
      <c r="Y114" s="151"/>
      <c r="Z114" s="69"/>
      <c r="AA114" s="70"/>
      <c r="AB114" s="70"/>
      <c r="AC114" s="70" t="str">
        <f t="shared" si="22"/>
        <v>---</v>
      </c>
      <c r="AD114" s="70" t="str">
        <f>IFERROR(P114/#REF!-1,"---")</f>
        <v>---</v>
      </c>
      <c r="AE114" s="70" t="str">
        <f>IFERROR(#REF!/#REF!-1,"---")</f>
        <v>---</v>
      </c>
      <c r="AF114" s="70" t="str">
        <f>IFERROR(Q114/#REF!-1,"---")</f>
        <v>---</v>
      </c>
      <c r="AG114" s="70" t="str">
        <f>IFERROR(#REF!/#REF!-1,"---")</f>
        <v>---</v>
      </c>
      <c r="AH114" s="70" t="str">
        <f>IFERROR(#REF!/AA114-1,"---")</f>
        <v>---</v>
      </c>
      <c r="AI114" s="71" t="str">
        <f t="shared" si="23"/>
        <v>---</v>
      </c>
    </row>
    <row r="115" spans="1:35" ht="30" customHeight="1" x14ac:dyDescent="0.3">
      <c r="A115" s="123">
        <f t="shared" si="16"/>
        <v>111</v>
      </c>
      <c r="B115" s="140">
        <f>INDEX('PEER GROUP'!B:B,MATCH($A115,'PEER GROUP'!$A:$A,0))</f>
        <v>0</v>
      </c>
      <c r="C115" s="83">
        <f>INDEX('PEER GROUP'!C:C,MATCH($A115,'PEER GROUP'!$A:$A,0))</f>
        <v>0</v>
      </c>
      <c r="D115" s="83">
        <f>INDEX('PEER GROUP'!D:D,MATCH($A115,'PEER GROUP'!$A:$A,0))</f>
        <v>0</v>
      </c>
      <c r="E115" s="83">
        <f>INDEX('PEER GROUP'!E:E,MATCH(A115,'PEER GROUP'!$A:$A,0))</f>
        <v>0</v>
      </c>
      <c r="F115" s="84">
        <f>INDEX('PEER GROUP'!F:F,MATCH($A115,'PEER GROUP'!$A:$A,0))</f>
        <v>0</v>
      </c>
      <c r="G115" s="84">
        <f>INDEX('PEER GROUP'!G:G,MATCH($A115,'PEER GROUP'!$A:$A,0))</f>
        <v>0</v>
      </c>
      <c r="H115" s="85"/>
      <c r="I115" s="85"/>
      <c r="J115" s="70">
        <f>INDEX('PEER GROUP'!K:K,MATCH($A115,'PEER GROUP'!$A:$A,0))</f>
        <v>0</v>
      </c>
      <c r="K115" s="70">
        <f>INDEX('PEER GROUP'!L:L,MATCH($A115,'PEER GROUP'!$A:$A,0))</f>
        <v>0</v>
      </c>
      <c r="L115" s="81">
        <f>INDEX('PEER GROUP'!N:N,MATCH($A115,'PEER GROUP'!$A:$A,0))</f>
        <v>0</v>
      </c>
      <c r="M115" s="118"/>
      <c r="N115" s="115"/>
      <c r="O115" s="117"/>
      <c r="P115" s="87"/>
      <c r="Q115" s="87"/>
      <c r="R115" s="87">
        <f t="shared" si="17"/>
        <v>0</v>
      </c>
      <c r="S115" s="113">
        <f t="shared" si="15"/>
        <v>36.913096727263202</v>
      </c>
      <c r="T115" s="69">
        <f t="shared" si="18"/>
        <v>0</v>
      </c>
      <c r="U115" s="70">
        <f t="shared" si="19"/>
        <v>0</v>
      </c>
      <c r="V115" s="70">
        <f t="shared" si="20"/>
        <v>0</v>
      </c>
      <c r="W115" s="71">
        <f t="shared" si="21"/>
        <v>0</v>
      </c>
      <c r="X115" s="49"/>
      <c r="Y115" s="151"/>
      <c r="Z115" s="69"/>
      <c r="AA115" s="70"/>
      <c r="AB115" s="70"/>
      <c r="AC115" s="70" t="str">
        <f t="shared" si="22"/>
        <v>---</v>
      </c>
      <c r="AD115" s="70" t="str">
        <f>IFERROR(P115/#REF!-1,"---")</f>
        <v>---</v>
      </c>
      <c r="AE115" s="70" t="str">
        <f>IFERROR(#REF!/#REF!-1,"---")</f>
        <v>---</v>
      </c>
      <c r="AF115" s="70" t="str">
        <f>IFERROR(Q115/#REF!-1,"---")</f>
        <v>---</v>
      </c>
      <c r="AG115" s="70" t="str">
        <f>IFERROR(#REF!/#REF!-1,"---")</f>
        <v>---</v>
      </c>
      <c r="AH115" s="70" t="str">
        <f>IFERROR(#REF!/AA115-1,"---")</f>
        <v>---</v>
      </c>
      <c r="AI115" s="71" t="str">
        <f t="shared" si="23"/>
        <v>---</v>
      </c>
    </row>
    <row r="116" spans="1:35" ht="30" customHeight="1" x14ac:dyDescent="0.3">
      <c r="A116" s="123">
        <f t="shared" si="16"/>
        <v>112</v>
      </c>
      <c r="B116" s="140">
        <f>INDEX('PEER GROUP'!B:B,MATCH($A116,'PEER GROUP'!$A:$A,0))</f>
        <v>0</v>
      </c>
      <c r="C116" s="83">
        <f>INDEX('PEER GROUP'!C:C,MATCH($A116,'PEER GROUP'!$A:$A,0))</f>
        <v>0</v>
      </c>
      <c r="D116" s="83">
        <f>INDEX('PEER GROUP'!D:D,MATCH($A116,'PEER GROUP'!$A:$A,0))</f>
        <v>0</v>
      </c>
      <c r="E116" s="83">
        <f>INDEX('PEER GROUP'!E:E,MATCH(A116,'PEER GROUP'!$A:$A,0))</f>
        <v>0</v>
      </c>
      <c r="F116" s="84">
        <f>INDEX('PEER GROUP'!F:F,MATCH($A116,'PEER GROUP'!$A:$A,0))</f>
        <v>0</v>
      </c>
      <c r="G116" s="84">
        <f>INDEX('PEER GROUP'!G:G,MATCH($A116,'PEER GROUP'!$A:$A,0))</f>
        <v>0</v>
      </c>
      <c r="H116" s="85"/>
      <c r="I116" s="85"/>
      <c r="J116" s="70">
        <f>INDEX('PEER GROUP'!K:K,MATCH($A116,'PEER GROUP'!$A:$A,0))</f>
        <v>0</v>
      </c>
      <c r="K116" s="70">
        <f>INDEX('PEER GROUP'!L:L,MATCH($A116,'PEER GROUP'!$A:$A,0))</f>
        <v>0</v>
      </c>
      <c r="L116" s="81">
        <f>INDEX('PEER GROUP'!N:N,MATCH($A116,'PEER GROUP'!$A:$A,0))</f>
        <v>0</v>
      </c>
      <c r="M116" s="118"/>
      <c r="N116" s="115"/>
      <c r="O116" s="117"/>
      <c r="P116" s="87"/>
      <c r="Q116" s="87"/>
      <c r="R116" s="87">
        <f t="shared" si="17"/>
        <v>0</v>
      </c>
      <c r="S116" s="113">
        <f t="shared" si="15"/>
        <v>36.913096727263202</v>
      </c>
      <c r="T116" s="69">
        <f t="shared" si="18"/>
        <v>0</v>
      </c>
      <c r="U116" s="70">
        <f t="shared" si="19"/>
        <v>0</v>
      </c>
      <c r="V116" s="70">
        <f t="shared" si="20"/>
        <v>0</v>
      </c>
      <c r="W116" s="71">
        <f t="shared" si="21"/>
        <v>0</v>
      </c>
      <c r="X116" s="49"/>
      <c r="Y116" s="151"/>
      <c r="Z116" s="69"/>
      <c r="AA116" s="70"/>
      <c r="AB116" s="70"/>
      <c r="AC116" s="70" t="str">
        <f t="shared" si="22"/>
        <v>---</v>
      </c>
      <c r="AD116" s="70" t="str">
        <f>IFERROR(P116/#REF!-1,"---")</f>
        <v>---</v>
      </c>
      <c r="AE116" s="70" t="str">
        <f>IFERROR(#REF!/#REF!-1,"---")</f>
        <v>---</v>
      </c>
      <c r="AF116" s="70" t="str">
        <f>IFERROR(Q116/#REF!-1,"---")</f>
        <v>---</v>
      </c>
      <c r="AG116" s="70" t="str">
        <f>IFERROR(#REF!/#REF!-1,"---")</f>
        <v>---</v>
      </c>
      <c r="AH116" s="70" t="str">
        <f>IFERROR(#REF!/AA116-1,"---")</f>
        <v>---</v>
      </c>
      <c r="AI116" s="71" t="str">
        <f t="shared" si="23"/>
        <v>---</v>
      </c>
    </row>
    <row r="117" spans="1:35" ht="30" customHeight="1" x14ac:dyDescent="0.3">
      <c r="A117" s="123">
        <f t="shared" si="16"/>
        <v>113</v>
      </c>
      <c r="B117" s="140">
        <f>INDEX('PEER GROUP'!B:B,MATCH($A117,'PEER GROUP'!$A:$A,0))</f>
        <v>0</v>
      </c>
      <c r="C117" s="83">
        <f>INDEX('PEER GROUP'!C:C,MATCH($A117,'PEER GROUP'!$A:$A,0))</f>
        <v>0</v>
      </c>
      <c r="D117" s="83">
        <f>INDEX('PEER GROUP'!D:D,MATCH($A117,'PEER GROUP'!$A:$A,0))</f>
        <v>0</v>
      </c>
      <c r="E117" s="83">
        <f>INDEX('PEER GROUP'!E:E,MATCH(A117,'PEER GROUP'!$A:$A,0))</f>
        <v>0</v>
      </c>
      <c r="F117" s="84">
        <f>INDEX('PEER GROUP'!F:F,MATCH($A117,'PEER GROUP'!$A:$A,0))</f>
        <v>0</v>
      </c>
      <c r="G117" s="84">
        <f>INDEX('PEER GROUP'!G:G,MATCH($A117,'PEER GROUP'!$A:$A,0))</f>
        <v>0</v>
      </c>
      <c r="H117" s="85"/>
      <c r="I117" s="85"/>
      <c r="J117" s="70">
        <f>INDEX('PEER GROUP'!K:K,MATCH($A117,'PEER GROUP'!$A:$A,0))</f>
        <v>0</v>
      </c>
      <c r="K117" s="70">
        <f>INDEX('PEER GROUP'!L:L,MATCH($A117,'PEER GROUP'!$A:$A,0))</f>
        <v>0</v>
      </c>
      <c r="L117" s="81">
        <f>INDEX('PEER GROUP'!N:N,MATCH($A117,'PEER GROUP'!$A:$A,0))</f>
        <v>0</v>
      </c>
      <c r="M117" s="118"/>
      <c r="N117" s="115"/>
      <c r="O117" s="117"/>
      <c r="P117" s="87"/>
      <c r="Q117" s="87"/>
      <c r="R117" s="87">
        <f t="shared" si="17"/>
        <v>0</v>
      </c>
      <c r="S117" s="113">
        <f t="shared" si="15"/>
        <v>36.913096727263202</v>
      </c>
      <c r="T117" s="69">
        <f t="shared" si="18"/>
        <v>0</v>
      </c>
      <c r="U117" s="70">
        <f t="shared" si="19"/>
        <v>0</v>
      </c>
      <c r="V117" s="70">
        <f t="shared" si="20"/>
        <v>0</v>
      </c>
      <c r="W117" s="71">
        <f t="shared" si="21"/>
        <v>0</v>
      </c>
      <c r="X117" s="49"/>
      <c r="Y117" s="151"/>
      <c r="Z117" s="69"/>
      <c r="AA117" s="70"/>
      <c r="AB117" s="70"/>
      <c r="AC117" s="70" t="str">
        <f t="shared" si="22"/>
        <v>---</v>
      </c>
      <c r="AD117" s="70" t="str">
        <f>IFERROR(P117/#REF!-1,"---")</f>
        <v>---</v>
      </c>
      <c r="AE117" s="70" t="str">
        <f>IFERROR(#REF!/#REF!-1,"---")</f>
        <v>---</v>
      </c>
      <c r="AF117" s="70" t="str">
        <f>IFERROR(Q117/#REF!-1,"---")</f>
        <v>---</v>
      </c>
      <c r="AG117" s="70" t="str">
        <f>IFERROR(#REF!/#REF!-1,"---")</f>
        <v>---</v>
      </c>
      <c r="AH117" s="70" t="str">
        <f>IFERROR(#REF!/AA117-1,"---")</f>
        <v>---</v>
      </c>
      <c r="AI117" s="71" t="str">
        <f t="shared" si="23"/>
        <v>---</v>
      </c>
    </row>
    <row r="118" spans="1:35" ht="30" customHeight="1" x14ac:dyDescent="0.3">
      <c r="A118" s="123">
        <f t="shared" si="16"/>
        <v>114</v>
      </c>
      <c r="B118" s="140">
        <f>INDEX('PEER GROUP'!B:B,MATCH($A118,'PEER GROUP'!$A:$A,0))</f>
        <v>0</v>
      </c>
      <c r="C118" s="83">
        <f>INDEX('PEER GROUP'!C:C,MATCH($A118,'PEER GROUP'!$A:$A,0))</f>
        <v>0</v>
      </c>
      <c r="D118" s="83">
        <f>INDEX('PEER GROUP'!D:D,MATCH($A118,'PEER GROUP'!$A:$A,0))</f>
        <v>0</v>
      </c>
      <c r="E118" s="83">
        <f>INDEX('PEER GROUP'!E:E,MATCH(A118,'PEER GROUP'!$A:$A,0))</f>
        <v>0</v>
      </c>
      <c r="F118" s="84">
        <f>INDEX('PEER GROUP'!F:F,MATCH($A118,'PEER GROUP'!$A:$A,0))</f>
        <v>0</v>
      </c>
      <c r="G118" s="84">
        <f>INDEX('PEER GROUP'!G:G,MATCH($A118,'PEER GROUP'!$A:$A,0))</f>
        <v>0</v>
      </c>
      <c r="H118" s="85"/>
      <c r="I118" s="85"/>
      <c r="J118" s="70">
        <f>INDEX('PEER GROUP'!K:K,MATCH($A118,'PEER GROUP'!$A:$A,0))</f>
        <v>0</v>
      </c>
      <c r="K118" s="70">
        <f>INDEX('PEER GROUP'!L:L,MATCH($A118,'PEER GROUP'!$A:$A,0))</f>
        <v>0</v>
      </c>
      <c r="L118" s="81">
        <f>INDEX('PEER GROUP'!N:N,MATCH($A118,'PEER GROUP'!$A:$A,0))</f>
        <v>0</v>
      </c>
      <c r="M118" s="118"/>
      <c r="N118" s="115"/>
      <c r="O118" s="117"/>
      <c r="P118" s="87"/>
      <c r="Q118" s="87"/>
      <c r="R118" s="87">
        <f t="shared" si="17"/>
        <v>0</v>
      </c>
      <c r="S118" s="113">
        <f t="shared" si="15"/>
        <v>36.913096727263202</v>
      </c>
      <c r="T118" s="69">
        <f t="shared" si="18"/>
        <v>0</v>
      </c>
      <c r="U118" s="70">
        <f t="shared" si="19"/>
        <v>0</v>
      </c>
      <c r="V118" s="70">
        <f t="shared" si="20"/>
        <v>0</v>
      </c>
      <c r="W118" s="71">
        <f t="shared" si="21"/>
        <v>0</v>
      </c>
      <c r="X118" s="49"/>
      <c r="Y118" s="151"/>
      <c r="Z118" s="69"/>
      <c r="AA118" s="70"/>
      <c r="AB118" s="70"/>
      <c r="AC118" s="70" t="str">
        <f t="shared" si="22"/>
        <v>---</v>
      </c>
      <c r="AD118" s="70" t="str">
        <f>IFERROR(P118/#REF!-1,"---")</f>
        <v>---</v>
      </c>
      <c r="AE118" s="70" t="str">
        <f>IFERROR(#REF!/#REF!-1,"---")</f>
        <v>---</v>
      </c>
      <c r="AF118" s="70" t="str">
        <f>IFERROR(Q118/#REF!-1,"---")</f>
        <v>---</v>
      </c>
      <c r="AG118" s="70" t="str">
        <f>IFERROR(#REF!/#REF!-1,"---")</f>
        <v>---</v>
      </c>
      <c r="AH118" s="70" t="str">
        <f>IFERROR(#REF!/AA118-1,"---")</f>
        <v>---</v>
      </c>
      <c r="AI118" s="71" t="str">
        <f t="shared" si="23"/>
        <v>---</v>
      </c>
    </row>
    <row r="119" spans="1:35" ht="30" customHeight="1" x14ac:dyDescent="0.3">
      <c r="A119" s="123">
        <f t="shared" si="16"/>
        <v>115</v>
      </c>
      <c r="B119" s="140">
        <f>INDEX('PEER GROUP'!B:B,MATCH($A119,'PEER GROUP'!$A:$A,0))</f>
        <v>0</v>
      </c>
      <c r="C119" s="83">
        <f>INDEX('PEER GROUP'!C:C,MATCH($A119,'PEER GROUP'!$A:$A,0))</f>
        <v>0</v>
      </c>
      <c r="D119" s="83">
        <f>INDEX('PEER GROUP'!D:D,MATCH($A119,'PEER GROUP'!$A:$A,0))</f>
        <v>0</v>
      </c>
      <c r="E119" s="83">
        <f>INDEX('PEER GROUP'!E:E,MATCH(A119,'PEER GROUP'!$A:$A,0))</f>
        <v>0</v>
      </c>
      <c r="F119" s="84">
        <f>INDEX('PEER GROUP'!F:F,MATCH($A119,'PEER GROUP'!$A:$A,0))</f>
        <v>0</v>
      </c>
      <c r="G119" s="84">
        <f>INDEX('PEER GROUP'!G:G,MATCH($A119,'PEER GROUP'!$A:$A,0))</f>
        <v>0</v>
      </c>
      <c r="H119" s="85"/>
      <c r="I119" s="85"/>
      <c r="J119" s="70">
        <f>INDEX('PEER GROUP'!K:K,MATCH($A119,'PEER GROUP'!$A:$A,0))</f>
        <v>0</v>
      </c>
      <c r="K119" s="70">
        <f>INDEX('PEER GROUP'!L:L,MATCH($A119,'PEER GROUP'!$A:$A,0))</f>
        <v>0</v>
      </c>
      <c r="L119" s="81">
        <f>INDEX('PEER GROUP'!N:N,MATCH($A119,'PEER GROUP'!$A:$A,0))</f>
        <v>0</v>
      </c>
      <c r="M119" s="118"/>
      <c r="N119" s="115"/>
      <c r="O119" s="117"/>
      <c r="P119" s="87"/>
      <c r="Q119" s="87"/>
      <c r="R119" s="87">
        <f t="shared" si="17"/>
        <v>0</v>
      </c>
      <c r="S119" s="113">
        <f t="shared" si="15"/>
        <v>36.913096727263202</v>
      </c>
      <c r="T119" s="69">
        <f t="shared" si="18"/>
        <v>0</v>
      </c>
      <c r="U119" s="70">
        <f t="shared" si="19"/>
        <v>0</v>
      </c>
      <c r="V119" s="70">
        <f t="shared" si="20"/>
        <v>0</v>
      </c>
      <c r="W119" s="71">
        <f t="shared" si="21"/>
        <v>0</v>
      </c>
      <c r="X119" s="49"/>
      <c r="Y119" s="151"/>
      <c r="Z119" s="69"/>
      <c r="AA119" s="70"/>
      <c r="AB119" s="70"/>
      <c r="AC119" s="70" t="str">
        <f t="shared" si="22"/>
        <v>---</v>
      </c>
      <c r="AD119" s="70" t="str">
        <f>IFERROR(P119/#REF!-1,"---")</f>
        <v>---</v>
      </c>
      <c r="AE119" s="70" t="str">
        <f>IFERROR(#REF!/#REF!-1,"---")</f>
        <v>---</v>
      </c>
      <c r="AF119" s="70" t="str">
        <f>IFERROR(Q119/#REF!-1,"---")</f>
        <v>---</v>
      </c>
      <c r="AG119" s="70" t="str">
        <f>IFERROR(#REF!/#REF!-1,"---")</f>
        <v>---</v>
      </c>
      <c r="AH119" s="70" t="str">
        <f>IFERROR(#REF!/AA119-1,"---")</f>
        <v>---</v>
      </c>
      <c r="AI119" s="71" t="str">
        <f t="shared" si="23"/>
        <v>---</v>
      </c>
    </row>
    <row r="120" spans="1:35" ht="30" customHeight="1" x14ac:dyDescent="0.3">
      <c r="A120" s="123">
        <f t="shared" si="16"/>
        <v>116</v>
      </c>
      <c r="B120" s="140">
        <f>INDEX('PEER GROUP'!B:B,MATCH($A120,'PEER GROUP'!$A:$A,0))</f>
        <v>0</v>
      </c>
      <c r="C120" s="83">
        <f>INDEX('PEER GROUP'!C:C,MATCH($A120,'PEER GROUP'!$A:$A,0))</f>
        <v>0</v>
      </c>
      <c r="D120" s="83">
        <f>INDEX('PEER GROUP'!D:D,MATCH($A120,'PEER GROUP'!$A:$A,0))</f>
        <v>0</v>
      </c>
      <c r="E120" s="83">
        <f>INDEX('PEER GROUP'!E:E,MATCH(A120,'PEER GROUP'!$A:$A,0))</f>
        <v>0</v>
      </c>
      <c r="F120" s="84">
        <f>INDEX('PEER GROUP'!F:F,MATCH($A120,'PEER GROUP'!$A:$A,0))</f>
        <v>0</v>
      </c>
      <c r="G120" s="84">
        <f>INDEX('PEER GROUP'!G:G,MATCH($A120,'PEER GROUP'!$A:$A,0))</f>
        <v>0</v>
      </c>
      <c r="H120" s="85"/>
      <c r="I120" s="85"/>
      <c r="J120" s="70">
        <f>INDEX('PEER GROUP'!K:K,MATCH($A120,'PEER GROUP'!$A:$A,0))</f>
        <v>0</v>
      </c>
      <c r="K120" s="70">
        <f>INDEX('PEER GROUP'!L:L,MATCH($A120,'PEER GROUP'!$A:$A,0))</f>
        <v>0</v>
      </c>
      <c r="L120" s="81">
        <f>INDEX('PEER GROUP'!N:N,MATCH($A120,'PEER GROUP'!$A:$A,0))</f>
        <v>0</v>
      </c>
      <c r="M120" s="118"/>
      <c r="N120" s="115"/>
      <c r="O120" s="117"/>
      <c r="P120" s="87"/>
      <c r="Q120" s="87"/>
      <c r="R120" s="87">
        <f t="shared" si="17"/>
        <v>0</v>
      </c>
      <c r="S120" s="113">
        <f t="shared" si="15"/>
        <v>36.913096727263202</v>
      </c>
      <c r="T120" s="69">
        <f t="shared" si="18"/>
        <v>0</v>
      </c>
      <c r="U120" s="70">
        <f t="shared" si="19"/>
        <v>0</v>
      </c>
      <c r="V120" s="70">
        <f t="shared" si="20"/>
        <v>0</v>
      </c>
      <c r="W120" s="71">
        <f t="shared" si="21"/>
        <v>0</v>
      </c>
      <c r="X120" s="49"/>
      <c r="Y120" s="151"/>
      <c r="Z120" s="69"/>
      <c r="AA120" s="70"/>
      <c r="AB120" s="70"/>
      <c r="AC120" s="70" t="str">
        <f t="shared" si="22"/>
        <v>---</v>
      </c>
      <c r="AD120" s="70" t="str">
        <f>IFERROR(P120/#REF!-1,"---")</f>
        <v>---</v>
      </c>
      <c r="AE120" s="70" t="str">
        <f>IFERROR(#REF!/#REF!-1,"---")</f>
        <v>---</v>
      </c>
      <c r="AF120" s="70" t="str">
        <f>IFERROR(Q120/#REF!-1,"---")</f>
        <v>---</v>
      </c>
      <c r="AG120" s="70" t="str">
        <f>IFERROR(#REF!/#REF!-1,"---")</f>
        <v>---</v>
      </c>
      <c r="AH120" s="70" t="str">
        <f>IFERROR(#REF!/AA120-1,"---")</f>
        <v>---</v>
      </c>
      <c r="AI120" s="71" t="str">
        <f t="shared" si="23"/>
        <v>---</v>
      </c>
    </row>
    <row r="121" spans="1:35" ht="30" customHeight="1" x14ac:dyDescent="0.3">
      <c r="A121" s="123">
        <f t="shared" si="16"/>
        <v>117</v>
      </c>
      <c r="B121" s="140">
        <f>INDEX('PEER GROUP'!B:B,MATCH($A121,'PEER GROUP'!$A:$A,0))</f>
        <v>0</v>
      </c>
      <c r="C121" s="83">
        <f>INDEX('PEER GROUP'!C:C,MATCH($A121,'PEER GROUP'!$A:$A,0))</f>
        <v>0</v>
      </c>
      <c r="D121" s="83">
        <f>INDEX('PEER GROUP'!D:D,MATCH($A121,'PEER GROUP'!$A:$A,0))</f>
        <v>0</v>
      </c>
      <c r="E121" s="83">
        <f>INDEX('PEER GROUP'!E:E,MATCH(A121,'PEER GROUP'!$A:$A,0))</f>
        <v>0</v>
      </c>
      <c r="F121" s="84">
        <f>INDEX('PEER GROUP'!F:F,MATCH($A121,'PEER GROUP'!$A:$A,0))</f>
        <v>0</v>
      </c>
      <c r="G121" s="84">
        <f>INDEX('PEER GROUP'!G:G,MATCH($A121,'PEER GROUP'!$A:$A,0))</f>
        <v>0</v>
      </c>
      <c r="H121" s="85"/>
      <c r="I121" s="85"/>
      <c r="J121" s="70">
        <f>INDEX('PEER GROUP'!K:K,MATCH($A121,'PEER GROUP'!$A:$A,0))</f>
        <v>0</v>
      </c>
      <c r="K121" s="70">
        <f>INDEX('PEER GROUP'!L:L,MATCH($A121,'PEER GROUP'!$A:$A,0))</f>
        <v>0</v>
      </c>
      <c r="L121" s="81">
        <f>INDEX('PEER GROUP'!N:N,MATCH($A121,'PEER GROUP'!$A:$A,0))</f>
        <v>0</v>
      </c>
      <c r="M121" s="118"/>
      <c r="N121" s="115"/>
      <c r="O121" s="117"/>
      <c r="P121" s="87"/>
      <c r="Q121" s="87"/>
      <c r="R121" s="87">
        <f t="shared" si="17"/>
        <v>0</v>
      </c>
      <c r="S121" s="113">
        <f t="shared" si="15"/>
        <v>36.913096727263202</v>
      </c>
      <c r="T121" s="69">
        <f t="shared" si="18"/>
        <v>0</v>
      </c>
      <c r="U121" s="70">
        <f t="shared" si="19"/>
        <v>0</v>
      </c>
      <c r="V121" s="70">
        <f t="shared" si="20"/>
        <v>0</v>
      </c>
      <c r="W121" s="71">
        <f t="shared" si="21"/>
        <v>0</v>
      </c>
      <c r="X121" s="49"/>
      <c r="Y121" s="151"/>
      <c r="Z121" s="69"/>
      <c r="AA121" s="70"/>
      <c r="AB121" s="70"/>
      <c r="AC121" s="70" t="str">
        <f t="shared" si="22"/>
        <v>---</v>
      </c>
      <c r="AD121" s="70" t="str">
        <f>IFERROR(P121/#REF!-1,"---")</f>
        <v>---</v>
      </c>
      <c r="AE121" s="70" t="str">
        <f>IFERROR(#REF!/#REF!-1,"---")</f>
        <v>---</v>
      </c>
      <c r="AF121" s="70" t="str">
        <f>IFERROR(Q121/#REF!-1,"---")</f>
        <v>---</v>
      </c>
      <c r="AG121" s="70" t="str">
        <f>IFERROR(#REF!/#REF!-1,"---")</f>
        <v>---</v>
      </c>
      <c r="AH121" s="70" t="str">
        <f>IFERROR(#REF!/AA121-1,"---")</f>
        <v>---</v>
      </c>
      <c r="AI121" s="71" t="str">
        <f t="shared" si="23"/>
        <v>---</v>
      </c>
    </row>
    <row r="122" spans="1:35" ht="30" customHeight="1" x14ac:dyDescent="0.3">
      <c r="A122" s="123">
        <f t="shared" si="16"/>
        <v>118</v>
      </c>
      <c r="B122" s="140">
        <f>INDEX('PEER GROUP'!B:B,MATCH($A122,'PEER GROUP'!$A:$A,0))</f>
        <v>0</v>
      </c>
      <c r="C122" s="83">
        <f>INDEX('PEER GROUP'!C:C,MATCH($A122,'PEER GROUP'!$A:$A,0))</f>
        <v>0</v>
      </c>
      <c r="D122" s="83">
        <f>INDEX('PEER GROUP'!D:D,MATCH($A122,'PEER GROUP'!$A:$A,0))</f>
        <v>0</v>
      </c>
      <c r="E122" s="83">
        <f>INDEX('PEER GROUP'!E:E,MATCH(A122,'PEER GROUP'!$A:$A,0))</f>
        <v>0</v>
      </c>
      <c r="F122" s="84">
        <f>INDEX('PEER GROUP'!F:F,MATCH($A122,'PEER GROUP'!$A:$A,0))</f>
        <v>0</v>
      </c>
      <c r="G122" s="84">
        <f>INDEX('PEER GROUP'!G:G,MATCH($A122,'PEER GROUP'!$A:$A,0))</f>
        <v>0</v>
      </c>
      <c r="H122" s="85"/>
      <c r="I122" s="85"/>
      <c r="J122" s="70">
        <f>INDEX('PEER GROUP'!K:K,MATCH($A122,'PEER GROUP'!$A:$A,0))</f>
        <v>0</v>
      </c>
      <c r="K122" s="70">
        <f>INDEX('PEER GROUP'!L:L,MATCH($A122,'PEER GROUP'!$A:$A,0))</f>
        <v>0</v>
      </c>
      <c r="L122" s="81">
        <f>INDEX('PEER GROUP'!N:N,MATCH($A122,'PEER GROUP'!$A:$A,0))</f>
        <v>0</v>
      </c>
      <c r="M122" s="118"/>
      <c r="N122" s="115"/>
      <c r="O122" s="117"/>
      <c r="P122" s="87"/>
      <c r="Q122" s="87"/>
      <c r="R122" s="87">
        <f t="shared" si="17"/>
        <v>0</v>
      </c>
      <c r="S122" s="113">
        <f t="shared" si="15"/>
        <v>36.913096727263202</v>
      </c>
      <c r="T122" s="69">
        <f t="shared" si="18"/>
        <v>0</v>
      </c>
      <c r="U122" s="70">
        <f t="shared" si="19"/>
        <v>0</v>
      </c>
      <c r="V122" s="70">
        <f t="shared" si="20"/>
        <v>0</v>
      </c>
      <c r="W122" s="71">
        <f t="shared" si="21"/>
        <v>0</v>
      </c>
      <c r="X122" s="49"/>
      <c r="Y122" s="151"/>
      <c r="Z122" s="69"/>
      <c r="AA122" s="70"/>
      <c r="AB122" s="70"/>
      <c r="AC122" s="70" t="str">
        <f t="shared" si="22"/>
        <v>---</v>
      </c>
      <c r="AD122" s="70" t="str">
        <f>IFERROR(P122/#REF!-1,"---")</f>
        <v>---</v>
      </c>
      <c r="AE122" s="70" t="str">
        <f>IFERROR(#REF!/#REF!-1,"---")</f>
        <v>---</v>
      </c>
      <c r="AF122" s="70" t="str">
        <f>IFERROR(Q122/#REF!-1,"---")</f>
        <v>---</v>
      </c>
      <c r="AG122" s="70" t="str">
        <f>IFERROR(#REF!/#REF!-1,"---")</f>
        <v>---</v>
      </c>
      <c r="AH122" s="70" t="str">
        <f>IFERROR(#REF!/AA122-1,"---")</f>
        <v>---</v>
      </c>
      <c r="AI122" s="71" t="str">
        <f t="shared" si="23"/>
        <v>---</v>
      </c>
    </row>
    <row r="123" spans="1:35" ht="30" customHeight="1" x14ac:dyDescent="0.3">
      <c r="A123" s="123">
        <f t="shared" si="16"/>
        <v>119</v>
      </c>
      <c r="B123" s="140">
        <f>INDEX('PEER GROUP'!B:B,MATCH($A123,'PEER GROUP'!$A:$A,0))</f>
        <v>0</v>
      </c>
      <c r="C123" s="83">
        <f>INDEX('PEER GROUP'!C:C,MATCH($A123,'PEER GROUP'!$A:$A,0))</f>
        <v>0</v>
      </c>
      <c r="D123" s="83">
        <f>INDEX('PEER GROUP'!D:D,MATCH($A123,'PEER GROUP'!$A:$A,0))</f>
        <v>0</v>
      </c>
      <c r="E123" s="83">
        <f>INDEX('PEER GROUP'!E:E,MATCH(A123,'PEER GROUP'!$A:$A,0))</f>
        <v>0</v>
      </c>
      <c r="F123" s="84">
        <f>INDEX('PEER GROUP'!F:F,MATCH($A123,'PEER GROUP'!$A:$A,0))</f>
        <v>0</v>
      </c>
      <c r="G123" s="84">
        <f>INDEX('PEER GROUP'!G:G,MATCH($A123,'PEER GROUP'!$A:$A,0))</f>
        <v>0</v>
      </c>
      <c r="H123" s="85"/>
      <c r="I123" s="85"/>
      <c r="J123" s="70">
        <f>INDEX('PEER GROUP'!K:K,MATCH($A123,'PEER GROUP'!$A:$A,0))</f>
        <v>0</v>
      </c>
      <c r="K123" s="70">
        <f>INDEX('PEER GROUP'!L:L,MATCH($A123,'PEER GROUP'!$A:$A,0))</f>
        <v>0</v>
      </c>
      <c r="L123" s="81">
        <f>INDEX('PEER GROUP'!N:N,MATCH($A123,'PEER GROUP'!$A:$A,0))</f>
        <v>0</v>
      </c>
      <c r="M123" s="118"/>
      <c r="N123" s="115"/>
      <c r="O123" s="117"/>
      <c r="P123" s="87"/>
      <c r="Q123" s="87"/>
      <c r="R123" s="87">
        <f t="shared" si="17"/>
        <v>0</v>
      </c>
      <c r="S123" s="113">
        <f t="shared" si="15"/>
        <v>36.913096727263202</v>
      </c>
      <c r="T123" s="69">
        <f t="shared" si="18"/>
        <v>0</v>
      </c>
      <c r="U123" s="70">
        <f t="shared" si="19"/>
        <v>0</v>
      </c>
      <c r="V123" s="70">
        <f t="shared" si="20"/>
        <v>0</v>
      </c>
      <c r="W123" s="71">
        <f t="shared" si="21"/>
        <v>0</v>
      </c>
      <c r="X123" s="49"/>
      <c r="Y123" s="151"/>
      <c r="Z123" s="69"/>
      <c r="AA123" s="70"/>
      <c r="AB123" s="70"/>
      <c r="AC123" s="70" t="str">
        <f t="shared" si="22"/>
        <v>---</v>
      </c>
      <c r="AD123" s="70" t="str">
        <f>IFERROR(P123/#REF!-1,"---")</f>
        <v>---</v>
      </c>
      <c r="AE123" s="70" t="str">
        <f>IFERROR(#REF!/#REF!-1,"---")</f>
        <v>---</v>
      </c>
      <c r="AF123" s="70" t="str">
        <f>IFERROR(Q123/#REF!-1,"---")</f>
        <v>---</v>
      </c>
      <c r="AG123" s="70" t="str">
        <f>IFERROR(#REF!/#REF!-1,"---")</f>
        <v>---</v>
      </c>
      <c r="AH123" s="70" t="str">
        <f>IFERROR(#REF!/AA123-1,"---")</f>
        <v>---</v>
      </c>
      <c r="AI123" s="71" t="str">
        <f t="shared" si="23"/>
        <v>---</v>
      </c>
    </row>
    <row r="124" spans="1:35" ht="30" customHeight="1" x14ac:dyDescent="0.3">
      <c r="A124" s="123">
        <f t="shared" si="16"/>
        <v>120</v>
      </c>
      <c r="B124" s="140">
        <f>INDEX('PEER GROUP'!B:B,MATCH($A124,'PEER GROUP'!$A:$A,0))</f>
        <v>0</v>
      </c>
      <c r="C124" s="83">
        <f>INDEX('PEER GROUP'!C:C,MATCH($A124,'PEER GROUP'!$A:$A,0))</f>
        <v>0</v>
      </c>
      <c r="D124" s="83">
        <f>INDEX('PEER GROUP'!D:D,MATCH($A124,'PEER GROUP'!$A:$A,0))</f>
        <v>0</v>
      </c>
      <c r="E124" s="83">
        <f>INDEX('PEER GROUP'!E:E,MATCH(A124,'PEER GROUP'!$A:$A,0))</f>
        <v>0</v>
      </c>
      <c r="F124" s="84">
        <f>INDEX('PEER GROUP'!F:F,MATCH($A124,'PEER GROUP'!$A:$A,0))</f>
        <v>0</v>
      </c>
      <c r="G124" s="84">
        <f>INDEX('PEER GROUP'!G:G,MATCH($A124,'PEER GROUP'!$A:$A,0))</f>
        <v>0</v>
      </c>
      <c r="H124" s="85"/>
      <c r="I124" s="85"/>
      <c r="J124" s="70">
        <f>INDEX('PEER GROUP'!K:K,MATCH($A124,'PEER GROUP'!$A:$A,0))</f>
        <v>0</v>
      </c>
      <c r="K124" s="70">
        <f>INDEX('PEER GROUP'!L:L,MATCH($A124,'PEER GROUP'!$A:$A,0))</f>
        <v>0</v>
      </c>
      <c r="L124" s="81">
        <f>INDEX('PEER GROUP'!N:N,MATCH($A124,'PEER GROUP'!$A:$A,0))</f>
        <v>0</v>
      </c>
      <c r="M124" s="118"/>
      <c r="N124" s="115"/>
      <c r="O124" s="117"/>
      <c r="P124" s="87"/>
      <c r="Q124" s="87"/>
      <c r="R124" s="87">
        <f t="shared" si="17"/>
        <v>0</v>
      </c>
      <c r="S124" s="113">
        <f t="shared" si="15"/>
        <v>36.913096727263202</v>
      </c>
      <c r="T124" s="69">
        <f t="shared" si="18"/>
        <v>0</v>
      </c>
      <c r="U124" s="70">
        <f t="shared" si="19"/>
        <v>0</v>
      </c>
      <c r="V124" s="70">
        <f t="shared" si="20"/>
        <v>0</v>
      </c>
      <c r="W124" s="71">
        <f t="shared" si="21"/>
        <v>0</v>
      </c>
      <c r="X124" s="49"/>
      <c r="Y124" s="151"/>
      <c r="Z124" s="69"/>
      <c r="AA124" s="70"/>
      <c r="AB124" s="70"/>
      <c r="AC124" s="70" t="str">
        <f t="shared" si="22"/>
        <v>---</v>
      </c>
      <c r="AD124" s="70" t="str">
        <f>IFERROR(P124/#REF!-1,"---")</f>
        <v>---</v>
      </c>
      <c r="AE124" s="70" t="str">
        <f>IFERROR(#REF!/#REF!-1,"---")</f>
        <v>---</v>
      </c>
      <c r="AF124" s="70" t="str">
        <f>IFERROR(Q124/#REF!-1,"---")</f>
        <v>---</v>
      </c>
      <c r="AG124" s="70" t="str">
        <f>IFERROR(#REF!/#REF!-1,"---")</f>
        <v>---</v>
      </c>
      <c r="AH124" s="70" t="str">
        <f>IFERROR(#REF!/AA124-1,"---")</f>
        <v>---</v>
      </c>
      <c r="AI124" s="71" t="str">
        <f t="shared" si="23"/>
        <v>---</v>
      </c>
    </row>
    <row r="125" spans="1:35" ht="30" customHeight="1" x14ac:dyDescent="0.3">
      <c r="A125" s="123">
        <f t="shared" si="16"/>
        <v>121</v>
      </c>
      <c r="B125" s="140">
        <f>INDEX('PEER GROUP'!B:B,MATCH($A125,'PEER GROUP'!$A:$A,0))</f>
        <v>0</v>
      </c>
      <c r="C125" s="83">
        <f>INDEX('PEER GROUP'!C:C,MATCH($A125,'PEER GROUP'!$A:$A,0))</f>
        <v>0</v>
      </c>
      <c r="D125" s="83">
        <f>INDEX('PEER GROUP'!D:D,MATCH($A125,'PEER GROUP'!$A:$A,0))</f>
        <v>0</v>
      </c>
      <c r="E125" s="83">
        <f>INDEX('PEER GROUP'!E:E,MATCH(A125,'PEER GROUP'!$A:$A,0))</f>
        <v>0</v>
      </c>
      <c r="F125" s="84">
        <f>INDEX('PEER GROUP'!F:F,MATCH($A125,'PEER GROUP'!$A:$A,0))</f>
        <v>0</v>
      </c>
      <c r="G125" s="84">
        <f>INDEX('PEER GROUP'!G:G,MATCH($A125,'PEER GROUP'!$A:$A,0))</f>
        <v>0</v>
      </c>
      <c r="H125" s="85"/>
      <c r="I125" s="85"/>
      <c r="J125" s="70">
        <f>INDEX('PEER GROUP'!K:K,MATCH($A125,'PEER GROUP'!$A:$A,0))</f>
        <v>0</v>
      </c>
      <c r="K125" s="70">
        <f>INDEX('PEER GROUP'!L:L,MATCH($A125,'PEER GROUP'!$A:$A,0))</f>
        <v>0</v>
      </c>
      <c r="L125" s="81">
        <f>INDEX('PEER GROUP'!N:N,MATCH($A125,'PEER GROUP'!$A:$A,0))</f>
        <v>0</v>
      </c>
      <c r="M125" s="118"/>
      <c r="N125" s="115"/>
      <c r="O125" s="117"/>
      <c r="P125" s="87"/>
      <c r="Q125" s="87"/>
      <c r="R125" s="87">
        <f t="shared" si="17"/>
        <v>0</v>
      </c>
      <c r="S125" s="113">
        <f t="shared" si="15"/>
        <v>36.913096727263202</v>
      </c>
      <c r="T125" s="69">
        <f t="shared" si="18"/>
        <v>0</v>
      </c>
      <c r="U125" s="70">
        <f t="shared" si="19"/>
        <v>0</v>
      </c>
      <c r="V125" s="70">
        <f t="shared" si="20"/>
        <v>0</v>
      </c>
      <c r="W125" s="71">
        <f t="shared" si="21"/>
        <v>0</v>
      </c>
      <c r="X125" s="49"/>
      <c r="Y125" s="151"/>
      <c r="Z125" s="69"/>
      <c r="AA125" s="70"/>
      <c r="AB125" s="70"/>
      <c r="AC125" s="70" t="str">
        <f t="shared" si="22"/>
        <v>---</v>
      </c>
      <c r="AD125" s="70" t="str">
        <f>IFERROR(P125/#REF!-1,"---")</f>
        <v>---</v>
      </c>
      <c r="AE125" s="70" t="str">
        <f>IFERROR(#REF!/#REF!-1,"---")</f>
        <v>---</v>
      </c>
      <c r="AF125" s="70" t="str">
        <f>IFERROR(Q125/#REF!-1,"---")</f>
        <v>---</v>
      </c>
      <c r="AG125" s="70" t="str">
        <f>IFERROR(#REF!/#REF!-1,"---")</f>
        <v>---</v>
      </c>
      <c r="AH125" s="70" t="str">
        <f>IFERROR(#REF!/AA125-1,"---")</f>
        <v>---</v>
      </c>
      <c r="AI125" s="71" t="str">
        <f t="shared" si="23"/>
        <v>---</v>
      </c>
    </row>
    <row r="126" spans="1:35" ht="30" customHeight="1" x14ac:dyDescent="0.3">
      <c r="A126" s="123">
        <f t="shared" si="16"/>
        <v>122</v>
      </c>
      <c r="B126" s="140">
        <f>INDEX('PEER GROUP'!B:B,MATCH($A126,'PEER GROUP'!$A:$A,0))</f>
        <v>0</v>
      </c>
      <c r="C126" s="83">
        <f>INDEX('PEER GROUP'!C:C,MATCH($A126,'PEER GROUP'!$A:$A,0))</f>
        <v>0</v>
      </c>
      <c r="D126" s="83">
        <f>INDEX('PEER GROUP'!D:D,MATCH($A126,'PEER GROUP'!$A:$A,0))</f>
        <v>0</v>
      </c>
      <c r="E126" s="83">
        <f>INDEX('PEER GROUP'!E:E,MATCH(A126,'PEER GROUP'!$A:$A,0))</f>
        <v>0</v>
      </c>
      <c r="F126" s="84">
        <f>INDEX('PEER GROUP'!F:F,MATCH($A126,'PEER GROUP'!$A:$A,0))</f>
        <v>0</v>
      </c>
      <c r="G126" s="84">
        <f>INDEX('PEER GROUP'!G:G,MATCH($A126,'PEER GROUP'!$A:$A,0))</f>
        <v>0</v>
      </c>
      <c r="H126" s="85"/>
      <c r="I126" s="85"/>
      <c r="J126" s="70">
        <f>INDEX('PEER GROUP'!K:K,MATCH($A126,'PEER GROUP'!$A:$A,0))</f>
        <v>0</v>
      </c>
      <c r="K126" s="70">
        <f>INDEX('PEER GROUP'!L:L,MATCH($A126,'PEER GROUP'!$A:$A,0))</f>
        <v>0</v>
      </c>
      <c r="L126" s="81">
        <f>INDEX('PEER GROUP'!N:N,MATCH($A126,'PEER GROUP'!$A:$A,0))</f>
        <v>0</v>
      </c>
      <c r="M126" s="118"/>
      <c r="N126" s="115"/>
      <c r="O126" s="117"/>
      <c r="P126" s="87"/>
      <c r="Q126" s="87"/>
      <c r="R126" s="87">
        <f t="shared" si="17"/>
        <v>0</v>
      </c>
      <c r="S126" s="113">
        <f t="shared" si="15"/>
        <v>36.913096727263202</v>
      </c>
      <c r="T126" s="69">
        <f t="shared" si="18"/>
        <v>0</v>
      </c>
      <c r="U126" s="70">
        <f t="shared" si="19"/>
        <v>0</v>
      </c>
      <c r="V126" s="70">
        <f t="shared" si="20"/>
        <v>0</v>
      </c>
      <c r="W126" s="71">
        <f t="shared" si="21"/>
        <v>0</v>
      </c>
      <c r="X126" s="49"/>
      <c r="Y126" s="151"/>
      <c r="Z126" s="69"/>
      <c r="AA126" s="70"/>
      <c r="AB126" s="70"/>
      <c r="AC126" s="70" t="str">
        <f t="shared" si="22"/>
        <v>---</v>
      </c>
      <c r="AD126" s="70" t="str">
        <f>IFERROR(P126/#REF!-1,"---")</f>
        <v>---</v>
      </c>
      <c r="AE126" s="70" t="str">
        <f>IFERROR(#REF!/#REF!-1,"---")</f>
        <v>---</v>
      </c>
      <c r="AF126" s="70" t="str">
        <f>IFERROR(Q126/#REF!-1,"---")</f>
        <v>---</v>
      </c>
      <c r="AG126" s="70" t="str">
        <f>IFERROR(#REF!/#REF!-1,"---")</f>
        <v>---</v>
      </c>
      <c r="AH126" s="70" t="str">
        <f>IFERROR(#REF!/AA126-1,"---")</f>
        <v>---</v>
      </c>
      <c r="AI126" s="71" t="str">
        <f t="shared" si="23"/>
        <v>---</v>
      </c>
    </row>
    <row r="127" spans="1:35" ht="30" customHeight="1" x14ac:dyDescent="0.3">
      <c r="A127" s="123">
        <f t="shared" si="16"/>
        <v>123</v>
      </c>
      <c r="B127" s="140">
        <f>INDEX('PEER GROUP'!B:B,MATCH($A127,'PEER GROUP'!$A:$A,0))</f>
        <v>0</v>
      </c>
      <c r="C127" s="83">
        <f>INDEX('PEER GROUP'!C:C,MATCH($A127,'PEER GROUP'!$A:$A,0))</f>
        <v>0</v>
      </c>
      <c r="D127" s="83">
        <f>INDEX('PEER GROUP'!D:D,MATCH($A127,'PEER GROUP'!$A:$A,0))</f>
        <v>0</v>
      </c>
      <c r="E127" s="83">
        <f>INDEX('PEER GROUP'!E:E,MATCH(A127,'PEER GROUP'!$A:$A,0))</f>
        <v>0</v>
      </c>
      <c r="F127" s="84">
        <f>INDEX('PEER GROUP'!F:F,MATCH($A127,'PEER GROUP'!$A:$A,0))</f>
        <v>0</v>
      </c>
      <c r="G127" s="84">
        <f>INDEX('PEER GROUP'!G:G,MATCH($A127,'PEER GROUP'!$A:$A,0))</f>
        <v>0</v>
      </c>
      <c r="H127" s="85"/>
      <c r="I127" s="85"/>
      <c r="J127" s="70">
        <f>INDEX('PEER GROUP'!K:K,MATCH($A127,'PEER GROUP'!$A:$A,0))</f>
        <v>0</v>
      </c>
      <c r="K127" s="70">
        <f>INDEX('PEER GROUP'!L:L,MATCH($A127,'PEER GROUP'!$A:$A,0))</f>
        <v>0</v>
      </c>
      <c r="L127" s="81">
        <f>INDEX('PEER GROUP'!N:N,MATCH($A127,'PEER GROUP'!$A:$A,0))</f>
        <v>0</v>
      </c>
      <c r="M127" s="118"/>
      <c r="N127" s="115"/>
      <c r="O127" s="117"/>
      <c r="P127" s="87"/>
      <c r="Q127" s="87"/>
      <c r="R127" s="87">
        <f t="shared" si="17"/>
        <v>0</v>
      </c>
      <c r="S127" s="113">
        <f t="shared" si="15"/>
        <v>36.913096727263202</v>
      </c>
      <c r="T127" s="69">
        <f t="shared" si="18"/>
        <v>0</v>
      </c>
      <c r="U127" s="70">
        <f t="shared" si="19"/>
        <v>0</v>
      </c>
      <c r="V127" s="70">
        <f t="shared" si="20"/>
        <v>0</v>
      </c>
      <c r="W127" s="71">
        <f t="shared" si="21"/>
        <v>0</v>
      </c>
      <c r="X127" s="49"/>
      <c r="Y127" s="151"/>
      <c r="Z127" s="69"/>
      <c r="AA127" s="70"/>
      <c r="AB127" s="70"/>
      <c r="AC127" s="70" t="str">
        <f t="shared" si="22"/>
        <v>---</v>
      </c>
      <c r="AD127" s="70" t="str">
        <f>IFERROR(P127/#REF!-1,"---")</f>
        <v>---</v>
      </c>
      <c r="AE127" s="70" t="str">
        <f>IFERROR(#REF!/#REF!-1,"---")</f>
        <v>---</v>
      </c>
      <c r="AF127" s="70" t="str">
        <f>IFERROR(Q127/#REF!-1,"---")</f>
        <v>---</v>
      </c>
      <c r="AG127" s="70" t="str">
        <f>IFERROR(#REF!/#REF!-1,"---")</f>
        <v>---</v>
      </c>
      <c r="AH127" s="70" t="str">
        <f>IFERROR(#REF!/AA127-1,"---")</f>
        <v>---</v>
      </c>
      <c r="AI127" s="71" t="str">
        <f t="shared" si="23"/>
        <v>---</v>
      </c>
    </row>
    <row r="128" spans="1:35" ht="30" customHeight="1" x14ac:dyDescent="0.3">
      <c r="A128" s="123">
        <f t="shared" si="16"/>
        <v>124</v>
      </c>
      <c r="B128" s="140">
        <f>INDEX('PEER GROUP'!B:B,MATCH($A128,'PEER GROUP'!$A:$A,0))</f>
        <v>0</v>
      </c>
      <c r="C128" s="83">
        <f>INDEX('PEER GROUP'!C:C,MATCH($A128,'PEER GROUP'!$A:$A,0))</f>
        <v>0</v>
      </c>
      <c r="D128" s="83">
        <f>INDEX('PEER GROUP'!D:D,MATCH($A128,'PEER GROUP'!$A:$A,0))</f>
        <v>0</v>
      </c>
      <c r="E128" s="83">
        <f>INDEX('PEER GROUP'!E:E,MATCH(A128,'PEER GROUP'!$A:$A,0))</f>
        <v>0</v>
      </c>
      <c r="F128" s="84">
        <f>INDEX('PEER GROUP'!F:F,MATCH($A128,'PEER GROUP'!$A:$A,0))</f>
        <v>0</v>
      </c>
      <c r="G128" s="84">
        <f>INDEX('PEER GROUP'!G:G,MATCH($A128,'PEER GROUP'!$A:$A,0))</f>
        <v>0</v>
      </c>
      <c r="H128" s="85"/>
      <c r="I128" s="85"/>
      <c r="J128" s="70">
        <f>INDEX('PEER GROUP'!K:K,MATCH($A128,'PEER GROUP'!$A:$A,0))</f>
        <v>0</v>
      </c>
      <c r="K128" s="70">
        <f>INDEX('PEER GROUP'!L:L,MATCH($A128,'PEER GROUP'!$A:$A,0))</f>
        <v>0</v>
      </c>
      <c r="L128" s="81">
        <f>INDEX('PEER GROUP'!N:N,MATCH($A128,'PEER GROUP'!$A:$A,0))</f>
        <v>0</v>
      </c>
      <c r="M128" s="118"/>
      <c r="N128" s="115"/>
      <c r="O128" s="117"/>
      <c r="P128" s="87"/>
      <c r="Q128" s="87"/>
      <c r="R128" s="87">
        <f t="shared" si="17"/>
        <v>0</v>
      </c>
      <c r="S128" s="113">
        <f t="shared" si="15"/>
        <v>36.913096727263202</v>
      </c>
      <c r="T128" s="69">
        <f t="shared" si="18"/>
        <v>0</v>
      </c>
      <c r="U128" s="70">
        <f t="shared" si="19"/>
        <v>0</v>
      </c>
      <c r="V128" s="70">
        <f t="shared" si="20"/>
        <v>0</v>
      </c>
      <c r="W128" s="71">
        <f t="shared" si="21"/>
        <v>0</v>
      </c>
      <c r="X128" s="49"/>
      <c r="Y128" s="151"/>
      <c r="Z128" s="69"/>
      <c r="AA128" s="70"/>
      <c r="AB128" s="70"/>
      <c r="AC128" s="70" t="str">
        <f t="shared" si="22"/>
        <v>---</v>
      </c>
      <c r="AD128" s="70" t="str">
        <f>IFERROR(P128/#REF!-1,"---")</f>
        <v>---</v>
      </c>
      <c r="AE128" s="70" t="str">
        <f>IFERROR(#REF!/#REF!-1,"---")</f>
        <v>---</v>
      </c>
      <c r="AF128" s="70" t="str">
        <f>IFERROR(Q128/#REF!-1,"---")</f>
        <v>---</v>
      </c>
      <c r="AG128" s="70" t="str">
        <f>IFERROR(#REF!/#REF!-1,"---")</f>
        <v>---</v>
      </c>
      <c r="AH128" s="70" t="str">
        <f>IFERROR(#REF!/AA128-1,"---")</f>
        <v>---</v>
      </c>
      <c r="AI128" s="71" t="str">
        <f t="shared" si="23"/>
        <v>---</v>
      </c>
    </row>
    <row r="129" spans="1:35" ht="30" customHeight="1" x14ac:dyDescent="0.3">
      <c r="A129" s="123">
        <f t="shared" si="16"/>
        <v>125</v>
      </c>
      <c r="B129" s="140">
        <f>INDEX('PEER GROUP'!B:B,MATCH($A129,'PEER GROUP'!$A:$A,0))</f>
        <v>0</v>
      </c>
      <c r="C129" s="83">
        <f>INDEX('PEER GROUP'!C:C,MATCH($A129,'PEER GROUP'!$A:$A,0))</f>
        <v>0</v>
      </c>
      <c r="D129" s="83">
        <f>INDEX('PEER GROUP'!D:D,MATCH($A129,'PEER GROUP'!$A:$A,0))</f>
        <v>0</v>
      </c>
      <c r="E129" s="83">
        <f>INDEX('PEER GROUP'!E:E,MATCH(A129,'PEER GROUP'!$A:$A,0))</f>
        <v>0</v>
      </c>
      <c r="F129" s="84">
        <f>INDEX('PEER GROUP'!F:F,MATCH($A129,'PEER GROUP'!$A:$A,0))</f>
        <v>0</v>
      </c>
      <c r="G129" s="84">
        <f>INDEX('PEER GROUP'!G:G,MATCH($A129,'PEER GROUP'!$A:$A,0))</f>
        <v>0</v>
      </c>
      <c r="H129" s="85"/>
      <c r="I129" s="85"/>
      <c r="J129" s="70">
        <f>INDEX('PEER GROUP'!K:K,MATCH($A129,'PEER GROUP'!$A:$A,0))</f>
        <v>0</v>
      </c>
      <c r="K129" s="70">
        <f>INDEX('PEER GROUP'!L:L,MATCH($A129,'PEER GROUP'!$A:$A,0))</f>
        <v>0</v>
      </c>
      <c r="L129" s="81">
        <f>INDEX('PEER GROUP'!N:N,MATCH($A129,'PEER GROUP'!$A:$A,0))</f>
        <v>0</v>
      </c>
      <c r="M129" s="118"/>
      <c r="N129" s="115"/>
      <c r="O129" s="117"/>
      <c r="P129" s="87"/>
      <c r="Q129" s="87"/>
      <c r="R129" s="87">
        <f t="shared" si="17"/>
        <v>0</v>
      </c>
      <c r="S129" s="113">
        <f t="shared" si="15"/>
        <v>36.913096727263202</v>
      </c>
      <c r="T129" s="69">
        <f t="shared" si="18"/>
        <v>0</v>
      </c>
      <c r="U129" s="70">
        <f t="shared" si="19"/>
        <v>0</v>
      </c>
      <c r="V129" s="70">
        <f t="shared" si="20"/>
        <v>0</v>
      </c>
      <c r="W129" s="71">
        <f t="shared" si="21"/>
        <v>0</v>
      </c>
      <c r="X129" s="49"/>
      <c r="Y129" s="151"/>
      <c r="Z129" s="69"/>
      <c r="AA129" s="70"/>
      <c r="AB129" s="70"/>
      <c r="AC129" s="70" t="str">
        <f t="shared" si="22"/>
        <v>---</v>
      </c>
      <c r="AD129" s="70" t="str">
        <f>IFERROR(P129/#REF!-1,"---")</f>
        <v>---</v>
      </c>
      <c r="AE129" s="70" t="str">
        <f>IFERROR(#REF!/#REF!-1,"---")</f>
        <v>---</v>
      </c>
      <c r="AF129" s="70" t="str">
        <f>IFERROR(Q129/#REF!-1,"---")</f>
        <v>---</v>
      </c>
      <c r="AG129" s="70" t="str">
        <f>IFERROR(#REF!/#REF!-1,"---")</f>
        <v>---</v>
      </c>
      <c r="AH129" s="70" t="str">
        <f>IFERROR(#REF!/AA129-1,"---")</f>
        <v>---</v>
      </c>
      <c r="AI129" s="71" t="str">
        <f t="shared" si="23"/>
        <v>---</v>
      </c>
    </row>
    <row r="130" spans="1:35" ht="30" customHeight="1" x14ac:dyDescent="0.3">
      <c r="A130" s="123">
        <f t="shared" si="16"/>
        <v>126</v>
      </c>
      <c r="B130" s="140">
        <f>INDEX('PEER GROUP'!B:B,MATCH($A130,'PEER GROUP'!$A:$A,0))</f>
        <v>0</v>
      </c>
      <c r="C130" s="83">
        <f>INDEX('PEER GROUP'!C:C,MATCH($A130,'PEER GROUP'!$A:$A,0))</f>
        <v>0</v>
      </c>
      <c r="D130" s="83">
        <f>INDEX('PEER GROUP'!D:D,MATCH($A130,'PEER GROUP'!$A:$A,0))</f>
        <v>0</v>
      </c>
      <c r="E130" s="83">
        <f>INDEX('PEER GROUP'!E:E,MATCH(A130,'PEER GROUP'!$A:$A,0))</f>
        <v>0</v>
      </c>
      <c r="F130" s="84">
        <f>INDEX('PEER GROUP'!F:F,MATCH($A130,'PEER GROUP'!$A:$A,0))</f>
        <v>0</v>
      </c>
      <c r="G130" s="84">
        <f>INDEX('PEER GROUP'!G:G,MATCH($A130,'PEER GROUP'!$A:$A,0))</f>
        <v>0</v>
      </c>
      <c r="H130" s="85"/>
      <c r="I130" s="85"/>
      <c r="J130" s="70">
        <f>INDEX('PEER GROUP'!K:K,MATCH($A130,'PEER GROUP'!$A:$A,0))</f>
        <v>0</v>
      </c>
      <c r="K130" s="70">
        <f>INDEX('PEER GROUP'!L:L,MATCH($A130,'PEER GROUP'!$A:$A,0))</f>
        <v>0</v>
      </c>
      <c r="L130" s="81">
        <f>INDEX('PEER GROUP'!N:N,MATCH($A130,'PEER GROUP'!$A:$A,0))</f>
        <v>0</v>
      </c>
      <c r="M130" s="118"/>
      <c r="N130" s="115"/>
      <c r="O130" s="117"/>
      <c r="P130" s="87"/>
      <c r="Q130" s="87"/>
      <c r="R130" s="87">
        <f t="shared" si="17"/>
        <v>0</v>
      </c>
      <c r="S130" s="113">
        <f t="shared" si="15"/>
        <v>36.913096727263202</v>
      </c>
      <c r="T130" s="69">
        <f t="shared" si="18"/>
        <v>0</v>
      </c>
      <c r="U130" s="70">
        <f t="shared" si="19"/>
        <v>0</v>
      </c>
      <c r="V130" s="70">
        <f t="shared" si="20"/>
        <v>0</v>
      </c>
      <c r="W130" s="71">
        <f t="shared" si="21"/>
        <v>0</v>
      </c>
      <c r="X130" s="49"/>
      <c r="Y130" s="151"/>
      <c r="Z130" s="69"/>
      <c r="AA130" s="70"/>
      <c r="AB130" s="70"/>
      <c r="AC130" s="70" t="str">
        <f t="shared" si="22"/>
        <v>---</v>
      </c>
      <c r="AD130" s="70" t="str">
        <f>IFERROR(P130/#REF!-1,"---")</f>
        <v>---</v>
      </c>
      <c r="AE130" s="70" t="str">
        <f>IFERROR(#REF!/#REF!-1,"---")</f>
        <v>---</v>
      </c>
      <c r="AF130" s="70" t="str">
        <f>IFERROR(Q130/#REF!-1,"---")</f>
        <v>---</v>
      </c>
      <c r="AG130" s="70" t="str">
        <f>IFERROR(#REF!/#REF!-1,"---")</f>
        <v>---</v>
      </c>
      <c r="AH130" s="70" t="str">
        <f>IFERROR(#REF!/AA130-1,"---")</f>
        <v>---</v>
      </c>
      <c r="AI130" s="71" t="str">
        <f t="shared" si="23"/>
        <v>---</v>
      </c>
    </row>
    <row r="131" spans="1:35" ht="30" customHeight="1" x14ac:dyDescent="0.3">
      <c r="A131" s="123">
        <f t="shared" si="16"/>
        <v>127</v>
      </c>
      <c r="B131" s="140">
        <f>INDEX('PEER GROUP'!B:B,MATCH($A131,'PEER GROUP'!$A:$A,0))</f>
        <v>0</v>
      </c>
      <c r="C131" s="83">
        <f>INDEX('PEER GROUP'!C:C,MATCH($A131,'PEER GROUP'!$A:$A,0))</f>
        <v>0</v>
      </c>
      <c r="D131" s="83">
        <f>INDEX('PEER GROUP'!D:D,MATCH($A131,'PEER GROUP'!$A:$A,0))</f>
        <v>0</v>
      </c>
      <c r="E131" s="83">
        <f>INDEX('PEER GROUP'!E:E,MATCH(A131,'PEER GROUP'!$A:$A,0))</f>
        <v>0</v>
      </c>
      <c r="F131" s="84">
        <f>INDEX('PEER GROUP'!F:F,MATCH($A131,'PEER GROUP'!$A:$A,0))</f>
        <v>0</v>
      </c>
      <c r="G131" s="84">
        <f>INDEX('PEER GROUP'!G:G,MATCH($A131,'PEER GROUP'!$A:$A,0))</f>
        <v>0</v>
      </c>
      <c r="H131" s="85"/>
      <c r="I131" s="85"/>
      <c r="J131" s="70">
        <f>INDEX('PEER GROUP'!K:K,MATCH($A131,'PEER GROUP'!$A:$A,0))</f>
        <v>0</v>
      </c>
      <c r="K131" s="70">
        <f>INDEX('PEER GROUP'!L:L,MATCH($A131,'PEER GROUP'!$A:$A,0))</f>
        <v>0</v>
      </c>
      <c r="L131" s="81">
        <f>INDEX('PEER GROUP'!N:N,MATCH($A131,'PEER GROUP'!$A:$A,0))</f>
        <v>0</v>
      </c>
      <c r="M131" s="118"/>
      <c r="N131" s="115"/>
      <c r="O131" s="117"/>
      <c r="P131" s="87"/>
      <c r="Q131" s="87"/>
      <c r="R131" s="87">
        <f t="shared" si="17"/>
        <v>0</v>
      </c>
      <c r="S131" s="113">
        <f t="shared" si="15"/>
        <v>36.913096727263202</v>
      </c>
      <c r="T131" s="69">
        <f t="shared" si="18"/>
        <v>0</v>
      </c>
      <c r="U131" s="70">
        <f t="shared" si="19"/>
        <v>0</v>
      </c>
      <c r="V131" s="70">
        <f t="shared" si="20"/>
        <v>0</v>
      </c>
      <c r="W131" s="71">
        <f t="shared" si="21"/>
        <v>0</v>
      </c>
      <c r="X131" s="49"/>
      <c r="Y131" s="151"/>
      <c r="Z131" s="69"/>
      <c r="AA131" s="70"/>
      <c r="AB131" s="70"/>
      <c r="AC131" s="70" t="str">
        <f t="shared" si="22"/>
        <v>---</v>
      </c>
      <c r="AD131" s="70" t="str">
        <f>IFERROR(P131/#REF!-1,"---")</f>
        <v>---</v>
      </c>
      <c r="AE131" s="70" t="str">
        <f>IFERROR(#REF!/#REF!-1,"---")</f>
        <v>---</v>
      </c>
      <c r="AF131" s="70" t="str">
        <f>IFERROR(Q131/#REF!-1,"---")</f>
        <v>---</v>
      </c>
      <c r="AG131" s="70" t="str">
        <f>IFERROR(#REF!/#REF!-1,"---")</f>
        <v>---</v>
      </c>
      <c r="AH131" s="70" t="str">
        <f>IFERROR(#REF!/AA131-1,"---")</f>
        <v>---</v>
      </c>
      <c r="AI131" s="71" t="str">
        <f t="shared" si="23"/>
        <v>---</v>
      </c>
    </row>
    <row r="132" spans="1:35" ht="30" customHeight="1" x14ac:dyDescent="0.3">
      <c r="A132" s="123">
        <f t="shared" si="16"/>
        <v>128</v>
      </c>
      <c r="B132" s="140">
        <f>INDEX('PEER GROUP'!B:B,MATCH($A132,'PEER GROUP'!$A:$A,0))</f>
        <v>0</v>
      </c>
      <c r="C132" s="83">
        <f>INDEX('PEER GROUP'!C:C,MATCH($A132,'PEER GROUP'!$A:$A,0))</f>
        <v>0</v>
      </c>
      <c r="D132" s="83">
        <f>INDEX('PEER GROUP'!D:D,MATCH($A132,'PEER GROUP'!$A:$A,0))</f>
        <v>0</v>
      </c>
      <c r="E132" s="83">
        <f>INDEX('PEER GROUP'!E:E,MATCH(A132,'PEER GROUP'!$A:$A,0))</f>
        <v>0</v>
      </c>
      <c r="F132" s="84">
        <f>INDEX('PEER GROUP'!F:F,MATCH($A132,'PEER GROUP'!$A:$A,0))</f>
        <v>0</v>
      </c>
      <c r="G132" s="84">
        <f>INDEX('PEER GROUP'!G:G,MATCH($A132,'PEER GROUP'!$A:$A,0))</f>
        <v>0</v>
      </c>
      <c r="H132" s="85"/>
      <c r="I132" s="85"/>
      <c r="J132" s="70">
        <f>INDEX('PEER GROUP'!K:K,MATCH($A132,'PEER GROUP'!$A:$A,0))</f>
        <v>0</v>
      </c>
      <c r="K132" s="70">
        <f>INDEX('PEER GROUP'!L:L,MATCH($A132,'PEER GROUP'!$A:$A,0))</f>
        <v>0</v>
      </c>
      <c r="L132" s="81">
        <f>INDEX('PEER GROUP'!N:N,MATCH($A132,'PEER GROUP'!$A:$A,0))</f>
        <v>0</v>
      </c>
      <c r="M132" s="118"/>
      <c r="N132" s="115"/>
      <c r="O132" s="117"/>
      <c r="P132" s="87"/>
      <c r="Q132" s="87"/>
      <c r="R132" s="87">
        <f t="shared" si="17"/>
        <v>0</v>
      </c>
      <c r="S132" s="113">
        <f t="shared" si="15"/>
        <v>36.913096727263202</v>
      </c>
      <c r="T132" s="69">
        <f t="shared" si="18"/>
        <v>0</v>
      </c>
      <c r="U132" s="70">
        <f t="shared" si="19"/>
        <v>0</v>
      </c>
      <c r="V132" s="70">
        <f t="shared" si="20"/>
        <v>0</v>
      </c>
      <c r="W132" s="71">
        <f t="shared" si="21"/>
        <v>0</v>
      </c>
      <c r="X132" s="49"/>
      <c r="Y132" s="151"/>
      <c r="Z132" s="69"/>
      <c r="AA132" s="70"/>
      <c r="AB132" s="70"/>
      <c r="AC132" s="70" t="str">
        <f t="shared" si="22"/>
        <v>---</v>
      </c>
      <c r="AD132" s="70" t="str">
        <f>IFERROR(P132/#REF!-1,"---")</f>
        <v>---</v>
      </c>
      <c r="AE132" s="70" t="str">
        <f>IFERROR(#REF!/#REF!-1,"---")</f>
        <v>---</v>
      </c>
      <c r="AF132" s="70" t="str">
        <f>IFERROR(Q132/#REF!-1,"---")</f>
        <v>---</v>
      </c>
      <c r="AG132" s="70" t="str">
        <f>IFERROR(#REF!/#REF!-1,"---")</f>
        <v>---</v>
      </c>
      <c r="AH132" s="70" t="str">
        <f>IFERROR(#REF!/AA132-1,"---")</f>
        <v>---</v>
      </c>
      <c r="AI132" s="71" t="str">
        <f t="shared" si="23"/>
        <v>---</v>
      </c>
    </row>
    <row r="133" spans="1:35" ht="30" customHeight="1" x14ac:dyDescent="0.3">
      <c r="A133" s="123">
        <f t="shared" si="16"/>
        <v>129</v>
      </c>
      <c r="B133" s="140">
        <f>INDEX('PEER GROUP'!B:B,MATCH($A133,'PEER GROUP'!$A:$A,0))</f>
        <v>0</v>
      </c>
      <c r="C133" s="83">
        <f>INDEX('PEER GROUP'!C:C,MATCH($A133,'PEER GROUP'!$A:$A,0))</f>
        <v>0</v>
      </c>
      <c r="D133" s="83">
        <f>INDEX('PEER GROUP'!D:D,MATCH($A133,'PEER GROUP'!$A:$A,0))</f>
        <v>0</v>
      </c>
      <c r="E133" s="83">
        <f>INDEX('PEER GROUP'!E:E,MATCH(A133,'PEER GROUP'!$A:$A,0))</f>
        <v>0</v>
      </c>
      <c r="F133" s="84">
        <f>INDEX('PEER GROUP'!F:F,MATCH($A133,'PEER GROUP'!$A:$A,0))</f>
        <v>0</v>
      </c>
      <c r="G133" s="84">
        <f>INDEX('PEER GROUP'!G:G,MATCH($A133,'PEER GROUP'!$A:$A,0))</f>
        <v>0</v>
      </c>
      <c r="H133" s="85"/>
      <c r="I133" s="85"/>
      <c r="J133" s="70">
        <f>INDEX('PEER GROUP'!K:K,MATCH($A133,'PEER GROUP'!$A:$A,0))</f>
        <v>0</v>
      </c>
      <c r="K133" s="70">
        <f>INDEX('PEER GROUP'!L:L,MATCH($A133,'PEER GROUP'!$A:$A,0))</f>
        <v>0</v>
      </c>
      <c r="L133" s="81">
        <f>INDEX('PEER GROUP'!N:N,MATCH($A133,'PEER GROUP'!$A:$A,0))</f>
        <v>0</v>
      </c>
      <c r="M133" s="118"/>
      <c r="N133" s="115"/>
      <c r="O133" s="117"/>
      <c r="P133" s="87"/>
      <c r="Q133" s="87"/>
      <c r="R133" s="87">
        <f t="shared" si="17"/>
        <v>0</v>
      </c>
      <c r="S133" s="113">
        <f t="shared" si="15"/>
        <v>36.913096727263202</v>
      </c>
      <c r="T133" s="69">
        <f t="shared" si="18"/>
        <v>0</v>
      </c>
      <c r="U133" s="70">
        <f t="shared" si="19"/>
        <v>0</v>
      </c>
      <c r="V133" s="70">
        <f t="shared" si="20"/>
        <v>0</v>
      </c>
      <c r="W133" s="71">
        <f t="shared" si="21"/>
        <v>0</v>
      </c>
      <c r="X133" s="49"/>
      <c r="Y133" s="151"/>
      <c r="Z133" s="69"/>
      <c r="AA133" s="70"/>
      <c r="AB133" s="70"/>
      <c r="AC133" s="70" t="str">
        <f t="shared" si="22"/>
        <v>---</v>
      </c>
      <c r="AD133" s="70" t="str">
        <f>IFERROR(P133/#REF!-1,"---")</f>
        <v>---</v>
      </c>
      <c r="AE133" s="70" t="str">
        <f>IFERROR(#REF!/#REF!-1,"---")</f>
        <v>---</v>
      </c>
      <c r="AF133" s="70" t="str">
        <f>IFERROR(Q133/#REF!-1,"---")</f>
        <v>---</v>
      </c>
      <c r="AG133" s="70" t="str">
        <f>IFERROR(#REF!/#REF!-1,"---")</f>
        <v>---</v>
      </c>
      <c r="AH133" s="70" t="str">
        <f>IFERROR(#REF!/AA133-1,"---")</f>
        <v>---</v>
      </c>
      <c r="AI133" s="71" t="str">
        <f t="shared" si="23"/>
        <v>---</v>
      </c>
    </row>
    <row r="134" spans="1:35" ht="30" customHeight="1" x14ac:dyDescent="0.3">
      <c r="A134" s="123">
        <f t="shared" si="16"/>
        <v>130</v>
      </c>
      <c r="B134" s="140">
        <f>INDEX('PEER GROUP'!B:B,MATCH($A134,'PEER GROUP'!$A:$A,0))</f>
        <v>0</v>
      </c>
      <c r="C134" s="83">
        <f>INDEX('PEER GROUP'!C:C,MATCH($A134,'PEER GROUP'!$A:$A,0))</f>
        <v>0</v>
      </c>
      <c r="D134" s="83">
        <f>INDEX('PEER GROUP'!D:D,MATCH($A134,'PEER GROUP'!$A:$A,0))</f>
        <v>0</v>
      </c>
      <c r="E134" s="83">
        <f>INDEX('PEER GROUP'!E:E,MATCH(A134,'PEER GROUP'!$A:$A,0))</f>
        <v>0</v>
      </c>
      <c r="F134" s="84">
        <f>INDEX('PEER GROUP'!F:F,MATCH($A134,'PEER GROUP'!$A:$A,0))</f>
        <v>0</v>
      </c>
      <c r="G134" s="84">
        <f>INDEX('PEER GROUP'!G:G,MATCH($A134,'PEER GROUP'!$A:$A,0))</f>
        <v>0</v>
      </c>
      <c r="H134" s="85"/>
      <c r="I134" s="85"/>
      <c r="J134" s="70">
        <f>INDEX('PEER GROUP'!K:K,MATCH($A134,'PEER GROUP'!$A:$A,0))</f>
        <v>0</v>
      </c>
      <c r="K134" s="70">
        <f>INDEX('PEER GROUP'!L:L,MATCH($A134,'PEER GROUP'!$A:$A,0))</f>
        <v>0</v>
      </c>
      <c r="L134" s="81">
        <f>INDEX('PEER GROUP'!N:N,MATCH($A134,'PEER GROUP'!$A:$A,0))</f>
        <v>0</v>
      </c>
      <c r="M134" s="118"/>
      <c r="N134" s="115"/>
      <c r="O134" s="117"/>
      <c r="P134" s="87"/>
      <c r="Q134" s="87"/>
      <c r="R134" s="87">
        <f t="shared" si="17"/>
        <v>0</v>
      </c>
      <c r="S134" s="113">
        <f t="shared" si="15"/>
        <v>36.913096727263202</v>
      </c>
      <c r="T134" s="69">
        <f t="shared" si="18"/>
        <v>0</v>
      </c>
      <c r="U134" s="70">
        <f t="shared" si="19"/>
        <v>0</v>
      </c>
      <c r="V134" s="70">
        <f t="shared" si="20"/>
        <v>0</v>
      </c>
      <c r="W134" s="71">
        <f t="shared" si="21"/>
        <v>0</v>
      </c>
      <c r="X134" s="49"/>
      <c r="Y134" s="151"/>
      <c r="Z134" s="69"/>
      <c r="AA134" s="70"/>
      <c r="AB134" s="70"/>
      <c r="AC134" s="70" t="str">
        <f t="shared" si="22"/>
        <v>---</v>
      </c>
      <c r="AD134" s="70" t="str">
        <f>IFERROR(P134/#REF!-1,"---")</f>
        <v>---</v>
      </c>
      <c r="AE134" s="70" t="str">
        <f>IFERROR(#REF!/#REF!-1,"---")</f>
        <v>---</v>
      </c>
      <c r="AF134" s="70" t="str">
        <f>IFERROR(Q134/#REF!-1,"---")</f>
        <v>---</v>
      </c>
      <c r="AG134" s="70" t="str">
        <f>IFERROR(#REF!/#REF!-1,"---")</f>
        <v>---</v>
      </c>
      <c r="AH134" s="70" t="str">
        <f>IFERROR(#REF!/AA134-1,"---")</f>
        <v>---</v>
      </c>
      <c r="AI134" s="71" t="str">
        <f t="shared" si="23"/>
        <v>---</v>
      </c>
    </row>
    <row r="135" spans="1:35" ht="30" customHeight="1" x14ac:dyDescent="0.3">
      <c r="A135" s="123">
        <f t="shared" si="16"/>
        <v>131</v>
      </c>
      <c r="B135" s="140">
        <f>INDEX('PEER GROUP'!B:B,MATCH($A135,'PEER GROUP'!$A:$A,0))</f>
        <v>0</v>
      </c>
      <c r="C135" s="83">
        <f>INDEX('PEER GROUP'!C:C,MATCH($A135,'PEER GROUP'!$A:$A,0))</f>
        <v>0</v>
      </c>
      <c r="D135" s="83">
        <f>INDEX('PEER GROUP'!D:D,MATCH($A135,'PEER GROUP'!$A:$A,0))</f>
        <v>0</v>
      </c>
      <c r="E135" s="83">
        <f>INDEX('PEER GROUP'!E:E,MATCH(A135,'PEER GROUP'!$A:$A,0))</f>
        <v>0</v>
      </c>
      <c r="F135" s="84">
        <f>INDEX('PEER GROUP'!F:F,MATCH($A135,'PEER GROUP'!$A:$A,0))</f>
        <v>0</v>
      </c>
      <c r="G135" s="84">
        <f>INDEX('PEER GROUP'!G:G,MATCH($A135,'PEER GROUP'!$A:$A,0))</f>
        <v>0</v>
      </c>
      <c r="H135" s="85"/>
      <c r="I135" s="85"/>
      <c r="J135" s="70">
        <f>INDEX('PEER GROUP'!K:K,MATCH($A135,'PEER GROUP'!$A:$A,0))</f>
        <v>0</v>
      </c>
      <c r="K135" s="70">
        <f>INDEX('PEER GROUP'!L:L,MATCH($A135,'PEER GROUP'!$A:$A,0))</f>
        <v>0</v>
      </c>
      <c r="L135" s="81">
        <f>INDEX('PEER GROUP'!N:N,MATCH($A135,'PEER GROUP'!$A:$A,0))</f>
        <v>0</v>
      </c>
      <c r="M135" s="118"/>
      <c r="N135" s="115"/>
      <c r="O135" s="117"/>
      <c r="P135" s="87"/>
      <c r="Q135" s="87"/>
      <c r="R135" s="87">
        <f t="shared" si="17"/>
        <v>0</v>
      </c>
      <c r="S135" s="113">
        <f t="shared" si="15"/>
        <v>36.913096727263202</v>
      </c>
      <c r="T135" s="69">
        <f t="shared" si="18"/>
        <v>0</v>
      </c>
      <c r="U135" s="70">
        <f t="shared" si="19"/>
        <v>0</v>
      </c>
      <c r="V135" s="70">
        <f t="shared" si="20"/>
        <v>0</v>
      </c>
      <c r="W135" s="71">
        <f t="shared" si="21"/>
        <v>0</v>
      </c>
      <c r="X135" s="49"/>
      <c r="Y135" s="151"/>
      <c r="Z135" s="69"/>
      <c r="AA135" s="70"/>
      <c r="AB135" s="70"/>
      <c r="AC135" s="70" t="str">
        <f t="shared" si="22"/>
        <v>---</v>
      </c>
      <c r="AD135" s="70" t="str">
        <f>IFERROR(P135/#REF!-1,"---")</f>
        <v>---</v>
      </c>
      <c r="AE135" s="70" t="str">
        <f>IFERROR(#REF!/#REF!-1,"---")</f>
        <v>---</v>
      </c>
      <c r="AF135" s="70" t="str">
        <f>IFERROR(Q135/#REF!-1,"---")</f>
        <v>---</v>
      </c>
      <c r="AG135" s="70" t="str">
        <f>IFERROR(#REF!/#REF!-1,"---")</f>
        <v>---</v>
      </c>
      <c r="AH135" s="70" t="str">
        <f>IFERROR(#REF!/AA135-1,"---")</f>
        <v>---</v>
      </c>
      <c r="AI135" s="71" t="str">
        <f t="shared" si="23"/>
        <v>---</v>
      </c>
    </row>
    <row r="136" spans="1:35" ht="30" customHeight="1" x14ac:dyDescent="0.3">
      <c r="A136" s="123">
        <f t="shared" si="16"/>
        <v>132</v>
      </c>
      <c r="B136" s="140">
        <f>INDEX('PEER GROUP'!B:B,MATCH($A136,'PEER GROUP'!$A:$A,0))</f>
        <v>0</v>
      </c>
      <c r="C136" s="83">
        <f>INDEX('PEER GROUP'!C:C,MATCH($A136,'PEER GROUP'!$A:$A,0))</f>
        <v>0</v>
      </c>
      <c r="D136" s="83">
        <f>INDEX('PEER GROUP'!D:D,MATCH($A136,'PEER GROUP'!$A:$A,0))</f>
        <v>0</v>
      </c>
      <c r="E136" s="83">
        <f>INDEX('PEER GROUP'!E:E,MATCH(A136,'PEER GROUP'!$A:$A,0))</f>
        <v>0</v>
      </c>
      <c r="F136" s="84">
        <f>INDEX('PEER GROUP'!F:F,MATCH($A136,'PEER GROUP'!$A:$A,0))</f>
        <v>0</v>
      </c>
      <c r="G136" s="84">
        <f>INDEX('PEER GROUP'!G:G,MATCH($A136,'PEER GROUP'!$A:$A,0))</f>
        <v>0</v>
      </c>
      <c r="H136" s="85"/>
      <c r="I136" s="85"/>
      <c r="J136" s="70">
        <f>INDEX('PEER GROUP'!K:K,MATCH($A136,'PEER GROUP'!$A:$A,0))</f>
        <v>0</v>
      </c>
      <c r="K136" s="70">
        <f>INDEX('PEER GROUP'!L:L,MATCH($A136,'PEER GROUP'!$A:$A,0))</f>
        <v>0</v>
      </c>
      <c r="L136" s="81">
        <f>INDEX('PEER GROUP'!N:N,MATCH($A136,'PEER GROUP'!$A:$A,0))</f>
        <v>0</v>
      </c>
      <c r="M136" s="118"/>
      <c r="N136" s="115"/>
      <c r="O136" s="117"/>
      <c r="P136" s="87"/>
      <c r="Q136" s="87"/>
      <c r="R136" s="87">
        <f t="shared" si="17"/>
        <v>0</v>
      </c>
      <c r="S136" s="113">
        <f t="shared" si="15"/>
        <v>36.913096727263202</v>
      </c>
      <c r="T136" s="69">
        <f t="shared" si="18"/>
        <v>0</v>
      </c>
      <c r="U136" s="70">
        <f t="shared" si="19"/>
        <v>0</v>
      </c>
      <c r="V136" s="70">
        <f t="shared" si="20"/>
        <v>0</v>
      </c>
      <c r="W136" s="71">
        <f t="shared" si="21"/>
        <v>0</v>
      </c>
      <c r="X136" s="49"/>
      <c r="Y136" s="151"/>
      <c r="Z136" s="69"/>
      <c r="AA136" s="70"/>
      <c r="AB136" s="70"/>
      <c r="AC136" s="70" t="str">
        <f t="shared" si="22"/>
        <v>---</v>
      </c>
      <c r="AD136" s="70" t="str">
        <f>IFERROR(P136/#REF!-1,"---")</f>
        <v>---</v>
      </c>
      <c r="AE136" s="70" t="str">
        <f>IFERROR(#REF!/#REF!-1,"---")</f>
        <v>---</v>
      </c>
      <c r="AF136" s="70" t="str">
        <f>IFERROR(Q136/#REF!-1,"---")</f>
        <v>---</v>
      </c>
      <c r="AG136" s="70" t="str">
        <f>IFERROR(#REF!/#REF!-1,"---")</f>
        <v>---</v>
      </c>
      <c r="AH136" s="70" t="str">
        <f>IFERROR(#REF!/AA136-1,"---")</f>
        <v>---</v>
      </c>
      <c r="AI136" s="71" t="str">
        <f t="shared" si="23"/>
        <v>---</v>
      </c>
    </row>
    <row r="137" spans="1:35" ht="30" customHeight="1" x14ac:dyDescent="0.3">
      <c r="A137" s="123">
        <f t="shared" si="16"/>
        <v>133</v>
      </c>
      <c r="B137" s="140">
        <f>INDEX('PEER GROUP'!B:B,MATCH($A137,'PEER GROUP'!$A:$A,0))</f>
        <v>0</v>
      </c>
      <c r="C137" s="83">
        <f>INDEX('PEER GROUP'!C:C,MATCH($A137,'PEER GROUP'!$A:$A,0))</f>
        <v>0</v>
      </c>
      <c r="D137" s="83">
        <f>INDEX('PEER GROUP'!D:D,MATCH($A137,'PEER GROUP'!$A:$A,0))</f>
        <v>0</v>
      </c>
      <c r="E137" s="83">
        <f>INDEX('PEER GROUP'!E:E,MATCH(A137,'PEER GROUP'!$A:$A,0))</f>
        <v>0</v>
      </c>
      <c r="F137" s="84">
        <f>INDEX('PEER GROUP'!F:F,MATCH($A137,'PEER GROUP'!$A:$A,0))</f>
        <v>0</v>
      </c>
      <c r="G137" s="84">
        <f>INDEX('PEER GROUP'!G:G,MATCH($A137,'PEER GROUP'!$A:$A,0))</f>
        <v>0</v>
      </c>
      <c r="H137" s="85"/>
      <c r="I137" s="85"/>
      <c r="J137" s="70">
        <f>INDEX('PEER GROUP'!K:K,MATCH($A137,'PEER GROUP'!$A:$A,0))</f>
        <v>0</v>
      </c>
      <c r="K137" s="70">
        <f>INDEX('PEER GROUP'!L:L,MATCH($A137,'PEER GROUP'!$A:$A,0))</f>
        <v>0</v>
      </c>
      <c r="L137" s="81">
        <f>INDEX('PEER GROUP'!N:N,MATCH($A137,'PEER GROUP'!$A:$A,0))</f>
        <v>0</v>
      </c>
      <c r="M137" s="118"/>
      <c r="N137" s="115"/>
      <c r="O137" s="117"/>
      <c r="P137" s="87"/>
      <c r="Q137" s="87"/>
      <c r="R137" s="87">
        <f t="shared" si="17"/>
        <v>0</v>
      </c>
      <c r="S137" s="113">
        <f t="shared" si="15"/>
        <v>36.913096727263202</v>
      </c>
      <c r="T137" s="69">
        <f t="shared" si="18"/>
        <v>0</v>
      </c>
      <c r="U137" s="70">
        <f t="shared" si="19"/>
        <v>0</v>
      </c>
      <c r="V137" s="70">
        <f t="shared" si="20"/>
        <v>0</v>
      </c>
      <c r="W137" s="71">
        <f t="shared" si="21"/>
        <v>0</v>
      </c>
      <c r="X137" s="49"/>
      <c r="Y137" s="151"/>
      <c r="Z137" s="69"/>
      <c r="AA137" s="70"/>
      <c r="AB137" s="70"/>
      <c r="AC137" s="70" t="str">
        <f t="shared" si="22"/>
        <v>---</v>
      </c>
      <c r="AD137" s="70" t="str">
        <f>IFERROR(P137/#REF!-1,"---")</f>
        <v>---</v>
      </c>
      <c r="AE137" s="70" t="str">
        <f>IFERROR(#REF!/#REF!-1,"---")</f>
        <v>---</v>
      </c>
      <c r="AF137" s="70" t="str">
        <f>IFERROR(Q137/#REF!-1,"---")</f>
        <v>---</v>
      </c>
      <c r="AG137" s="70" t="str">
        <f>IFERROR(#REF!/#REF!-1,"---")</f>
        <v>---</v>
      </c>
      <c r="AH137" s="70" t="str">
        <f>IFERROR(#REF!/AA137-1,"---")</f>
        <v>---</v>
      </c>
      <c r="AI137" s="71" t="str">
        <f t="shared" si="23"/>
        <v>---</v>
      </c>
    </row>
    <row r="138" spans="1:35" ht="30" customHeight="1" x14ac:dyDescent="0.3">
      <c r="A138" s="123">
        <f t="shared" si="16"/>
        <v>134</v>
      </c>
      <c r="B138" s="140">
        <f>INDEX('PEER GROUP'!B:B,MATCH($A138,'PEER GROUP'!$A:$A,0))</f>
        <v>0</v>
      </c>
      <c r="C138" s="83">
        <f>INDEX('PEER GROUP'!C:C,MATCH($A138,'PEER GROUP'!$A:$A,0))</f>
        <v>0</v>
      </c>
      <c r="D138" s="83">
        <f>INDEX('PEER GROUP'!D:D,MATCH($A138,'PEER GROUP'!$A:$A,0))</f>
        <v>0</v>
      </c>
      <c r="E138" s="83">
        <f>INDEX('PEER GROUP'!E:E,MATCH(A138,'PEER GROUP'!$A:$A,0))</f>
        <v>0</v>
      </c>
      <c r="F138" s="84">
        <f>INDEX('PEER GROUP'!F:F,MATCH($A138,'PEER GROUP'!$A:$A,0))</f>
        <v>0</v>
      </c>
      <c r="G138" s="84">
        <f>INDEX('PEER GROUP'!G:G,MATCH($A138,'PEER GROUP'!$A:$A,0))</f>
        <v>0</v>
      </c>
      <c r="H138" s="85"/>
      <c r="I138" s="85"/>
      <c r="J138" s="70">
        <f>INDEX('PEER GROUP'!K:K,MATCH($A138,'PEER GROUP'!$A:$A,0))</f>
        <v>0</v>
      </c>
      <c r="K138" s="70">
        <f>INDEX('PEER GROUP'!L:L,MATCH($A138,'PEER GROUP'!$A:$A,0))</f>
        <v>0</v>
      </c>
      <c r="L138" s="81">
        <f>INDEX('PEER GROUP'!N:N,MATCH($A138,'PEER GROUP'!$A:$A,0))</f>
        <v>0</v>
      </c>
      <c r="M138" s="118"/>
      <c r="N138" s="115"/>
      <c r="O138" s="117"/>
      <c r="P138" s="87"/>
      <c r="Q138" s="87"/>
      <c r="R138" s="87">
        <f t="shared" si="17"/>
        <v>0</v>
      </c>
      <c r="S138" s="113">
        <f t="shared" si="15"/>
        <v>36.913096727263202</v>
      </c>
      <c r="T138" s="69">
        <f t="shared" si="18"/>
        <v>0</v>
      </c>
      <c r="U138" s="70">
        <f t="shared" si="19"/>
        <v>0</v>
      </c>
      <c r="V138" s="70">
        <f t="shared" si="20"/>
        <v>0</v>
      </c>
      <c r="W138" s="71">
        <f t="shared" si="21"/>
        <v>0</v>
      </c>
      <c r="X138" s="49"/>
      <c r="Y138" s="151"/>
      <c r="Z138" s="69"/>
      <c r="AA138" s="70"/>
      <c r="AB138" s="70"/>
      <c r="AC138" s="70" t="str">
        <f t="shared" si="22"/>
        <v>---</v>
      </c>
      <c r="AD138" s="70" t="str">
        <f>IFERROR(P138/#REF!-1,"---")</f>
        <v>---</v>
      </c>
      <c r="AE138" s="70" t="str">
        <f>IFERROR(#REF!/#REF!-1,"---")</f>
        <v>---</v>
      </c>
      <c r="AF138" s="70" t="str">
        <f>IFERROR(Q138/#REF!-1,"---")</f>
        <v>---</v>
      </c>
      <c r="AG138" s="70" t="str">
        <f>IFERROR(#REF!/#REF!-1,"---")</f>
        <v>---</v>
      </c>
      <c r="AH138" s="70" t="str">
        <f>IFERROR(#REF!/AA138-1,"---")</f>
        <v>---</v>
      </c>
      <c r="AI138" s="71" t="str">
        <f t="shared" si="23"/>
        <v>---</v>
      </c>
    </row>
    <row r="139" spans="1:35" ht="30" customHeight="1" x14ac:dyDescent="0.3">
      <c r="A139" s="123">
        <f t="shared" si="16"/>
        <v>135</v>
      </c>
      <c r="B139" s="140">
        <f>INDEX('PEER GROUP'!B:B,MATCH($A139,'PEER GROUP'!$A:$A,0))</f>
        <v>0</v>
      </c>
      <c r="C139" s="83">
        <f>INDEX('PEER GROUP'!C:C,MATCH($A139,'PEER GROUP'!$A:$A,0))</f>
        <v>0</v>
      </c>
      <c r="D139" s="83">
        <f>INDEX('PEER GROUP'!D:D,MATCH($A139,'PEER GROUP'!$A:$A,0))</f>
        <v>0</v>
      </c>
      <c r="E139" s="83">
        <f>INDEX('PEER GROUP'!E:E,MATCH(A139,'PEER GROUP'!$A:$A,0))</f>
        <v>0</v>
      </c>
      <c r="F139" s="84">
        <f>INDEX('PEER GROUP'!F:F,MATCH($A139,'PEER GROUP'!$A:$A,0))</f>
        <v>0</v>
      </c>
      <c r="G139" s="84">
        <f>INDEX('PEER GROUP'!G:G,MATCH($A139,'PEER GROUP'!$A:$A,0))</f>
        <v>0</v>
      </c>
      <c r="H139" s="85"/>
      <c r="I139" s="85"/>
      <c r="J139" s="70">
        <f>INDEX('PEER GROUP'!K:K,MATCH($A139,'PEER GROUP'!$A:$A,0))</f>
        <v>0</v>
      </c>
      <c r="K139" s="70">
        <f>INDEX('PEER GROUP'!L:L,MATCH($A139,'PEER GROUP'!$A:$A,0))</f>
        <v>0</v>
      </c>
      <c r="L139" s="81">
        <f>INDEX('PEER GROUP'!N:N,MATCH($A139,'PEER GROUP'!$A:$A,0))</f>
        <v>0</v>
      </c>
      <c r="M139" s="118"/>
      <c r="N139" s="115"/>
      <c r="O139" s="117"/>
      <c r="P139" s="87"/>
      <c r="Q139" s="87"/>
      <c r="R139" s="87">
        <f t="shared" si="17"/>
        <v>0</v>
      </c>
      <c r="S139" s="113">
        <f t="shared" si="15"/>
        <v>36.913096727263202</v>
      </c>
      <c r="T139" s="69">
        <f t="shared" si="18"/>
        <v>0</v>
      </c>
      <c r="U139" s="70">
        <f t="shared" si="19"/>
        <v>0</v>
      </c>
      <c r="V139" s="70">
        <f t="shared" si="20"/>
        <v>0</v>
      </c>
      <c r="W139" s="71">
        <f t="shared" si="21"/>
        <v>0</v>
      </c>
      <c r="X139" s="49"/>
      <c r="Y139" s="151"/>
      <c r="Z139" s="69"/>
      <c r="AA139" s="70"/>
      <c r="AB139" s="70"/>
      <c r="AC139" s="70" t="str">
        <f t="shared" si="22"/>
        <v>---</v>
      </c>
      <c r="AD139" s="70" t="str">
        <f>IFERROR(P139/#REF!-1,"---")</f>
        <v>---</v>
      </c>
      <c r="AE139" s="70" t="str">
        <f>IFERROR(#REF!/#REF!-1,"---")</f>
        <v>---</v>
      </c>
      <c r="AF139" s="70" t="str">
        <f>IFERROR(Q139/#REF!-1,"---")</f>
        <v>---</v>
      </c>
      <c r="AG139" s="70" t="str">
        <f>IFERROR(#REF!/#REF!-1,"---")</f>
        <v>---</v>
      </c>
      <c r="AH139" s="70" t="str">
        <f>IFERROR(#REF!/AA139-1,"---")</f>
        <v>---</v>
      </c>
      <c r="AI139" s="71" t="str">
        <f t="shared" si="23"/>
        <v>---</v>
      </c>
    </row>
    <row r="140" spans="1:35" ht="30" customHeight="1" x14ac:dyDescent="0.3">
      <c r="A140" s="123">
        <f t="shared" si="16"/>
        <v>136</v>
      </c>
      <c r="B140" s="140">
        <f>INDEX('PEER GROUP'!B:B,MATCH($A140,'PEER GROUP'!$A:$A,0))</f>
        <v>0</v>
      </c>
      <c r="C140" s="83">
        <f>INDEX('PEER GROUP'!C:C,MATCH($A140,'PEER GROUP'!$A:$A,0))</f>
        <v>0</v>
      </c>
      <c r="D140" s="83">
        <f>INDEX('PEER GROUP'!D:D,MATCH($A140,'PEER GROUP'!$A:$A,0))</f>
        <v>0</v>
      </c>
      <c r="E140" s="83">
        <f>INDEX('PEER GROUP'!E:E,MATCH(A140,'PEER GROUP'!$A:$A,0))</f>
        <v>0</v>
      </c>
      <c r="F140" s="84">
        <f>INDEX('PEER GROUP'!F:F,MATCH($A140,'PEER GROUP'!$A:$A,0))</f>
        <v>0</v>
      </c>
      <c r="G140" s="84">
        <f>INDEX('PEER GROUP'!G:G,MATCH($A140,'PEER GROUP'!$A:$A,0))</f>
        <v>0</v>
      </c>
      <c r="H140" s="85"/>
      <c r="I140" s="85"/>
      <c r="J140" s="70">
        <f>INDEX('PEER GROUP'!K:K,MATCH($A140,'PEER GROUP'!$A:$A,0))</f>
        <v>0</v>
      </c>
      <c r="K140" s="70">
        <f>INDEX('PEER GROUP'!L:L,MATCH($A140,'PEER GROUP'!$A:$A,0))</f>
        <v>0</v>
      </c>
      <c r="L140" s="81">
        <f>INDEX('PEER GROUP'!N:N,MATCH($A140,'PEER GROUP'!$A:$A,0))</f>
        <v>0</v>
      </c>
      <c r="M140" s="118"/>
      <c r="N140" s="115"/>
      <c r="O140" s="117"/>
      <c r="P140" s="87"/>
      <c r="Q140" s="87"/>
      <c r="R140" s="87">
        <f t="shared" si="17"/>
        <v>0</v>
      </c>
      <c r="S140" s="113">
        <f t="shared" si="15"/>
        <v>36.913096727263202</v>
      </c>
      <c r="T140" s="69">
        <f t="shared" si="18"/>
        <v>0</v>
      </c>
      <c r="U140" s="70">
        <f t="shared" si="19"/>
        <v>0</v>
      </c>
      <c r="V140" s="70">
        <f t="shared" si="20"/>
        <v>0</v>
      </c>
      <c r="W140" s="71">
        <f t="shared" si="21"/>
        <v>0</v>
      </c>
      <c r="X140" s="49"/>
      <c r="Y140" s="151"/>
      <c r="Z140" s="69"/>
      <c r="AA140" s="70"/>
      <c r="AB140" s="70"/>
      <c r="AC140" s="70" t="str">
        <f t="shared" si="22"/>
        <v>---</v>
      </c>
      <c r="AD140" s="70" t="str">
        <f>IFERROR(P140/#REF!-1,"---")</f>
        <v>---</v>
      </c>
      <c r="AE140" s="70" t="str">
        <f>IFERROR(#REF!/#REF!-1,"---")</f>
        <v>---</v>
      </c>
      <c r="AF140" s="70" t="str">
        <f>IFERROR(Q140/#REF!-1,"---")</f>
        <v>---</v>
      </c>
      <c r="AG140" s="70" t="str">
        <f>IFERROR(#REF!/#REF!-1,"---")</f>
        <v>---</v>
      </c>
      <c r="AH140" s="70" t="str">
        <f>IFERROR(#REF!/AA140-1,"---")</f>
        <v>---</v>
      </c>
      <c r="AI140" s="71" t="str">
        <f t="shared" si="23"/>
        <v>---</v>
      </c>
    </row>
    <row r="141" spans="1:35" ht="30" customHeight="1" x14ac:dyDescent="0.3">
      <c r="A141" s="123">
        <f t="shared" si="16"/>
        <v>137</v>
      </c>
      <c r="B141" s="140">
        <f>INDEX('PEER GROUP'!B:B,MATCH($A141,'PEER GROUP'!$A:$A,0))</f>
        <v>0</v>
      </c>
      <c r="C141" s="83">
        <f>INDEX('PEER GROUP'!C:C,MATCH($A141,'PEER GROUP'!$A:$A,0))</f>
        <v>0</v>
      </c>
      <c r="D141" s="83">
        <f>INDEX('PEER GROUP'!D:D,MATCH($A141,'PEER GROUP'!$A:$A,0))</f>
        <v>0</v>
      </c>
      <c r="E141" s="83">
        <f>INDEX('PEER GROUP'!E:E,MATCH(A141,'PEER GROUP'!$A:$A,0))</f>
        <v>0</v>
      </c>
      <c r="F141" s="84">
        <f>INDEX('PEER GROUP'!F:F,MATCH($A141,'PEER GROUP'!$A:$A,0))</f>
        <v>0</v>
      </c>
      <c r="G141" s="84">
        <f>INDEX('PEER GROUP'!G:G,MATCH($A141,'PEER GROUP'!$A:$A,0))</f>
        <v>0</v>
      </c>
      <c r="H141" s="85"/>
      <c r="I141" s="85"/>
      <c r="J141" s="70">
        <f>INDEX('PEER GROUP'!K:K,MATCH($A141,'PEER GROUP'!$A:$A,0))</f>
        <v>0</v>
      </c>
      <c r="K141" s="70">
        <f>INDEX('PEER GROUP'!L:L,MATCH($A141,'PEER GROUP'!$A:$A,0))</f>
        <v>0</v>
      </c>
      <c r="L141" s="81">
        <f>INDEX('PEER GROUP'!N:N,MATCH($A141,'PEER GROUP'!$A:$A,0))</f>
        <v>0</v>
      </c>
      <c r="M141" s="118"/>
      <c r="N141" s="115"/>
      <c r="O141" s="117"/>
      <c r="P141" s="87"/>
      <c r="Q141" s="87"/>
      <c r="R141" s="87">
        <f t="shared" si="17"/>
        <v>0</v>
      </c>
      <c r="S141" s="113">
        <f t="shared" si="15"/>
        <v>36.913096727263202</v>
      </c>
      <c r="T141" s="69">
        <f t="shared" si="18"/>
        <v>0</v>
      </c>
      <c r="U141" s="70">
        <f t="shared" si="19"/>
        <v>0</v>
      </c>
      <c r="V141" s="70">
        <f t="shared" si="20"/>
        <v>0</v>
      </c>
      <c r="W141" s="71">
        <f t="shared" si="21"/>
        <v>0</v>
      </c>
      <c r="X141" s="49"/>
      <c r="Y141" s="151"/>
      <c r="Z141" s="69"/>
      <c r="AA141" s="70"/>
      <c r="AB141" s="70"/>
      <c r="AC141" s="70" t="str">
        <f t="shared" si="22"/>
        <v>---</v>
      </c>
      <c r="AD141" s="70" t="str">
        <f>IFERROR(P141/#REF!-1,"---")</f>
        <v>---</v>
      </c>
      <c r="AE141" s="70" t="str">
        <f>IFERROR(#REF!/#REF!-1,"---")</f>
        <v>---</v>
      </c>
      <c r="AF141" s="70" t="str">
        <f>IFERROR(Q141/#REF!-1,"---")</f>
        <v>---</v>
      </c>
      <c r="AG141" s="70" t="str">
        <f>IFERROR(#REF!/#REF!-1,"---")</f>
        <v>---</v>
      </c>
      <c r="AH141" s="70" t="str">
        <f>IFERROR(#REF!/AA141-1,"---")</f>
        <v>---</v>
      </c>
      <c r="AI141" s="71" t="str">
        <f t="shared" si="23"/>
        <v>---</v>
      </c>
    </row>
    <row r="142" spans="1:35" ht="30" customHeight="1" x14ac:dyDescent="0.3">
      <c r="A142" s="123">
        <f t="shared" si="16"/>
        <v>138</v>
      </c>
      <c r="B142" s="140">
        <f>INDEX('PEER GROUP'!B:B,MATCH($A142,'PEER GROUP'!$A:$A,0))</f>
        <v>0</v>
      </c>
      <c r="C142" s="83">
        <f>INDEX('PEER GROUP'!C:C,MATCH($A142,'PEER GROUP'!$A:$A,0))</f>
        <v>0</v>
      </c>
      <c r="D142" s="83">
        <f>INDEX('PEER GROUP'!D:D,MATCH($A142,'PEER GROUP'!$A:$A,0))</f>
        <v>0</v>
      </c>
      <c r="E142" s="83">
        <f>INDEX('PEER GROUP'!E:E,MATCH(A142,'PEER GROUP'!$A:$A,0))</f>
        <v>0</v>
      </c>
      <c r="F142" s="84">
        <f>INDEX('PEER GROUP'!F:F,MATCH($A142,'PEER GROUP'!$A:$A,0))</f>
        <v>0</v>
      </c>
      <c r="G142" s="84">
        <f>INDEX('PEER GROUP'!G:G,MATCH($A142,'PEER GROUP'!$A:$A,0))</f>
        <v>0</v>
      </c>
      <c r="H142" s="85"/>
      <c r="I142" s="85"/>
      <c r="J142" s="70">
        <f>INDEX('PEER GROUP'!K:K,MATCH($A142,'PEER GROUP'!$A:$A,0))</f>
        <v>0</v>
      </c>
      <c r="K142" s="70">
        <f>INDEX('PEER GROUP'!L:L,MATCH($A142,'PEER GROUP'!$A:$A,0))</f>
        <v>0</v>
      </c>
      <c r="L142" s="81">
        <f>INDEX('PEER GROUP'!N:N,MATCH($A142,'PEER GROUP'!$A:$A,0))</f>
        <v>0</v>
      </c>
      <c r="M142" s="118"/>
      <c r="N142" s="115"/>
      <c r="O142" s="117"/>
      <c r="P142" s="87"/>
      <c r="Q142" s="87"/>
      <c r="R142" s="87">
        <f t="shared" si="17"/>
        <v>0</v>
      </c>
      <c r="S142" s="113">
        <f t="shared" si="15"/>
        <v>36.913096727263202</v>
      </c>
      <c r="T142" s="69">
        <f t="shared" si="18"/>
        <v>0</v>
      </c>
      <c r="U142" s="70">
        <f t="shared" si="19"/>
        <v>0</v>
      </c>
      <c r="V142" s="70">
        <f t="shared" si="20"/>
        <v>0</v>
      </c>
      <c r="W142" s="71">
        <f t="shared" si="21"/>
        <v>0</v>
      </c>
      <c r="X142" s="49"/>
      <c r="Y142" s="151"/>
      <c r="Z142" s="69"/>
      <c r="AA142" s="70"/>
      <c r="AB142" s="70"/>
      <c r="AC142" s="70" t="str">
        <f t="shared" si="22"/>
        <v>---</v>
      </c>
      <c r="AD142" s="70" t="str">
        <f>IFERROR(P142/#REF!-1,"---")</f>
        <v>---</v>
      </c>
      <c r="AE142" s="70" t="str">
        <f>IFERROR(#REF!/#REF!-1,"---")</f>
        <v>---</v>
      </c>
      <c r="AF142" s="70" t="str">
        <f>IFERROR(Q142/#REF!-1,"---")</f>
        <v>---</v>
      </c>
      <c r="AG142" s="70" t="str">
        <f>IFERROR(#REF!/#REF!-1,"---")</f>
        <v>---</v>
      </c>
      <c r="AH142" s="70" t="str">
        <f>IFERROR(#REF!/AA142-1,"---")</f>
        <v>---</v>
      </c>
      <c r="AI142" s="71" t="str">
        <f t="shared" si="23"/>
        <v>---</v>
      </c>
    </row>
    <row r="143" spans="1:35" ht="30" customHeight="1" x14ac:dyDescent="0.3">
      <c r="A143" s="123">
        <f t="shared" si="16"/>
        <v>139</v>
      </c>
      <c r="B143" s="140">
        <f>INDEX('PEER GROUP'!B:B,MATCH($A143,'PEER GROUP'!$A:$A,0))</f>
        <v>0</v>
      </c>
      <c r="C143" s="83">
        <f>INDEX('PEER GROUP'!C:C,MATCH($A143,'PEER GROUP'!$A:$A,0))</f>
        <v>0</v>
      </c>
      <c r="D143" s="83">
        <f>INDEX('PEER GROUP'!D:D,MATCH($A143,'PEER GROUP'!$A:$A,0))</f>
        <v>0</v>
      </c>
      <c r="E143" s="83">
        <f>INDEX('PEER GROUP'!E:E,MATCH(A143,'PEER GROUP'!$A:$A,0))</f>
        <v>0</v>
      </c>
      <c r="F143" s="84">
        <f>INDEX('PEER GROUP'!F:F,MATCH($A143,'PEER GROUP'!$A:$A,0))</f>
        <v>0</v>
      </c>
      <c r="G143" s="84">
        <f>INDEX('PEER GROUP'!G:G,MATCH($A143,'PEER GROUP'!$A:$A,0))</f>
        <v>0</v>
      </c>
      <c r="H143" s="85"/>
      <c r="I143" s="85"/>
      <c r="J143" s="70">
        <f>INDEX('PEER GROUP'!K:K,MATCH($A143,'PEER GROUP'!$A:$A,0))</f>
        <v>0</v>
      </c>
      <c r="K143" s="70">
        <f>INDEX('PEER GROUP'!L:L,MATCH($A143,'PEER GROUP'!$A:$A,0))</f>
        <v>0</v>
      </c>
      <c r="L143" s="81">
        <f>INDEX('PEER GROUP'!N:N,MATCH($A143,'PEER GROUP'!$A:$A,0))</f>
        <v>0</v>
      </c>
      <c r="M143" s="118"/>
      <c r="N143" s="115"/>
      <c r="O143" s="117"/>
      <c r="P143" s="87"/>
      <c r="Q143" s="87"/>
      <c r="R143" s="87">
        <f t="shared" si="17"/>
        <v>0</v>
      </c>
      <c r="S143" s="113">
        <f t="shared" si="15"/>
        <v>36.913096727263202</v>
      </c>
      <c r="T143" s="69">
        <f t="shared" si="18"/>
        <v>0</v>
      </c>
      <c r="U143" s="70">
        <f t="shared" si="19"/>
        <v>0</v>
      </c>
      <c r="V143" s="70">
        <f t="shared" si="20"/>
        <v>0</v>
      </c>
      <c r="W143" s="71">
        <f t="shared" si="21"/>
        <v>0</v>
      </c>
      <c r="X143" s="49"/>
      <c r="Y143" s="151"/>
      <c r="Z143" s="69"/>
      <c r="AA143" s="70"/>
      <c r="AB143" s="70"/>
      <c r="AC143" s="70" t="str">
        <f t="shared" si="22"/>
        <v>---</v>
      </c>
      <c r="AD143" s="70" t="str">
        <f>IFERROR(P143/#REF!-1,"---")</f>
        <v>---</v>
      </c>
      <c r="AE143" s="70" t="str">
        <f>IFERROR(#REF!/#REF!-1,"---")</f>
        <v>---</v>
      </c>
      <c r="AF143" s="70" t="str">
        <f>IFERROR(Q143/#REF!-1,"---")</f>
        <v>---</v>
      </c>
      <c r="AG143" s="70" t="str">
        <f>IFERROR(#REF!/#REF!-1,"---")</f>
        <v>---</v>
      </c>
      <c r="AH143" s="70" t="str">
        <f>IFERROR(#REF!/AA143-1,"---")</f>
        <v>---</v>
      </c>
      <c r="AI143" s="71" t="str">
        <f t="shared" si="23"/>
        <v>---</v>
      </c>
    </row>
    <row r="144" spans="1:35" ht="30" customHeight="1" x14ac:dyDescent="0.3">
      <c r="A144" s="123">
        <f t="shared" si="16"/>
        <v>140</v>
      </c>
      <c r="B144" s="140">
        <f>INDEX('PEER GROUP'!B:B,MATCH($A144,'PEER GROUP'!$A:$A,0))</f>
        <v>0</v>
      </c>
      <c r="C144" s="83">
        <f>INDEX('PEER GROUP'!C:C,MATCH($A144,'PEER GROUP'!$A:$A,0))</f>
        <v>0</v>
      </c>
      <c r="D144" s="83">
        <f>INDEX('PEER GROUP'!D:D,MATCH($A144,'PEER GROUP'!$A:$A,0))</f>
        <v>0</v>
      </c>
      <c r="E144" s="83">
        <f>INDEX('PEER GROUP'!E:E,MATCH(A144,'PEER GROUP'!$A:$A,0))</f>
        <v>0</v>
      </c>
      <c r="F144" s="84">
        <f>INDEX('PEER GROUP'!F:F,MATCH($A144,'PEER GROUP'!$A:$A,0))</f>
        <v>0</v>
      </c>
      <c r="G144" s="84">
        <f>INDEX('PEER GROUP'!G:G,MATCH($A144,'PEER GROUP'!$A:$A,0))</f>
        <v>0</v>
      </c>
      <c r="H144" s="85"/>
      <c r="I144" s="85"/>
      <c r="J144" s="70">
        <f>INDEX('PEER GROUP'!K:K,MATCH($A144,'PEER GROUP'!$A:$A,0))</f>
        <v>0</v>
      </c>
      <c r="K144" s="70">
        <f>INDEX('PEER GROUP'!L:L,MATCH($A144,'PEER GROUP'!$A:$A,0))</f>
        <v>0</v>
      </c>
      <c r="L144" s="81">
        <f>INDEX('PEER GROUP'!N:N,MATCH($A144,'PEER GROUP'!$A:$A,0))</f>
        <v>0</v>
      </c>
      <c r="M144" s="118"/>
      <c r="N144" s="115"/>
      <c r="O144" s="117"/>
      <c r="P144" s="87"/>
      <c r="Q144" s="87"/>
      <c r="R144" s="87">
        <f t="shared" si="17"/>
        <v>0</v>
      </c>
      <c r="S144" s="113">
        <f t="shared" si="15"/>
        <v>36.913096727263202</v>
      </c>
      <c r="T144" s="69">
        <f t="shared" si="18"/>
        <v>0</v>
      </c>
      <c r="U144" s="70">
        <f t="shared" si="19"/>
        <v>0</v>
      </c>
      <c r="V144" s="70">
        <f t="shared" si="20"/>
        <v>0</v>
      </c>
      <c r="W144" s="71">
        <f t="shared" si="21"/>
        <v>0</v>
      </c>
      <c r="X144" s="49"/>
      <c r="Y144" s="151"/>
      <c r="Z144" s="69"/>
      <c r="AA144" s="70"/>
      <c r="AB144" s="70"/>
      <c r="AC144" s="70" t="str">
        <f t="shared" si="22"/>
        <v>---</v>
      </c>
      <c r="AD144" s="70" t="str">
        <f>IFERROR(P144/#REF!-1,"---")</f>
        <v>---</v>
      </c>
      <c r="AE144" s="70" t="str">
        <f>IFERROR(#REF!/#REF!-1,"---")</f>
        <v>---</v>
      </c>
      <c r="AF144" s="70" t="str">
        <f>IFERROR(Q144/#REF!-1,"---")</f>
        <v>---</v>
      </c>
      <c r="AG144" s="70" t="str">
        <f>IFERROR(#REF!/#REF!-1,"---")</f>
        <v>---</v>
      </c>
      <c r="AH144" s="70" t="str">
        <f>IFERROR(#REF!/AA144-1,"---")</f>
        <v>---</v>
      </c>
      <c r="AI144" s="71" t="str">
        <f t="shared" si="23"/>
        <v>---</v>
      </c>
    </row>
    <row r="145" spans="1:35" ht="30" customHeight="1" x14ac:dyDescent="0.3">
      <c r="A145" s="123">
        <f t="shared" si="16"/>
        <v>141</v>
      </c>
      <c r="B145" s="140">
        <f>INDEX('PEER GROUP'!B:B,MATCH($A145,'PEER GROUP'!$A:$A,0))</f>
        <v>0</v>
      </c>
      <c r="C145" s="83">
        <f>INDEX('PEER GROUP'!C:C,MATCH($A145,'PEER GROUP'!$A:$A,0))</f>
        <v>0</v>
      </c>
      <c r="D145" s="83">
        <f>INDEX('PEER GROUP'!D:D,MATCH($A145,'PEER GROUP'!$A:$A,0))</f>
        <v>0</v>
      </c>
      <c r="E145" s="83">
        <f>INDEX('PEER GROUP'!E:E,MATCH(A145,'PEER GROUP'!$A:$A,0))</f>
        <v>0</v>
      </c>
      <c r="F145" s="84">
        <f>INDEX('PEER GROUP'!F:F,MATCH($A145,'PEER GROUP'!$A:$A,0))</f>
        <v>0</v>
      </c>
      <c r="G145" s="84">
        <f>INDEX('PEER GROUP'!G:G,MATCH($A145,'PEER GROUP'!$A:$A,0))</f>
        <v>0</v>
      </c>
      <c r="H145" s="85"/>
      <c r="I145" s="85"/>
      <c r="J145" s="70">
        <f>INDEX('PEER GROUP'!K:K,MATCH($A145,'PEER GROUP'!$A:$A,0))</f>
        <v>0</v>
      </c>
      <c r="K145" s="70">
        <f>INDEX('PEER GROUP'!L:L,MATCH($A145,'PEER GROUP'!$A:$A,0))</f>
        <v>0</v>
      </c>
      <c r="L145" s="81">
        <f>INDEX('PEER GROUP'!N:N,MATCH($A145,'PEER GROUP'!$A:$A,0))</f>
        <v>0</v>
      </c>
      <c r="M145" s="118"/>
      <c r="N145" s="115"/>
      <c r="O145" s="117"/>
      <c r="P145" s="87"/>
      <c r="Q145" s="87"/>
      <c r="R145" s="87">
        <f t="shared" si="17"/>
        <v>0</v>
      </c>
      <c r="S145" s="113">
        <f t="shared" si="15"/>
        <v>36.913096727263202</v>
      </c>
      <c r="T145" s="69">
        <f t="shared" si="18"/>
        <v>0</v>
      </c>
      <c r="U145" s="70">
        <f t="shared" si="19"/>
        <v>0</v>
      </c>
      <c r="V145" s="70">
        <f t="shared" si="20"/>
        <v>0</v>
      </c>
      <c r="W145" s="71">
        <f t="shared" si="21"/>
        <v>0</v>
      </c>
      <c r="X145" s="49"/>
      <c r="Y145" s="151"/>
      <c r="Z145" s="69"/>
      <c r="AA145" s="70"/>
      <c r="AB145" s="70"/>
      <c r="AC145" s="70" t="str">
        <f t="shared" si="22"/>
        <v>---</v>
      </c>
      <c r="AD145" s="70" t="str">
        <f>IFERROR(P145/#REF!-1,"---")</f>
        <v>---</v>
      </c>
      <c r="AE145" s="70" t="str">
        <f>IFERROR(#REF!/#REF!-1,"---")</f>
        <v>---</v>
      </c>
      <c r="AF145" s="70" t="str">
        <f>IFERROR(Q145/#REF!-1,"---")</f>
        <v>---</v>
      </c>
      <c r="AG145" s="70" t="str">
        <f>IFERROR(#REF!/#REF!-1,"---")</f>
        <v>---</v>
      </c>
      <c r="AH145" s="70" t="str">
        <f>IFERROR(#REF!/AA145-1,"---")</f>
        <v>---</v>
      </c>
      <c r="AI145" s="71" t="str">
        <f t="shared" si="23"/>
        <v>---</v>
      </c>
    </row>
    <row r="146" spans="1:35" ht="30" customHeight="1" x14ac:dyDescent="0.3">
      <c r="A146" s="123">
        <f t="shared" si="16"/>
        <v>142</v>
      </c>
      <c r="B146" s="140">
        <f>INDEX('PEER GROUP'!B:B,MATCH($A146,'PEER GROUP'!$A:$A,0))</f>
        <v>0</v>
      </c>
      <c r="C146" s="83">
        <f>INDEX('PEER GROUP'!C:C,MATCH($A146,'PEER GROUP'!$A:$A,0))</f>
        <v>0</v>
      </c>
      <c r="D146" s="83">
        <f>INDEX('PEER GROUP'!D:D,MATCH($A146,'PEER GROUP'!$A:$A,0))</f>
        <v>0</v>
      </c>
      <c r="E146" s="83">
        <f>INDEX('PEER GROUP'!E:E,MATCH(A146,'PEER GROUP'!$A:$A,0))</f>
        <v>0</v>
      </c>
      <c r="F146" s="84">
        <f>INDEX('PEER GROUP'!F:F,MATCH($A146,'PEER GROUP'!$A:$A,0))</f>
        <v>0</v>
      </c>
      <c r="G146" s="84">
        <f>INDEX('PEER GROUP'!G:G,MATCH($A146,'PEER GROUP'!$A:$A,0))</f>
        <v>0</v>
      </c>
      <c r="H146" s="85"/>
      <c r="I146" s="85"/>
      <c r="J146" s="70">
        <f>INDEX('PEER GROUP'!K:K,MATCH($A146,'PEER GROUP'!$A:$A,0))</f>
        <v>0</v>
      </c>
      <c r="K146" s="70">
        <f>INDEX('PEER GROUP'!L:L,MATCH($A146,'PEER GROUP'!$A:$A,0))</f>
        <v>0</v>
      </c>
      <c r="L146" s="81">
        <f>INDEX('PEER GROUP'!N:N,MATCH($A146,'PEER GROUP'!$A:$A,0))</f>
        <v>0</v>
      </c>
      <c r="M146" s="118"/>
      <c r="N146" s="115"/>
      <c r="O146" s="117"/>
      <c r="P146" s="87"/>
      <c r="Q146" s="87"/>
      <c r="R146" s="87">
        <f t="shared" si="17"/>
        <v>0</v>
      </c>
      <c r="S146" s="113">
        <f t="shared" si="15"/>
        <v>36.913096727263202</v>
      </c>
      <c r="T146" s="69">
        <f t="shared" si="18"/>
        <v>0</v>
      </c>
      <c r="U146" s="70">
        <f t="shared" si="19"/>
        <v>0</v>
      </c>
      <c r="V146" s="70">
        <f t="shared" si="20"/>
        <v>0</v>
      </c>
      <c r="W146" s="71">
        <f t="shared" si="21"/>
        <v>0</v>
      </c>
      <c r="X146" s="49"/>
      <c r="Y146" s="151"/>
      <c r="Z146" s="69"/>
      <c r="AA146" s="70"/>
      <c r="AB146" s="70"/>
      <c r="AC146" s="70" t="str">
        <f t="shared" si="22"/>
        <v>---</v>
      </c>
      <c r="AD146" s="70" t="str">
        <f>IFERROR(P146/#REF!-1,"---")</f>
        <v>---</v>
      </c>
      <c r="AE146" s="70" t="str">
        <f>IFERROR(#REF!/#REF!-1,"---")</f>
        <v>---</v>
      </c>
      <c r="AF146" s="70" t="str">
        <f>IFERROR(Q146/#REF!-1,"---")</f>
        <v>---</v>
      </c>
      <c r="AG146" s="70" t="str">
        <f>IFERROR(#REF!/#REF!-1,"---")</f>
        <v>---</v>
      </c>
      <c r="AH146" s="70" t="str">
        <f>IFERROR(#REF!/AA146-1,"---")</f>
        <v>---</v>
      </c>
      <c r="AI146" s="71" t="str">
        <f t="shared" si="23"/>
        <v>---</v>
      </c>
    </row>
    <row r="147" spans="1:35" ht="30" customHeight="1" x14ac:dyDescent="0.3">
      <c r="A147" s="123">
        <f t="shared" si="16"/>
        <v>143</v>
      </c>
      <c r="B147" s="140">
        <f>INDEX('PEER GROUP'!B:B,MATCH($A147,'PEER GROUP'!$A:$A,0))</f>
        <v>0</v>
      </c>
      <c r="C147" s="83">
        <f>INDEX('PEER GROUP'!C:C,MATCH($A147,'PEER GROUP'!$A:$A,0))</f>
        <v>0</v>
      </c>
      <c r="D147" s="83">
        <f>INDEX('PEER GROUP'!D:D,MATCH($A147,'PEER GROUP'!$A:$A,0))</f>
        <v>0</v>
      </c>
      <c r="E147" s="83">
        <f>INDEX('PEER GROUP'!E:E,MATCH(A147,'PEER GROUP'!$A:$A,0))</f>
        <v>0</v>
      </c>
      <c r="F147" s="84">
        <f>INDEX('PEER GROUP'!F:F,MATCH($A147,'PEER GROUP'!$A:$A,0))</f>
        <v>0</v>
      </c>
      <c r="G147" s="84">
        <f>INDEX('PEER GROUP'!G:G,MATCH($A147,'PEER GROUP'!$A:$A,0))</f>
        <v>0</v>
      </c>
      <c r="H147" s="85"/>
      <c r="I147" s="85"/>
      <c r="J147" s="70">
        <f>INDEX('PEER GROUP'!K:K,MATCH($A147,'PEER GROUP'!$A:$A,0))</f>
        <v>0</v>
      </c>
      <c r="K147" s="70">
        <f>INDEX('PEER GROUP'!L:L,MATCH($A147,'PEER GROUP'!$A:$A,0))</f>
        <v>0</v>
      </c>
      <c r="L147" s="81">
        <f>INDEX('PEER GROUP'!N:N,MATCH($A147,'PEER GROUP'!$A:$A,0))</f>
        <v>0</v>
      </c>
      <c r="M147" s="118"/>
      <c r="N147" s="115"/>
      <c r="O147" s="117"/>
      <c r="P147" s="87"/>
      <c r="Q147" s="87"/>
      <c r="R147" s="87">
        <f t="shared" si="17"/>
        <v>0</v>
      </c>
      <c r="S147" s="113">
        <f t="shared" si="15"/>
        <v>36.913096727263202</v>
      </c>
      <c r="T147" s="69">
        <f t="shared" si="18"/>
        <v>0</v>
      </c>
      <c r="U147" s="70">
        <f t="shared" si="19"/>
        <v>0</v>
      </c>
      <c r="V147" s="70">
        <f t="shared" si="20"/>
        <v>0</v>
      </c>
      <c r="W147" s="71">
        <f t="shared" si="21"/>
        <v>0</v>
      </c>
      <c r="X147" s="49"/>
      <c r="Y147" s="151"/>
      <c r="Z147" s="69"/>
      <c r="AA147" s="70"/>
      <c r="AB147" s="70"/>
      <c r="AC147" s="70" t="str">
        <f t="shared" si="22"/>
        <v>---</v>
      </c>
      <c r="AD147" s="70" t="str">
        <f>IFERROR(P147/#REF!-1,"---")</f>
        <v>---</v>
      </c>
      <c r="AE147" s="70" t="str">
        <f>IFERROR(#REF!/#REF!-1,"---")</f>
        <v>---</v>
      </c>
      <c r="AF147" s="70" t="str">
        <f>IFERROR(Q147/#REF!-1,"---")</f>
        <v>---</v>
      </c>
      <c r="AG147" s="70" t="str">
        <f>IFERROR(#REF!/#REF!-1,"---")</f>
        <v>---</v>
      </c>
      <c r="AH147" s="70" t="str">
        <f>IFERROR(#REF!/AA147-1,"---")</f>
        <v>---</v>
      </c>
      <c r="AI147" s="71" t="str">
        <f t="shared" si="23"/>
        <v>---</v>
      </c>
    </row>
    <row r="148" spans="1:35" ht="30" customHeight="1" x14ac:dyDescent="0.3">
      <c r="A148" s="123">
        <f t="shared" si="16"/>
        <v>144</v>
      </c>
      <c r="B148" s="140">
        <f>INDEX('PEER GROUP'!B:B,MATCH($A148,'PEER GROUP'!$A:$A,0))</f>
        <v>0</v>
      </c>
      <c r="C148" s="83">
        <f>INDEX('PEER GROUP'!C:C,MATCH($A148,'PEER GROUP'!$A:$A,0))</f>
        <v>0</v>
      </c>
      <c r="D148" s="83">
        <f>INDEX('PEER GROUP'!D:D,MATCH($A148,'PEER GROUP'!$A:$A,0))</f>
        <v>0</v>
      </c>
      <c r="E148" s="83">
        <f>INDEX('PEER GROUP'!E:E,MATCH(A148,'PEER GROUP'!$A:$A,0))</f>
        <v>0</v>
      </c>
      <c r="F148" s="84">
        <f>INDEX('PEER GROUP'!F:F,MATCH($A148,'PEER GROUP'!$A:$A,0))</f>
        <v>0</v>
      </c>
      <c r="G148" s="84">
        <f>INDEX('PEER GROUP'!G:G,MATCH($A148,'PEER GROUP'!$A:$A,0))</f>
        <v>0</v>
      </c>
      <c r="H148" s="85"/>
      <c r="I148" s="85"/>
      <c r="J148" s="70">
        <f>INDEX('PEER GROUP'!K:K,MATCH($A148,'PEER GROUP'!$A:$A,0))</f>
        <v>0</v>
      </c>
      <c r="K148" s="70">
        <f>INDEX('PEER GROUP'!L:L,MATCH($A148,'PEER GROUP'!$A:$A,0))</f>
        <v>0</v>
      </c>
      <c r="L148" s="81">
        <f>INDEX('PEER GROUP'!N:N,MATCH($A148,'PEER GROUP'!$A:$A,0))</f>
        <v>0</v>
      </c>
      <c r="M148" s="118"/>
      <c r="N148" s="115"/>
      <c r="O148" s="117"/>
      <c r="P148" s="87"/>
      <c r="Q148" s="87"/>
      <c r="R148" s="87">
        <f t="shared" si="17"/>
        <v>0</v>
      </c>
      <c r="S148" s="113">
        <f t="shared" si="15"/>
        <v>36.913096727263202</v>
      </c>
      <c r="T148" s="69">
        <f t="shared" si="18"/>
        <v>0</v>
      </c>
      <c r="U148" s="70">
        <f t="shared" si="19"/>
        <v>0</v>
      </c>
      <c r="V148" s="70">
        <f t="shared" si="20"/>
        <v>0</v>
      </c>
      <c r="W148" s="71">
        <f t="shared" si="21"/>
        <v>0</v>
      </c>
      <c r="X148" s="49"/>
      <c r="Y148" s="151"/>
      <c r="Z148" s="69"/>
      <c r="AA148" s="70"/>
      <c r="AB148" s="70"/>
      <c r="AC148" s="70" t="str">
        <f t="shared" si="22"/>
        <v>---</v>
      </c>
      <c r="AD148" s="70" t="str">
        <f>IFERROR(P148/#REF!-1,"---")</f>
        <v>---</v>
      </c>
      <c r="AE148" s="70" t="str">
        <f>IFERROR(#REF!/#REF!-1,"---")</f>
        <v>---</v>
      </c>
      <c r="AF148" s="70" t="str">
        <f>IFERROR(Q148/#REF!-1,"---")</f>
        <v>---</v>
      </c>
      <c r="AG148" s="70" t="str">
        <f>IFERROR(#REF!/#REF!-1,"---")</f>
        <v>---</v>
      </c>
      <c r="AH148" s="70" t="str">
        <f>IFERROR(#REF!/AA148-1,"---")</f>
        <v>---</v>
      </c>
      <c r="AI148" s="71" t="str">
        <f t="shared" si="23"/>
        <v>---</v>
      </c>
    </row>
    <row r="149" spans="1:35" ht="30" customHeight="1" x14ac:dyDescent="0.3">
      <c r="A149" s="123">
        <f t="shared" si="16"/>
        <v>145</v>
      </c>
      <c r="B149" s="140">
        <f>INDEX('PEER GROUP'!B:B,MATCH($A149,'PEER GROUP'!$A:$A,0))</f>
        <v>0</v>
      </c>
      <c r="C149" s="83">
        <f>INDEX('PEER GROUP'!C:C,MATCH($A149,'PEER GROUP'!$A:$A,0))</f>
        <v>0</v>
      </c>
      <c r="D149" s="83">
        <f>INDEX('PEER GROUP'!D:D,MATCH($A149,'PEER GROUP'!$A:$A,0))</f>
        <v>0</v>
      </c>
      <c r="E149" s="83">
        <f>INDEX('PEER GROUP'!E:E,MATCH(A149,'PEER GROUP'!$A:$A,0))</f>
        <v>0</v>
      </c>
      <c r="F149" s="84">
        <f>INDEX('PEER GROUP'!F:F,MATCH($A149,'PEER GROUP'!$A:$A,0))</f>
        <v>0</v>
      </c>
      <c r="G149" s="84">
        <f>INDEX('PEER GROUP'!G:G,MATCH($A149,'PEER GROUP'!$A:$A,0))</f>
        <v>0</v>
      </c>
      <c r="H149" s="85"/>
      <c r="I149" s="85"/>
      <c r="J149" s="70">
        <f>INDEX('PEER GROUP'!K:K,MATCH($A149,'PEER GROUP'!$A:$A,0))</f>
        <v>0</v>
      </c>
      <c r="K149" s="70">
        <f>INDEX('PEER GROUP'!L:L,MATCH($A149,'PEER GROUP'!$A:$A,0))</f>
        <v>0</v>
      </c>
      <c r="L149" s="81">
        <f>INDEX('PEER GROUP'!N:N,MATCH($A149,'PEER GROUP'!$A:$A,0))</f>
        <v>0</v>
      </c>
      <c r="M149" s="118"/>
      <c r="N149" s="115"/>
      <c r="O149" s="117"/>
      <c r="P149" s="87"/>
      <c r="Q149" s="87"/>
      <c r="R149" s="87">
        <f t="shared" si="17"/>
        <v>0</v>
      </c>
      <c r="S149" s="113">
        <f t="shared" si="15"/>
        <v>36.913096727263202</v>
      </c>
      <c r="T149" s="69">
        <f t="shared" si="18"/>
        <v>0</v>
      </c>
      <c r="U149" s="70">
        <f t="shared" si="19"/>
        <v>0</v>
      </c>
      <c r="V149" s="70">
        <f t="shared" si="20"/>
        <v>0</v>
      </c>
      <c r="W149" s="71">
        <f t="shared" si="21"/>
        <v>0</v>
      </c>
      <c r="X149" s="49"/>
      <c r="Y149" s="151"/>
      <c r="Z149" s="69"/>
      <c r="AA149" s="70"/>
      <c r="AB149" s="70"/>
      <c r="AC149" s="70" t="str">
        <f t="shared" si="22"/>
        <v>---</v>
      </c>
      <c r="AD149" s="70" t="str">
        <f>IFERROR(P149/#REF!-1,"---")</f>
        <v>---</v>
      </c>
      <c r="AE149" s="70" t="str">
        <f>IFERROR(#REF!/#REF!-1,"---")</f>
        <v>---</v>
      </c>
      <c r="AF149" s="70" t="str">
        <f>IFERROR(Q149/#REF!-1,"---")</f>
        <v>---</v>
      </c>
      <c r="AG149" s="70" t="str">
        <f>IFERROR(#REF!/#REF!-1,"---")</f>
        <v>---</v>
      </c>
      <c r="AH149" s="70" t="str">
        <f>IFERROR(#REF!/AA149-1,"---")</f>
        <v>---</v>
      </c>
      <c r="AI149" s="71" t="str">
        <f t="shared" si="23"/>
        <v>---</v>
      </c>
    </row>
    <row r="150" spans="1:35" ht="30" customHeight="1" x14ac:dyDescent="0.3">
      <c r="A150" s="123">
        <f t="shared" si="16"/>
        <v>146</v>
      </c>
      <c r="B150" s="140">
        <f>INDEX('PEER GROUP'!B:B,MATCH($A150,'PEER GROUP'!$A:$A,0))</f>
        <v>0</v>
      </c>
      <c r="C150" s="83">
        <f>INDEX('PEER GROUP'!C:C,MATCH($A150,'PEER GROUP'!$A:$A,0))</f>
        <v>0</v>
      </c>
      <c r="D150" s="83">
        <f>INDEX('PEER GROUP'!D:D,MATCH($A150,'PEER GROUP'!$A:$A,0))</f>
        <v>0</v>
      </c>
      <c r="E150" s="83">
        <f>INDEX('PEER GROUP'!E:E,MATCH(A150,'PEER GROUP'!$A:$A,0))</f>
        <v>0</v>
      </c>
      <c r="F150" s="84">
        <f>INDEX('PEER GROUP'!F:F,MATCH($A150,'PEER GROUP'!$A:$A,0))</f>
        <v>0</v>
      </c>
      <c r="G150" s="84">
        <f>INDEX('PEER GROUP'!G:G,MATCH($A150,'PEER GROUP'!$A:$A,0))</f>
        <v>0</v>
      </c>
      <c r="H150" s="85"/>
      <c r="I150" s="85"/>
      <c r="J150" s="70">
        <f>INDEX('PEER GROUP'!K:K,MATCH($A150,'PEER GROUP'!$A:$A,0))</f>
        <v>0</v>
      </c>
      <c r="K150" s="70">
        <f>INDEX('PEER GROUP'!L:L,MATCH($A150,'PEER GROUP'!$A:$A,0))</f>
        <v>0</v>
      </c>
      <c r="L150" s="81">
        <f>INDEX('PEER GROUP'!N:N,MATCH($A150,'PEER GROUP'!$A:$A,0))</f>
        <v>0</v>
      </c>
      <c r="M150" s="118"/>
      <c r="N150" s="115"/>
      <c r="O150" s="117"/>
      <c r="P150" s="87"/>
      <c r="Q150" s="87"/>
      <c r="R150" s="87">
        <f t="shared" si="17"/>
        <v>0</v>
      </c>
      <c r="S150" s="113">
        <f t="shared" si="15"/>
        <v>36.913096727263202</v>
      </c>
      <c r="T150" s="69">
        <f t="shared" si="18"/>
        <v>0</v>
      </c>
      <c r="U150" s="70">
        <f t="shared" si="19"/>
        <v>0</v>
      </c>
      <c r="V150" s="70">
        <f t="shared" si="20"/>
        <v>0</v>
      </c>
      <c r="W150" s="71">
        <f t="shared" si="21"/>
        <v>0</v>
      </c>
      <c r="X150" s="49"/>
      <c r="Y150" s="151"/>
      <c r="Z150" s="69"/>
      <c r="AA150" s="70"/>
      <c r="AB150" s="70"/>
      <c r="AC150" s="70" t="str">
        <f t="shared" si="22"/>
        <v>---</v>
      </c>
      <c r="AD150" s="70" t="str">
        <f>IFERROR(P150/#REF!-1,"---")</f>
        <v>---</v>
      </c>
      <c r="AE150" s="70" t="str">
        <f>IFERROR(#REF!/#REF!-1,"---")</f>
        <v>---</v>
      </c>
      <c r="AF150" s="70" t="str">
        <f>IFERROR(Q150/#REF!-1,"---")</f>
        <v>---</v>
      </c>
      <c r="AG150" s="70" t="str">
        <f>IFERROR(#REF!/#REF!-1,"---")</f>
        <v>---</v>
      </c>
      <c r="AH150" s="70" t="str">
        <f>IFERROR(#REF!/AA150-1,"---")</f>
        <v>---</v>
      </c>
      <c r="AI150" s="71" t="str">
        <f t="shared" si="23"/>
        <v>---</v>
      </c>
    </row>
    <row r="151" spans="1:35" ht="30" customHeight="1" x14ac:dyDescent="0.3">
      <c r="A151" s="123">
        <f t="shared" si="16"/>
        <v>147</v>
      </c>
      <c r="B151" s="140">
        <f>INDEX('PEER GROUP'!B:B,MATCH($A151,'PEER GROUP'!$A:$A,0))</f>
        <v>0</v>
      </c>
      <c r="C151" s="83">
        <f>INDEX('PEER GROUP'!C:C,MATCH($A151,'PEER GROUP'!$A:$A,0))</f>
        <v>0</v>
      </c>
      <c r="D151" s="83">
        <f>INDEX('PEER GROUP'!D:D,MATCH($A151,'PEER GROUP'!$A:$A,0))</f>
        <v>0</v>
      </c>
      <c r="E151" s="83">
        <f>INDEX('PEER GROUP'!E:E,MATCH(A151,'PEER GROUP'!$A:$A,0))</f>
        <v>0</v>
      </c>
      <c r="F151" s="84">
        <f>INDEX('PEER GROUP'!F:F,MATCH($A151,'PEER GROUP'!$A:$A,0))</f>
        <v>0</v>
      </c>
      <c r="G151" s="84">
        <f>INDEX('PEER GROUP'!G:G,MATCH($A151,'PEER GROUP'!$A:$A,0))</f>
        <v>0</v>
      </c>
      <c r="H151" s="85"/>
      <c r="I151" s="85"/>
      <c r="J151" s="70">
        <f>INDEX('PEER GROUP'!K:K,MATCH($A151,'PEER GROUP'!$A:$A,0))</f>
        <v>0</v>
      </c>
      <c r="K151" s="70">
        <f>INDEX('PEER GROUP'!L:L,MATCH($A151,'PEER GROUP'!$A:$A,0))</f>
        <v>0</v>
      </c>
      <c r="L151" s="81">
        <f>INDEX('PEER GROUP'!N:N,MATCH($A151,'PEER GROUP'!$A:$A,0))</f>
        <v>0</v>
      </c>
      <c r="M151" s="118"/>
      <c r="N151" s="115"/>
      <c r="O151" s="117"/>
      <c r="P151" s="87"/>
      <c r="Q151" s="87"/>
      <c r="R151" s="87">
        <f t="shared" si="17"/>
        <v>0</v>
      </c>
      <c r="S151" s="113">
        <f t="shared" si="15"/>
        <v>36.913096727263202</v>
      </c>
      <c r="T151" s="69">
        <f t="shared" si="18"/>
        <v>0</v>
      </c>
      <c r="U151" s="70">
        <f t="shared" si="19"/>
        <v>0</v>
      </c>
      <c r="V151" s="70">
        <f t="shared" si="20"/>
        <v>0</v>
      </c>
      <c r="W151" s="71">
        <f t="shared" si="21"/>
        <v>0</v>
      </c>
      <c r="X151" s="49"/>
      <c r="Y151" s="151"/>
      <c r="Z151" s="69"/>
      <c r="AA151" s="70"/>
      <c r="AB151" s="70"/>
      <c r="AC151" s="70" t="str">
        <f t="shared" si="22"/>
        <v>---</v>
      </c>
      <c r="AD151" s="70" t="str">
        <f>IFERROR(P151/#REF!-1,"---")</f>
        <v>---</v>
      </c>
      <c r="AE151" s="70" t="str">
        <f>IFERROR(#REF!/#REF!-1,"---")</f>
        <v>---</v>
      </c>
      <c r="AF151" s="70" t="str">
        <f>IFERROR(Q151/#REF!-1,"---")</f>
        <v>---</v>
      </c>
      <c r="AG151" s="70" t="str">
        <f>IFERROR(#REF!/#REF!-1,"---")</f>
        <v>---</v>
      </c>
      <c r="AH151" s="70" t="str">
        <f>IFERROR(#REF!/AA151-1,"---")</f>
        <v>---</v>
      </c>
      <c r="AI151" s="71" t="str">
        <f t="shared" si="23"/>
        <v>---</v>
      </c>
    </row>
    <row r="152" spans="1:35" ht="30" customHeight="1" x14ac:dyDescent="0.3">
      <c r="A152" s="123">
        <f t="shared" si="16"/>
        <v>148</v>
      </c>
      <c r="B152" s="140">
        <f>INDEX('PEER GROUP'!B:B,MATCH($A152,'PEER GROUP'!$A:$A,0))</f>
        <v>0</v>
      </c>
      <c r="C152" s="83">
        <f>INDEX('PEER GROUP'!C:C,MATCH($A152,'PEER GROUP'!$A:$A,0))</f>
        <v>0</v>
      </c>
      <c r="D152" s="83">
        <f>INDEX('PEER GROUP'!D:D,MATCH($A152,'PEER GROUP'!$A:$A,0))</f>
        <v>0</v>
      </c>
      <c r="E152" s="83">
        <f>INDEX('PEER GROUP'!E:E,MATCH(A152,'PEER GROUP'!$A:$A,0))</f>
        <v>0</v>
      </c>
      <c r="F152" s="84">
        <f>INDEX('PEER GROUP'!F:F,MATCH($A152,'PEER GROUP'!$A:$A,0))</f>
        <v>0</v>
      </c>
      <c r="G152" s="84">
        <f>INDEX('PEER GROUP'!G:G,MATCH($A152,'PEER GROUP'!$A:$A,0))</f>
        <v>0</v>
      </c>
      <c r="H152" s="85"/>
      <c r="I152" s="85"/>
      <c r="J152" s="70">
        <f>INDEX('PEER GROUP'!K:K,MATCH($A152,'PEER GROUP'!$A:$A,0))</f>
        <v>0</v>
      </c>
      <c r="K152" s="70">
        <f>INDEX('PEER GROUP'!L:L,MATCH($A152,'PEER GROUP'!$A:$A,0))</f>
        <v>0</v>
      </c>
      <c r="L152" s="81">
        <f>INDEX('PEER GROUP'!N:N,MATCH($A152,'PEER GROUP'!$A:$A,0))</f>
        <v>0</v>
      </c>
      <c r="M152" s="118"/>
      <c r="N152" s="115"/>
      <c r="O152" s="117"/>
      <c r="P152" s="87"/>
      <c r="Q152" s="87"/>
      <c r="R152" s="87">
        <f t="shared" si="17"/>
        <v>0</v>
      </c>
      <c r="S152" s="113">
        <f t="shared" si="15"/>
        <v>36.913096727263202</v>
      </c>
      <c r="T152" s="69">
        <f t="shared" si="18"/>
        <v>0</v>
      </c>
      <c r="U152" s="70">
        <f t="shared" si="19"/>
        <v>0</v>
      </c>
      <c r="V152" s="70">
        <f t="shared" si="20"/>
        <v>0</v>
      </c>
      <c r="W152" s="71">
        <f t="shared" si="21"/>
        <v>0</v>
      </c>
      <c r="X152" s="49"/>
      <c r="Y152" s="151"/>
      <c r="Z152" s="69"/>
      <c r="AA152" s="70"/>
      <c r="AB152" s="70"/>
      <c r="AC152" s="70" t="str">
        <f t="shared" si="22"/>
        <v>---</v>
      </c>
      <c r="AD152" s="70" t="str">
        <f>IFERROR(P152/#REF!-1,"---")</f>
        <v>---</v>
      </c>
      <c r="AE152" s="70" t="str">
        <f>IFERROR(#REF!/#REF!-1,"---")</f>
        <v>---</v>
      </c>
      <c r="AF152" s="70" t="str">
        <f>IFERROR(Q152/#REF!-1,"---")</f>
        <v>---</v>
      </c>
      <c r="AG152" s="70" t="str">
        <f>IFERROR(#REF!/#REF!-1,"---")</f>
        <v>---</v>
      </c>
      <c r="AH152" s="70" t="str">
        <f>IFERROR(#REF!/AA152-1,"---")</f>
        <v>---</v>
      </c>
      <c r="AI152" s="71" t="str">
        <f t="shared" si="23"/>
        <v>---</v>
      </c>
    </row>
    <row r="153" spans="1:35" ht="30" customHeight="1" x14ac:dyDescent="0.3">
      <c r="A153" s="123">
        <f t="shared" si="16"/>
        <v>149</v>
      </c>
      <c r="B153" s="140">
        <f>INDEX('PEER GROUP'!B:B,MATCH($A153,'PEER GROUP'!$A:$A,0))</f>
        <v>0</v>
      </c>
      <c r="C153" s="83">
        <f>INDEX('PEER GROUP'!C:C,MATCH($A153,'PEER GROUP'!$A:$A,0))</f>
        <v>0</v>
      </c>
      <c r="D153" s="83">
        <f>INDEX('PEER GROUP'!D:D,MATCH($A153,'PEER GROUP'!$A:$A,0))</f>
        <v>0</v>
      </c>
      <c r="E153" s="83">
        <f>INDEX('PEER GROUP'!E:E,MATCH(A153,'PEER GROUP'!$A:$A,0))</f>
        <v>0</v>
      </c>
      <c r="F153" s="84">
        <f>INDEX('PEER GROUP'!F:F,MATCH($A153,'PEER GROUP'!$A:$A,0))</f>
        <v>0</v>
      </c>
      <c r="G153" s="84">
        <f>INDEX('PEER GROUP'!G:G,MATCH($A153,'PEER GROUP'!$A:$A,0))</f>
        <v>0</v>
      </c>
      <c r="H153" s="85"/>
      <c r="I153" s="85"/>
      <c r="J153" s="70">
        <f>INDEX('PEER GROUP'!K:K,MATCH($A153,'PEER GROUP'!$A:$A,0))</f>
        <v>0</v>
      </c>
      <c r="K153" s="70">
        <f>INDEX('PEER GROUP'!L:L,MATCH($A153,'PEER GROUP'!$A:$A,0))</f>
        <v>0</v>
      </c>
      <c r="L153" s="81">
        <f>INDEX('PEER GROUP'!N:N,MATCH($A153,'PEER GROUP'!$A:$A,0))</f>
        <v>0</v>
      </c>
      <c r="M153" s="118"/>
      <c r="N153" s="115"/>
      <c r="O153" s="117"/>
      <c r="P153" s="87"/>
      <c r="Q153" s="87"/>
      <c r="R153" s="87">
        <f t="shared" si="17"/>
        <v>0</v>
      </c>
      <c r="S153" s="113">
        <f t="shared" si="15"/>
        <v>36.913096727263202</v>
      </c>
      <c r="T153" s="69">
        <f t="shared" si="18"/>
        <v>0</v>
      </c>
      <c r="U153" s="70">
        <f t="shared" si="19"/>
        <v>0</v>
      </c>
      <c r="V153" s="70">
        <f t="shared" si="20"/>
        <v>0</v>
      </c>
      <c r="W153" s="71">
        <f t="shared" si="21"/>
        <v>0</v>
      </c>
      <c r="X153" s="49"/>
      <c r="Y153" s="151"/>
      <c r="Z153" s="69"/>
      <c r="AA153" s="70"/>
      <c r="AB153" s="70"/>
      <c r="AC153" s="70" t="str">
        <f t="shared" si="22"/>
        <v>---</v>
      </c>
      <c r="AD153" s="70" t="str">
        <f>IFERROR(P153/#REF!-1,"---")</f>
        <v>---</v>
      </c>
      <c r="AE153" s="70" t="str">
        <f>IFERROR(#REF!/#REF!-1,"---")</f>
        <v>---</v>
      </c>
      <c r="AF153" s="70" t="str">
        <f>IFERROR(Q153/#REF!-1,"---")</f>
        <v>---</v>
      </c>
      <c r="AG153" s="70" t="str">
        <f>IFERROR(#REF!/#REF!-1,"---")</f>
        <v>---</v>
      </c>
      <c r="AH153" s="70" t="str">
        <f>IFERROR(#REF!/AA153-1,"---")</f>
        <v>---</v>
      </c>
      <c r="AI153" s="71" t="str">
        <f t="shared" si="23"/>
        <v>---</v>
      </c>
    </row>
    <row r="154" spans="1:35" ht="30" customHeight="1" x14ac:dyDescent="0.3">
      <c r="A154" s="123">
        <f t="shared" si="16"/>
        <v>150</v>
      </c>
      <c r="B154" s="140">
        <f>INDEX('PEER GROUP'!B:B,MATCH($A154,'PEER GROUP'!$A:$A,0))</f>
        <v>0</v>
      </c>
      <c r="C154" s="83">
        <f>INDEX('PEER GROUP'!C:C,MATCH($A154,'PEER GROUP'!$A:$A,0))</f>
        <v>0</v>
      </c>
      <c r="D154" s="83">
        <f>INDEX('PEER GROUP'!D:D,MATCH($A154,'PEER GROUP'!$A:$A,0))</f>
        <v>0</v>
      </c>
      <c r="E154" s="83">
        <f>INDEX('PEER GROUP'!E:E,MATCH(A154,'PEER GROUP'!$A:$A,0))</f>
        <v>0</v>
      </c>
      <c r="F154" s="84">
        <f>INDEX('PEER GROUP'!F:F,MATCH($A154,'PEER GROUP'!$A:$A,0))</f>
        <v>0</v>
      </c>
      <c r="G154" s="84">
        <f>INDEX('PEER GROUP'!G:G,MATCH($A154,'PEER GROUP'!$A:$A,0))</f>
        <v>0</v>
      </c>
      <c r="H154" s="85"/>
      <c r="I154" s="85"/>
      <c r="J154" s="70">
        <f>INDEX('PEER GROUP'!K:K,MATCH($A154,'PEER GROUP'!$A:$A,0))</f>
        <v>0</v>
      </c>
      <c r="K154" s="70">
        <f>INDEX('PEER GROUP'!L:L,MATCH($A154,'PEER GROUP'!$A:$A,0))</f>
        <v>0</v>
      </c>
      <c r="L154" s="81">
        <f>INDEX('PEER GROUP'!N:N,MATCH($A154,'PEER GROUP'!$A:$A,0))</f>
        <v>0</v>
      </c>
      <c r="M154" s="118"/>
      <c r="N154" s="115"/>
      <c r="O154" s="117"/>
      <c r="P154" s="87"/>
      <c r="Q154" s="87"/>
      <c r="R154" s="87">
        <f t="shared" si="17"/>
        <v>0</v>
      </c>
      <c r="S154" s="113">
        <f t="shared" si="15"/>
        <v>36.913096727263202</v>
      </c>
      <c r="T154" s="69">
        <f t="shared" si="18"/>
        <v>0</v>
      </c>
      <c r="U154" s="70">
        <f t="shared" si="19"/>
        <v>0</v>
      </c>
      <c r="V154" s="70">
        <f t="shared" si="20"/>
        <v>0</v>
      </c>
      <c r="W154" s="71">
        <f t="shared" si="21"/>
        <v>0</v>
      </c>
      <c r="X154" s="49"/>
      <c r="Y154" s="151"/>
      <c r="Z154" s="69"/>
      <c r="AA154" s="70"/>
      <c r="AB154" s="70"/>
      <c r="AC154" s="70" t="str">
        <f t="shared" si="22"/>
        <v>---</v>
      </c>
      <c r="AD154" s="70" t="str">
        <f>IFERROR(P154/#REF!-1,"---")</f>
        <v>---</v>
      </c>
      <c r="AE154" s="70" t="str">
        <f>IFERROR(#REF!/#REF!-1,"---")</f>
        <v>---</v>
      </c>
      <c r="AF154" s="70" t="str">
        <f>IFERROR(Q154/#REF!-1,"---")</f>
        <v>---</v>
      </c>
      <c r="AG154" s="70" t="str">
        <f>IFERROR(#REF!/#REF!-1,"---")</f>
        <v>---</v>
      </c>
      <c r="AH154" s="70" t="str">
        <f>IFERROR(#REF!/AA154-1,"---")</f>
        <v>---</v>
      </c>
      <c r="AI154" s="71" t="str">
        <f t="shared" si="23"/>
        <v>---</v>
      </c>
    </row>
    <row r="155" spans="1:35" ht="30" customHeight="1" x14ac:dyDescent="0.3">
      <c r="A155" s="123">
        <f t="shared" si="16"/>
        <v>151</v>
      </c>
      <c r="B155" s="140">
        <f>INDEX('PEER GROUP'!B:B,MATCH($A155,'PEER GROUP'!$A:$A,0))</f>
        <v>0</v>
      </c>
      <c r="C155" s="83">
        <f>INDEX('PEER GROUP'!C:C,MATCH($A155,'PEER GROUP'!$A:$A,0))</f>
        <v>0</v>
      </c>
      <c r="D155" s="83">
        <f>INDEX('PEER GROUP'!D:D,MATCH($A155,'PEER GROUP'!$A:$A,0))</f>
        <v>0</v>
      </c>
      <c r="E155" s="83">
        <f>INDEX('PEER GROUP'!E:E,MATCH(A155,'PEER GROUP'!$A:$A,0))</f>
        <v>0</v>
      </c>
      <c r="F155" s="84">
        <f>INDEX('PEER GROUP'!F:F,MATCH($A155,'PEER GROUP'!$A:$A,0))</f>
        <v>0</v>
      </c>
      <c r="G155" s="84">
        <f>INDEX('PEER GROUP'!G:G,MATCH($A155,'PEER GROUP'!$A:$A,0))</f>
        <v>0</v>
      </c>
      <c r="H155" s="85"/>
      <c r="I155" s="85"/>
      <c r="J155" s="70">
        <f>INDEX('PEER GROUP'!K:K,MATCH($A155,'PEER GROUP'!$A:$A,0))</f>
        <v>0</v>
      </c>
      <c r="K155" s="70">
        <f>INDEX('PEER GROUP'!L:L,MATCH($A155,'PEER GROUP'!$A:$A,0))</f>
        <v>0</v>
      </c>
      <c r="L155" s="81">
        <f>INDEX('PEER GROUP'!N:N,MATCH($A155,'PEER GROUP'!$A:$A,0))</f>
        <v>0</v>
      </c>
      <c r="M155" s="118"/>
      <c r="N155" s="115"/>
      <c r="O155" s="117"/>
      <c r="P155" s="87"/>
      <c r="Q155" s="87"/>
      <c r="R155" s="87">
        <f t="shared" si="17"/>
        <v>0</v>
      </c>
      <c r="S155" s="113">
        <f t="shared" si="15"/>
        <v>36.913096727263202</v>
      </c>
      <c r="T155" s="69">
        <f t="shared" si="18"/>
        <v>0</v>
      </c>
      <c r="U155" s="70">
        <f t="shared" si="19"/>
        <v>0</v>
      </c>
      <c r="V155" s="70">
        <f t="shared" si="20"/>
        <v>0</v>
      </c>
      <c r="W155" s="71">
        <f t="shared" si="21"/>
        <v>0</v>
      </c>
      <c r="X155" s="49"/>
      <c r="Y155" s="151"/>
      <c r="Z155" s="69"/>
      <c r="AA155" s="70"/>
      <c r="AB155" s="70"/>
      <c r="AC155" s="70" t="str">
        <f t="shared" si="22"/>
        <v>---</v>
      </c>
      <c r="AD155" s="70" t="str">
        <f>IFERROR(P155/#REF!-1,"---")</f>
        <v>---</v>
      </c>
      <c r="AE155" s="70" t="str">
        <f>IFERROR(#REF!/#REF!-1,"---")</f>
        <v>---</v>
      </c>
      <c r="AF155" s="70" t="str">
        <f>IFERROR(Q155/#REF!-1,"---")</f>
        <v>---</v>
      </c>
      <c r="AG155" s="70" t="str">
        <f>IFERROR(#REF!/#REF!-1,"---")</f>
        <v>---</v>
      </c>
      <c r="AH155" s="70" t="str">
        <f>IFERROR(#REF!/AA155-1,"---")</f>
        <v>---</v>
      </c>
      <c r="AI155" s="71" t="str">
        <f t="shared" si="23"/>
        <v>---</v>
      </c>
    </row>
    <row r="156" spans="1:35" ht="30" customHeight="1" x14ac:dyDescent="0.3">
      <c r="A156" s="123">
        <f t="shared" si="16"/>
        <v>152</v>
      </c>
      <c r="B156" s="140">
        <f>INDEX('PEER GROUP'!B:B,MATCH($A156,'PEER GROUP'!$A:$A,0))</f>
        <v>0</v>
      </c>
      <c r="C156" s="83">
        <f>INDEX('PEER GROUP'!C:C,MATCH($A156,'PEER GROUP'!$A:$A,0))</f>
        <v>0</v>
      </c>
      <c r="D156" s="83">
        <f>INDEX('PEER GROUP'!D:D,MATCH($A156,'PEER GROUP'!$A:$A,0))</f>
        <v>0</v>
      </c>
      <c r="E156" s="83">
        <f>INDEX('PEER GROUP'!E:E,MATCH(A156,'PEER GROUP'!$A:$A,0))</f>
        <v>0</v>
      </c>
      <c r="F156" s="84">
        <f>INDEX('PEER GROUP'!F:F,MATCH($A156,'PEER GROUP'!$A:$A,0))</f>
        <v>0</v>
      </c>
      <c r="G156" s="84">
        <f>INDEX('PEER GROUP'!G:G,MATCH($A156,'PEER GROUP'!$A:$A,0))</f>
        <v>0</v>
      </c>
      <c r="H156" s="85"/>
      <c r="I156" s="85"/>
      <c r="J156" s="70">
        <f>INDEX('PEER GROUP'!K:K,MATCH($A156,'PEER GROUP'!$A:$A,0))</f>
        <v>0</v>
      </c>
      <c r="K156" s="70">
        <f>INDEX('PEER GROUP'!L:L,MATCH($A156,'PEER GROUP'!$A:$A,0))</f>
        <v>0</v>
      </c>
      <c r="L156" s="81">
        <f>INDEX('PEER GROUP'!N:N,MATCH($A156,'PEER GROUP'!$A:$A,0))</f>
        <v>0</v>
      </c>
      <c r="M156" s="118"/>
      <c r="N156" s="115"/>
      <c r="O156" s="117"/>
      <c r="P156" s="87"/>
      <c r="Q156" s="87"/>
      <c r="R156" s="87">
        <f t="shared" si="17"/>
        <v>0</v>
      </c>
      <c r="S156" s="113">
        <f t="shared" si="15"/>
        <v>36.913096727263202</v>
      </c>
      <c r="T156" s="69">
        <f t="shared" si="18"/>
        <v>0</v>
      </c>
      <c r="U156" s="70">
        <f t="shared" si="19"/>
        <v>0</v>
      </c>
      <c r="V156" s="70">
        <f t="shared" si="20"/>
        <v>0</v>
      </c>
      <c r="W156" s="71">
        <f t="shared" si="21"/>
        <v>0</v>
      </c>
      <c r="X156" s="49"/>
      <c r="Y156" s="151"/>
      <c r="Z156" s="69"/>
      <c r="AA156" s="70"/>
      <c r="AB156" s="70"/>
      <c r="AC156" s="70" t="str">
        <f t="shared" si="22"/>
        <v>---</v>
      </c>
      <c r="AD156" s="70" t="str">
        <f>IFERROR(P156/#REF!-1,"---")</f>
        <v>---</v>
      </c>
      <c r="AE156" s="70" t="str">
        <f>IFERROR(#REF!/#REF!-1,"---")</f>
        <v>---</v>
      </c>
      <c r="AF156" s="70" t="str">
        <f>IFERROR(Q156/#REF!-1,"---")</f>
        <v>---</v>
      </c>
      <c r="AG156" s="70" t="str">
        <f>IFERROR(#REF!/#REF!-1,"---")</f>
        <v>---</v>
      </c>
      <c r="AH156" s="70" t="str">
        <f>IFERROR(#REF!/AA156-1,"---")</f>
        <v>---</v>
      </c>
      <c r="AI156" s="71" t="str">
        <f t="shared" si="23"/>
        <v>---</v>
      </c>
    </row>
    <row r="157" spans="1:35" ht="30" customHeight="1" x14ac:dyDescent="0.3">
      <c r="A157" s="123">
        <f t="shared" si="16"/>
        <v>153</v>
      </c>
      <c r="B157" s="140">
        <f>INDEX('PEER GROUP'!B:B,MATCH($A157,'PEER GROUP'!$A:$A,0))</f>
        <v>0</v>
      </c>
      <c r="C157" s="83">
        <f>INDEX('PEER GROUP'!C:C,MATCH($A157,'PEER GROUP'!$A:$A,0))</f>
        <v>0</v>
      </c>
      <c r="D157" s="83">
        <f>INDEX('PEER GROUP'!D:D,MATCH($A157,'PEER GROUP'!$A:$A,0))</f>
        <v>0</v>
      </c>
      <c r="E157" s="83">
        <f>INDEX('PEER GROUP'!E:E,MATCH(A157,'PEER GROUP'!$A:$A,0))</f>
        <v>0</v>
      </c>
      <c r="F157" s="84">
        <f>INDEX('PEER GROUP'!F:F,MATCH($A157,'PEER GROUP'!$A:$A,0))</f>
        <v>0</v>
      </c>
      <c r="G157" s="84">
        <f>INDEX('PEER GROUP'!G:G,MATCH($A157,'PEER GROUP'!$A:$A,0))</f>
        <v>0</v>
      </c>
      <c r="H157" s="85"/>
      <c r="I157" s="85"/>
      <c r="J157" s="70">
        <f>INDEX('PEER GROUP'!K:K,MATCH($A157,'PEER GROUP'!$A:$A,0))</f>
        <v>0</v>
      </c>
      <c r="K157" s="70">
        <f>INDEX('PEER GROUP'!L:L,MATCH($A157,'PEER GROUP'!$A:$A,0))</f>
        <v>0</v>
      </c>
      <c r="L157" s="81">
        <f>INDEX('PEER GROUP'!N:N,MATCH($A157,'PEER GROUP'!$A:$A,0))</f>
        <v>0</v>
      </c>
      <c r="M157" s="118"/>
      <c r="N157" s="115"/>
      <c r="O157" s="117"/>
      <c r="P157" s="87"/>
      <c r="Q157" s="87"/>
      <c r="R157" s="87">
        <f t="shared" si="17"/>
        <v>0</v>
      </c>
      <c r="S157" s="113">
        <f t="shared" si="15"/>
        <v>36.913096727263202</v>
      </c>
      <c r="T157" s="69">
        <f t="shared" si="18"/>
        <v>0</v>
      </c>
      <c r="U157" s="70">
        <f t="shared" si="19"/>
        <v>0</v>
      </c>
      <c r="V157" s="70">
        <f t="shared" si="20"/>
        <v>0</v>
      </c>
      <c r="W157" s="71">
        <f t="shared" si="21"/>
        <v>0</v>
      </c>
      <c r="X157" s="49"/>
      <c r="Y157" s="151"/>
      <c r="Z157" s="69"/>
      <c r="AA157" s="70"/>
      <c r="AB157" s="70"/>
      <c r="AC157" s="70" t="str">
        <f t="shared" si="22"/>
        <v>---</v>
      </c>
      <c r="AD157" s="70" t="str">
        <f>IFERROR(P157/#REF!-1,"---")</f>
        <v>---</v>
      </c>
      <c r="AE157" s="70" t="str">
        <f>IFERROR(#REF!/#REF!-1,"---")</f>
        <v>---</v>
      </c>
      <c r="AF157" s="70" t="str">
        <f>IFERROR(Q157/#REF!-1,"---")</f>
        <v>---</v>
      </c>
      <c r="AG157" s="70" t="str">
        <f>IFERROR(#REF!/#REF!-1,"---")</f>
        <v>---</v>
      </c>
      <c r="AH157" s="70" t="str">
        <f>IFERROR(#REF!/AA157-1,"---")</f>
        <v>---</v>
      </c>
      <c r="AI157" s="71" t="str">
        <f t="shared" si="23"/>
        <v>---</v>
      </c>
    </row>
    <row r="158" spans="1:35" ht="30" customHeight="1" x14ac:dyDescent="0.3">
      <c r="A158" s="123">
        <f t="shared" si="16"/>
        <v>154</v>
      </c>
      <c r="B158" s="140">
        <f>INDEX('PEER GROUP'!B:B,MATCH($A158,'PEER GROUP'!$A:$A,0))</f>
        <v>0</v>
      </c>
      <c r="C158" s="83">
        <f>INDEX('PEER GROUP'!C:C,MATCH($A158,'PEER GROUP'!$A:$A,0))</f>
        <v>0</v>
      </c>
      <c r="D158" s="83">
        <f>INDEX('PEER GROUP'!D:D,MATCH($A158,'PEER GROUP'!$A:$A,0))</f>
        <v>0</v>
      </c>
      <c r="E158" s="83">
        <f>INDEX('PEER GROUP'!E:E,MATCH(A158,'PEER GROUP'!$A:$A,0))</f>
        <v>0</v>
      </c>
      <c r="F158" s="84">
        <f>INDEX('PEER GROUP'!F:F,MATCH($A158,'PEER GROUP'!$A:$A,0))</f>
        <v>0</v>
      </c>
      <c r="G158" s="84">
        <f>INDEX('PEER GROUP'!G:G,MATCH($A158,'PEER GROUP'!$A:$A,0))</f>
        <v>0</v>
      </c>
      <c r="H158" s="85"/>
      <c r="I158" s="85"/>
      <c r="J158" s="70">
        <f>INDEX('PEER GROUP'!K:K,MATCH($A158,'PEER GROUP'!$A:$A,0))</f>
        <v>0</v>
      </c>
      <c r="K158" s="70">
        <f>INDEX('PEER GROUP'!L:L,MATCH($A158,'PEER GROUP'!$A:$A,0))</f>
        <v>0</v>
      </c>
      <c r="L158" s="81">
        <f>INDEX('PEER GROUP'!N:N,MATCH($A158,'PEER GROUP'!$A:$A,0))</f>
        <v>0</v>
      </c>
      <c r="M158" s="118"/>
      <c r="N158" s="115"/>
      <c r="O158" s="117"/>
      <c r="P158" s="87"/>
      <c r="Q158" s="87"/>
      <c r="R158" s="87">
        <f t="shared" si="17"/>
        <v>0</v>
      </c>
      <c r="S158" s="113">
        <f t="shared" si="15"/>
        <v>36.913096727263202</v>
      </c>
      <c r="T158" s="69">
        <f t="shared" si="18"/>
        <v>0</v>
      </c>
      <c r="U158" s="70">
        <f t="shared" si="19"/>
        <v>0</v>
      </c>
      <c r="V158" s="70">
        <f t="shared" si="20"/>
        <v>0</v>
      </c>
      <c r="W158" s="71">
        <f t="shared" si="21"/>
        <v>0</v>
      </c>
      <c r="X158" s="49"/>
      <c r="Y158" s="151"/>
      <c r="Z158" s="69"/>
      <c r="AA158" s="70"/>
      <c r="AB158" s="70"/>
      <c r="AC158" s="70" t="str">
        <f t="shared" si="22"/>
        <v>---</v>
      </c>
      <c r="AD158" s="70" t="str">
        <f>IFERROR(P158/#REF!-1,"---")</f>
        <v>---</v>
      </c>
      <c r="AE158" s="70" t="str">
        <f>IFERROR(#REF!/#REF!-1,"---")</f>
        <v>---</v>
      </c>
      <c r="AF158" s="70" t="str">
        <f>IFERROR(Q158/#REF!-1,"---")</f>
        <v>---</v>
      </c>
      <c r="AG158" s="70" t="str">
        <f>IFERROR(#REF!/#REF!-1,"---")</f>
        <v>---</v>
      </c>
      <c r="AH158" s="70" t="str">
        <f>IFERROR(#REF!/AA158-1,"---")</f>
        <v>---</v>
      </c>
      <c r="AI158" s="71" t="str">
        <f t="shared" si="23"/>
        <v>---</v>
      </c>
    </row>
    <row r="159" spans="1:35" ht="30" customHeight="1" x14ac:dyDescent="0.3">
      <c r="A159" s="123">
        <f t="shared" si="16"/>
        <v>155</v>
      </c>
      <c r="B159" s="140">
        <f>INDEX('PEER GROUP'!B:B,MATCH($A159,'PEER GROUP'!$A:$A,0))</f>
        <v>0</v>
      </c>
      <c r="C159" s="83">
        <f>INDEX('PEER GROUP'!C:C,MATCH($A159,'PEER GROUP'!$A:$A,0))</f>
        <v>0</v>
      </c>
      <c r="D159" s="83">
        <f>INDEX('PEER GROUP'!D:D,MATCH($A159,'PEER GROUP'!$A:$A,0))</f>
        <v>0</v>
      </c>
      <c r="E159" s="83">
        <f>INDEX('PEER GROUP'!E:E,MATCH(A159,'PEER GROUP'!$A:$A,0))</f>
        <v>0</v>
      </c>
      <c r="F159" s="84">
        <f>INDEX('PEER GROUP'!F:F,MATCH($A159,'PEER GROUP'!$A:$A,0))</f>
        <v>0</v>
      </c>
      <c r="G159" s="84">
        <f>INDEX('PEER GROUP'!G:G,MATCH($A159,'PEER GROUP'!$A:$A,0))</f>
        <v>0</v>
      </c>
      <c r="H159" s="85"/>
      <c r="I159" s="85"/>
      <c r="J159" s="70">
        <f>INDEX('PEER GROUP'!K:K,MATCH($A159,'PEER GROUP'!$A:$A,0))</f>
        <v>0</v>
      </c>
      <c r="K159" s="70">
        <f>INDEX('PEER GROUP'!L:L,MATCH($A159,'PEER GROUP'!$A:$A,0))</f>
        <v>0</v>
      </c>
      <c r="L159" s="81">
        <f>INDEX('PEER GROUP'!N:N,MATCH($A159,'PEER GROUP'!$A:$A,0))</f>
        <v>0</v>
      </c>
      <c r="M159" s="118"/>
      <c r="N159" s="115"/>
      <c r="O159" s="117"/>
      <c r="P159" s="87"/>
      <c r="Q159" s="87"/>
      <c r="R159" s="87">
        <f t="shared" si="17"/>
        <v>0</v>
      </c>
      <c r="S159" s="113">
        <f t="shared" si="15"/>
        <v>36.913096727263202</v>
      </c>
      <c r="T159" s="69">
        <f t="shared" si="18"/>
        <v>0</v>
      </c>
      <c r="U159" s="70">
        <f t="shared" si="19"/>
        <v>0</v>
      </c>
      <c r="V159" s="70">
        <f t="shared" si="20"/>
        <v>0</v>
      </c>
      <c r="W159" s="71">
        <f t="shared" si="21"/>
        <v>0</v>
      </c>
      <c r="X159" s="49"/>
      <c r="Y159" s="151"/>
      <c r="Z159" s="69"/>
      <c r="AA159" s="70"/>
      <c r="AB159" s="70"/>
      <c r="AC159" s="70" t="str">
        <f t="shared" si="22"/>
        <v>---</v>
      </c>
      <c r="AD159" s="70" t="str">
        <f>IFERROR(P159/#REF!-1,"---")</f>
        <v>---</v>
      </c>
      <c r="AE159" s="70" t="str">
        <f>IFERROR(#REF!/#REF!-1,"---")</f>
        <v>---</v>
      </c>
      <c r="AF159" s="70" t="str">
        <f>IFERROR(Q159/#REF!-1,"---")</f>
        <v>---</v>
      </c>
      <c r="AG159" s="70" t="str">
        <f>IFERROR(#REF!/#REF!-1,"---")</f>
        <v>---</v>
      </c>
      <c r="AH159" s="70" t="str">
        <f>IFERROR(#REF!/AA159-1,"---")</f>
        <v>---</v>
      </c>
      <c r="AI159" s="71" t="str">
        <f t="shared" si="23"/>
        <v>---</v>
      </c>
    </row>
    <row r="160" spans="1:35" ht="30" customHeight="1" x14ac:dyDescent="0.3">
      <c r="A160" s="123">
        <f t="shared" si="16"/>
        <v>156</v>
      </c>
      <c r="B160" s="140">
        <f>INDEX('PEER GROUP'!B:B,MATCH($A160,'PEER GROUP'!$A:$A,0))</f>
        <v>0</v>
      </c>
      <c r="C160" s="83">
        <f>INDEX('PEER GROUP'!C:C,MATCH($A160,'PEER GROUP'!$A:$A,0))</f>
        <v>0</v>
      </c>
      <c r="D160" s="83">
        <f>INDEX('PEER GROUP'!D:D,MATCH($A160,'PEER GROUP'!$A:$A,0))</f>
        <v>0</v>
      </c>
      <c r="E160" s="83">
        <f>INDEX('PEER GROUP'!E:E,MATCH(A160,'PEER GROUP'!$A:$A,0))</f>
        <v>0</v>
      </c>
      <c r="F160" s="84">
        <f>INDEX('PEER GROUP'!F:F,MATCH($A160,'PEER GROUP'!$A:$A,0))</f>
        <v>0</v>
      </c>
      <c r="G160" s="84">
        <f>INDEX('PEER GROUP'!G:G,MATCH($A160,'PEER GROUP'!$A:$A,0))</f>
        <v>0</v>
      </c>
      <c r="H160" s="85"/>
      <c r="I160" s="85"/>
      <c r="J160" s="70">
        <f>INDEX('PEER GROUP'!K:K,MATCH($A160,'PEER GROUP'!$A:$A,0))</f>
        <v>0</v>
      </c>
      <c r="K160" s="70">
        <f>INDEX('PEER GROUP'!L:L,MATCH($A160,'PEER GROUP'!$A:$A,0))</f>
        <v>0</v>
      </c>
      <c r="L160" s="81">
        <f>INDEX('PEER GROUP'!N:N,MATCH($A160,'PEER GROUP'!$A:$A,0))</f>
        <v>0</v>
      </c>
      <c r="M160" s="118"/>
      <c r="N160" s="115"/>
      <c r="O160" s="117"/>
      <c r="P160" s="87"/>
      <c r="Q160" s="87"/>
      <c r="R160" s="87">
        <f t="shared" si="17"/>
        <v>0</v>
      </c>
      <c r="S160" s="113">
        <f t="shared" si="15"/>
        <v>36.913096727263202</v>
      </c>
      <c r="T160" s="69">
        <f t="shared" si="18"/>
        <v>0</v>
      </c>
      <c r="U160" s="70">
        <f t="shared" si="19"/>
        <v>0</v>
      </c>
      <c r="V160" s="70">
        <f t="shared" si="20"/>
        <v>0</v>
      </c>
      <c r="W160" s="71">
        <f t="shared" si="21"/>
        <v>0</v>
      </c>
      <c r="X160" s="49"/>
      <c r="Y160" s="151"/>
      <c r="Z160" s="69"/>
      <c r="AA160" s="70"/>
      <c r="AB160" s="70"/>
      <c r="AC160" s="70" t="str">
        <f t="shared" si="22"/>
        <v>---</v>
      </c>
      <c r="AD160" s="70" t="str">
        <f>IFERROR(P160/#REF!-1,"---")</f>
        <v>---</v>
      </c>
      <c r="AE160" s="70" t="str">
        <f>IFERROR(#REF!/#REF!-1,"---")</f>
        <v>---</v>
      </c>
      <c r="AF160" s="70" t="str">
        <f>IFERROR(Q160/#REF!-1,"---")</f>
        <v>---</v>
      </c>
      <c r="AG160" s="70" t="str">
        <f>IFERROR(#REF!/#REF!-1,"---")</f>
        <v>---</v>
      </c>
      <c r="AH160" s="70" t="str">
        <f>IFERROR(#REF!/AA160-1,"---")</f>
        <v>---</v>
      </c>
      <c r="AI160" s="71" t="str">
        <f t="shared" si="23"/>
        <v>---</v>
      </c>
    </row>
    <row r="161" spans="1:35" ht="30" customHeight="1" x14ac:dyDescent="0.3">
      <c r="A161" s="123">
        <f t="shared" si="16"/>
        <v>157</v>
      </c>
      <c r="B161" s="140">
        <f>INDEX('PEER GROUP'!B:B,MATCH($A161,'PEER GROUP'!$A:$A,0))</f>
        <v>0</v>
      </c>
      <c r="C161" s="83">
        <f>INDEX('PEER GROUP'!C:C,MATCH($A161,'PEER GROUP'!$A:$A,0))</f>
        <v>0</v>
      </c>
      <c r="D161" s="83">
        <f>INDEX('PEER GROUP'!D:D,MATCH($A161,'PEER GROUP'!$A:$A,0))</f>
        <v>0</v>
      </c>
      <c r="E161" s="83">
        <f>INDEX('PEER GROUP'!E:E,MATCH(A161,'PEER GROUP'!$A:$A,0))</f>
        <v>0</v>
      </c>
      <c r="F161" s="84">
        <f>INDEX('PEER GROUP'!F:F,MATCH($A161,'PEER GROUP'!$A:$A,0))</f>
        <v>0</v>
      </c>
      <c r="G161" s="84">
        <f>INDEX('PEER GROUP'!G:G,MATCH($A161,'PEER GROUP'!$A:$A,0))</f>
        <v>0</v>
      </c>
      <c r="H161" s="85"/>
      <c r="I161" s="85"/>
      <c r="J161" s="70">
        <f>INDEX('PEER GROUP'!K:K,MATCH($A161,'PEER GROUP'!$A:$A,0))</f>
        <v>0</v>
      </c>
      <c r="K161" s="70">
        <f>INDEX('PEER GROUP'!L:L,MATCH($A161,'PEER GROUP'!$A:$A,0))</f>
        <v>0</v>
      </c>
      <c r="L161" s="81">
        <f>INDEX('PEER GROUP'!N:N,MATCH($A161,'PEER GROUP'!$A:$A,0))</f>
        <v>0</v>
      </c>
      <c r="M161" s="118"/>
      <c r="N161" s="115"/>
      <c r="O161" s="117"/>
      <c r="P161" s="87"/>
      <c r="Q161" s="87"/>
      <c r="R161" s="87">
        <f t="shared" si="17"/>
        <v>0</v>
      </c>
      <c r="S161" s="113">
        <f t="shared" si="15"/>
        <v>36.913096727263202</v>
      </c>
      <c r="T161" s="69">
        <f t="shared" si="18"/>
        <v>0</v>
      </c>
      <c r="U161" s="70">
        <f t="shared" si="19"/>
        <v>0</v>
      </c>
      <c r="V161" s="70">
        <f t="shared" si="20"/>
        <v>0</v>
      </c>
      <c r="W161" s="71">
        <f t="shared" si="21"/>
        <v>0</v>
      </c>
      <c r="X161" s="49"/>
      <c r="Y161" s="151"/>
      <c r="Z161" s="69"/>
      <c r="AA161" s="70"/>
      <c r="AB161" s="70"/>
      <c r="AC161" s="70" t="str">
        <f t="shared" si="22"/>
        <v>---</v>
      </c>
      <c r="AD161" s="70" t="str">
        <f>IFERROR(P161/#REF!-1,"---")</f>
        <v>---</v>
      </c>
      <c r="AE161" s="70" t="str">
        <f>IFERROR(#REF!/#REF!-1,"---")</f>
        <v>---</v>
      </c>
      <c r="AF161" s="70" t="str">
        <f>IFERROR(Q161/#REF!-1,"---")</f>
        <v>---</v>
      </c>
      <c r="AG161" s="70" t="str">
        <f>IFERROR(#REF!/#REF!-1,"---")</f>
        <v>---</v>
      </c>
      <c r="AH161" s="70" t="str">
        <f>IFERROR(#REF!/AA161-1,"---")</f>
        <v>---</v>
      </c>
      <c r="AI161" s="71" t="str">
        <f t="shared" si="23"/>
        <v>---</v>
      </c>
    </row>
    <row r="162" spans="1:35" ht="30" customHeight="1" x14ac:dyDescent="0.3">
      <c r="A162" s="123">
        <f t="shared" si="16"/>
        <v>158</v>
      </c>
      <c r="B162" s="140">
        <f>INDEX('PEER GROUP'!B:B,MATCH($A162,'PEER GROUP'!$A:$A,0))</f>
        <v>0</v>
      </c>
      <c r="C162" s="83">
        <f>INDEX('PEER GROUP'!C:C,MATCH($A162,'PEER GROUP'!$A:$A,0))</f>
        <v>0</v>
      </c>
      <c r="D162" s="83">
        <f>INDEX('PEER GROUP'!D:D,MATCH($A162,'PEER GROUP'!$A:$A,0))</f>
        <v>0</v>
      </c>
      <c r="E162" s="83">
        <f>INDEX('PEER GROUP'!E:E,MATCH(A162,'PEER GROUP'!$A:$A,0))</f>
        <v>0</v>
      </c>
      <c r="F162" s="84">
        <f>INDEX('PEER GROUP'!F:F,MATCH($A162,'PEER GROUP'!$A:$A,0))</f>
        <v>0</v>
      </c>
      <c r="G162" s="84">
        <f>INDEX('PEER GROUP'!G:G,MATCH($A162,'PEER GROUP'!$A:$A,0))</f>
        <v>0</v>
      </c>
      <c r="H162" s="85"/>
      <c r="I162" s="85"/>
      <c r="J162" s="70">
        <f>INDEX('PEER GROUP'!K:K,MATCH($A162,'PEER GROUP'!$A:$A,0))</f>
        <v>0</v>
      </c>
      <c r="K162" s="70">
        <f>INDEX('PEER GROUP'!L:L,MATCH($A162,'PEER GROUP'!$A:$A,0))</f>
        <v>0</v>
      </c>
      <c r="L162" s="81">
        <f>INDEX('PEER GROUP'!N:N,MATCH($A162,'PEER GROUP'!$A:$A,0))</f>
        <v>0</v>
      </c>
      <c r="M162" s="118"/>
      <c r="N162" s="115"/>
      <c r="O162" s="117"/>
      <c r="P162" s="87"/>
      <c r="Q162" s="87"/>
      <c r="R162" s="87">
        <f t="shared" si="17"/>
        <v>0</v>
      </c>
      <c r="S162" s="113">
        <f t="shared" si="15"/>
        <v>36.913096727263202</v>
      </c>
      <c r="T162" s="69">
        <f t="shared" si="18"/>
        <v>0</v>
      </c>
      <c r="U162" s="70">
        <f t="shared" si="19"/>
        <v>0</v>
      </c>
      <c r="V162" s="70">
        <f t="shared" si="20"/>
        <v>0</v>
      </c>
      <c r="W162" s="71">
        <f t="shared" si="21"/>
        <v>0</v>
      </c>
      <c r="X162" s="49"/>
      <c r="Y162" s="151"/>
      <c r="Z162" s="69"/>
      <c r="AA162" s="70"/>
      <c r="AB162" s="70"/>
      <c r="AC162" s="70" t="str">
        <f t="shared" si="22"/>
        <v>---</v>
      </c>
      <c r="AD162" s="70" t="str">
        <f>IFERROR(P162/#REF!-1,"---")</f>
        <v>---</v>
      </c>
      <c r="AE162" s="70" t="str">
        <f>IFERROR(#REF!/#REF!-1,"---")</f>
        <v>---</v>
      </c>
      <c r="AF162" s="70" t="str">
        <f>IFERROR(Q162/#REF!-1,"---")</f>
        <v>---</v>
      </c>
      <c r="AG162" s="70" t="str">
        <f>IFERROR(#REF!/#REF!-1,"---")</f>
        <v>---</v>
      </c>
      <c r="AH162" s="70" t="str">
        <f>IFERROR(#REF!/AA162-1,"---")</f>
        <v>---</v>
      </c>
      <c r="AI162" s="71" t="str">
        <f t="shared" si="23"/>
        <v>---</v>
      </c>
    </row>
    <row r="163" spans="1:35" ht="30" customHeight="1" x14ac:dyDescent="0.3">
      <c r="A163" s="123">
        <f t="shared" si="16"/>
        <v>159</v>
      </c>
      <c r="B163" s="140">
        <f>INDEX('PEER GROUP'!B:B,MATCH($A163,'PEER GROUP'!$A:$A,0))</f>
        <v>0</v>
      </c>
      <c r="C163" s="83">
        <f>INDEX('PEER GROUP'!C:C,MATCH($A163,'PEER GROUP'!$A:$A,0))</f>
        <v>0</v>
      </c>
      <c r="D163" s="83">
        <f>INDEX('PEER GROUP'!D:D,MATCH($A163,'PEER GROUP'!$A:$A,0))</f>
        <v>0</v>
      </c>
      <c r="E163" s="83">
        <f>INDEX('PEER GROUP'!E:E,MATCH(A163,'PEER GROUP'!$A:$A,0))</f>
        <v>0</v>
      </c>
      <c r="F163" s="84">
        <f>INDEX('PEER GROUP'!F:F,MATCH($A163,'PEER GROUP'!$A:$A,0))</f>
        <v>0</v>
      </c>
      <c r="G163" s="84">
        <f>INDEX('PEER GROUP'!G:G,MATCH($A163,'PEER GROUP'!$A:$A,0))</f>
        <v>0</v>
      </c>
      <c r="H163" s="85"/>
      <c r="I163" s="85"/>
      <c r="J163" s="70">
        <f>INDEX('PEER GROUP'!K:K,MATCH($A163,'PEER GROUP'!$A:$A,0))</f>
        <v>0</v>
      </c>
      <c r="K163" s="70">
        <f>INDEX('PEER GROUP'!L:L,MATCH($A163,'PEER GROUP'!$A:$A,0))</f>
        <v>0</v>
      </c>
      <c r="L163" s="81">
        <f>INDEX('PEER GROUP'!N:N,MATCH($A163,'PEER GROUP'!$A:$A,0))</f>
        <v>0</v>
      </c>
      <c r="M163" s="118"/>
      <c r="N163" s="115"/>
      <c r="O163" s="117"/>
      <c r="P163" s="87"/>
      <c r="Q163" s="87"/>
      <c r="R163" s="87">
        <f t="shared" si="17"/>
        <v>0</v>
      </c>
      <c r="S163" s="113">
        <f t="shared" ref="S163:S226" si="24">IF(DataEffDate&gt;DATE(2022,1,1),
IF(E163&lt;DATE(2022,1,1),
(1+UpdateFactor)^(IF(E163&lt;DataEffDate,1,-1)*YEARFRAC(E163,DATE(2022,1,1),1))+(1+UpdateFactor_TEMP)^(IF(DATE(2022,1,1)&lt;DataEffDate,1,-1)*YEARFRAC(DATE(2022,1,1),DataEffDate,1))-1,
(1+UpdateFactor_TEMP)^(IF(E163&lt;DataEffDate,1,-1)*YEARFRAC(E163,DataEffDate,1))),
(1+UpdateFactor)^(IF(E163&lt;DataEffDate,1,-1)*YEARFRAC(E163,DataEffDate,1)))</f>
        <v>36.913096727263202</v>
      </c>
      <c r="T163" s="69">
        <f t="shared" si="18"/>
        <v>0</v>
      </c>
      <c r="U163" s="70">
        <f t="shared" si="19"/>
        <v>0</v>
      </c>
      <c r="V163" s="70">
        <f t="shared" si="20"/>
        <v>0</v>
      </c>
      <c r="W163" s="71">
        <f t="shared" si="21"/>
        <v>0</v>
      </c>
      <c r="X163" s="49"/>
      <c r="Y163" s="151"/>
      <c r="Z163" s="69"/>
      <c r="AA163" s="70"/>
      <c r="AB163" s="70"/>
      <c r="AC163" s="70" t="str">
        <f t="shared" si="22"/>
        <v>---</v>
      </c>
      <c r="AD163" s="70" t="str">
        <f>IFERROR(P163/#REF!-1,"---")</f>
        <v>---</v>
      </c>
      <c r="AE163" s="70" t="str">
        <f>IFERROR(#REF!/#REF!-1,"---")</f>
        <v>---</v>
      </c>
      <c r="AF163" s="70" t="str">
        <f>IFERROR(Q163/#REF!-1,"---")</f>
        <v>---</v>
      </c>
      <c r="AG163" s="70" t="str">
        <f>IFERROR(#REF!/#REF!-1,"---")</f>
        <v>---</v>
      </c>
      <c r="AH163" s="70" t="str">
        <f>IFERROR(#REF!/AA163-1,"---")</f>
        <v>---</v>
      </c>
      <c r="AI163" s="71" t="str">
        <f t="shared" si="23"/>
        <v>---</v>
      </c>
    </row>
    <row r="164" spans="1:35" ht="30" customHeight="1" x14ac:dyDescent="0.3">
      <c r="A164" s="123">
        <f t="shared" ref="A164:A227" si="25">A163+1</f>
        <v>160</v>
      </c>
      <c r="B164" s="140">
        <f>INDEX('PEER GROUP'!B:B,MATCH($A164,'PEER GROUP'!$A:$A,0))</f>
        <v>0</v>
      </c>
      <c r="C164" s="83">
        <f>INDEX('PEER GROUP'!C:C,MATCH($A164,'PEER GROUP'!$A:$A,0))</f>
        <v>0</v>
      </c>
      <c r="D164" s="83">
        <f>INDEX('PEER GROUP'!D:D,MATCH($A164,'PEER GROUP'!$A:$A,0))</f>
        <v>0</v>
      </c>
      <c r="E164" s="83">
        <f>INDEX('PEER GROUP'!E:E,MATCH(A164,'PEER GROUP'!$A:$A,0))</f>
        <v>0</v>
      </c>
      <c r="F164" s="84">
        <f>INDEX('PEER GROUP'!F:F,MATCH($A164,'PEER GROUP'!$A:$A,0))</f>
        <v>0</v>
      </c>
      <c r="G164" s="84">
        <f>INDEX('PEER GROUP'!G:G,MATCH($A164,'PEER GROUP'!$A:$A,0))</f>
        <v>0</v>
      </c>
      <c r="H164" s="85"/>
      <c r="I164" s="85"/>
      <c r="J164" s="70">
        <f>INDEX('PEER GROUP'!K:K,MATCH($A164,'PEER GROUP'!$A:$A,0))</f>
        <v>0</v>
      </c>
      <c r="K164" s="70">
        <f>INDEX('PEER GROUP'!L:L,MATCH($A164,'PEER GROUP'!$A:$A,0))</f>
        <v>0</v>
      </c>
      <c r="L164" s="81">
        <f>INDEX('PEER GROUP'!N:N,MATCH($A164,'PEER GROUP'!$A:$A,0))</f>
        <v>0</v>
      </c>
      <c r="M164" s="118"/>
      <c r="N164" s="115"/>
      <c r="O164" s="117"/>
      <c r="P164" s="87"/>
      <c r="Q164" s="87"/>
      <c r="R164" s="87">
        <f t="shared" ref="R164:R227" si="26">SUM(O164:Q164)</f>
        <v>0</v>
      </c>
      <c r="S164" s="113">
        <f t="shared" si="24"/>
        <v>36.913096727263202</v>
      </c>
      <c r="T164" s="69">
        <f t="shared" ref="T164:T227" si="27">O164*$S164</f>
        <v>0</v>
      </c>
      <c r="U164" s="70">
        <f t="shared" ref="U164:U227" si="28">P164*$S164</f>
        <v>0</v>
      </c>
      <c r="V164" s="70">
        <f t="shared" ref="V164:V227" si="29">Q164*$S164</f>
        <v>0</v>
      </c>
      <c r="W164" s="71">
        <f t="shared" ref="W164:W227" si="30">SUM(T164:V164)</f>
        <v>0</v>
      </c>
      <c r="X164" s="49"/>
      <c r="Y164" s="151"/>
      <c r="Z164" s="69"/>
      <c r="AA164" s="70"/>
      <c r="AB164" s="70"/>
      <c r="AC164" s="70" t="str">
        <f t="shared" ref="AC164:AC227" si="31">IFERROR(O164/Z164-1,"---")</f>
        <v>---</v>
      </c>
      <c r="AD164" s="70" t="str">
        <f>IFERROR(P164/#REF!-1,"---")</f>
        <v>---</v>
      </c>
      <c r="AE164" s="70" t="str">
        <f>IFERROR(#REF!/#REF!-1,"---")</f>
        <v>---</v>
      </c>
      <c r="AF164" s="70" t="str">
        <f>IFERROR(Q164/#REF!-1,"---")</f>
        <v>---</v>
      </c>
      <c r="AG164" s="70" t="str">
        <f>IFERROR(#REF!/#REF!-1,"---")</f>
        <v>---</v>
      </c>
      <c r="AH164" s="70" t="str">
        <f>IFERROR(#REF!/AA164-1,"---")</f>
        <v>---</v>
      </c>
      <c r="AI164" s="71" t="str">
        <f t="shared" ref="AI164:AI227" si="32">IFERROR(R164/AB164-1,"---")</f>
        <v>---</v>
      </c>
    </row>
    <row r="165" spans="1:35" ht="30" customHeight="1" x14ac:dyDescent="0.3">
      <c r="A165" s="123">
        <f t="shared" si="25"/>
        <v>161</v>
      </c>
      <c r="B165" s="140">
        <f>INDEX('PEER GROUP'!B:B,MATCH($A165,'PEER GROUP'!$A:$A,0))</f>
        <v>0</v>
      </c>
      <c r="C165" s="83">
        <f>INDEX('PEER GROUP'!C:C,MATCH($A165,'PEER GROUP'!$A:$A,0))</f>
        <v>0</v>
      </c>
      <c r="D165" s="83">
        <f>INDEX('PEER GROUP'!D:D,MATCH($A165,'PEER GROUP'!$A:$A,0))</f>
        <v>0</v>
      </c>
      <c r="E165" s="83">
        <f>INDEX('PEER GROUP'!E:E,MATCH(A165,'PEER GROUP'!$A:$A,0))</f>
        <v>0</v>
      </c>
      <c r="F165" s="84">
        <f>INDEX('PEER GROUP'!F:F,MATCH($A165,'PEER GROUP'!$A:$A,0))</f>
        <v>0</v>
      </c>
      <c r="G165" s="84">
        <f>INDEX('PEER GROUP'!G:G,MATCH($A165,'PEER GROUP'!$A:$A,0))</f>
        <v>0</v>
      </c>
      <c r="H165" s="85"/>
      <c r="I165" s="85"/>
      <c r="J165" s="70">
        <f>INDEX('PEER GROUP'!K:K,MATCH($A165,'PEER GROUP'!$A:$A,0))</f>
        <v>0</v>
      </c>
      <c r="K165" s="70">
        <f>INDEX('PEER GROUP'!L:L,MATCH($A165,'PEER GROUP'!$A:$A,0))</f>
        <v>0</v>
      </c>
      <c r="L165" s="81">
        <f>INDEX('PEER GROUP'!N:N,MATCH($A165,'PEER GROUP'!$A:$A,0))</f>
        <v>0</v>
      </c>
      <c r="M165" s="118"/>
      <c r="N165" s="115"/>
      <c r="O165" s="117"/>
      <c r="P165" s="87"/>
      <c r="Q165" s="87"/>
      <c r="R165" s="87">
        <f t="shared" si="26"/>
        <v>0</v>
      </c>
      <c r="S165" s="113">
        <f t="shared" si="24"/>
        <v>36.913096727263202</v>
      </c>
      <c r="T165" s="69">
        <f t="shared" si="27"/>
        <v>0</v>
      </c>
      <c r="U165" s="70">
        <f t="shared" si="28"/>
        <v>0</v>
      </c>
      <c r="V165" s="70">
        <f t="shared" si="29"/>
        <v>0</v>
      </c>
      <c r="W165" s="71">
        <f t="shared" si="30"/>
        <v>0</v>
      </c>
      <c r="X165" s="49"/>
      <c r="Y165" s="151"/>
      <c r="Z165" s="69"/>
      <c r="AA165" s="70"/>
      <c r="AB165" s="70"/>
      <c r="AC165" s="70" t="str">
        <f t="shared" si="31"/>
        <v>---</v>
      </c>
      <c r="AD165" s="70" t="str">
        <f>IFERROR(P165/#REF!-1,"---")</f>
        <v>---</v>
      </c>
      <c r="AE165" s="70" t="str">
        <f>IFERROR(#REF!/#REF!-1,"---")</f>
        <v>---</v>
      </c>
      <c r="AF165" s="70" t="str">
        <f>IFERROR(Q165/#REF!-1,"---")</f>
        <v>---</v>
      </c>
      <c r="AG165" s="70" t="str">
        <f>IFERROR(#REF!/#REF!-1,"---")</f>
        <v>---</v>
      </c>
      <c r="AH165" s="70" t="str">
        <f>IFERROR(#REF!/AA165-1,"---")</f>
        <v>---</v>
      </c>
      <c r="AI165" s="71" t="str">
        <f t="shared" si="32"/>
        <v>---</v>
      </c>
    </row>
    <row r="166" spans="1:35" ht="30" customHeight="1" x14ac:dyDescent="0.3">
      <c r="A166" s="123">
        <f t="shared" si="25"/>
        <v>162</v>
      </c>
      <c r="B166" s="140">
        <f>INDEX('PEER GROUP'!B:B,MATCH($A166,'PEER GROUP'!$A:$A,0))</f>
        <v>0</v>
      </c>
      <c r="C166" s="83">
        <f>INDEX('PEER GROUP'!C:C,MATCH($A166,'PEER GROUP'!$A:$A,0))</f>
        <v>0</v>
      </c>
      <c r="D166" s="83">
        <f>INDEX('PEER GROUP'!D:D,MATCH($A166,'PEER GROUP'!$A:$A,0))</f>
        <v>0</v>
      </c>
      <c r="E166" s="83">
        <f>INDEX('PEER GROUP'!E:E,MATCH(A166,'PEER GROUP'!$A:$A,0))</f>
        <v>0</v>
      </c>
      <c r="F166" s="84">
        <f>INDEX('PEER GROUP'!F:F,MATCH($A166,'PEER GROUP'!$A:$A,0))</f>
        <v>0</v>
      </c>
      <c r="G166" s="84">
        <f>INDEX('PEER GROUP'!G:G,MATCH($A166,'PEER GROUP'!$A:$A,0))</f>
        <v>0</v>
      </c>
      <c r="H166" s="85"/>
      <c r="I166" s="85"/>
      <c r="J166" s="70">
        <f>INDEX('PEER GROUP'!K:K,MATCH($A166,'PEER GROUP'!$A:$A,0))</f>
        <v>0</v>
      </c>
      <c r="K166" s="70">
        <f>INDEX('PEER GROUP'!L:L,MATCH($A166,'PEER GROUP'!$A:$A,0))</f>
        <v>0</v>
      </c>
      <c r="L166" s="81">
        <f>INDEX('PEER GROUP'!N:N,MATCH($A166,'PEER GROUP'!$A:$A,0))</f>
        <v>0</v>
      </c>
      <c r="M166" s="118"/>
      <c r="N166" s="115"/>
      <c r="O166" s="117"/>
      <c r="P166" s="87"/>
      <c r="Q166" s="87"/>
      <c r="R166" s="87">
        <f t="shared" si="26"/>
        <v>0</v>
      </c>
      <c r="S166" s="113">
        <f t="shared" si="24"/>
        <v>36.913096727263202</v>
      </c>
      <c r="T166" s="69">
        <f t="shared" si="27"/>
        <v>0</v>
      </c>
      <c r="U166" s="70">
        <f t="shared" si="28"/>
        <v>0</v>
      </c>
      <c r="V166" s="70">
        <f t="shared" si="29"/>
        <v>0</v>
      </c>
      <c r="W166" s="71">
        <f t="shared" si="30"/>
        <v>0</v>
      </c>
      <c r="X166" s="49"/>
      <c r="Y166" s="151"/>
      <c r="Z166" s="69"/>
      <c r="AA166" s="70"/>
      <c r="AB166" s="70"/>
      <c r="AC166" s="70" t="str">
        <f t="shared" si="31"/>
        <v>---</v>
      </c>
      <c r="AD166" s="70" t="str">
        <f>IFERROR(P166/#REF!-1,"---")</f>
        <v>---</v>
      </c>
      <c r="AE166" s="70" t="str">
        <f>IFERROR(#REF!/#REF!-1,"---")</f>
        <v>---</v>
      </c>
      <c r="AF166" s="70" t="str">
        <f>IFERROR(Q166/#REF!-1,"---")</f>
        <v>---</v>
      </c>
      <c r="AG166" s="70" t="str">
        <f>IFERROR(#REF!/#REF!-1,"---")</f>
        <v>---</v>
      </c>
      <c r="AH166" s="70" t="str">
        <f>IFERROR(#REF!/AA166-1,"---")</f>
        <v>---</v>
      </c>
      <c r="AI166" s="71" t="str">
        <f t="shared" si="32"/>
        <v>---</v>
      </c>
    </row>
    <row r="167" spans="1:35" ht="30" customHeight="1" x14ac:dyDescent="0.3">
      <c r="A167" s="123">
        <f t="shared" si="25"/>
        <v>163</v>
      </c>
      <c r="B167" s="140">
        <f>INDEX('PEER GROUP'!B:B,MATCH($A167,'PEER GROUP'!$A:$A,0))</f>
        <v>0</v>
      </c>
      <c r="C167" s="83">
        <f>INDEX('PEER GROUP'!C:C,MATCH($A167,'PEER GROUP'!$A:$A,0))</f>
        <v>0</v>
      </c>
      <c r="D167" s="83">
        <f>INDEX('PEER GROUP'!D:D,MATCH($A167,'PEER GROUP'!$A:$A,0))</f>
        <v>0</v>
      </c>
      <c r="E167" s="83">
        <f>INDEX('PEER GROUP'!E:E,MATCH(A167,'PEER GROUP'!$A:$A,0))</f>
        <v>0</v>
      </c>
      <c r="F167" s="84">
        <f>INDEX('PEER GROUP'!F:F,MATCH($A167,'PEER GROUP'!$A:$A,0))</f>
        <v>0</v>
      </c>
      <c r="G167" s="84">
        <f>INDEX('PEER GROUP'!G:G,MATCH($A167,'PEER GROUP'!$A:$A,0))</f>
        <v>0</v>
      </c>
      <c r="H167" s="85"/>
      <c r="I167" s="85"/>
      <c r="J167" s="70">
        <f>INDEX('PEER GROUP'!K:K,MATCH($A167,'PEER GROUP'!$A:$A,0))</f>
        <v>0</v>
      </c>
      <c r="K167" s="70">
        <f>INDEX('PEER GROUP'!L:L,MATCH($A167,'PEER GROUP'!$A:$A,0))</f>
        <v>0</v>
      </c>
      <c r="L167" s="81">
        <f>INDEX('PEER GROUP'!N:N,MATCH($A167,'PEER GROUP'!$A:$A,0))</f>
        <v>0</v>
      </c>
      <c r="M167" s="118"/>
      <c r="N167" s="115"/>
      <c r="O167" s="117"/>
      <c r="P167" s="87"/>
      <c r="Q167" s="87"/>
      <c r="R167" s="87">
        <f t="shared" si="26"/>
        <v>0</v>
      </c>
      <c r="S167" s="113">
        <f t="shared" si="24"/>
        <v>36.913096727263202</v>
      </c>
      <c r="T167" s="69">
        <f t="shared" si="27"/>
        <v>0</v>
      </c>
      <c r="U167" s="70">
        <f t="shared" si="28"/>
        <v>0</v>
      </c>
      <c r="V167" s="70">
        <f t="shared" si="29"/>
        <v>0</v>
      </c>
      <c r="W167" s="71">
        <f t="shared" si="30"/>
        <v>0</v>
      </c>
      <c r="X167" s="49"/>
      <c r="Y167" s="151"/>
      <c r="Z167" s="69"/>
      <c r="AA167" s="70"/>
      <c r="AB167" s="70"/>
      <c r="AC167" s="70" t="str">
        <f t="shared" si="31"/>
        <v>---</v>
      </c>
      <c r="AD167" s="70" t="str">
        <f>IFERROR(P167/#REF!-1,"---")</f>
        <v>---</v>
      </c>
      <c r="AE167" s="70" t="str">
        <f>IFERROR(#REF!/#REF!-1,"---")</f>
        <v>---</v>
      </c>
      <c r="AF167" s="70" t="str">
        <f>IFERROR(Q167/#REF!-1,"---")</f>
        <v>---</v>
      </c>
      <c r="AG167" s="70" t="str">
        <f>IFERROR(#REF!/#REF!-1,"---")</f>
        <v>---</v>
      </c>
      <c r="AH167" s="70" t="str">
        <f>IFERROR(#REF!/AA167-1,"---")</f>
        <v>---</v>
      </c>
      <c r="AI167" s="71" t="str">
        <f t="shared" si="32"/>
        <v>---</v>
      </c>
    </row>
    <row r="168" spans="1:35" ht="30" customHeight="1" x14ac:dyDescent="0.3">
      <c r="A168" s="123">
        <f t="shared" si="25"/>
        <v>164</v>
      </c>
      <c r="B168" s="140">
        <f>INDEX('PEER GROUP'!B:B,MATCH($A168,'PEER GROUP'!$A:$A,0))</f>
        <v>0</v>
      </c>
      <c r="C168" s="83">
        <f>INDEX('PEER GROUP'!C:C,MATCH($A168,'PEER GROUP'!$A:$A,0))</f>
        <v>0</v>
      </c>
      <c r="D168" s="83">
        <f>INDEX('PEER GROUP'!D:D,MATCH($A168,'PEER GROUP'!$A:$A,0))</f>
        <v>0</v>
      </c>
      <c r="E168" s="83">
        <f>INDEX('PEER GROUP'!E:E,MATCH(A168,'PEER GROUP'!$A:$A,0))</f>
        <v>0</v>
      </c>
      <c r="F168" s="84">
        <f>INDEX('PEER GROUP'!F:F,MATCH($A168,'PEER GROUP'!$A:$A,0))</f>
        <v>0</v>
      </c>
      <c r="G168" s="84">
        <f>INDEX('PEER GROUP'!G:G,MATCH($A168,'PEER GROUP'!$A:$A,0))</f>
        <v>0</v>
      </c>
      <c r="H168" s="85"/>
      <c r="I168" s="85"/>
      <c r="J168" s="70">
        <f>INDEX('PEER GROUP'!K:K,MATCH($A168,'PEER GROUP'!$A:$A,0))</f>
        <v>0</v>
      </c>
      <c r="K168" s="70">
        <f>INDEX('PEER GROUP'!L:L,MATCH($A168,'PEER GROUP'!$A:$A,0))</f>
        <v>0</v>
      </c>
      <c r="L168" s="81">
        <f>INDEX('PEER GROUP'!N:N,MATCH($A168,'PEER GROUP'!$A:$A,0))</f>
        <v>0</v>
      </c>
      <c r="M168" s="118"/>
      <c r="N168" s="115"/>
      <c r="O168" s="117"/>
      <c r="P168" s="87"/>
      <c r="Q168" s="87"/>
      <c r="R168" s="87">
        <f t="shared" si="26"/>
        <v>0</v>
      </c>
      <c r="S168" s="113">
        <f t="shared" si="24"/>
        <v>36.913096727263202</v>
      </c>
      <c r="T168" s="69">
        <f t="shared" si="27"/>
        <v>0</v>
      </c>
      <c r="U168" s="70">
        <f t="shared" si="28"/>
        <v>0</v>
      </c>
      <c r="V168" s="70">
        <f t="shared" si="29"/>
        <v>0</v>
      </c>
      <c r="W168" s="71">
        <f t="shared" si="30"/>
        <v>0</v>
      </c>
      <c r="X168" s="49"/>
      <c r="Y168" s="151"/>
      <c r="Z168" s="69"/>
      <c r="AA168" s="70"/>
      <c r="AB168" s="70"/>
      <c r="AC168" s="70" t="str">
        <f t="shared" si="31"/>
        <v>---</v>
      </c>
      <c r="AD168" s="70" t="str">
        <f>IFERROR(P168/#REF!-1,"---")</f>
        <v>---</v>
      </c>
      <c r="AE168" s="70" t="str">
        <f>IFERROR(#REF!/#REF!-1,"---")</f>
        <v>---</v>
      </c>
      <c r="AF168" s="70" t="str">
        <f>IFERROR(Q168/#REF!-1,"---")</f>
        <v>---</v>
      </c>
      <c r="AG168" s="70" t="str">
        <f>IFERROR(#REF!/#REF!-1,"---")</f>
        <v>---</v>
      </c>
      <c r="AH168" s="70" t="str">
        <f>IFERROR(#REF!/AA168-1,"---")</f>
        <v>---</v>
      </c>
      <c r="AI168" s="71" t="str">
        <f t="shared" si="32"/>
        <v>---</v>
      </c>
    </row>
    <row r="169" spans="1:35" ht="30" customHeight="1" x14ac:dyDescent="0.3">
      <c r="A169" s="123">
        <f t="shared" si="25"/>
        <v>165</v>
      </c>
      <c r="B169" s="140">
        <f>INDEX('PEER GROUP'!B:B,MATCH($A169,'PEER GROUP'!$A:$A,0))</f>
        <v>0</v>
      </c>
      <c r="C169" s="83">
        <f>INDEX('PEER GROUP'!C:C,MATCH($A169,'PEER GROUP'!$A:$A,0))</f>
        <v>0</v>
      </c>
      <c r="D169" s="83">
        <f>INDEX('PEER GROUP'!D:D,MATCH($A169,'PEER GROUP'!$A:$A,0))</f>
        <v>0</v>
      </c>
      <c r="E169" s="83">
        <f>INDEX('PEER GROUP'!E:E,MATCH(A169,'PEER GROUP'!$A:$A,0))</f>
        <v>0</v>
      </c>
      <c r="F169" s="84">
        <f>INDEX('PEER GROUP'!F:F,MATCH($A169,'PEER GROUP'!$A:$A,0))</f>
        <v>0</v>
      </c>
      <c r="G169" s="84">
        <f>INDEX('PEER GROUP'!G:G,MATCH($A169,'PEER GROUP'!$A:$A,0))</f>
        <v>0</v>
      </c>
      <c r="H169" s="85"/>
      <c r="I169" s="85"/>
      <c r="J169" s="70">
        <f>INDEX('PEER GROUP'!K:K,MATCH($A169,'PEER GROUP'!$A:$A,0))</f>
        <v>0</v>
      </c>
      <c r="K169" s="70">
        <f>INDEX('PEER GROUP'!L:L,MATCH($A169,'PEER GROUP'!$A:$A,0))</f>
        <v>0</v>
      </c>
      <c r="L169" s="81">
        <f>INDEX('PEER GROUP'!N:N,MATCH($A169,'PEER GROUP'!$A:$A,0))</f>
        <v>0</v>
      </c>
      <c r="M169" s="118"/>
      <c r="N169" s="115"/>
      <c r="O169" s="117"/>
      <c r="P169" s="87"/>
      <c r="Q169" s="87"/>
      <c r="R169" s="87">
        <f t="shared" si="26"/>
        <v>0</v>
      </c>
      <c r="S169" s="113">
        <f t="shared" si="24"/>
        <v>36.913096727263202</v>
      </c>
      <c r="T169" s="69">
        <f t="shared" si="27"/>
        <v>0</v>
      </c>
      <c r="U169" s="70">
        <f t="shared" si="28"/>
        <v>0</v>
      </c>
      <c r="V169" s="70">
        <f t="shared" si="29"/>
        <v>0</v>
      </c>
      <c r="W169" s="71">
        <f t="shared" si="30"/>
        <v>0</v>
      </c>
      <c r="X169" s="49"/>
      <c r="Y169" s="151"/>
      <c r="Z169" s="69"/>
      <c r="AA169" s="70"/>
      <c r="AB169" s="70"/>
      <c r="AC169" s="70" t="str">
        <f t="shared" si="31"/>
        <v>---</v>
      </c>
      <c r="AD169" s="70" t="str">
        <f>IFERROR(P169/#REF!-1,"---")</f>
        <v>---</v>
      </c>
      <c r="AE169" s="70" t="str">
        <f>IFERROR(#REF!/#REF!-1,"---")</f>
        <v>---</v>
      </c>
      <c r="AF169" s="70" t="str">
        <f>IFERROR(Q169/#REF!-1,"---")</f>
        <v>---</v>
      </c>
      <c r="AG169" s="70" t="str">
        <f>IFERROR(#REF!/#REF!-1,"---")</f>
        <v>---</v>
      </c>
      <c r="AH169" s="70" t="str">
        <f>IFERROR(#REF!/AA169-1,"---")</f>
        <v>---</v>
      </c>
      <c r="AI169" s="71" t="str">
        <f t="shared" si="32"/>
        <v>---</v>
      </c>
    </row>
    <row r="170" spans="1:35" ht="30" customHeight="1" x14ac:dyDescent="0.3">
      <c r="A170" s="123">
        <f t="shared" si="25"/>
        <v>166</v>
      </c>
      <c r="B170" s="140">
        <f>INDEX('PEER GROUP'!B:B,MATCH($A170,'PEER GROUP'!$A:$A,0))</f>
        <v>0</v>
      </c>
      <c r="C170" s="83">
        <f>INDEX('PEER GROUP'!C:C,MATCH($A170,'PEER GROUP'!$A:$A,0))</f>
        <v>0</v>
      </c>
      <c r="D170" s="83">
        <f>INDEX('PEER GROUP'!D:D,MATCH($A170,'PEER GROUP'!$A:$A,0))</f>
        <v>0</v>
      </c>
      <c r="E170" s="83">
        <f>INDEX('PEER GROUP'!E:E,MATCH(A170,'PEER GROUP'!$A:$A,0))</f>
        <v>0</v>
      </c>
      <c r="F170" s="84">
        <f>INDEX('PEER GROUP'!F:F,MATCH($A170,'PEER GROUP'!$A:$A,0))</f>
        <v>0</v>
      </c>
      <c r="G170" s="84">
        <f>INDEX('PEER GROUP'!G:G,MATCH($A170,'PEER GROUP'!$A:$A,0))</f>
        <v>0</v>
      </c>
      <c r="H170" s="85"/>
      <c r="I170" s="85"/>
      <c r="J170" s="70">
        <f>INDEX('PEER GROUP'!K:K,MATCH($A170,'PEER GROUP'!$A:$A,0))</f>
        <v>0</v>
      </c>
      <c r="K170" s="70">
        <f>INDEX('PEER GROUP'!L:L,MATCH($A170,'PEER GROUP'!$A:$A,0))</f>
        <v>0</v>
      </c>
      <c r="L170" s="81">
        <f>INDEX('PEER GROUP'!N:N,MATCH($A170,'PEER GROUP'!$A:$A,0))</f>
        <v>0</v>
      </c>
      <c r="M170" s="118"/>
      <c r="N170" s="115"/>
      <c r="O170" s="117"/>
      <c r="P170" s="87"/>
      <c r="Q170" s="87"/>
      <c r="R170" s="87">
        <f t="shared" si="26"/>
        <v>0</v>
      </c>
      <c r="S170" s="113">
        <f t="shared" si="24"/>
        <v>36.913096727263202</v>
      </c>
      <c r="T170" s="69">
        <f t="shared" si="27"/>
        <v>0</v>
      </c>
      <c r="U170" s="70">
        <f t="shared" si="28"/>
        <v>0</v>
      </c>
      <c r="V170" s="70">
        <f t="shared" si="29"/>
        <v>0</v>
      </c>
      <c r="W170" s="71">
        <f t="shared" si="30"/>
        <v>0</v>
      </c>
      <c r="X170" s="49"/>
      <c r="Y170" s="151"/>
      <c r="Z170" s="69"/>
      <c r="AA170" s="70"/>
      <c r="AB170" s="70"/>
      <c r="AC170" s="70" t="str">
        <f t="shared" si="31"/>
        <v>---</v>
      </c>
      <c r="AD170" s="70" t="str">
        <f>IFERROR(P170/#REF!-1,"---")</f>
        <v>---</v>
      </c>
      <c r="AE170" s="70" t="str">
        <f>IFERROR(#REF!/#REF!-1,"---")</f>
        <v>---</v>
      </c>
      <c r="AF170" s="70" t="str">
        <f>IFERROR(Q170/#REF!-1,"---")</f>
        <v>---</v>
      </c>
      <c r="AG170" s="70" t="str">
        <f>IFERROR(#REF!/#REF!-1,"---")</f>
        <v>---</v>
      </c>
      <c r="AH170" s="70" t="str">
        <f>IFERROR(#REF!/AA170-1,"---")</f>
        <v>---</v>
      </c>
      <c r="AI170" s="71" t="str">
        <f t="shared" si="32"/>
        <v>---</v>
      </c>
    </row>
    <row r="171" spans="1:35" ht="30" customHeight="1" x14ac:dyDescent="0.3">
      <c r="A171" s="123">
        <f t="shared" si="25"/>
        <v>167</v>
      </c>
      <c r="B171" s="140">
        <f>INDEX('PEER GROUP'!B:B,MATCH($A171,'PEER GROUP'!$A:$A,0))</f>
        <v>0</v>
      </c>
      <c r="C171" s="83">
        <f>INDEX('PEER GROUP'!C:C,MATCH($A171,'PEER GROUP'!$A:$A,0))</f>
        <v>0</v>
      </c>
      <c r="D171" s="83">
        <f>INDEX('PEER GROUP'!D:D,MATCH($A171,'PEER GROUP'!$A:$A,0))</f>
        <v>0</v>
      </c>
      <c r="E171" s="83">
        <f>INDEX('PEER GROUP'!E:E,MATCH(A171,'PEER GROUP'!$A:$A,0))</f>
        <v>0</v>
      </c>
      <c r="F171" s="84">
        <f>INDEX('PEER GROUP'!F:F,MATCH($A171,'PEER GROUP'!$A:$A,0))</f>
        <v>0</v>
      </c>
      <c r="G171" s="84">
        <f>INDEX('PEER GROUP'!G:G,MATCH($A171,'PEER GROUP'!$A:$A,0))</f>
        <v>0</v>
      </c>
      <c r="H171" s="85"/>
      <c r="I171" s="85"/>
      <c r="J171" s="70">
        <f>INDEX('PEER GROUP'!K:K,MATCH($A171,'PEER GROUP'!$A:$A,0))</f>
        <v>0</v>
      </c>
      <c r="K171" s="70">
        <f>INDEX('PEER GROUP'!L:L,MATCH($A171,'PEER GROUP'!$A:$A,0))</f>
        <v>0</v>
      </c>
      <c r="L171" s="81">
        <f>INDEX('PEER GROUP'!N:N,MATCH($A171,'PEER GROUP'!$A:$A,0))</f>
        <v>0</v>
      </c>
      <c r="M171" s="118"/>
      <c r="N171" s="115"/>
      <c r="O171" s="117"/>
      <c r="P171" s="87"/>
      <c r="Q171" s="87"/>
      <c r="R171" s="87">
        <f t="shared" si="26"/>
        <v>0</v>
      </c>
      <c r="S171" s="113">
        <f t="shared" si="24"/>
        <v>36.913096727263202</v>
      </c>
      <c r="T171" s="69">
        <f t="shared" si="27"/>
        <v>0</v>
      </c>
      <c r="U171" s="70">
        <f t="shared" si="28"/>
        <v>0</v>
      </c>
      <c r="V171" s="70">
        <f t="shared" si="29"/>
        <v>0</v>
      </c>
      <c r="W171" s="71">
        <f t="shared" si="30"/>
        <v>0</v>
      </c>
      <c r="X171" s="49"/>
      <c r="Y171" s="151"/>
      <c r="Z171" s="69"/>
      <c r="AA171" s="70"/>
      <c r="AB171" s="70"/>
      <c r="AC171" s="70" t="str">
        <f t="shared" si="31"/>
        <v>---</v>
      </c>
      <c r="AD171" s="70" t="str">
        <f>IFERROR(P171/#REF!-1,"---")</f>
        <v>---</v>
      </c>
      <c r="AE171" s="70" t="str">
        <f>IFERROR(#REF!/#REF!-1,"---")</f>
        <v>---</v>
      </c>
      <c r="AF171" s="70" t="str">
        <f>IFERROR(Q171/#REF!-1,"---")</f>
        <v>---</v>
      </c>
      <c r="AG171" s="70" t="str">
        <f>IFERROR(#REF!/#REF!-1,"---")</f>
        <v>---</v>
      </c>
      <c r="AH171" s="70" t="str">
        <f>IFERROR(#REF!/AA171-1,"---")</f>
        <v>---</v>
      </c>
      <c r="AI171" s="71" t="str">
        <f t="shared" si="32"/>
        <v>---</v>
      </c>
    </row>
    <row r="172" spans="1:35" ht="30" customHeight="1" x14ac:dyDescent="0.3">
      <c r="A172" s="123">
        <f t="shared" si="25"/>
        <v>168</v>
      </c>
      <c r="B172" s="140">
        <f>INDEX('PEER GROUP'!B:B,MATCH($A172,'PEER GROUP'!$A:$A,0))</f>
        <v>0</v>
      </c>
      <c r="C172" s="83">
        <f>INDEX('PEER GROUP'!C:C,MATCH($A172,'PEER GROUP'!$A:$A,0))</f>
        <v>0</v>
      </c>
      <c r="D172" s="83">
        <f>INDEX('PEER GROUP'!D:D,MATCH($A172,'PEER GROUP'!$A:$A,0))</f>
        <v>0</v>
      </c>
      <c r="E172" s="83">
        <f>INDEX('PEER GROUP'!E:E,MATCH(A172,'PEER GROUP'!$A:$A,0))</f>
        <v>0</v>
      </c>
      <c r="F172" s="84">
        <f>INDEX('PEER GROUP'!F:F,MATCH($A172,'PEER GROUP'!$A:$A,0))</f>
        <v>0</v>
      </c>
      <c r="G172" s="84">
        <f>INDEX('PEER GROUP'!G:G,MATCH($A172,'PEER GROUP'!$A:$A,0))</f>
        <v>0</v>
      </c>
      <c r="H172" s="85"/>
      <c r="I172" s="85"/>
      <c r="J172" s="70">
        <f>INDEX('PEER GROUP'!K:K,MATCH($A172,'PEER GROUP'!$A:$A,0))</f>
        <v>0</v>
      </c>
      <c r="K172" s="70">
        <f>INDEX('PEER GROUP'!L:L,MATCH($A172,'PEER GROUP'!$A:$A,0))</f>
        <v>0</v>
      </c>
      <c r="L172" s="81">
        <f>INDEX('PEER GROUP'!N:N,MATCH($A172,'PEER GROUP'!$A:$A,0))</f>
        <v>0</v>
      </c>
      <c r="M172" s="118"/>
      <c r="N172" s="115"/>
      <c r="O172" s="117"/>
      <c r="P172" s="87"/>
      <c r="Q172" s="87"/>
      <c r="R172" s="87">
        <f t="shared" si="26"/>
        <v>0</v>
      </c>
      <c r="S172" s="113">
        <f t="shared" si="24"/>
        <v>36.913096727263202</v>
      </c>
      <c r="T172" s="69">
        <f t="shared" si="27"/>
        <v>0</v>
      </c>
      <c r="U172" s="70">
        <f t="shared" si="28"/>
        <v>0</v>
      </c>
      <c r="V172" s="70">
        <f t="shared" si="29"/>
        <v>0</v>
      </c>
      <c r="W172" s="71">
        <f t="shared" si="30"/>
        <v>0</v>
      </c>
      <c r="X172" s="49"/>
      <c r="Y172" s="151"/>
      <c r="Z172" s="69"/>
      <c r="AA172" s="70"/>
      <c r="AB172" s="70"/>
      <c r="AC172" s="70" t="str">
        <f t="shared" si="31"/>
        <v>---</v>
      </c>
      <c r="AD172" s="70" t="str">
        <f>IFERROR(P172/#REF!-1,"---")</f>
        <v>---</v>
      </c>
      <c r="AE172" s="70" t="str">
        <f>IFERROR(#REF!/#REF!-1,"---")</f>
        <v>---</v>
      </c>
      <c r="AF172" s="70" t="str">
        <f>IFERROR(Q172/#REF!-1,"---")</f>
        <v>---</v>
      </c>
      <c r="AG172" s="70" t="str">
        <f>IFERROR(#REF!/#REF!-1,"---")</f>
        <v>---</v>
      </c>
      <c r="AH172" s="70" t="str">
        <f>IFERROR(#REF!/AA172-1,"---")</f>
        <v>---</v>
      </c>
      <c r="AI172" s="71" t="str">
        <f t="shared" si="32"/>
        <v>---</v>
      </c>
    </row>
    <row r="173" spans="1:35" ht="30" customHeight="1" x14ac:dyDescent="0.3">
      <c r="A173" s="123">
        <f t="shared" si="25"/>
        <v>169</v>
      </c>
      <c r="B173" s="140">
        <f>INDEX('PEER GROUP'!B:B,MATCH($A173,'PEER GROUP'!$A:$A,0))</f>
        <v>0</v>
      </c>
      <c r="C173" s="83">
        <f>INDEX('PEER GROUP'!C:C,MATCH($A173,'PEER GROUP'!$A:$A,0))</f>
        <v>0</v>
      </c>
      <c r="D173" s="83">
        <f>INDEX('PEER GROUP'!D:D,MATCH($A173,'PEER GROUP'!$A:$A,0))</f>
        <v>0</v>
      </c>
      <c r="E173" s="83">
        <f>INDEX('PEER GROUP'!E:E,MATCH(A173,'PEER GROUP'!$A:$A,0))</f>
        <v>0</v>
      </c>
      <c r="F173" s="84">
        <f>INDEX('PEER GROUP'!F:F,MATCH($A173,'PEER GROUP'!$A:$A,0))</f>
        <v>0</v>
      </c>
      <c r="G173" s="84">
        <f>INDEX('PEER GROUP'!G:G,MATCH($A173,'PEER GROUP'!$A:$A,0))</f>
        <v>0</v>
      </c>
      <c r="H173" s="85"/>
      <c r="I173" s="85"/>
      <c r="J173" s="70">
        <f>INDEX('PEER GROUP'!K:K,MATCH($A173,'PEER GROUP'!$A:$A,0))</f>
        <v>0</v>
      </c>
      <c r="K173" s="70">
        <f>INDEX('PEER GROUP'!L:L,MATCH($A173,'PEER GROUP'!$A:$A,0))</f>
        <v>0</v>
      </c>
      <c r="L173" s="81">
        <f>INDEX('PEER GROUP'!N:N,MATCH($A173,'PEER GROUP'!$A:$A,0))</f>
        <v>0</v>
      </c>
      <c r="M173" s="118"/>
      <c r="N173" s="115"/>
      <c r="O173" s="117"/>
      <c r="P173" s="87"/>
      <c r="Q173" s="87"/>
      <c r="R173" s="87">
        <f t="shared" si="26"/>
        <v>0</v>
      </c>
      <c r="S173" s="113">
        <f t="shared" si="24"/>
        <v>36.913096727263202</v>
      </c>
      <c r="T173" s="69">
        <f t="shared" si="27"/>
        <v>0</v>
      </c>
      <c r="U173" s="70">
        <f t="shared" si="28"/>
        <v>0</v>
      </c>
      <c r="V173" s="70">
        <f t="shared" si="29"/>
        <v>0</v>
      </c>
      <c r="W173" s="71">
        <f t="shared" si="30"/>
        <v>0</v>
      </c>
      <c r="X173" s="49"/>
      <c r="Y173" s="151"/>
      <c r="Z173" s="69"/>
      <c r="AA173" s="70"/>
      <c r="AB173" s="70"/>
      <c r="AC173" s="70" t="str">
        <f t="shared" si="31"/>
        <v>---</v>
      </c>
      <c r="AD173" s="70" t="str">
        <f>IFERROR(P173/#REF!-1,"---")</f>
        <v>---</v>
      </c>
      <c r="AE173" s="70" t="str">
        <f>IFERROR(#REF!/#REF!-1,"---")</f>
        <v>---</v>
      </c>
      <c r="AF173" s="70" t="str">
        <f>IFERROR(Q173/#REF!-1,"---")</f>
        <v>---</v>
      </c>
      <c r="AG173" s="70" t="str">
        <f>IFERROR(#REF!/#REF!-1,"---")</f>
        <v>---</v>
      </c>
      <c r="AH173" s="70" t="str">
        <f>IFERROR(#REF!/AA173-1,"---")</f>
        <v>---</v>
      </c>
      <c r="AI173" s="71" t="str">
        <f t="shared" si="32"/>
        <v>---</v>
      </c>
    </row>
    <row r="174" spans="1:35" ht="30" customHeight="1" x14ac:dyDescent="0.3">
      <c r="A174" s="123">
        <f t="shared" si="25"/>
        <v>170</v>
      </c>
      <c r="B174" s="140">
        <f>INDEX('PEER GROUP'!B:B,MATCH($A174,'PEER GROUP'!$A:$A,0))</f>
        <v>0</v>
      </c>
      <c r="C174" s="83">
        <f>INDEX('PEER GROUP'!C:C,MATCH($A174,'PEER GROUP'!$A:$A,0))</f>
        <v>0</v>
      </c>
      <c r="D174" s="83">
        <f>INDEX('PEER GROUP'!D:D,MATCH($A174,'PEER GROUP'!$A:$A,0))</f>
        <v>0</v>
      </c>
      <c r="E174" s="83">
        <f>INDEX('PEER GROUP'!E:E,MATCH(A174,'PEER GROUP'!$A:$A,0))</f>
        <v>0</v>
      </c>
      <c r="F174" s="84">
        <f>INDEX('PEER GROUP'!F:F,MATCH($A174,'PEER GROUP'!$A:$A,0))</f>
        <v>0</v>
      </c>
      <c r="G174" s="84">
        <f>INDEX('PEER GROUP'!G:G,MATCH($A174,'PEER GROUP'!$A:$A,0))</f>
        <v>0</v>
      </c>
      <c r="H174" s="85"/>
      <c r="I174" s="85"/>
      <c r="J174" s="70">
        <f>INDEX('PEER GROUP'!K:K,MATCH($A174,'PEER GROUP'!$A:$A,0))</f>
        <v>0</v>
      </c>
      <c r="K174" s="70">
        <f>INDEX('PEER GROUP'!L:L,MATCH($A174,'PEER GROUP'!$A:$A,0))</f>
        <v>0</v>
      </c>
      <c r="L174" s="81">
        <f>INDEX('PEER GROUP'!N:N,MATCH($A174,'PEER GROUP'!$A:$A,0))</f>
        <v>0</v>
      </c>
      <c r="M174" s="118"/>
      <c r="N174" s="115"/>
      <c r="O174" s="117"/>
      <c r="P174" s="87"/>
      <c r="Q174" s="87"/>
      <c r="R174" s="87">
        <f t="shared" si="26"/>
        <v>0</v>
      </c>
      <c r="S174" s="113">
        <f t="shared" si="24"/>
        <v>36.913096727263202</v>
      </c>
      <c r="T174" s="69">
        <f t="shared" si="27"/>
        <v>0</v>
      </c>
      <c r="U174" s="70">
        <f t="shared" si="28"/>
        <v>0</v>
      </c>
      <c r="V174" s="70">
        <f t="shared" si="29"/>
        <v>0</v>
      </c>
      <c r="W174" s="71">
        <f t="shared" si="30"/>
        <v>0</v>
      </c>
      <c r="X174" s="49"/>
      <c r="Y174" s="151"/>
      <c r="Z174" s="69"/>
      <c r="AA174" s="70"/>
      <c r="AB174" s="70"/>
      <c r="AC174" s="70" t="str">
        <f t="shared" si="31"/>
        <v>---</v>
      </c>
      <c r="AD174" s="70" t="str">
        <f>IFERROR(P174/#REF!-1,"---")</f>
        <v>---</v>
      </c>
      <c r="AE174" s="70" t="str">
        <f>IFERROR(#REF!/#REF!-1,"---")</f>
        <v>---</v>
      </c>
      <c r="AF174" s="70" t="str">
        <f>IFERROR(Q174/#REF!-1,"---")</f>
        <v>---</v>
      </c>
      <c r="AG174" s="70" t="str">
        <f>IFERROR(#REF!/#REF!-1,"---")</f>
        <v>---</v>
      </c>
      <c r="AH174" s="70" t="str">
        <f>IFERROR(#REF!/AA174-1,"---")</f>
        <v>---</v>
      </c>
      <c r="AI174" s="71" t="str">
        <f t="shared" si="32"/>
        <v>---</v>
      </c>
    </row>
    <row r="175" spans="1:35" ht="30" customHeight="1" x14ac:dyDescent="0.3">
      <c r="A175" s="123">
        <f t="shared" si="25"/>
        <v>171</v>
      </c>
      <c r="B175" s="140">
        <f>INDEX('PEER GROUP'!B:B,MATCH($A175,'PEER GROUP'!$A:$A,0))</f>
        <v>0</v>
      </c>
      <c r="C175" s="83">
        <f>INDEX('PEER GROUP'!C:C,MATCH($A175,'PEER GROUP'!$A:$A,0))</f>
        <v>0</v>
      </c>
      <c r="D175" s="83">
        <f>INDEX('PEER GROUP'!D:D,MATCH($A175,'PEER GROUP'!$A:$A,0))</f>
        <v>0</v>
      </c>
      <c r="E175" s="83">
        <f>INDEX('PEER GROUP'!E:E,MATCH(A175,'PEER GROUP'!$A:$A,0))</f>
        <v>0</v>
      </c>
      <c r="F175" s="84">
        <f>INDEX('PEER GROUP'!F:F,MATCH($A175,'PEER GROUP'!$A:$A,0))</f>
        <v>0</v>
      </c>
      <c r="G175" s="84">
        <f>INDEX('PEER GROUP'!G:G,MATCH($A175,'PEER GROUP'!$A:$A,0))</f>
        <v>0</v>
      </c>
      <c r="H175" s="85"/>
      <c r="I175" s="85"/>
      <c r="J175" s="70">
        <f>INDEX('PEER GROUP'!K:K,MATCH($A175,'PEER GROUP'!$A:$A,0))</f>
        <v>0</v>
      </c>
      <c r="K175" s="70">
        <f>INDEX('PEER GROUP'!L:L,MATCH($A175,'PEER GROUP'!$A:$A,0))</f>
        <v>0</v>
      </c>
      <c r="L175" s="81">
        <f>INDEX('PEER GROUP'!N:N,MATCH($A175,'PEER GROUP'!$A:$A,0))</f>
        <v>0</v>
      </c>
      <c r="M175" s="118"/>
      <c r="N175" s="115"/>
      <c r="O175" s="117"/>
      <c r="P175" s="87"/>
      <c r="Q175" s="87"/>
      <c r="R175" s="87">
        <f t="shared" si="26"/>
        <v>0</v>
      </c>
      <c r="S175" s="113">
        <f t="shared" si="24"/>
        <v>36.913096727263202</v>
      </c>
      <c r="T175" s="69">
        <f t="shared" si="27"/>
        <v>0</v>
      </c>
      <c r="U175" s="70">
        <f t="shared" si="28"/>
        <v>0</v>
      </c>
      <c r="V175" s="70">
        <f t="shared" si="29"/>
        <v>0</v>
      </c>
      <c r="W175" s="71">
        <f t="shared" si="30"/>
        <v>0</v>
      </c>
      <c r="X175" s="49"/>
      <c r="Y175" s="151"/>
      <c r="Z175" s="69"/>
      <c r="AA175" s="70"/>
      <c r="AB175" s="70"/>
      <c r="AC175" s="70" t="str">
        <f t="shared" si="31"/>
        <v>---</v>
      </c>
      <c r="AD175" s="70" t="str">
        <f>IFERROR(P175/#REF!-1,"---")</f>
        <v>---</v>
      </c>
      <c r="AE175" s="70" t="str">
        <f>IFERROR(#REF!/#REF!-1,"---")</f>
        <v>---</v>
      </c>
      <c r="AF175" s="70" t="str">
        <f>IFERROR(Q175/#REF!-1,"---")</f>
        <v>---</v>
      </c>
      <c r="AG175" s="70" t="str">
        <f>IFERROR(#REF!/#REF!-1,"---")</f>
        <v>---</v>
      </c>
      <c r="AH175" s="70" t="str">
        <f>IFERROR(#REF!/AA175-1,"---")</f>
        <v>---</v>
      </c>
      <c r="AI175" s="71" t="str">
        <f t="shared" si="32"/>
        <v>---</v>
      </c>
    </row>
    <row r="176" spans="1:35" ht="30" customHeight="1" x14ac:dyDescent="0.3">
      <c r="A176" s="123">
        <f t="shared" si="25"/>
        <v>172</v>
      </c>
      <c r="B176" s="140">
        <f>INDEX('PEER GROUP'!B:B,MATCH($A176,'PEER GROUP'!$A:$A,0))</f>
        <v>0</v>
      </c>
      <c r="C176" s="83">
        <f>INDEX('PEER GROUP'!C:C,MATCH($A176,'PEER GROUP'!$A:$A,0))</f>
        <v>0</v>
      </c>
      <c r="D176" s="83">
        <f>INDEX('PEER GROUP'!D:D,MATCH($A176,'PEER GROUP'!$A:$A,0))</f>
        <v>0</v>
      </c>
      <c r="E176" s="83">
        <f>INDEX('PEER GROUP'!E:E,MATCH(A176,'PEER GROUP'!$A:$A,0))</f>
        <v>0</v>
      </c>
      <c r="F176" s="84">
        <f>INDEX('PEER GROUP'!F:F,MATCH($A176,'PEER GROUP'!$A:$A,0))</f>
        <v>0</v>
      </c>
      <c r="G176" s="84">
        <f>INDEX('PEER GROUP'!G:G,MATCH($A176,'PEER GROUP'!$A:$A,0))</f>
        <v>0</v>
      </c>
      <c r="H176" s="85"/>
      <c r="I176" s="85"/>
      <c r="J176" s="70">
        <f>INDEX('PEER GROUP'!K:K,MATCH($A176,'PEER GROUP'!$A:$A,0))</f>
        <v>0</v>
      </c>
      <c r="K176" s="70">
        <f>INDEX('PEER GROUP'!L:L,MATCH($A176,'PEER GROUP'!$A:$A,0))</f>
        <v>0</v>
      </c>
      <c r="L176" s="81">
        <f>INDEX('PEER GROUP'!N:N,MATCH($A176,'PEER GROUP'!$A:$A,0))</f>
        <v>0</v>
      </c>
      <c r="M176" s="118"/>
      <c r="N176" s="115"/>
      <c r="O176" s="117"/>
      <c r="P176" s="87"/>
      <c r="Q176" s="87"/>
      <c r="R176" s="87">
        <f t="shared" si="26"/>
        <v>0</v>
      </c>
      <c r="S176" s="113">
        <f t="shared" si="24"/>
        <v>36.913096727263202</v>
      </c>
      <c r="T176" s="69">
        <f t="shared" si="27"/>
        <v>0</v>
      </c>
      <c r="U176" s="70">
        <f t="shared" si="28"/>
        <v>0</v>
      </c>
      <c r="V176" s="70">
        <f t="shared" si="29"/>
        <v>0</v>
      </c>
      <c r="W176" s="71">
        <f t="shared" si="30"/>
        <v>0</v>
      </c>
      <c r="X176" s="49"/>
      <c r="Y176" s="151"/>
      <c r="Z176" s="69"/>
      <c r="AA176" s="70"/>
      <c r="AB176" s="70"/>
      <c r="AC176" s="70" t="str">
        <f t="shared" si="31"/>
        <v>---</v>
      </c>
      <c r="AD176" s="70" t="str">
        <f>IFERROR(P176/#REF!-1,"---")</f>
        <v>---</v>
      </c>
      <c r="AE176" s="70" t="str">
        <f>IFERROR(#REF!/#REF!-1,"---")</f>
        <v>---</v>
      </c>
      <c r="AF176" s="70" t="str">
        <f>IFERROR(Q176/#REF!-1,"---")</f>
        <v>---</v>
      </c>
      <c r="AG176" s="70" t="str">
        <f>IFERROR(#REF!/#REF!-1,"---")</f>
        <v>---</v>
      </c>
      <c r="AH176" s="70" t="str">
        <f>IFERROR(#REF!/AA176-1,"---")</f>
        <v>---</v>
      </c>
      <c r="AI176" s="71" t="str">
        <f t="shared" si="32"/>
        <v>---</v>
      </c>
    </row>
    <row r="177" spans="1:35" ht="30" customHeight="1" x14ac:dyDescent="0.3">
      <c r="A177" s="123">
        <f t="shared" si="25"/>
        <v>173</v>
      </c>
      <c r="B177" s="140">
        <f>INDEX('PEER GROUP'!B:B,MATCH($A177,'PEER GROUP'!$A:$A,0))</f>
        <v>0</v>
      </c>
      <c r="C177" s="83">
        <f>INDEX('PEER GROUP'!C:C,MATCH($A177,'PEER GROUP'!$A:$A,0))</f>
        <v>0</v>
      </c>
      <c r="D177" s="83">
        <f>INDEX('PEER GROUP'!D:D,MATCH($A177,'PEER GROUP'!$A:$A,0))</f>
        <v>0</v>
      </c>
      <c r="E177" s="83">
        <f>INDEX('PEER GROUP'!E:E,MATCH(A177,'PEER GROUP'!$A:$A,0))</f>
        <v>0</v>
      </c>
      <c r="F177" s="84">
        <f>INDEX('PEER GROUP'!F:F,MATCH($A177,'PEER GROUP'!$A:$A,0))</f>
        <v>0</v>
      </c>
      <c r="G177" s="84">
        <f>INDEX('PEER GROUP'!G:G,MATCH($A177,'PEER GROUP'!$A:$A,0))</f>
        <v>0</v>
      </c>
      <c r="H177" s="85"/>
      <c r="I177" s="85"/>
      <c r="J177" s="70">
        <f>INDEX('PEER GROUP'!K:K,MATCH($A177,'PEER GROUP'!$A:$A,0))</f>
        <v>0</v>
      </c>
      <c r="K177" s="70">
        <f>INDEX('PEER GROUP'!L:L,MATCH($A177,'PEER GROUP'!$A:$A,0))</f>
        <v>0</v>
      </c>
      <c r="L177" s="81">
        <f>INDEX('PEER GROUP'!N:N,MATCH($A177,'PEER GROUP'!$A:$A,0))</f>
        <v>0</v>
      </c>
      <c r="M177" s="118"/>
      <c r="N177" s="115"/>
      <c r="O177" s="117"/>
      <c r="P177" s="87"/>
      <c r="Q177" s="87"/>
      <c r="R177" s="87">
        <f t="shared" si="26"/>
        <v>0</v>
      </c>
      <c r="S177" s="113">
        <f t="shared" si="24"/>
        <v>36.913096727263202</v>
      </c>
      <c r="T177" s="69">
        <f t="shared" si="27"/>
        <v>0</v>
      </c>
      <c r="U177" s="70">
        <f t="shared" si="28"/>
        <v>0</v>
      </c>
      <c r="V177" s="70">
        <f t="shared" si="29"/>
        <v>0</v>
      </c>
      <c r="W177" s="71">
        <f t="shared" si="30"/>
        <v>0</v>
      </c>
      <c r="X177" s="49"/>
      <c r="Y177" s="151"/>
      <c r="Z177" s="69"/>
      <c r="AA177" s="70"/>
      <c r="AB177" s="70"/>
      <c r="AC177" s="70" t="str">
        <f t="shared" si="31"/>
        <v>---</v>
      </c>
      <c r="AD177" s="70" t="str">
        <f>IFERROR(P177/#REF!-1,"---")</f>
        <v>---</v>
      </c>
      <c r="AE177" s="70" t="str">
        <f>IFERROR(#REF!/#REF!-1,"---")</f>
        <v>---</v>
      </c>
      <c r="AF177" s="70" t="str">
        <f>IFERROR(Q177/#REF!-1,"---")</f>
        <v>---</v>
      </c>
      <c r="AG177" s="70" t="str">
        <f>IFERROR(#REF!/#REF!-1,"---")</f>
        <v>---</v>
      </c>
      <c r="AH177" s="70" t="str">
        <f>IFERROR(#REF!/AA177-1,"---")</f>
        <v>---</v>
      </c>
      <c r="AI177" s="71" t="str">
        <f t="shared" si="32"/>
        <v>---</v>
      </c>
    </row>
    <row r="178" spans="1:35" ht="30" customHeight="1" x14ac:dyDescent="0.3">
      <c r="A178" s="123">
        <f t="shared" si="25"/>
        <v>174</v>
      </c>
      <c r="B178" s="140">
        <f>INDEX('PEER GROUP'!B:B,MATCH($A178,'PEER GROUP'!$A:$A,0))</f>
        <v>0</v>
      </c>
      <c r="C178" s="83">
        <f>INDEX('PEER GROUP'!C:C,MATCH($A178,'PEER GROUP'!$A:$A,0))</f>
        <v>0</v>
      </c>
      <c r="D178" s="83">
        <f>INDEX('PEER GROUP'!D:D,MATCH($A178,'PEER GROUP'!$A:$A,0))</f>
        <v>0</v>
      </c>
      <c r="E178" s="83">
        <f>INDEX('PEER GROUP'!E:E,MATCH(A178,'PEER GROUP'!$A:$A,0))</f>
        <v>0</v>
      </c>
      <c r="F178" s="84">
        <f>INDEX('PEER GROUP'!F:F,MATCH($A178,'PEER GROUP'!$A:$A,0))</f>
        <v>0</v>
      </c>
      <c r="G178" s="84">
        <f>INDEX('PEER GROUP'!G:G,MATCH($A178,'PEER GROUP'!$A:$A,0))</f>
        <v>0</v>
      </c>
      <c r="H178" s="85"/>
      <c r="I178" s="85"/>
      <c r="J178" s="70">
        <f>INDEX('PEER GROUP'!K:K,MATCH($A178,'PEER GROUP'!$A:$A,0))</f>
        <v>0</v>
      </c>
      <c r="K178" s="70">
        <f>INDEX('PEER GROUP'!L:L,MATCH($A178,'PEER GROUP'!$A:$A,0))</f>
        <v>0</v>
      </c>
      <c r="L178" s="81">
        <f>INDEX('PEER GROUP'!N:N,MATCH($A178,'PEER GROUP'!$A:$A,0))</f>
        <v>0</v>
      </c>
      <c r="M178" s="118"/>
      <c r="N178" s="115"/>
      <c r="O178" s="117"/>
      <c r="P178" s="87"/>
      <c r="Q178" s="87"/>
      <c r="R178" s="87">
        <f t="shared" si="26"/>
        <v>0</v>
      </c>
      <c r="S178" s="113">
        <f t="shared" si="24"/>
        <v>36.913096727263202</v>
      </c>
      <c r="T178" s="69">
        <f t="shared" si="27"/>
        <v>0</v>
      </c>
      <c r="U178" s="70">
        <f t="shared" si="28"/>
        <v>0</v>
      </c>
      <c r="V178" s="70">
        <f t="shared" si="29"/>
        <v>0</v>
      </c>
      <c r="W178" s="71">
        <f t="shared" si="30"/>
        <v>0</v>
      </c>
      <c r="X178" s="49"/>
      <c r="Y178" s="151"/>
      <c r="Z178" s="69"/>
      <c r="AA178" s="70"/>
      <c r="AB178" s="70"/>
      <c r="AC178" s="70" t="str">
        <f t="shared" si="31"/>
        <v>---</v>
      </c>
      <c r="AD178" s="70" t="str">
        <f>IFERROR(P178/#REF!-1,"---")</f>
        <v>---</v>
      </c>
      <c r="AE178" s="70" t="str">
        <f>IFERROR(#REF!/#REF!-1,"---")</f>
        <v>---</v>
      </c>
      <c r="AF178" s="70" t="str">
        <f>IFERROR(Q178/#REF!-1,"---")</f>
        <v>---</v>
      </c>
      <c r="AG178" s="70" t="str">
        <f>IFERROR(#REF!/#REF!-1,"---")</f>
        <v>---</v>
      </c>
      <c r="AH178" s="70" t="str">
        <f>IFERROR(#REF!/AA178-1,"---")</f>
        <v>---</v>
      </c>
      <c r="AI178" s="71" t="str">
        <f t="shared" si="32"/>
        <v>---</v>
      </c>
    </row>
    <row r="179" spans="1:35" ht="30" customHeight="1" x14ac:dyDescent="0.3">
      <c r="A179" s="123">
        <f t="shared" si="25"/>
        <v>175</v>
      </c>
      <c r="B179" s="140">
        <f>INDEX('PEER GROUP'!B:B,MATCH($A179,'PEER GROUP'!$A:$A,0))</f>
        <v>0</v>
      </c>
      <c r="C179" s="83">
        <f>INDEX('PEER GROUP'!C:C,MATCH($A179,'PEER GROUP'!$A:$A,0))</f>
        <v>0</v>
      </c>
      <c r="D179" s="83">
        <f>INDEX('PEER GROUP'!D:D,MATCH($A179,'PEER GROUP'!$A:$A,0))</f>
        <v>0</v>
      </c>
      <c r="E179" s="83">
        <f>INDEX('PEER GROUP'!E:E,MATCH(A179,'PEER GROUP'!$A:$A,0))</f>
        <v>0</v>
      </c>
      <c r="F179" s="84">
        <f>INDEX('PEER GROUP'!F:F,MATCH($A179,'PEER GROUP'!$A:$A,0))</f>
        <v>0</v>
      </c>
      <c r="G179" s="84">
        <f>INDEX('PEER GROUP'!G:G,MATCH($A179,'PEER GROUP'!$A:$A,0))</f>
        <v>0</v>
      </c>
      <c r="H179" s="85"/>
      <c r="I179" s="85"/>
      <c r="J179" s="70">
        <f>INDEX('PEER GROUP'!K:K,MATCH($A179,'PEER GROUP'!$A:$A,0))</f>
        <v>0</v>
      </c>
      <c r="K179" s="70">
        <f>INDEX('PEER GROUP'!L:L,MATCH($A179,'PEER GROUP'!$A:$A,0))</f>
        <v>0</v>
      </c>
      <c r="L179" s="81">
        <f>INDEX('PEER GROUP'!N:N,MATCH($A179,'PEER GROUP'!$A:$A,0))</f>
        <v>0</v>
      </c>
      <c r="M179" s="118"/>
      <c r="N179" s="115"/>
      <c r="O179" s="117"/>
      <c r="P179" s="87"/>
      <c r="Q179" s="87"/>
      <c r="R179" s="87">
        <f t="shared" si="26"/>
        <v>0</v>
      </c>
      <c r="S179" s="113">
        <f t="shared" si="24"/>
        <v>36.913096727263202</v>
      </c>
      <c r="T179" s="69">
        <f t="shared" si="27"/>
        <v>0</v>
      </c>
      <c r="U179" s="70">
        <f t="shared" si="28"/>
        <v>0</v>
      </c>
      <c r="V179" s="70">
        <f t="shared" si="29"/>
        <v>0</v>
      </c>
      <c r="W179" s="71">
        <f t="shared" si="30"/>
        <v>0</v>
      </c>
      <c r="X179" s="49"/>
      <c r="Y179" s="151"/>
      <c r="Z179" s="69"/>
      <c r="AA179" s="70"/>
      <c r="AB179" s="70"/>
      <c r="AC179" s="70" t="str">
        <f t="shared" si="31"/>
        <v>---</v>
      </c>
      <c r="AD179" s="70" t="str">
        <f>IFERROR(P179/#REF!-1,"---")</f>
        <v>---</v>
      </c>
      <c r="AE179" s="70" t="str">
        <f>IFERROR(#REF!/#REF!-1,"---")</f>
        <v>---</v>
      </c>
      <c r="AF179" s="70" t="str">
        <f>IFERROR(Q179/#REF!-1,"---")</f>
        <v>---</v>
      </c>
      <c r="AG179" s="70" t="str">
        <f>IFERROR(#REF!/#REF!-1,"---")</f>
        <v>---</v>
      </c>
      <c r="AH179" s="70" t="str">
        <f>IFERROR(#REF!/AA179-1,"---")</f>
        <v>---</v>
      </c>
      <c r="AI179" s="71" t="str">
        <f t="shared" si="32"/>
        <v>---</v>
      </c>
    </row>
    <row r="180" spans="1:35" ht="30" customHeight="1" x14ac:dyDescent="0.3">
      <c r="A180" s="123">
        <f t="shared" si="25"/>
        <v>176</v>
      </c>
      <c r="B180" s="140">
        <f>INDEX('PEER GROUP'!B:B,MATCH($A180,'PEER GROUP'!$A:$A,0))</f>
        <v>0</v>
      </c>
      <c r="C180" s="83">
        <f>INDEX('PEER GROUP'!C:C,MATCH($A180,'PEER GROUP'!$A:$A,0))</f>
        <v>0</v>
      </c>
      <c r="D180" s="83">
        <f>INDEX('PEER GROUP'!D:D,MATCH($A180,'PEER GROUP'!$A:$A,0))</f>
        <v>0</v>
      </c>
      <c r="E180" s="83">
        <f>INDEX('PEER GROUP'!E:E,MATCH(A180,'PEER GROUP'!$A:$A,0))</f>
        <v>0</v>
      </c>
      <c r="F180" s="84">
        <f>INDEX('PEER GROUP'!F:F,MATCH($A180,'PEER GROUP'!$A:$A,0))</f>
        <v>0</v>
      </c>
      <c r="G180" s="84">
        <f>INDEX('PEER GROUP'!G:G,MATCH($A180,'PEER GROUP'!$A:$A,0))</f>
        <v>0</v>
      </c>
      <c r="H180" s="85"/>
      <c r="I180" s="85"/>
      <c r="J180" s="70">
        <f>INDEX('PEER GROUP'!K:K,MATCH($A180,'PEER GROUP'!$A:$A,0))</f>
        <v>0</v>
      </c>
      <c r="K180" s="70">
        <f>INDEX('PEER GROUP'!L:L,MATCH($A180,'PEER GROUP'!$A:$A,0))</f>
        <v>0</v>
      </c>
      <c r="L180" s="81">
        <f>INDEX('PEER GROUP'!N:N,MATCH($A180,'PEER GROUP'!$A:$A,0))</f>
        <v>0</v>
      </c>
      <c r="M180" s="118"/>
      <c r="N180" s="115"/>
      <c r="O180" s="117"/>
      <c r="P180" s="87"/>
      <c r="Q180" s="87"/>
      <c r="R180" s="87">
        <f t="shared" si="26"/>
        <v>0</v>
      </c>
      <c r="S180" s="113">
        <f t="shared" si="24"/>
        <v>36.913096727263202</v>
      </c>
      <c r="T180" s="69">
        <f t="shared" si="27"/>
        <v>0</v>
      </c>
      <c r="U180" s="70">
        <f t="shared" si="28"/>
        <v>0</v>
      </c>
      <c r="V180" s="70">
        <f t="shared" si="29"/>
        <v>0</v>
      </c>
      <c r="W180" s="71">
        <f t="shared" si="30"/>
        <v>0</v>
      </c>
      <c r="X180" s="49"/>
      <c r="Y180" s="151"/>
      <c r="Z180" s="69"/>
      <c r="AA180" s="70"/>
      <c r="AB180" s="70"/>
      <c r="AC180" s="70" t="str">
        <f t="shared" si="31"/>
        <v>---</v>
      </c>
      <c r="AD180" s="70" t="str">
        <f>IFERROR(P180/#REF!-1,"---")</f>
        <v>---</v>
      </c>
      <c r="AE180" s="70" t="str">
        <f>IFERROR(#REF!/#REF!-1,"---")</f>
        <v>---</v>
      </c>
      <c r="AF180" s="70" t="str">
        <f>IFERROR(Q180/#REF!-1,"---")</f>
        <v>---</v>
      </c>
      <c r="AG180" s="70" t="str">
        <f>IFERROR(#REF!/#REF!-1,"---")</f>
        <v>---</v>
      </c>
      <c r="AH180" s="70" t="str">
        <f>IFERROR(#REF!/AA180-1,"---")</f>
        <v>---</v>
      </c>
      <c r="AI180" s="71" t="str">
        <f t="shared" si="32"/>
        <v>---</v>
      </c>
    </row>
    <row r="181" spans="1:35" ht="30" customHeight="1" x14ac:dyDescent="0.3">
      <c r="A181" s="123">
        <f t="shared" si="25"/>
        <v>177</v>
      </c>
      <c r="B181" s="140">
        <f>INDEX('PEER GROUP'!B:B,MATCH($A181,'PEER GROUP'!$A:$A,0))</f>
        <v>0</v>
      </c>
      <c r="C181" s="83">
        <f>INDEX('PEER GROUP'!C:C,MATCH($A181,'PEER GROUP'!$A:$A,0))</f>
        <v>0</v>
      </c>
      <c r="D181" s="83">
        <f>INDEX('PEER GROUP'!D:D,MATCH($A181,'PEER GROUP'!$A:$A,0))</f>
        <v>0</v>
      </c>
      <c r="E181" s="83">
        <f>INDEX('PEER GROUP'!E:E,MATCH(A181,'PEER GROUP'!$A:$A,0))</f>
        <v>0</v>
      </c>
      <c r="F181" s="84">
        <f>INDEX('PEER GROUP'!F:F,MATCH($A181,'PEER GROUP'!$A:$A,0))</f>
        <v>0</v>
      </c>
      <c r="G181" s="84">
        <f>INDEX('PEER GROUP'!G:G,MATCH($A181,'PEER GROUP'!$A:$A,0))</f>
        <v>0</v>
      </c>
      <c r="H181" s="85"/>
      <c r="I181" s="85"/>
      <c r="J181" s="70">
        <f>INDEX('PEER GROUP'!K:K,MATCH($A181,'PEER GROUP'!$A:$A,0))</f>
        <v>0</v>
      </c>
      <c r="K181" s="70">
        <f>INDEX('PEER GROUP'!L:L,MATCH($A181,'PEER GROUP'!$A:$A,0))</f>
        <v>0</v>
      </c>
      <c r="L181" s="81">
        <f>INDEX('PEER GROUP'!N:N,MATCH($A181,'PEER GROUP'!$A:$A,0))</f>
        <v>0</v>
      </c>
      <c r="M181" s="118"/>
      <c r="N181" s="115"/>
      <c r="O181" s="117"/>
      <c r="P181" s="87"/>
      <c r="Q181" s="87"/>
      <c r="R181" s="87">
        <f t="shared" si="26"/>
        <v>0</v>
      </c>
      <c r="S181" s="113">
        <f t="shared" si="24"/>
        <v>36.913096727263202</v>
      </c>
      <c r="T181" s="69">
        <f t="shared" si="27"/>
        <v>0</v>
      </c>
      <c r="U181" s="70">
        <f t="shared" si="28"/>
        <v>0</v>
      </c>
      <c r="V181" s="70">
        <f t="shared" si="29"/>
        <v>0</v>
      </c>
      <c r="W181" s="71">
        <f t="shared" si="30"/>
        <v>0</v>
      </c>
      <c r="X181" s="49"/>
      <c r="Y181" s="151"/>
      <c r="Z181" s="69"/>
      <c r="AA181" s="70"/>
      <c r="AB181" s="70"/>
      <c r="AC181" s="70" t="str">
        <f t="shared" si="31"/>
        <v>---</v>
      </c>
      <c r="AD181" s="70" t="str">
        <f>IFERROR(P181/#REF!-1,"---")</f>
        <v>---</v>
      </c>
      <c r="AE181" s="70" t="str">
        <f>IFERROR(#REF!/#REF!-1,"---")</f>
        <v>---</v>
      </c>
      <c r="AF181" s="70" t="str">
        <f>IFERROR(Q181/#REF!-1,"---")</f>
        <v>---</v>
      </c>
      <c r="AG181" s="70" t="str">
        <f>IFERROR(#REF!/#REF!-1,"---")</f>
        <v>---</v>
      </c>
      <c r="AH181" s="70" t="str">
        <f>IFERROR(#REF!/AA181-1,"---")</f>
        <v>---</v>
      </c>
      <c r="AI181" s="71" t="str">
        <f t="shared" si="32"/>
        <v>---</v>
      </c>
    </row>
    <row r="182" spans="1:35" ht="30" customHeight="1" x14ac:dyDescent="0.3">
      <c r="A182" s="123">
        <f t="shared" si="25"/>
        <v>178</v>
      </c>
      <c r="B182" s="140">
        <f>INDEX('PEER GROUP'!B:B,MATCH($A182,'PEER GROUP'!$A:$A,0))</f>
        <v>0</v>
      </c>
      <c r="C182" s="83">
        <f>INDEX('PEER GROUP'!C:C,MATCH($A182,'PEER GROUP'!$A:$A,0))</f>
        <v>0</v>
      </c>
      <c r="D182" s="83">
        <f>INDEX('PEER GROUP'!D:D,MATCH($A182,'PEER GROUP'!$A:$A,0))</f>
        <v>0</v>
      </c>
      <c r="E182" s="83">
        <f>INDEX('PEER GROUP'!E:E,MATCH(A182,'PEER GROUP'!$A:$A,0))</f>
        <v>0</v>
      </c>
      <c r="F182" s="84">
        <f>INDEX('PEER GROUP'!F:F,MATCH($A182,'PEER GROUP'!$A:$A,0))</f>
        <v>0</v>
      </c>
      <c r="G182" s="84">
        <f>INDEX('PEER GROUP'!G:G,MATCH($A182,'PEER GROUP'!$A:$A,0))</f>
        <v>0</v>
      </c>
      <c r="H182" s="85"/>
      <c r="I182" s="85"/>
      <c r="J182" s="70">
        <f>INDEX('PEER GROUP'!K:K,MATCH($A182,'PEER GROUP'!$A:$A,0))</f>
        <v>0</v>
      </c>
      <c r="K182" s="70">
        <f>INDEX('PEER GROUP'!L:L,MATCH($A182,'PEER GROUP'!$A:$A,0))</f>
        <v>0</v>
      </c>
      <c r="L182" s="81">
        <f>INDEX('PEER GROUP'!N:N,MATCH($A182,'PEER GROUP'!$A:$A,0))</f>
        <v>0</v>
      </c>
      <c r="M182" s="118"/>
      <c r="N182" s="115"/>
      <c r="O182" s="117"/>
      <c r="P182" s="87"/>
      <c r="Q182" s="87"/>
      <c r="R182" s="87">
        <f t="shared" si="26"/>
        <v>0</v>
      </c>
      <c r="S182" s="113">
        <f t="shared" si="24"/>
        <v>36.913096727263202</v>
      </c>
      <c r="T182" s="69">
        <f t="shared" si="27"/>
        <v>0</v>
      </c>
      <c r="U182" s="70">
        <f t="shared" si="28"/>
        <v>0</v>
      </c>
      <c r="V182" s="70">
        <f t="shared" si="29"/>
        <v>0</v>
      </c>
      <c r="W182" s="71">
        <f t="shared" si="30"/>
        <v>0</v>
      </c>
      <c r="X182" s="49"/>
      <c r="Y182" s="151"/>
      <c r="Z182" s="69"/>
      <c r="AA182" s="70"/>
      <c r="AB182" s="70"/>
      <c r="AC182" s="70" t="str">
        <f t="shared" si="31"/>
        <v>---</v>
      </c>
      <c r="AD182" s="70" t="str">
        <f>IFERROR(P182/#REF!-1,"---")</f>
        <v>---</v>
      </c>
      <c r="AE182" s="70" t="str">
        <f>IFERROR(#REF!/#REF!-1,"---")</f>
        <v>---</v>
      </c>
      <c r="AF182" s="70" t="str">
        <f>IFERROR(Q182/#REF!-1,"---")</f>
        <v>---</v>
      </c>
      <c r="AG182" s="70" t="str">
        <f>IFERROR(#REF!/#REF!-1,"---")</f>
        <v>---</v>
      </c>
      <c r="AH182" s="70" t="str">
        <f>IFERROR(#REF!/AA182-1,"---")</f>
        <v>---</v>
      </c>
      <c r="AI182" s="71" t="str">
        <f t="shared" si="32"/>
        <v>---</v>
      </c>
    </row>
    <row r="183" spans="1:35" ht="30" customHeight="1" x14ac:dyDescent="0.3">
      <c r="A183" s="123">
        <f t="shared" si="25"/>
        <v>179</v>
      </c>
      <c r="B183" s="140">
        <f>INDEX('PEER GROUP'!B:B,MATCH($A183,'PEER GROUP'!$A:$A,0))</f>
        <v>0</v>
      </c>
      <c r="C183" s="83">
        <f>INDEX('PEER GROUP'!C:C,MATCH($A183,'PEER GROUP'!$A:$A,0))</f>
        <v>0</v>
      </c>
      <c r="D183" s="83">
        <f>INDEX('PEER GROUP'!D:D,MATCH($A183,'PEER GROUP'!$A:$A,0))</f>
        <v>0</v>
      </c>
      <c r="E183" s="83">
        <f>INDEX('PEER GROUP'!E:E,MATCH(A183,'PEER GROUP'!$A:$A,0))</f>
        <v>0</v>
      </c>
      <c r="F183" s="84">
        <f>INDEX('PEER GROUP'!F:F,MATCH($A183,'PEER GROUP'!$A:$A,0))</f>
        <v>0</v>
      </c>
      <c r="G183" s="84">
        <f>INDEX('PEER GROUP'!G:G,MATCH($A183,'PEER GROUP'!$A:$A,0))</f>
        <v>0</v>
      </c>
      <c r="H183" s="85"/>
      <c r="I183" s="85"/>
      <c r="J183" s="70">
        <f>INDEX('PEER GROUP'!K:K,MATCH($A183,'PEER GROUP'!$A:$A,0))</f>
        <v>0</v>
      </c>
      <c r="K183" s="70">
        <f>INDEX('PEER GROUP'!L:L,MATCH($A183,'PEER GROUP'!$A:$A,0))</f>
        <v>0</v>
      </c>
      <c r="L183" s="81">
        <f>INDEX('PEER GROUP'!N:N,MATCH($A183,'PEER GROUP'!$A:$A,0))</f>
        <v>0</v>
      </c>
      <c r="M183" s="118"/>
      <c r="N183" s="115"/>
      <c r="O183" s="117"/>
      <c r="P183" s="87"/>
      <c r="Q183" s="87"/>
      <c r="R183" s="87">
        <f t="shared" si="26"/>
        <v>0</v>
      </c>
      <c r="S183" s="113">
        <f t="shared" si="24"/>
        <v>36.913096727263202</v>
      </c>
      <c r="T183" s="69">
        <f t="shared" si="27"/>
        <v>0</v>
      </c>
      <c r="U183" s="70">
        <f t="shared" si="28"/>
        <v>0</v>
      </c>
      <c r="V183" s="70">
        <f t="shared" si="29"/>
        <v>0</v>
      </c>
      <c r="W183" s="71">
        <f t="shared" si="30"/>
        <v>0</v>
      </c>
      <c r="X183" s="49"/>
      <c r="Y183" s="151"/>
      <c r="Z183" s="69"/>
      <c r="AA183" s="70"/>
      <c r="AB183" s="70"/>
      <c r="AC183" s="70" t="str">
        <f t="shared" si="31"/>
        <v>---</v>
      </c>
      <c r="AD183" s="70" t="str">
        <f>IFERROR(P183/#REF!-1,"---")</f>
        <v>---</v>
      </c>
      <c r="AE183" s="70" t="str">
        <f>IFERROR(#REF!/#REF!-1,"---")</f>
        <v>---</v>
      </c>
      <c r="AF183" s="70" t="str">
        <f>IFERROR(Q183/#REF!-1,"---")</f>
        <v>---</v>
      </c>
      <c r="AG183" s="70" t="str">
        <f>IFERROR(#REF!/#REF!-1,"---")</f>
        <v>---</v>
      </c>
      <c r="AH183" s="70" t="str">
        <f>IFERROR(#REF!/AA183-1,"---")</f>
        <v>---</v>
      </c>
      <c r="AI183" s="71" t="str">
        <f t="shared" si="32"/>
        <v>---</v>
      </c>
    </row>
    <row r="184" spans="1:35" ht="30" customHeight="1" x14ac:dyDescent="0.3">
      <c r="A184" s="123">
        <f t="shared" si="25"/>
        <v>180</v>
      </c>
      <c r="B184" s="140">
        <f>INDEX('PEER GROUP'!B:B,MATCH($A184,'PEER GROUP'!$A:$A,0))</f>
        <v>0</v>
      </c>
      <c r="C184" s="83">
        <f>INDEX('PEER GROUP'!C:C,MATCH($A184,'PEER GROUP'!$A:$A,0))</f>
        <v>0</v>
      </c>
      <c r="D184" s="83">
        <f>INDEX('PEER GROUP'!D:D,MATCH($A184,'PEER GROUP'!$A:$A,0))</f>
        <v>0</v>
      </c>
      <c r="E184" s="83">
        <f>INDEX('PEER GROUP'!E:E,MATCH(A184,'PEER GROUP'!$A:$A,0))</f>
        <v>0</v>
      </c>
      <c r="F184" s="84">
        <f>INDEX('PEER GROUP'!F:F,MATCH($A184,'PEER GROUP'!$A:$A,0))</f>
        <v>0</v>
      </c>
      <c r="G184" s="84">
        <f>INDEX('PEER GROUP'!G:G,MATCH($A184,'PEER GROUP'!$A:$A,0))</f>
        <v>0</v>
      </c>
      <c r="H184" s="85"/>
      <c r="I184" s="85"/>
      <c r="J184" s="70">
        <f>INDEX('PEER GROUP'!K:K,MATCH($A184,'PEER GROUP'!$A:$A,0))</f>
        <v>0</v>
      </c>
      <c r="K184" s="70">
        <f>INDEX('PEER GROUP'!L:L,MATCH($A184,'PEER GROUP'!$A:$A,0))</f>
        <v>0</v>
      </c>
      <c r="L184" s="81">
        <f>INDEX('PEER GROUP'!N:N,MATCH($A184,'PEER GROUP'!$A:$A,0))</f>
        <v>0</v>
      </c>
      <c r="M184" s="118"/>
      <c r="N184" s="115"/>
      <c r="O184" s="117"/>
      <c r="P184" s="87"/>
      <c r="Q184" s="87"/>
      <c r="R184" s="87">
        <f t="shared" si="26"/>
        <v>0</v>
      </c>
      <c r="S184" s="113">
        <f t="shared" si="24"/>
        <v>36.913096727263202</v>
      </c>
      <c r="T184" s="69">
        <f t="shared" si="27"/>
        <v>0</v>
      </c>
      <c r="U184" s="70">
        <f t="shared" si="28"/>
        <v>0</v>
      </c>
      <c r="V184" s="70">
        <f t="shared" si="29"/>
        <v>0</v>
      </c>
      <c r="W184" s="71">
        <f t="shared" si="30"/>
        <v>0</v>
      </c>
      <c r="X184" s="49"/>
      <c r="Y184" s="151"/>
      <c r="Z184" s="69"/>
      <c r="AA184" s="70"/>
      <c r="AB184" s="70"/>
      <c r="AC184" s="70" t="str">
        <f t="shared" si="31"/>
        <v>---</v>
      </c>
      <c r="AD184" s="70" t="str">
        <f>IFERROR(P184/#REF!-1,"---")</f>
        <v>---</v>
      </c>
      <c r="AE184" s="70" t="str">
        <f>IFERROR(#REF!/#REF!-1,"---")</f>
        <v>---</v>
      </c>
      <c r="AF184" s="70" t="str">
        <f>IFERROR(Q184/#REF!-1,"---")</f>
        <v>---</v>
      </c>
      <c r="AG184" s="70" t="str">
        <f>IFERROR(#REF!/#REF!-1,"---")</f>
        <v>---</v>
      </c>
      <c r="AH184" s="70" t="str">
        <f>IFERROR(#REF!/AA184-1,"---")</f>
        <v>---</v>
      </c>
      <c r="AI184" s="71" t="str">
        <f t="shared" si="32"/>
        <v>---</v>
      </c>
    </row>
    <row r="185" spans="1:35" ht="30" customHeight="1" x14ac:dyDescent="0.3">
      <c r="A185" s="123">
        <f t="shared" si="25"/>
        <v>181</v>
      </c>
      <c r="B185" s="140">
        <f>INDEX('PEER GROUP'!B:B,MATCH($A185,'PEER GROUP'!$A:$A,0))</f>
        <v>0</v>
      </c>
      <c r="C185" s="83">
        <f>INDEX('PEER GROUP'!C:C,MATCH($A185,'PEER GROUP'!$A:$A,0))</f>
        <v>0</v>
      </c>
      <c r="D185" s="83">
        <f>INDEX('PEER GROUP'!D:D,MATCH($A185,'PEER GROUP'!$A:$A,0))</f>
        <v>0</v>
      </c>
      <c r="E185" s="83">
        <f>INDEX('PEER GROUP'!E:E,MATCH(A185,'PEER GROUP'!$A:$A,0))</f>
        <v>0</v>
      </c>
      <c r="F185" s="84">
        <f>INDEX('PEER GROUP'!F:F,MATCH($A185,'PEER GROUP'!$A:$A,0))</f>
        <v>0</v>
      </c>
      <c r="G185" s="84">
        <f>INDEX('PEER GROUP'!G:G,MATCH($A185,'PEER GROUP'!$A:$A,0))</f>
        <v>0</v>
      </c>
      <c r="H185" s="85"/>
      <c r="I185" s="85"/>
      <c r="J185" s="70">
        <f>INDEX('PEER GROUP'!K:K,MATCH($A185,'PEER GROUP'!$A:$A,0))</f>
        <v>0</v>
      </c>
      <c r="K185" s="70">
        <f>INDEX('PEER GROUP'!L:L,MATCH($A185,'PEER GROUP'!$A:$A,0))</f>
        <v>0</v>
      </c>
      <c r="L185" s="81">
        <f>INDEX('PEER GROUP'!N:N,MATCH($A185,'PEER GROUP'!$A:$A,0))</f>
        <v>0</v>
      </c>
      <c r="M185" s="118"/>
      <c r="N185" s="115"/>
      <c r="O185" s="117"/>
      <c r="P185" s="87"/>
      <c r="Q185" s="87"/>
      <c r="R185" s="87">
        <f t="shared" si="26"/>
        <v>0</v>
      </c>
      <c r="S185" s="113">
        <f t="shared" si="24"/>
        <v>36.913096727263202</v>
      </c>
      <c r="T185" s="69">
        <f t="shared" si="27"/>
        <v>0</v>
      </c>
      <c r="U185" s="70">
        <f t="shared" si="28"/>
        <v>0</v>
      </c>
      <c r="V185" s="70">
        <f t="shared" si="29"/>
        <v>0</v>
      </c>
      <c r="W185" s="71">
        <f t="shared" si="30"/>
        <v>0</v>
      </c>
      <c r="X185" s="49"/>
      <c r="Y185" s="151"/>
      <c r="Z185" s="69"/>
      <c r="AA185" s="70"/>
      <c r="AB185" s="70"/>
      <c r="AC185" s="70" t="str">
        <f t="shared" si="31"/>
        <v>---</v>
      </c>
      <c r="AD185" s="70" t="str">
        <f>IFERROR(P185/#REF!-1,"---")</f>
        <v>---</v>
      </c>
      <c r="AE185" s="70" t="str">
        <f>IFERROR(#REF!/#REF!-1,"---")</f>
        <v>---</v>
      </c>
      <c r="AF185" s="70" t="str">
        <f>IFERROR(Q185/#REF!-1,"---")</f>
        <v>---</v>
      </c>
      <c r="AG185" s="70" t="str">
        <f>IFERROR(#REF!/#REF!-1,"---")</f>
        <v>---</v>
      </c>
      <c r="AH185" s="70" t="str">
        <f>IFERROR(#REF!/AA185-1,"---")</f>
        <v>---</v>
      </c>
      <c r="AI185" s="71" t="str">
        <f t="shared" si="32"/>
        <v>---</v>
      </c>
    </row>
    <row r="186" spans="1:35" ht="30" customHeight="1" x14ac:dyDescent="0.3">
      <c r="A186" s="123">
        <f t="shared" si="25"/>
        <v>182</v>
      </c>
      <c r="B186" s="140">
        <f>INDEX('PEER GROUP'!B:B,MATCH($A186,'PEER GROUP'!$A:$A,0))</f>
        <v>0</v>
      </c>
      <c r="C186" s="83">
        <f>INDEX('PEER GROUP'!C:C,MATCH($A186,'PEER GROUP'!$A:$A,0))</f>
        <v>0</v>
      </c>
      <c r="D186" s="83">
        <f>INDEX('PEER GROUP'!D:D,MATCH($A186,'PEER GROUP'!$A:$A,0))</f>
        <v>0</v>
      </c>
      <c r="E186" s="83">
        <f>INDEX('PEER GROUP'!E:E,MATCH(A186,'PEER GROUP'!$A:$A,0))</f>
        <v>0</v>
      </c>
      <c r="F186" s="84">
        <f>INDEX('PEER GROUP'!F:F,MATCH($A186,'PEER GROUP'!$A:$A,0))</f>
        <v>0</v>
      </c>
      <c r="G186" s="84">
        <f>INDEX('PEER GROUP'!G:G,MATCH($A186,'PEER GROUP'!$A:$A,0))</f>
        <v>0</v>
      </c>
      <c r="H186" s="85"/>
      <c r="I186" s="85"/>
      <c r="J186" s="70">
        <f>INDEX('PEER GROUP'!K:K,MATCH($A186,'PEER GROUP'!$A:$A,0))</f>
        <v>0</v>
      </c>
      <c r="K186" s="70">
        <f>INDEX('PEER GROUP'!L:L,MATCH($A186,'PEER GROUP'!$A:$A,0))</f>
        <v>0</v>
      </c>
      <c r="L186" s="81">
        <f>INDEX('PEER GROUP'!N:N,MATCH($A186,'PEER GROUP'!$A:$A,0))</f>
        <v>0</v>
      </c>
      <c r="M186" s="118"/>
      <c r="N186" s="115"/>
      <c r="O186" s="117"/>
      <c r="P186" s="87"/>
      <c r="Q186" s="87"/>
      <c r="R186" s="87">
        <f t="shared" si="26"/>
        <v>0</v>
      </c>
      <c r="S186" s="113">
        <f t="shared" si="24"/>
        <v>36.913096727263202</v>
      </c>
      <c r="T186" s="69">
        <f t="shared" si="27"/>
        <v>0</v>
      </c>
      <c r="U186" s="70">
        <f t="shared" si="28"/>
        <v>0</v>
      </c>
      <c r="V186" s="70">
        <f t="shared" si="29"/>
        <v>0</v>
      </c>
      <c r="W186" s="71">
        <f t="shared" si="30"/>
        <v>0</v>
      </c>
      <c r="X186" s="49"/>
      <c r="Y186" s="151"/>
      <c r="Z186" s="69"/>
      <c r="AA186" s="70"/>
      <c r="AB186" s="70"/>
      <c r="AC186" s="70" t="str">
        <f t="shared" si="31"/>
        <v>---</v>
      </c>
      <c r="AD186" s="70" t="str">
        <f>IFERROR(P186/#REF!-1,"---")</f>
        <v>---</v>
      </c>
      <c r="AE186" s="70" t="str">
        <f>IFERROR(#REF!/#REF!-1,"---")</f>
        <v>---</v>
      </c>
      <c r="AF186" s="70" t="str">
        <f>IFERROR(Q186/#REF!-1,"---")</f>
        <v>---</v>
      </c>
      <c r="AG186" s="70" t="str">
        <f>IFERROR(#REF!/#REF!-1,"---")</f>
        <v>---</v>
      </c>
      <c r="AH186" s="70" t="str">
        <f>IFERROR(#REF!/AA186-1,"---")</f>
        <v>---</v>
      </c>
      <c r="AI186" s="71" t="str">
        <f t="shared" si="32"/>
        <v>---</v>
      </c>
    </row>
    <row r="187" spans="1:35" ht="30" customHeight="1" x14ac:dyDescent="0.3">
      <c r="A187" s="123">
        <f t="shared" si="25"/>
        <v>183</v>
      </c>
      <c r="B187" s="140">
        <f>INDEX('PEER GROUP'!B:B,MATCH($A187,'PEER GROUP'!$A:$A,0))</f>
        <v>0</v>
      </c>
      <c r="C187" s="83">
        <f>INDEX('PEER GROUP'!C:C,MATCH($A187,'PEER GROUP'!$A:$A,0))</f>
        <v>0</v>
      </c>
      <c r="D187" s="83">
        <f>INDEX('PEER GROUP'!D:D,MATCH($A187,'PEER GROUP'!$A:$A,0))</f>
        <v>0</v>
      </c>
      <c r="E187" s="83">
        <f>INDEX('PEER GROUP'!E:E,MATCH(A187,'PEER GROUP'!$A:$A,0))</f>
        <v>0</v>
      </c>
      <c r="F187" s="84">
        <f>INDEX('PEER GROUP'!F:F,MATCH($A187,'PEER GROUP'!$A:$A,0))</f>
        <v>0</v>
      </c>
      <c r="G187" s="84">
        <f>INDEX('PEER GROUP'!G:G,MATCH($A187,'PEER GROUP'!$A:$A,0))</f>
        <v>0</v>
      </c>
      <c r="H187" s="85"/>
      <c r="I187" s="85"/>
      <c r="J187" s="70">
        <f>INDEX('PEER GROUP'!K:K,MATCH($A187,'PEER GROUP'!$A:$A,0))</f>
        <v>0</v>
      </c>
      <c r="K187" s="70">
        <f>INDEX('PEER GROUP'!L:L,MATCH($A187,'PEER GROUP'!$A:$A,0))</f>
        <v>0</v>
      </c>
      <c r="L187" s="81">
        <f>INDEX('PEER GROUP'!N:N,MATCH($A187,'PEER GROUP'!$A:$A,0))</f>
        <v>0</v>
      </c>
      <c r="M187" s="118"/>
      <c r="N187" s="115"/>
      <c r="O187" s="117"/>
      <c r="P187" s="87"/>
      <c r="Q187" s="87"/>
      <c r="R187" s="87">
        <f t="shared" si="26"/>
        <v>0</v>
      </c>
      <c r="S187" s="113">
        <f t="shared" si="24"/>
        <v>36.913096727263202</v>
      </c>
      <c r="T187" s="69">
        <f t="shared" si="27"/>
        <v>0</v>
      </c>
      <c r="U187" s="70">
        <f t="shared" si="28"/>
        <v>0</v>
      </c>
      <c r="V187" s="70">
        <f t="shared" si="29"/>
        <v>0</v>
      </c>
      <c r="W187" s="71">
        <f t="shared" si="30"/>
        <v>0</v>
      </c>
      <c r="X187" s="49"/>
      <c r="Y187" s="151"/>
      <c r="Z187" s="69"/>
      <c r="AA187" s="70"/>
      <c r="AB187" s="70"/>
      <c r="AC187" s="70" t="str">
        <f t="shared" si="31"/>
        <v>---</v>
      </c>
      <c r="AD187" s="70" t="str">
        <f>IFERROR(P187/#REF!-1,"---")</f>
        <v>---</v>
      </c>
      <c r="AE187" s="70" t="str">
        <f>IFERROR(#REF!/#REF!-1,"---")</f>
        <v>---</v>
      </c>
      <c r="AF187" s="70" t="str">
        <f>IFERROR(Q187/#REF!-1,"---")</f>
        <v>---</v>
      </c>
      <c r="AG187" s="70" t="str">
        <f>IFERROR(#REF!/#REF!-1,"---")</f>
        <v>---</v>
      </c>
      <c r="AH187" s="70" t="str">
        <f>IFERROR(#REF!/AA187-1,"---")</f>
        <v>---</v>
      </c>
      <c r="AI187" s="71" t="str">
        <f t="shared" si="32"/>
        <v>---</v>
      </c>
    </row>
    <row r="188" spans="1:35" ht="30" customHeight="1" x14ac:dyDescent="0.3">
      <c r="A188" s="123">
        <f t="shared" si="25"/>
        <v>184</v>
      </c>
      <c r="B188" s="140">
        <f>INDEX('PEER GROUP'!B:B,MATCH($A188,'PEER GROUP'!$A:$A,0))</f>
        <v>0</v>
      </c>
      <c r="C188" s="83">
        <f>INDEX('PEER GROUP'!C:C,MATCH($A188,'PEER GROUP'!$A:$A,0))</f>
        <v>0</v>
      </c>
      <c r="D188" s="83">
        <f>INDEX('PEER GROUP'!D:D,MATCH($A188,'PEER GROUP'!$A:$A,0))</f>
        <v>0</v>
      </c>
      <c r="E188" s="83">
        <f>INDEX('PEER GROUP'!E:E,MATCH(A188,'PEER GROUP'!$A:$A,0))</f>
        <v>0</v>
      </c>
      <c r="F188" s="84">
        <f>INDEX('PEER GROUP'!F:F,MATCH($A188,'PEER GROUP'!$A:$A,0))</f>
        <v>0</v>
      </c>
      <c r="G188" s="84">
        <f>INDEX('PEER GROUP'!G:G,MATCH($A188,'PEER GROUP'!$A:$A,0))</f>
        <v>0</v>
      </c>
      <c r="H188" s="85"/>
      <c r="I188" s="85"/>
      <c r="J188" s="70">
        <f>INDEX('PEER GROUP'!K:K,MATCH($A188,'PEER GROUP'!$A:$A,0))</f>
        <v>0</v>
      </c>
      <c r="K188" s="70">
        <f>INDEX('PEER GROUP'!L:L,MATCH($A188,'PEER GROUP'!$A:$A,0))</f>
        <v>0</v>
      </c>
      <c r="L188" s="81">
        <f>INDEX('PEER GROUP'!N:N,MATCH($A188,'PEER GROUP'!$A:$A,0))</f>
        <v>0</v>
      </c>
      <c r="M188" s="118"/>
      <c r="N188" s="115"/>
      <c r="O188" s="117"/>
      <c r="P188" s="87"/>
      <c r="Q188" s="87"/>
      <c r="R188" s="87">
        <f t="shared" si="26"/>
        <v>0</v>
      </c>
      <c r="S188" s="113">
        <f t="shared" si="24"/>
        <v>36.913096727263202</v>
      </c>
      <c r="T188" s="69">
        <f t="shared" si="27"/>
        <v>0</v>
      </c>
      <c r="U188" s="70">
        <f t="shared" si="28"/>
        <v>0</v>
      </c>
      <c r="V188" s="70">
        <f t="shared" si="29"/>
        <v>0</v>
      </c>
      <c r="W188" s="71">
        <f t="shared" si="30"/>
        <v>0</v>
      </c>
      <c r="X188" s="49"/>
      <c r="Y188" s="151"/>
      <c r="Z188" s="69"/>
      <c r="AA188" s="70"/>
      <c r="AB188" s="70"/>
      <c r="AC188" s="70" t="str">
        <f t="shared" si="31"/>
        <v>---</v>
      </c>
      <c r="AD188" s="70" t="str">
        <f>IFERROR(P188/#REF!-1,"---")</f>
        <v>---</v>
      </c>
      <c r="AE188" s="70" t="str">
        <f>IFERROR(#REF!/#REF!-1,"---")</f>
        <v>---</v>
      </c>
      <c r="AF188" s="70" t="str">
        <f>IFERROR(Q188/#REF!-1,"---")</f>
        <v>---</v>
      </c>
      <c r="AG188" s="70" t="str">
        <f>IFERROR(#REF!/#REF!-1,"---")</f>
        <v>---</v>
      </c>
      <c r="AH188" s="70" t="str">
        <f>IFERROR(#REF!/AA188-1,"---")</f>
        <v>---</v>
      </c>
      <c r="AI188" s="71" t="str">
        <f t="shared" si="32"/>
        <v>---</v>
      </c>
    </row>
    <row r="189" spans="1:35" ht="30" customHeight="1" x14ac:dyDescent="0.3">
      <c r="A189" s="123">
        <f t="shared" si="25"/>
        <v>185</v>
      </c>
      <c r="B189" s="140">
        <f>INDEX('PEER GROUP'!B:B,MATCH($A189,'PEER GROUP'!$A:$A,0))</f>
        <v>0</v>
      </c>
      <c r="C189" s="83">
        <f>INDEX('PEER GROUP'!C:C,MATCH($A189,'PEER GROUP'!$A:$A,0))</f>
        <v>0</v>
      </c>
      <c r="D189" s="83">
        <f>INDEX('PEER GROUP'!D:D,MATCH($A189,'PEER GROUP'!$A:$A,0))</f>
        <v>0</v>
      </c>
      <c r="E189" s="83">
        <f>INDEX('PEER GROUP'!E:E,MATCH(A189,'PEER GROUP'!$A:$A,0))</f>
        <v>0</v>
      </c>
      <c r="F189" s="84">
        <f>INDEX('PEER GROUP'!F:F,MATCH($A189,'PEER GROUP'!$A:$A,0))</f>
        <v>0</v>
      </c>
      <c r="G189" s="84">
        <f>INDEX('PEER GROUP'!G:G,MATCH($A189,'PEER GROUP'!$A:$A,0))</f>
        <v>0</v>
      </c>
      <c r="H189" s="85"/>
      <c r="I189" s="85"/>
      <c r="J189" s="70">
        <f>INDEX('PEER GROUP'!K:K,MATCH($A189,'PEER GROUP'!$A:$A,0))</f>
        <v>0</v>
      </c>
      <c r="K189" s="70">
        <f>INDEX('PEER GROUP'!L:L,MATCH($A189,'PEER GROUP'!$A:$A,0))</f>
        <v>0</v>
      </c>
      <c r="L189" s="81">
        <f>INDEX('PEER GROUP'!N:N,MATCH($A189,'PEER GROUP'!$A:$A,0))</f>
        <v>0</v>
      </c>
      <c r="M189" s="118"/>
      <c r="N189" s="115"/>
      <c r="O189" s="117"/>
      <c r="P189" s="87"/>
      <c r="Q189" s="87"/>
      <c r="R189" s="87">
        <f t="shared" si="26"/>
        <v>0</v>
      </c>
      <c r="S189" s="113">
        <f t="shared" si="24"/>
        <v>36.913096727263202</v>
      </c>
      <c r="T189" s="69">
        <f t="shared" si="27"/>
        <v>0</v>
      </c>
      <c r="U189" s="70">
        <f t="shared" si="28"/>
        <v>0</v>
      </c>
      <c r="V189" s="70">
        <f t="shared" si="29"/>
        <v>0</v>
      </c>
      <c r="W189" s="71">
        <f t="shared" si="30"/>
        <v>0</v>
      </c>
      <c r="X189" s="49"/>
      <c r="Y189" s="151"/>
      <c r="Z189" s="69"/>
      <c r="AA189" s="70"/>
      <c r="AB189" s="70"/>
      <c r="AC189" s="70" t="str">
        <f t="shared" si="31"/>
        <v>---</v>
      </c>
      <c r="AD189" s="70" t="str">
        <f>IFERROR(P189/#REF!-1,"---")</f>
        <v>---</v>
      </c>
      <c r="AE189" s="70" t="str">
        <f>IFERROR(#REF!/#REF!-1,"---")</f>
        <v>---</v>
      </c>
      <c r="AF189" s="70" t="str">
        <f>IFERROR(Q189/#REF!-1,"---")</f>
        <v>---</v>
      </c>
      <c r="AG189" s="70" t="str">
        <f>IFERROR(#REF!/#REF!-1,"---")</f>
        <v>---</v>
      </c>
      <c r="AH189" s="70" t="str">
        <f>IFERROR(#REF!/AA189-1,"---")</f>
        <v>---</v>
      </c>
      <c r="AI189" s="71" t="str">
        <f t="shared" si="32"/>
        <v>---</v>
      </c>
    </row>
    <row r="190" spans="1:35" ht="30" customHeight="1" x14ac:dyDescent="0.3">
      <c r="A190" s="123">
        <f t="shared" si="25"/>
        <v>186</v>
      </c>
      <c r="B190" s="140">
        <f>INDEX('PEER GROUP'!B:B,MATCH($A190,'PEER GROUP'!$A:$A,0))</f>
        <v>0</v>
      </c>
      <c r="C190" s="83">
        <f>INDEX('PEER GROUP'!C:C,MATCH($A190,'PEER GROUP'!$A:$A,0))</f>
        <v>0</v>
      </c>
      <c r="D190" s="83">
        <f>INDEX('PEER GROUP'!D:D,MATCH($A190,'PEER GROUP'!$A:$A,0))</f>
        <v>0</v>
      </c>
      <c r="E190" s="83">
        <f>INDEX('PEER GROUP'!E:E,MATCH(A190,'PEER GROUP'!$A:$A,0))</f>
        <v>0</v>
      </c>
      <c r="F190" s="84">
        <f>INDEX('PEER GROUP'!F:F,MATCH($A190,'PEER GROUP'!$A:$A,0))</f>
        <v>0</v>
      </c>
      <c r="G190" s="84">
        <f>INDEX('PEER GROUP'!G:G,MATCH($A190,'PEER GROUP'!$A:$A,0))</f>
        <v>0</v>
      </c>
      <c r="H190" s="85"/>
      <c r="I190" s="85"/>
      <c r="J190" s="70">
        <f>INDEX('PEER GROUP'!K:K,MATCH($A190,'PEER GROUP'!$A:$A,0))</f>
        <v>0</v>
      </c>
      <c r="K190" s="70">
        <f>INDEX('PEER GROUP'!L:L,MATCH($A190,'PEER GROUP'!$A:$A,0))</f>
        <v>0</v>
      </c>
      <c r="L190" s="81">
        <f>INDEX('PEER GROUP'!N:N,MATCH($A190,'PEER GROUP'!$A:$A,0))</f>
        <v>0</v>
      </c>
      <c r="M190" s="118"/>
      <c r="N190" s="115"/>
      <c r="O190" s="117"/>
      <c r="P190" s="87"/>
      <c r="Q190" s="87"/>
      <c r="R190" s="87">
        <f t="shared" si="26"/>
        <v>0</v>
      </c>
      <c r="S190" s="113">
        <f t="shared" si="24"/>
        <v>36.913096727263202</v>
      </c>
      <c r="T190" s="69">
        <f t="shared" si="27"/>
        <v>0</v>
      </c>
      <c r="U190" s="70">
        <f t="shared" si="28"/>
        <v>0</v>
      </c>
      <c r="V190" s="70">
        <f t="shared" si="29"/>
        <v>0</v>
      </c>
      <c r="W190" s="71">
        <f t="shared" si="30"/>
        <v>0</v>
      </c>
      <c r="X190" s="49"/>
      <c r="Y190" s="151"/>
      <c r="Z190" s="69"/>
      <c r="AA190" s="70"/>
      <c r="AB190" s="70"/>
      <c r="AC190" s="70" t="str">
        <f t="shared" si="31"/>
        <v>---</v>
      </c>
      <c r="AD190" s="70" t="str">
        <f>IFERROR(P190/#REF!-1,"---")</f>
        <v>---</v>
      </c>
      <c r="AE190" s="70" t="str">
        <f>IFERROR(#REF!/#REF!-1,"---")</f>
        <v>---</v>
      </c>
      <c r="AF190" s="70" t="str">
        <f>IFERROR(Q190/#REF!-1,"---")</f>
        <v>---</v>
      </c>
      <c r="AG190" s="70" t="str">
        <f>IFERROR(#REF!/#REF!-1,"---")</f>
        <v>---</v>
      </c>
      <c r="AH190" s="70" t="str">
        <f>IFERROR(#REF!/AA190-1,"---")</f>
        <v>---</v>
      </c>
      <c r="AI190" s="71" t="str">
        <f t="shared" si="32"/>
        <v>---</v>
      </c>
    </row>
    <row r="191" spans="1:35" ht="30" customHeight="1" x14ac:dyDescent="0.3">
      <c r="A191" s="123">
        <f t="shared" si="25"/>
        <v>187</v>
      </c>
      <c r="B191" s="140">
        <f>INDEX('PEER GROUP'!B:B,MATCH($A191,'PEER GROUP'!$A:$A,0))</f>
        <v>0</v>
      </c>
      <c r="C191" s="83">
        <f>INDEX('PEER GROUP'!C:C,MATCH($A191,'PEER GROUP'!$A:$A,0))</f>
        <v>0</v>
      </c>
      <c r="D191" s="83">
        <f>INDEX('PEER GROUP'!D:D,MATCH($A191,'PEER GROUP'!$A:$A,0))</f>
        <v>0</v>
      </c>
      <c r="E191" s="83">
        <f>INDEX('PEER GROUP'!E:E,MATCH(A191,'PEER GROUP'!$A:$A,0))</f>
        <v>0</v>
      </c>
      <c r="F191" s="84">
        <f>INDEX('PEER GROUP'!F:F,MATCH($A191,'PEER GROUP'!$A:$A,0))</f>
        <v>0</v>
      </c>
      <c r="G191" s="84">
        <f>INDEX('PEER GROUP'!G:G,MATCH($A191,'PEER GROUP'!$A:$A,0))</f>
        <v>0</v>
      </c>
      <c r="H191" s="85"/>
      <c r="I191" s="85"/>
      <c r="J191" s="70">
        <f>INDEX('PEER GROUP'!K:K,MATCH($A191,'PEER GROUP'!$A:$A,0))</f>
        <v>0</v>
      </c>
      <c r="K191" s="70">
        <f>INDEX('PEER GROUP'!L:L,MATCH($A191,'PEER GROUP'!$A:$A,0))</f>
        <v>0</v>
      </c>
      <c r="L191" s="81">
        <f>INDEX('PEER GROUP'!N:N,MATCH($A191,'PEER GROUP'!$A:$A,0))</f>
        <v>0</v>
      </c>
      <c r="M191" s="118"/>
      <c r="N191" s="115"/>
      <c r="O191" s="117"/>
      <c r="P191" s="87"/>
      <c r="Q191" s="87"/>
      <c r="R191" s="87">
        <f t="shared" si="26"/>
        <v>0</v>
      </c>
      <c r="S191" s="113">
        <f t="shared" si="24"/>
        <v>36.913096727263202</v>
      </c>
      <c r="T191" s="69">
        <f t="shared" si="27"/>
        <v>0</v>
      </c>
      <c r="U191" s="70">
        <f t="shared" si="28"/>
        <v>0</v>
      </c>
      <c r="V191" s="70">
        <f t="shared" si="29"/>
        <v>0</v>
      </c>
      <c r="W191" s="71">
        <f t="shared" si="30"/>
        <v>0</v>
      </c>
      <c r="X191" s="49"/>
      <c r="Y191" s="151"/>
      <c r="Z191" s="69"/>
      <c r="AA191" s="70"/>
      <c r="AB191" s="70"/>
      <c r="AC191" s="70" t="str">
        <f t="shared" si="31"/>
        <v>---</v>
      </c>
      <c r="AD191" s="70" t="str">
        <f>IFERROR(P191/#REF!-1,"---")</f>
        <v>---</v>
      </c>
      <c r="AE191" s="70" t="str">
        <f>IFERROR(#REF!/#REF!-1,"---")</f>
        <v>---</v>
      </c>
      <c r="AF191" s="70" t="str">
        <f>IFERROR(Q191/#REF!-1,"---")</f>
        <v>---</v>
      </c>
      <c r="AG191" s="70" t="str">
        <f>IFERROR(#REF!/#REF!-1,"---")</f>
        <v>---</v>
      </c>
      <c r="AH191" s="70" t="str">
        <f>IFERROR(#REF!/AA191-1,"---")</f>
        <v>---</v>
      </c>
      <c r="AI191" s="71" t="str">
        <f t="shared" si="32"/>
        <v>---</v>
      </c>
    </row>
    <row r="192" spans="1:35" ht="30" customHeight="1" x14ac:dyDescent="0.3">
      <c r="A192" s="123">
        <f t="shared" si="25"/>
        <v>188</v>
      </c>
      <c r="B192" s="140">
        <f>INDEX('PEER GROUP'!B:B,MATCH($A192,'PEER GROUP'!$A:$A,0))</f>
        <v>0</v>
      </c>
      <c r="C192" s="83">
        <f>INDEX('PEER GROUP'!C:C,MATCH($A192,'PEER GROUP'!$A:$A,0))</f>
        <v>0</v>
      </c>
      <c r="D192" s="83">
        <f>INDEX('PEER GROUP'!D:D,MATCH($A192,'PEER GROUP'!$A:$A,0))</f>
        <v>0</v>
      </c>
      <c r="E192" s="83">
        <f>INDEX('PEER GROUP'!E:E,MATCH(A192,'PEER GROUP'!$A:$A,0))</f>
        <v>0</v>
      </c>
      <c r="F192" s="84">
        <f>INDEX('PEER GROUP'!F:F,MATCH($A192,'PEER GROUP'!$A:$A,0))</f>
        <v>0</v>
      </c>
      <c r="G192" s="84">
        <f>INDEX('PEER GROUP'!G:G,MATCH($A192,'PEER GROUP'!$A:$A,0))</f>
        <v>0</v>
      </c>
      <c r="H192" s="85"/>
      <c r="I192" s="85"/>
      <c r="J192" s="70">
        <f>INDEX('PEER GROUP'!K:K,MATCH($A192,'PEER GROUP'!$A:$A,0))</f>
        <v>0</v>
      </c>
      <c r="K192" s="70">
        <f>INDEX('PEER GROUP'!L:L,MATCH($A192,'PEER GROUP'!$A:$A,0))</f>
        <v>0</v>
      </c>
      <c r="L192" s="81">
        <f>INDEX('PEER GROUP'!N:N,MATCH($A192,'PEER GROUP'!$A:$A,0))</f>
        <v>0</v>
      </c>
      <c r="M192" s="118"/>
      <c r="N192" s="115"/>
      <c r="O192" s="117"/>
      <c r="P192" s="87"/>
      <c r="Q192" s="87"/>
      <c r="R192" s="87">
        <f t="shared" si="26"/>
        <v>0</v>
      </c>
      <c r="S192" s="113">
        <f t="shared" si="24"/>
        <v>36.913096727263202</v>
      </c>
      <c r="T192" s="69">
        <f t="shared" si="27"/>
        <v>0</v>
      </c>
      <c r="U192" s="70">
        <f t="shared" si="28"/>
        <v>0</v>
      </c>
      <c r="V192" s="70">
        <f t="shared" si="29"/>
        <v>0</v>
      </c>
      <c r="W192" s="71">
        <f t="shared" si="30"/>
        <v>0</v>
      </c>
      <c r="X192" s="49"/>
      <c r="Y192" s="151"/>
      <c r="Z192" s="69"/>
      <c r="AA192" s="70"/>
      <c r="AB192" s="70"/>
      <c r="AC192" s="70" t="str">
        <f t="shared" si="31"/>
        <v>---</v>
      </c>
      <c r="AD192" s="70" t="str">
        <f>IFERROR(P192/#REF!-1,"---")</f>
        <v>---</v>
      </c>
      <c r="AE192" s="70" t="str">
        <f>IFERROR(#REF!/#REF!-1,"---")</f>
        <v>---</v>
      </c>
      <c r="AF192" s="70" t="str">
        <f>IFERROR(Q192/#REF!-1,"---")</f>
        <v>---</v>
      </c>
      <c r="AG192" s="70" t="str">
        <f>IFERROR(#REF!/#REF!-1,"---")</f>
        <v>---</v>
      </c>
      <c r="AH192" s="70" t="str">
        <f>IFERROR(#REF!/AA192-1,"---")</f>
        <v>---</v>
      </c>
      <c r="AI192" s="71" t="str">
        <f t="shared" si="32"/>
        <v>---</v>
      </c>
    </row>
    <row r="193" spans="1:35" ht="30" customHeight="1" x14ac:dyDescent="0.3">
      <c r="A193" s="123">
        <f t="shared" si="25"/>
        <v>189</v>
      </c>
      <c r="B193" s="140">
        <f>INDEX('PEER GROUP'!B:B,MATCH($A193,'PEER GROUP'!$A:$A,0))</f>
        <v>0</v>
      </c>
      <c r="C193" s="83">
        <f>INDEX('PEER GROUP'!C:C,MATCH($A193,'PEER GROUP'!$A:$A,0))</f>
        <v>0</v>
      </c>
      <c r="D193" s="83">
        <f>INDEX('PEER GROUP'!D:D,MATCH($A193,'PEER GROUP'!$A:$A,0))</f>
        <v>0</v>
      </c>
      <c r="E193" s="83">
        <f>INDEX('PEER GROUP'!E:E,MATCH(A193,'PEER GROUP'!$A:$A,0))</f>
        <v>0</v>
      </c>
      <c r="F193" s="84">
        <f>INDEX('PEER GROUP'!F:F,MATCH($A193,'PEER GROUP'!$A:$A,0))</f>
        <v>0</v>
      </c>
      <c r="G193" s="84">
        <f>INDEX('PEER GROUP'!G:G,MATCH($A193,'PEER GROUP'!$A:$A,0))</f>
        <v>0</v>
      </c>
      <c r="H193" s="85"/>
      <c r="I193" s="85"/>
      <c r="J193" s="70">
        <f>INDEX('PEER GROUP'!K:K,MATCH($A193,'PEER GROUP'!$A:$A,0))</f>
        <v>0</v>
      </c>
      <c r="K193" s="70">
        <f>INDEX('PEER GROUP'!L:L,MATCH($A193,'PEER GROUP'!$A:$A,0))</f>
        <v>0</v>
      </c>
      <c r="L193" s="81">
        <f>INDEX('PEER GROUP'!N:N,MATCH($A193,'PEER GROUP'!$A:$A,0))</f>
        <v>0</v>
      </c>
      <c r="M193" s="118"/>
      <c r="N193" s="115"/>
      <c r="O193" s="117"/>
      <c r="P193" s="87"/>
      <c r="Q193" s="87"/>
      <c r="R193" s="87">
        <f t="shared" si="26"/>
        <v>0</v>
      </c>
      <c r="S193" s="113">
        <f t="shared" si="24"/>
        <v>36.913096727263202</v>
      </c>
      <c r="T193" s="69">
        <f t="shared" si="27"/>
        <v>0</v>
      </c>
      <c r="U193" s="70">
        <f t="shared" si="28"/>
        <v>0</v>
      </c>
      <c r="V193" s="70">
        <f t="shared" si="29"/>
        <v>0</v>
      </c>
      <c r="W193" s="71">
        <f t="shared" si="30"/>
        <v>0</v>
      </c>
      <c r="X193" s="49"/>
      <c r="Y193" s="151"/>
      <c r="Z193" s="69"/>
      <c r="AA193" s="70"/>
      <c r="AB193" s="70"/>
      <c r="AC193" s="70" t="str">
        <f t="shared" si="31"/>
        <v>---</v>
      </c>
      <c r="AD193" s="70" t="str">
        <f>IFERROR(P193/#REF!-1,"---")</f>
        <v>---</v>
      </c>
      <c r="AE193" s="70" t="str">
        <f>IFERROR(#REF!/#REF!-1,"---")</f>
        <v>---</v>
      </c>
      <c r="AF193" s="70" t="str">
        <f>IFERROR(Q193/#REF!-1,"---")</f>
        <v>---</v>
      </c>
      <c r="AG193" s="70" t="str">
        <f>IFERROR(#REF!/#REF!-1,"---")</f>
        <v>---</v>
      </c>
      <c r="AH193" s="70" t="str">
        <f>IFERROR(#REF!/AA193-1,"---")</f>
        <v>---</v>
      </c>
      <c r="AI193" s="71" t="str">
        <f t="shared" si="32"/>
        <v>---</v>
      </c>
    </row>
    <row r="194" spans="1:35" ht="30" customHeight="1" x14ac:dyDescent="0.3">
      <c r="A194" s="123">
        <f t="shared" si="25"/>
        <v>190</v>
      </c>
      <c r="B194" s="140">
        <f>INDEX('PEER GROUP'!B:B,MATCH($A194,'PEER GROUP'!$A:$A,0))</f>
        <v>0</v>
      </c>
      <c r="C194" s="83">
        <f>INDEX('PEER GROUP'!C:C,MATCH($A194,'PEER GROUP'!$A:$A,0))</f>
        <v>0</v>
      </c>
      <c r="D194" s="83">
        <f>INDEX('PEER GROUP'!D:D,MATCH($A194,'PEER GROUP'!$A:$A,0))</f>
        <v>0</v>
      </c>
      <c r="E194" s="83">
        <f>INDEX('PEER GROUP'!E:E,MATCH(A194,'PEER GROUP'!$A:$A,0))</f>
        <v>0</v>
      </c>
      <c r="F194" s="84">
        <f>INDEX('PEER GROUP'!F:F,MATCH($A194,'PEER GROUP'!$A:$A,0))</f>
        <v>0</v>
      </c>
      <c r="G194" s="84">
        <f>INDEX('PEER GROUP'!G:G,MATCH($A194,'PEER GROUP'!$A:$A,0))</f>
        <v>0</v>
      </c>
      <c r="H194" s="85"/>
      <c r="I194" s="85"/>
      <c r="J194" s="70">
        <f>INDEX('PEER GROUP'!K:K,MATCH($A194,'PEER GROUP'!$A:$A,0))</f>
        <v>0</v>
      </c>
      <c r="K194" s="70">
        <f>INDEX('PEER GROUP'!L:L,MATCH($A194,'PEER GROUP'!$A:$A,0))</f>
        <v>0</v>
      </c>
      <c r="L194" s="81">
        <f>INDEX('PEER GROUP'!N:N,MATCH($A194,'PEER GROUP'!$A:$A,0))</f>
        <v>0</v>
      </c>
      <c r="M194" s="118"/>
      <c r="N194" s="115"/>
      <c r="O194" s="117"/>
      <c r="P194" s="87"/>
      <c r="Q194" s="87"/>
      <c r="R194" s="87">
        <f t="shared" si="26"/>
        <v>0</v>
      </c>
      <c r="S194" s="113">
        <f t="shared" si="24"/>
        <v>36.913096727263202</v>
      </c>
      <c r="T194" s="69">
        <f t="shared" si="27"/>
        <v>0</v>
      </c>
      <c r="U194" s="70">
        <f t="shared" si="28"/>
        <v>0</v>
      </c>
      <c r="V194" s="70">
        <f t="shared" si="29"/>
        <v>0</v>
      </c>
      <c r="W194" s="71">
        <f t="shared" si="30"/>
        <v>0</v>
      </c>
      <c r="X194" s="49"/>
      <c r="Y194" s="151"/>
      <c r="Z194" s="69"/>
      <c r="AA194" s="70"/>
      <c r="AB194" s="70"/>
      <c r="AC194" s="70" t="str">
        <f t="shared" si="31"/>
        <v>---</v>
      </c>
      <c r="AD194" s="70" t="str">
        <f>IFERROR(P194/#REF!-1,"---")</f>
        <v>---</v>
      </c>
      <c r="AE194" s="70" t="str">
        <f>IFERROR(#REF!/#REF!-1,"---")</f>
        <v>---</v>
      </c>
      <c r="AF194" s="70" t="str">
        <f>IFERROR(Q194/#REF!-1,"---")</f>
        <v>---</v>
      </c>
      <c r="AG194" s="70" t="str">
        <f>IFERROR(#REF!/#REF!-1,"---")</f>
        <v>---</v>
      </c>
      <c r="AH194" s="70" t="str">
        <f>IFERROR(#REF!/AA194-1,"---")</f>
        <v>---</v>
      </c>
      <c r="AI194" s="71" t="str">
        <f t="shared" si="32"/>
        <v>---</v>
      </c>
    </row>
    <row r="195" spans="1:35" ht="30" customHeight="1" x14ac:dyDescent="0.3">
      <c r="A195" s="123">
        <f t="shared" si="25"/>
        <v>191</v>
      </c>
      <c r="B195" s="140">
        <f>INDEX('PEER GROUP'!B:B,MATCH($A195,'PEER GROUP'!$A:$A,0))</f>
        <v>0</v>
      </c>
      <c r="C195" s="83">
        <f>INDEX('PEER GROUP'!C:C,MATCH($A195,'PEER GROUP'!$A:$A,0))</f>
        <v>0</v>
      </c>
      <c r="D195" s="83">
        <f>INDEX('PEER GROUP'!D:D,MATCH($A195,'PEER GROUP'!$A:$A,0))</f>
        <v>0</v>
      </c>
      <c r="E195" s="83">
        <f>INDEX('PEER GROUP'!E:E,MATCH(A195,'PEER GROUP'!$A:$A,0))</f>
        <v>0</v>
      </c>
      <c r="F195" s="84">
        <f>INDEX('PEER GROUP'!F:F,MATCH($A195,'PEER GROUP'!$A:$A,0))</f>
        <v>0</v>
      </c>
      <c r="G195" s="84">
        <f>INDEX('PEER GROUP'!G:G,MATCH($A195,'PEER GROUP'!$A:$A,0))</f>
        <v>0</v>
      </c>
      <c r="H195" s="85"/>
      <c r="I195" s="85"/>
      <c r="J195" s="70">
        <f>INDEX('PEER GROUP'!K:K,MATCH($A195,'PEER GROUP'!$A:$A,0))</f>
        <v>0</v>
      </c>
      <c r="K195" s="70">
        <f>INDEX('PEER GROUP'!L:L,MATCH($A195,'PEER GROUP'!$A:$A,0))</f>
        <v>0</v>
      </c>
      <c r="L195" s="81">
        <f>INDEX('PEER GROUP'!N:N,MATCH($A195,'PEER GROUP'!$A:$A,0))</f>
        <v>0</v>
      </c>
      <c r="M195" s="118"/>
      <c r="N195" s="115"/>
      <c r="O195" s="117"/>
      <c r="P195" s="87"/>
      <c r="Q195" s="87"/>
      <c r="R195" s="87">
        <f t="shared" si="26"/>
        <v>0</v>
      </c>
      <c r="S195" s="113">
        <f t="shared" si="24"/>
        <v>36.913096727263202</v>
      </c>
      <c r="T195" s="69">
        <f t="shared" si="27"/>
        <v>0</v>
      </c>
      <c r="U195" s="70">
        <f t="shared" si="28"/>
        <v>0</v>
      </c>
      <c r="V195" s="70">
        <f t="shared" si="29"/>
        <v>0</v>
      </c>
      <c r="W195" s="71">
        <f t="shared" si="30"/>
        <v>0</v>
      </c>
      <c r="X195" s="49"/>
      <c r="Y195" s="151"/>
      <c r="Z195" s="69"/>
      <c r="AA195" s="70"/>
      <c r="AB195" s="70"/>
      <c r="AC195" s="70" t="str">
        <f t="shared" si="31"/>
        <v>---</v>
      </c>
      <c r="AD195" s="70" t="str">
        <f>IFERROR(P195/#REF!-1,"---")</f>
        <v>---</v>
      </c>
      <c r="AE195" s="70" t="str">
        <f>IFERROR(#REF!/#REF!-1,"---")</f>
        <v>---</v>
      </c>
      <c r="AF195" s="70" t="str">
        <f>IFERROR(Q195/#REF!-1,"---")</f>
        <v>---</v>
      </c>
      <c r="AG195" s="70" t="str">
        <f>IFERROR(#REF!/#REF!-1,"---")</f>
        <v>---</v>
      </c>
      <c r="AH195" s="70" t="str">
        <f>IFERROR(#REF!/AA195-1,"---")</f>
        <v>---</v>
      </c>
      <c r="AI195" s="71" t="str">
        <f t="shared" si="32"/>
        <v>---</v>
      </c>
    </row>
    <row r="196" spans="1:35" ht="30" customHeight="1" x14ac:dyDescent="0.3">
      <c r="A196" s="123">
        <f t="shared" si="25"/>
        <v>192</v>
      </c>
      <c r="B196" s="140">
        <f>INDEX('PEER GROUP'!B:B,MATCH($A196,'PEER GROUP'!$A:$A,0))</f>
        <v>0</v>
      </c>
      <c r="C196" s="83">
        <f>INDEX('PEER GROUP'!C:C,MATCH($A196,'PEER GROUP'!$A:$A,0))</f>
        <v>0</v>
      </c>
      <c r="D196" s="83">
        <f>INDEX('PEER GROUP'!D:D,MATCH($A196,'PEER GROUP'!$A:$A,0))</f>
        <v>0</v>
      </c>
      <c r="E196" s="83">
        <f>INDEX('PEER GROUP'!E:E,MATCH(A196,'PEER GROUP'!$A:$A,0))</f>
        <v>0</v>
      </c>
      <c r="F196" s="84">
        <f>INDEX('PEER GROUP'!F:F,MATCH($A196,'PEER GROUP'!$A:$A,0))</f>
        <v>0</v>
      </c>
      <c r="G196" s="84">
        <f>INDEX('PEER GROUP'!G:G,MATCH($A196,'PEER GROUP'!$A:$A,0))</f>
        <v>0</v>
      </c>
      <c r="H196" s="85"/>
      <c r="I196" s="85"/>
      <c r="J196" s="70">
        <f>INDEX('PEER GROUP'!K:K,MATCH($A196,'PEER GROUP'!$A:$A,0))</f>
        <v>0</v>
      </c>
      <c r="K196" s="70">
        <f>INDEX('PEER GROUP'!L:L,MATCH($A196,'PEER GROUP'!$A:$A,0))</f>
        <v>0</v>
      </c>
      <c r="L196" s="81">
        <f>INDEX('PEER GROUP'!N:N,MATCH($A196,'PEER GROUP'!$A:$A,0))</f>
        <v>0</v>
      </c>
      <c r="M196" s="118"/>
      <c r="N196" s="115"/>
      <c r="O196" s="117"/>
      <c r="P196" s="87"/>
      <c r="Q196" s="87"/>
      <c r="R196" s="87">
        <f t="shared" si="26"/>
        <v>0</v>
      </c>
      <c r="S196" s="113">
        <f t="shared" si="24"/>
        <v>36.913096727263202</v>
      </c>
      <c r="T196" s="69">
        <f t="shared" si="27"/>
        <v>0</v>
      </c>
      <c r="U196" s="70">
        <f t="shared" si="28"/>
        <v>0</v>
      </c>
      <c r="V196" s="70">
        <f t="shared" si="29"/>
        <v>0</v>
      </c>
      <c r="W196" s="71">
        <f t="shared" si="30"/>
        <v>0</v>
      </c>
      <c r="X196" s="49"/>
      <c r="Y196" s="151"/>
      <c r="Z196" s="69"/>
      <c r="AA196" s="70"/>
      <c r="AB196" s="70"/>
      <c r="AC196" s="70" t="str">
        <f t="shared" si="31"/>
        <v>---</v>
      </c>
      <c r="AD196" s="70" t="str">
        <f>IFERROR(P196/#REF!-1,"---")</f>
        <v>---</v>
      </c>
      <c r="AE196" s="70" t="str">
        <f>IFERROR(#REF!/#REF!-1,"---")</f>
        <v>---</v>
      </c>
      <c r="AF196" s="70" t="str">
        <f>IFERROR(Q196/#REF!-1,"---")</f>
        <v>---</v>
      </c>
      <c r="AG196" s="70" t="str">
        <f>IFERROR(#REF!/#REF!-1,"---")</f>
        <v>---</v>
      </c>
      <c r="AH196" s="70" t="str">
        <f>IFERROR(#REF!/AA196-1,"---")</f>
        <v>---</v>
      </c>
      <c r="AI196" s="71" t="str">
        <f t="shared" si="32"/>
        <v>---</v>
      </c>
    </row>
    <row r="197" spans="1:35" ht="30" customHeight="1" x14ac:dyDescent="0.3">
      <c r="A197" s="123">
        <f t="shared" si="25"/>
        <v>193</v>
      </c>
      <c r="B197" s="140">
        <f>INDEX('PEER GROUP'!B:B,MATCH($A197,'PEER GROUP'!$A:$A,0))</f>
        <v>0</v>
      </c>
      <c r="C197" s="83">
        <f>INDEX('PEER GROUP'!C:C,MATCH($A197,'PEER GROUP'!$A:$A,0))</f>
        <v>0</v>
      </c>
      <c r="D197" s="83">
        <f>INDEX('PEER GROUP'!D:D,MATCH($A197,'PEER GROUP'!$A:$A,0))</f>
        <v>0</v>
      </c>
      <c r="E197" s="83">
        <f>INDEX('PEER GROUP'!E:E,MATCH(A197,'PEER GROUP'!$A:$A,0))</f>
        <v>0</v>
      </c>
      <c r="F197" s="84">
        <f>INDEX('PEER GROUP'!F:F,MATCH($A197,'PEER GROUP'!$A:$A,0))</f>
        <v>0</v>
      </c>
      <c r="G197" s="84">
        <f>INDEX('PEER GROUP'!G:G,MATCH($A197,'PEER GROUP'!$A:$A,0))</f>
        <v>0</v>
      </c>
      <c r="H197" s="85"/>
      <c r="I197" s="85"/>
      <c r="J197" s="70">
        <f>INDEX('PEER GROUP'!K:K,MATCH($A197,'PEER GROUP'!$A:$A,0))</f>
        <v>0</v>
      </c>
      <c r="K197" s="70">
        <f>INDEX('PEER GROUP'!L:L,MATCH($A197,'PEER GROUP'!$A:$A,0))</f>
        <v>0</v>
      </c>
      <c r="L197" s="81">
        <f>INDEX('PEER GROUP'!N:N,MATCH($A197,'PEER GROUP'!$A:$A,0))</f>
        <v>0</v>
      </c>
      <c r="M197" s="118"/>
      <c r="N197" s="115"/>
      <c r="O197" s="117"/>
      <c r="P197" s="87"/>
      <c r="Q197" s="87"/>
      <c r="R197" s="87">
        <f t="shared" si="26"/>
        <v>0</v>
      </c>
      <c r="S197" s="113">
        <f t="shared" si="24"/>
        <v>36.913096727263202</v>
      </c>
      <c r="T197" s="69">
        <f t="shared" si="27"/>
        <v>0</v>
      </c>
      <c r="U197" s="70">
        <f t="shared" si="28"/>
        <v>0</v>
      </c>
      <c r="V197" s="70">
        <f t="shared" si="29"/>
        <v>0</v>
      </c>
      <c r="W197" s="71">
        <f t="shared" si="30"/>
        <v>0</v>
      </c>
      <c r="X197" s="49"/>
      <c r="Y197" s="151"/>
      <c r="Z197" s="69"/>
      <c r="AA197" s="70"/>
      <c r="AB197" s="70"/>
      <c r="AC197" s="70" t="str">
        <f t="shared" si="31"/>
        <v>---</v>
      </c>
      <c r="AD197" s="70" t="str">
        <f>IFERROR(P197/#REF!-1,"---")</f>
        <v>---</v>
      </c>
      <c r="AE197" s="70" t="str">
        <f>IFERROR(#REF!/#REF!-1,"---")</f>
        <v>---</v>
      </c>
      <c r="AF197" s="70" t="str">
        <f>IFERROR(Q197/#REF!-1,"---")</f>
        <v>---</v>
      </c>
      <c r="AG197" s="70" t="str">
        <f>IFERROR(#REF!/#REF!-1,"---")</f>
        <v>---</v>
      </c>
      <c r="AH197" s="70" t="str">
        <f>IFERROR(#REF!/AA197-1,"---")</f>
        <v>---</v>
      </c>
      <c r="AI197" s="71" t="str">
        <f t="shared" si="32"/>
        <v>---</v>
      </c>
    </row>
    <row r="198" spans="1:35" ht="30" customHeight="1" x14ac:dyDescent="0.3">
      <c r="A198" s="123">
        <f t="shared" si="25"/>
        <v>194</v>
      </c>
      <c r="B198" s="140">
        <f>INDEX('PEER GROUP'!B:B,MATCH($A198,'PEER GROUP'!$A:$A,0))</f>
        <v>0</v>
      </c>
      <c r="C198" s="83">
        <f>INDEX('PEER GROUP'!C:C,MATCH($A198,'PEER GROUP'!$A:$A,0))</f>
        <v>0</v>
      </c>
      <c r="D198" s="83">
        <f>INDEX('PEER GROUP'!D:D,MATCH($A198,'PEER GROUP'!$A:$A,0))</f>
        <v>0</v>
      </c>
      <c r="E198" s="83">
        <f>INDEX('PEER GROUP'!E:E,MATCH(A198,'PEER GROUP'!$A:$A,0))</f>
        <v>0</v>
      </c>
      <c r="F198" s="84">
        <f>INDEX('PEER GROUP'!F:F,MATCH($A198,'PEER GROUP'!$A:$A,0))</f>
        <v>0</v>
      </c>
      <c r="G198" s="84">
        <f>INDEX('PEER GROUP'!G:G,MATCH($A198,'PEER GROUP'!$A:$A,0))</f>
        <v>0</v>
      </c>
      <c r="H198" s="85"/>
      <c r="I198" s="85"/>
      <c r="J198" s="70">
        <f>INDEX('PEER GROUP'!K:K,MATCH($A198,'PEER GROUP'!$A:$A,0))</f>
        <v>0</v>
      </c>
      <c r="K198" s="70">
        <f>INDEX('PEER GROUP'!L:L,MATCH($A198,'PEER GROUP'!$A:$A,0))</f>
        <v>0</v>
      </c>
      <c r="L198" s="81">
        <f>INDEX('PEER GROUP'!N:N,MATCH($A198,'PEER GROUP'!$A:$A,0))</f>
        <v>0</v>
      </c>
      <c r="M198" s="118"/>
      <c r="N198" s="115"/>
      <c r="O198" s="117"/>
      <c r="P198" s="87"/>
      <c r="Q198" s="87"/>
      <c r="R198" s="87">
        <f t="shared" si="26"/>
        <v>0</v>
      </c>
      <c r="S198" s="113">
        <f t="shared" si="24"/>
        <v>36.913096727263202</v>
      </c>
      <c r="T198" s="69">
        <f t="shared" si="27"/>
        <v>0</v>
      </c>
      <c r="U198" s="70">
        <f t="shared" si="28"/>
        <v>0</v>
      </c>
      <c r="V198" s="70">
        <f t="shared" si="29"/>
        <v>0</v>
      </c>
      <c r="W198" s="71">
        <f t="shared" si="30"/>
        <v>0</v>
      </c>
      <c r="X198" s="49"/>
      <c r="Y198" s="151"/>
      <c r="Z198" s="69"/>
      <c r="AA198" s="70"/>
      <c r="AB198" s="70"/>
      <c r="AC198" s="70" t="str">
        <f t="shared" si="31"/>
        <v>---</v>
      </c>
      <c r="AD198" s="70" t="str">
        <f>IFERROR(P198/#REF!-1,"---")</f>
        <v>---</v>
      </c>
      <c r="AE198" s="70" t="str">
        <f>IFERROR(#REF!/#REF!-1,"---")</f>
        <v>---</v>
      </c>
      <c r="AF198" s="70" t="str">
        <f>IFERROR(Q198/#REF!-1,"---")</f>
        <v>---</v>
      </c>
      <c r="AG198" s="70" t="str">
        <f>IFERROR(#REF!/#REF!-1,"---")</f>
        <v>---</v>
      </c>
      <c r="AH198" s="70" t="str">
        <f>IFERROR(#REF!/AA198-1,"---")</f>
        <v>---</v>
      </c>
      <c r="AI198" s="71" t="str">
        <f t="shared" si="32"/>
        <v>---</v>
      </c>
    </row>
    <row r="199" spans="1:35" ht="30" customHeight="1" x14ac:dyDescent="0.3">
      <c r="A199" s="123">
        <f t="shared" si="25"/>
        <v>195</v>
      </c>
      <c r="B199" s="140">
        <f>INDEX('PEER GROUP'!B:B,MATCH($A199,'PEER GROUP'!$A:$A,0))</f>
        <v>0</v>
      </c>
      <c r="C199" s="83">
        <f>INDEX('PEER GROUP'!C:C,MATCH($A199,'PEER GROUP'!$A:$A,0))</f>
        <v>0</v>
      </c>
      <c r="D199" s="83">
        <f>INDEX('PEER GROUP'!D:D,MATCH($A199,'PEER GROUP'!$A:$A,0))</f>
        <v>0</v>
      </c>
      <c r="E199" s="83">
        <f>INDEX('PEER GROUP'!E:E,MATCH(A199,'PEER GROUP'!$A:$A,0))</f>
        <v>0</v>
      </c>
      <c r="F199" s="84">
        <f>INDEX('PEER GROUP'!F:F,MATCH($A199,'PEER GROUP'!$A:$A,0))</f>
        <v>0</v>
      </c>
      <c r="G199" s="84">
        <f>INDEX('PEER GROUP'!G:G,MATCH($A199,'PEER GROUP'!$A:$A,0))</f>
        <v>0</v>
      </c>
      <c r="H199" s="85"/>
      <c r="I199" s="85"/>
      <c r="J199" s="70">
        <f>INDEX('PEER GROUP'!K:K,MATCH($A199,'PEER GROUP'!$A:$A,0))</f>
        <v>0</v>
      </c>
      <c r="K199" s="70">
        <f>INDEX('PEER GROUP'!L:L,MATCH($A199,'PEER GROUP'!$A:$A,0))</f>
        <v>0</v>
      </c>
      <c r="L199" s="81">
        <f>INDEX('PEER GROUP'!N:N,MATCH($A199,'PEER GROUP'!$A:$A,0))</f>
        <v>0</v>
      </c>
      <c r="M199" s="118"/>
      <c r="N199" s="115"/>
      <c r="O199" s="117"/>
      <c r="P199" s="87"/>
      <c r="Q199" s="87"/>
      <c r="R199" s="87">
        <f t="shared" si="26"/>
        <v>0</v>
      </c>
      <c r="S199" s="113">
        <f t="shared" si="24"/>
        <v>36.913096727263202</v>
      </c>
      <c r="T199" s="69">
        <f t="shared" si="27"/>
        <v>0</v>
      </c>
      <c r="U199" s="70">
        <f t="shared" si="28"/>
        <v>0</v>
      </c>
      <c r="V199" s="70">
        <f t="shared" si="29"/>
        <v>0</v>
      </c>
      <c r="W199" s="71">
        <f t="shared" si="30"/>
        <v>0</v>
      </c>
      <c r="X199" s="49"/>
      <c r="Y199" s="151"/>
      <c r="Z199" s="69"/>
      <c r="AA199" s="70"/>
      <c r="AB199" s="70"/>
      <c r="AC199" s="70" t="str">
        <f t="shared" si="31"/>
        <v>---</v>
      </c>
      <c r="AD199" s="70" t="str">
        <f>IFERROR(P199/#REF!-1,"---")</f>
        <v>---</v>
      </c>
      <c r="AE199" s="70" t="str">
        <f>IFERROR(#REF!/#REF!-1,"---")</f>
        <v>---</v>
      </c>
      <c r="AF199" s="70" t="str">
        <f>IFERROR(Q199/#REF!-1,"---")</f>
        <v>---</v>
      </c>
      <c r="AG199" s="70" t="str">
        <f>IFERROR(#REF!/#REF!-1,"---")</f>
        <v>---</v>
      </c>
      <c r="AH199" s="70" t="str">
        <f>IFERROR(#REF!/AA199-1,"---")</f>
        <v>---</v>
      </c>
      <c r="AI199" s="71" t="str">
        <f t="shared" si="32"/>
        <v>---</v>
      </c>
    </row>
    <row r="200" spans="1:35" ht="30" customHeight="1" x14ac:dyDescent="0.3">
      <c r="A200" s="123">
        <f t="shared" si="25"/>
        <v>196</v>
      </c>
      <c r="B200" s="140">
        <f>INDEX('PEER GROUP'!B:B,MATCH($A200,'PEER GROUP'!$A:$A,0))</f>
        <v>0</v>
      </c>
      <c r="C200" s="83">
        <f>INDEX('PEER GROUP'!C:C,MATCH($A200,'PEER GROUP'!$A:$A,0))</f>
        <v>0</v>
      </c>
      <c r="D200" s="83">
        <f>INDEX('PEER GROUP'!D:D,MATCH($A200,'PEER GROUP'!$A:$A,0))</f>
        <v>0</v>
      </c>
      <c r="E200" s="83">
        <f>INDEX('PEER GROUP'!E:E,MATCH(A200,'PEER GROUP'!$A:$A,0))</f>
        <v>0</v>
      </c>
      <c r="F200" s="84">
        <f>INDEX('PEER GROUP'!F:F,MATCH($A200,'PEER GROUP'!$A:$A,0))</f>
        <v>0</v>
      </c>
      <c r="G200" s="84">
        <f>INDEX('PEER GROUP'!G:G,MATCH($A200,'PEER GROUP'!$A:$A,0))</f>
        <v>0</v>
      </c>
      <c r="H200" s="85"/>
      <c r="I200" s="85"/>
      <c r="J200" s="70">
        <f>INDEX('PEER GROUP'!K:K,MATCH($A200,'PEER GROUP'!$A:$A,0))</f>
        <v>0</v>
      </c>
      <c r="K200" s="70">
        <f>INDEX('PEER GROUP'!L:L,MATCH($A200,'PEER GROUP'!$A:$A,0))</f>
        <v>0</v>
      </c>
      <c r="L200" s="81">
        <f>INDEX('PEER GROUP'!N:N,MATCH($A200,'PEER GROUP'!$A:$A,0))</f>
        <v>0</v>
      </c>
      <c r="M200" s="118"/>
      <c r="N200" s="115"/>
      <c r="O200" s="117"/>
      <c r="P200" s="87"/>
      <c r="Q200" s="87"/>
      <c r="R200" s="87">
        <f t="shared" si="26"/>
        <v>0</v>
      </c>
      <c r="S200" s="113">
        <f t="shared" si="24"/>
        <v>36.913096727263202</v>
      </c>
      <c r="T200" s="69">
        <f t="shared" si="27"/>
        <v>0</v>
      </c>
      <c r="U200" s="70">
        <f t="shared" si="28"/>
        <v>0</v>
      </c>
      <c r="V200" s="70">
        <f t="shared" si="29"/>
        <v>0</v>
      </c>
      <c r="W200" s="71">
        <f t="shared" si="30"/>
        <v>0</v>
      </c>
      <c r="X200" s="49"/>
      <c r="Y200" s="151"/>
      <c r="Z200" s="69"/>
      <c r="AA200" s="70"/>
      <c r="AB200" s="70"/>
      <c r="AC200" s="70" t="str">
        <f t="shared" si="31"/>
        <v>---</v>
      </c>
      <c r="AD200" s="70" t="str">
        <f>IFERROR(P200/#REF!-1,"---")</f>
        <v>---</v>
      </c>
      <c r="AE200" s="70" t="str">
        <f>IFERROR(#REF!/#REF!-1,"---")</f>
        <v>---</v>
      </c>
      <c r="AF200" s="70" t="str">
        <f>IFERROR(Q200/#REF!-1,"---")</f>
        <v>---</v>
      </c>
      <c r="AG200" s="70" t="str">
        <f>IFERROR(#REF!/#REF!-1,"---")</f>
        <v>---</v>
      </c>
      <c r="AH200" s="70" t="str">
        <f>IFERROR(#REF!/AA200-1,"---")</f>
        <v>---</v>
      </c>
      <c r="AI200" s="71" t="str">
        <f t="shared" si="32"/>
        <v>---</v>
      </c>
    </row>
    <row r="201" spans="1:35" ht="30" customHeight="1" x14ac:dyDescent="0.3">
      <c r="A201" s="123">
        <f t="shared" si="25"/>
        <v>197</v>
      </c>
      <c r="B201" s="140">
        <f>INDEX('PEER GROUP'!B:B,MATCH($A201,'PEER GROUP'!$A:$A,0))</f>
        <v>0</v>
      </c>
      <c r="C201" s="83">
        <f>INDEX('PEER GROUP'!C:C,MATCH($A201,'PEER GROUP'!$A:$A,0))</f>
        <v>0</v>
      </c>
      <c r="D201" s="83">
        <f>INDEX('PEER GROUP'!D:D,MATCH($A201,'PEER GROUP'!$A:$A,0))</f>
        <v>0</v>
      </c>
      <c r="E201" s="83">
        <f>INDEX('PEER GROUP'!E:E,MATCH(A201,'PEER GROUP'!$A:$A,0))</f>
        <v>0</v>
      </c>
      <c r="F201" s="84">
        <f>INDEX('PEER GROUP'!F:F,MATCH($A201,'PEER GROUP'!$A:$A,0))</f>
        <v>0</v>
      </c>
      <c r="G201" s="84">
        <f>INDEX('PEER GROUP'!G:G,MATCH($A201,'PEER GROUP'!$A:$A,0))</f>
        <v>0</v>
      </c>
      <c r="H201" s="85"/>
      <c r="I201" s="85"/>
      <c r="J201" s="70">
        <f>INDEX('PEER GROUP'!K:K,MATCH($A201,'PEER GROUP'!$A:$A,0))</f>
        <v>0</v>
      </c>
      <c r="K201" s="70">
        <f>INDEX('PEER GROUP'!L:L,MATCH($A201,'PEER GROUP'!$A:$A,0))</f>
        <v>0</v>
      </c>
      <c r="L201" s="81">
        <f>INDEX('PEER GROUP'!N:N,MATCH($A201,'PEER GROUP'!$A:$A,0))</f>
        <v>0</v>
      </c>
      <c r="M201" s="118"/>
      <c r="N201" s="115"/>
      <c r="O201" s="117"/>
      <c r="P201" s="87"/>
      <c r="Q201" s="87"/>
      <c r="R201" s="87">
        <f t="shared" si="26"/>
        <v>0</v>
      </c>
      <c r="S201" s="113">
        <f t="shared" si="24"/>
        <v>36.913096727263202</v>
      </c>
      <c r="T201" s="69">
        <f t="shared" si="27"/>
        <v>0</v>
      </c>
      <c r="U201" s="70">
        <f t="shared" si="28"/>
        <v>0</v>
      </c>
      <c r="V201" s="70">
        <f t="shared" si="29"/>
        <v>0</v>
      </c>
      <c r="W201" s="71">
        <f t="shared" si="30"/>
        <v>0</v>
      </c>
      <c r="X201" s="49"/>
      <c r="Y201" s="151"/>
      <c r="Z201" s="69"/>
      <c r="AA201" s="70"/>
      <c r="AB201" s="70"/>
      <c r="AC201" s="70" t="str">
        <f t="shared" si="31"/>
        <v>---</v>
      </c>
      <c r="AD201" s="70" t="str">
        <f>IFERROR(P201/#REF!-1,"---")</f>
        <v>---</v>
      </c>
      <c r="AE201" s="70" t="str">
        <f>IFERROR(#REF!/#REF!-1,"---")</f>
        <v>---</v>
      </c>
      <c r="AF201" s="70" t="str">
        <f>IFERROR(Q201/#REF!-1,"---")</f>
        <v>---</v>
      </c>
      <c r="AG201" s="70" t="str">
        <f>IFERROR(#REF!/#REF!-1,"---")</f>
        <v>---</v>
      </c>
      <c r="AH201" s="70" t="str">
        <f>IFERROR(#REF!/AA201-1,"---")</f>
        <v>---</v>
      </c>
      <c r="AI201" s="71" t="str">
        <f t="shared" si="32"/>
        <v>---</v>
      </c>
    </row>
    <row r="202" spans="1:35" ht="30" customHeight="1" x14ac:dyDescent="0.3">
      <c r="A202" s="123">
        <f t="shared" si="25"/>
        <v>198</v>
      </c>
      <c r="B202" s="140">
        <f>INDEX('PEER GROUP'!B:B,MATCH($A202,'PEER GROUP'!$A:$A,0))</f>
        <v>0</v>
      </c>
      <c r="C202" s="83">
        <f>INDEX('PEER GROUP'!C:C,MATCH($A202,'PEER GROUP'!$A:$A,0))</f>
        <v>0</v>
      </c>
      <c r="D202" s="83">
        <f>INDEX('PEER GROUP'!D:D,MATCH($A202,'PEER GROUP'!$A:$A,0))</f>
        <v>0</v>
      </c>
      <c r="E202" s="83">
        <f>INDEX('PEER GROUP'!E:E,MATCH(A202,'PEER GROUP'!$A:$A,0))</f>
        <v>0</v>
      </c>
      <c r="F202" s="84">
        <f>INDEX('PEER GROUP'!F:F,MATCH($A202,'PEER GROUP'!$A:$A,0))</f>
        <v>0</v>
      </c>
      <c r="G202" s="84">
        <f>INDEX('PEER GROUP'!G:G,MATCH($A202,'PEER GROUP'!$A:$A,0))</f>
        <v>0</v>
      </c>
      <c r="H202" s="85"/>
      <c r="I202" s="85"/>
      <c r="J202" s="70">
        <f>INDEX('PEER GROUP'!K:K,MATCH($A202,'PEER GROUP'!$A:$A,0))</f>
        <v>0</v>
      </c>
      <c r="K202" s="70">
        <f>INDEX('PEER GROUP'!L:L,MATCH($A202,'PEER GROUP'!$A:$A,0))</f>
        <v>0</v>
      </c>
      <c r="L202" s="81">
        <f>INDEX('PEER GROUP'!N:N,MATCH($A202,'PEER GROUP'!$A:$A,0))</f>
        <v>0</v>
      </c>
      <c r="M202" s="118"/>
      <c r="N202" s="115"/>
      <c r="O202" s="117"/>
      <c r="P202" s="87"/>
      <c r="Q202" s="87"/>
      <c r="R202" s="87">
        <f t="shared" si="26"/>
        <v>0</v>
      </c>
      <c r="S202" s="113">
        <f t="shared" si="24"/>
        <v>36.913096727263202</v>
      </c>
      <c r="T202" s="69">
        <f t="shared" si="27"/>
        <v>0</v>
      </c>
      <c r="U202" s="70">
        <f t="shared" si="28"/>
        <v>0</v>
      </c>
      <c r="V202" s="70">
        <f t="shared" si="29"/>
        <v>0</v>
      </c>
      <c r="W202" s="71">
        <f t="shared" si="30"/>
        <v>0</v>
      </c>
      <c r="X202" s="49"/>
      <c r="Y202" s="151"/>
      <c r="Z202" s="69"/>
      <c r="AA202" s="70"/>
      <c r="AB202" s="70"/>
      <c r="AC202" s="70" t="str">
        <f t="shared" si="31"/>
        <v>---</v>
      </c>
      <c r="AD202" s="70" t="str">
        <f>IFERROR(P202/#REF!-1,"---")</f>
        <v>---</v>
      </c>
      <c r="AE202" s="70" t="str">
        <f>IFERROR(#REF!/#REF!-1,"---")</f>
        <v>---</v>
      </c>
      <c r="AF202" s="70" t="str">
        <f>IFERROR(Q202/#REF!-1,"---")</f>
        <v>---</v>
      </c>
      <c r="AG202" s="70" t="str">
        <f>IFERROR(#REF!/#REF!-1,"---")</f>
        <v>---</v>
      </c>
      <c r="AH202" s="70" t="str">
        <f>IFERROR(#REF!/AA202-1,"---")</f>
        <v>---</v>
      </c>
      <c r="AI202" s="71" t="str">
        <f t="shared" si="32"/>
        <v>---</v>
      </c>
    </row>
    <row r="203" spans="1:35" ht="30" customHeight="1" x14ac:dyDescent="0.3">
      <c r="A203" s="123">
        <f t="shared" si="25"/>
        <v>199</v>
      </c>
      <c r="B203" s="140">
        <f>INDEX('PEER GROUP'!B:B,MATCH($A203,'PEER GROUP'!$A:$A,0))</f>
        <v>0</v>
      </c>
      <c r="C203" s="83">
        <f>INDEX('PEER GROUP'!C:C,MATCH($A203,'PEER GROUP'!$A:$A,0))</f>
        <v>0</v>
      </c>
      <c r="D203" s="83">
        <f>INDEX('PEER GROUP'!D:D,MATCH($A203,'PEER GROUP'!$A:$A,0))</f>
        <v>0</v>
      </c>
      <c r="E203" s="83">
        <f>INDEX('PEER GROUP'!E:E,MATCH(A203,'PEER GROUP'!$A:$A,0))</f>
        <v>0</v>
      </c>
      <c r="F203" s="84">
        <f>INDEX('PEER GROUP'!F:F,MATCH($A203,'PEER GROUP'!$A:$A,0))</f>
        <v>0</v>
      </c>
      <c r="G203" s="84">
        <f>INDEX('PEER GROUP'!G:G,MATCH($A203,'PEER GROUP'!$A:$A,0))</f>
        <v>0</v>
      </c>
      <c r="H203" s="85"/>
      <c r="I203" s="85"/>
      <c r="J203" s="70">
        <f>INDEX('PEER GROUP'!K:K,MATCH($A203,'PEER GROUP'!$A:$A,0))</f>
        <v>0</v>
      </c>
      <c r="K203" s="70">
        <f>INDEX('PEER GROUP'!L:L,MATCH($A203,'PEER GROUP'!$A:$A,0))</f>
        <v>0</v>
      </c>
      <c r="L203" s="81">
        <f>INDEX('PEER GROUP'!N:N,MATCH($A203,'PEER GROUP'!$A:$A,0))</f>
        <v>0</v>
      </c>
      <c r="M203" s="118"/>
      <c r="N203" s="115"/>
      <c r="O203" s="117"/>
      <c r="P203" s="87"/>
      <c r="Q203" s="87"/>
      <c r="R203" s="87">
        <f t="shared" si="26"/>
        <v>0</v>
      </c>
      <c r="S203" s="113">
        <f t="shared" si="24"/>
        <v>36.913096727263202</v>
      </c>
      <c r="T203" s="69">
        <f t="shared" si="27"/>
        <v>0</v>
      </c>
      <c r="U203" s="70">
        <f t="shared" si="28"/>
        <v>0</v>
      </c>
      <c r="V203" s="70">
        <f t="shared" si="29"/>
        <v>0</v>
      </c>
      <c r="W203" s="71">
        <f t="shared" si="30"/>
        <v>0</v>
      </c>
      <c r="X203" s="49"/>
      <c r="Y203" s="151"/>
      <c r="Z203" s="69"/>
      <c r="AA203" s="70"/>
      <c r="AB203" s="70"/>
      <c r="AC203" s="70" t="str">
        <f t="shared" si="31"/>
        <v>---</v>
      </c>
      <c r="AD203" s="70" t="str">
        <f>IFERROR(P203/#REF!-1,"---")</f>
        <v>---</v>
      </c>
      <c r="AE203" s="70" t="str">
        <f>IFERROR(#REF!/#REF!-1,"---")</f>
        <v>---</v>
      </c>
      <c r="AF203" s="70" t="str">
        <f>IFERROR(Q203/#REF!-1,"---")</f>
        <v>---</v>
      </c>
      <c r="AG203" s="70" t="str">
        <f>IFERROR(#REF!/#REF!-1,"---")</f>
        <v>---</v>
      </c>
      <c r="AH203" s="70" t="str">
        <f>IFERROR(#REF!/AA203-1,"---")</f>
        <v>---</v>
      </c>
      <c r="AI203" s="71" t="str">
        <f t="shared" si="32"/>
        <v>---</v>
      </c>
    </row>
    <row r="204" spans="1:35" ht="30" customHeight="1" x14ac:dyDescent="0.3">
      <c r="A204" s="123">
        <f t="shared" si="25"/>
        <v>200</v>
      </c>
      <c r="B204" s="140">
        <f>INDEX('PEER GROUP'!B:B,MATCH($A204,'PEER GROUP'!$A:$A,0))</f>
        <v>0</v>
      </c>
      <c r="C204" s="83">
        <f>INDEX('PEER GROUP'!C:C,MATCH($A204,'PEER GROUP'!$A:$A,0))</f>
        <v>0</v>
      </c>
      <c r="D204" s="83">
        <f>INDEX('PEER GROUP'!D:D,MATCH($A204,'PEER GROUP'!$A:$A,0))</f>
        <v>0</v>
      </c>
      <c r="E204" s="83">
        <f>INDEX('PEER GROUP'!E:E,MATCH(A204,'PEER GROUP'!$A:$A,0))</f>
        <v>0</v>
      </c>
      <c r="F204" s="84">
        <f>INDEX('PEER GROUP'!F:F,MATCH($A204,'PEER GROUP'!$A:$A,0))</f>
        <v>0</v>
      </c>
      <c r="G204" s="84">
        <f>INDEX('PEER GROUP'!G:G,MATCH($A204,'PEER GROUP'!$A:$A,0))</f>
        <v>0</v>
      </c>
      <c r="H204" s="85"/>
      <c r="I204" s="85"/>
      <c r="J204" s="70">
        <f>INDEX('PEER GROUP'!K:K,MATCH($A204,'PEER GROUP'!$A:$A,0))</f>
        <v>0</v>
      </c>
      <c r="K204" s="70">
        <f>INDEX('PEER GROUP'!L:L,MATCH($A204,'PEER GROUP'!$A:$A,0))</f>
        <v>0</v>
      </c>
      <c r="L204" s="81">
        <f>INDEX('PEER GROUP'!N:N,MATCH($A204,'PEER GROUP'!$A:$A,0))</f>
        <v>0</v>
      </c>
      <c r="M204" s="118"/>
      <c r="N204" s="115"/>
      <c r="O204" s="117"/>
      <c r="P204" s="87"/>
      <c r="Q204" s="87"/>
      <c r="R204" s="87">
        <f t="shared" si="26"/>
        <v>0</v>
      </c>
      <c r="S204" s="113">
        <f t="shared" si="24"/>
        <v>36.913096727263202</v>
      </c>
      <c r="T204" s="69">
        <f t="shared" si="27"/>
        <v>0</v>
      </c>
      <c r="U204" s="70">
        <f t="shared" si="28"/>
        <v>0</v>
      </c>
      <c r="V204" s="70">
        <f t="shared" si="29"/>
        <v>0</v>
      </c>
      <c r="W204" s="71">
        <f t="shared" si="30"/>
        <v>0</v>
      </c>
      <c r="X204" s="49"/>
      <c r="Y204" s="151"/>
      <c r="Z204" s="69"/>
      <c r="AA204" s="70"/>
      <c r="AB204" s="70"/>
      <c r="AC204" s="70" t="str">
        <f t="shared" si="31"/>
        <v>---</v>
      </c>
      <c r="AD204" s="70" t="str">
        <f>IFERROR(P204/#REF!-1,"---")</f>
        <v>---</v>
      </c>
      <c r="AE204" s="70" t="str">
        <f>IFERROR(#REF!/#REF!-1,"---")</f>
        <v>---</v>
      </c>
      <c r="AF204" s="70" t="str">
        <f>IFERROR(Q204/#REF!-1,"---")</f>
        <v>---</v>
      </c>
      <c r="AG204" s="70" t="str">
        <f>IFERROR(#REF!/#REF!-1,"---")</f>
        <v>---</v>
      </c>
      <c r="AH204" s="70" t="str">
        <f>IFERROR(#REF!/AA204-1,"---")</f>
        <v>---</v>
      </c>
      <c r="AI204" s="71" t="str">
        <f t="shared" si="32"/>
        <v>---</v>
      </c>
    </row>
    <row r="205" spans="1:35" ht="30" customHeight="1" x14ac:dyDescent="0.3">
      <c r="A205" s="123">
        <f t="shared" si="25"/>
        <v>201</v>
      </c>
      <c r="B205" s="140">
        <f>INDEX('PEER GROUP'!B:B,MATCH($A205,'PEER GROUP'!$A:$A,0))</f>
        <v>0</v>
      </c>
      <c r="C205" s="83">
        <f>INDEX('PEER GROUP'!C:C,MATCH($A205,'PEER GROUP'!$A:$A,0))</f>
        <v>0</v>
      </c>
      <c r="D205" s="83">
        <f>INDEX('PEER GROUP'!D:D,MATCH($A205,'PEER GROUP'!$A:$A,0))</f>
        <v>0</v>
      </c>
      <c r="E205" s="83">
        <f>INDEX('PEER GROUP'!E:E,MATCH(A205,'PEER GROUP'!$A:$A,0))</f>
        <v>0</v>
      </c>
      <c r="F205" s="84">
        <f>INDEX('PEER GROUP'!F:F,MATCH($A205,'PEER GROUP'!$A:$A,0))</f>
        <v>0</v>
      </c>
      <c r="G205" s="84">
        <f>INDEX('PEER GROUP'!G:G,MATCH($A205,'PEER GROUP'!$A:$A,0))</f>
        <v>0</v>
      </c>
      <c r="H205" s="85"/>
      <c r="I205" s="85"/>
      <c r="J205" s="70">
        <f>INDEX('PEER GROUP'!K:K,MATCH($A205,'PEER GROUP'!$A:$A,0))</f>
        <v>0</v>
      </c>
      <c r="K205" s="70">
        <f>INDEX('PEER GROUP'!L:L,MATCH($A205,'PEER GROUP'!$A:$A,0))</f>
        <v>0</v>
      </c>
      <c r="L205" s="81">
        <f>INDEX('PEER GROUP'!N:N,MATCH($A205,'PEER GROUP'!$A:$A,0))</f>
        <v>0</v>
      </c>
      <c r="M205" s="118"/>
      <c r="N205" s="115"/>
      <c r="O205" s="117"/>
      <c r="P205" s="87"/>
      <c r="Q205" s="87"/>
      <c r="R205" s="87">
        <f t="shared" si="26"/>
        <v>0</v>
      </c>
      <c r="S205" s="113">
        <f t="shared" si="24"/>
        <v>36.913096727263202</v>
      </c>
      <c r="T205" s="69">
        <f t="shared" si="27"/>
        <v>0</v>
      </c>
      <c r="U205" s="70">
        <f t="shared" si="28"/>
        <v>0</v>
      </c>
      <c r="V205" s="70">
        <f t="shared" si="29"/>
        <v>0</v>
      </c>
      <c r="W205" s="71">
        <f t="shared" si="30"/>
        <v>0</v>
      </c>
      <c r="X205" s="49"/>
      <c r="Y205" s="151"/>
      <c r="Z205" s="69"/>
      <c r="AA205" s="70"/>
      <c r="AB205" s="70"/>
      <c r="AC205" s="70" t="str">
        <f t="shared" si="31"/>
        <v>---</v>
      </c>
      <c r="AD205" s="70" t="str">
        <f>IFERROR(P205/#REF!-1,"---")</f>
        <v>---</v>
      </c>
      <c r="AE205" s="70" t="str">
        <f>IFERROR(#REF!/#REF!-1,"---")</f>
        <v>---</v>
      </c>
      <c r="AF205" s="70" t="str">
        <f>IFERROR(Q205/#REF!-1,"---")</f>
        <v>---</v>
      </c>
      <c r="AG205" s="70" t="str">
        <f>IFERROR(#REF!/#REF!-1,"---")</f>
        <v>---</v>
      </c>
      <c r="AH205" s="70" t="str">
        <f>IFERROR(#REF!/AA205-1,"---")</f>
        <v>---</v>
      </c>
      <c r="AI205" s="71" t="str">
        <f t="shared" si="32"/>
        <v>---</v>
      </c>
    </row>
    <row r="206" spans="1:35" ht="30" customHeight="1" x14ac:dyDescent="0.3">
      <c r="A206" s="123">
        <f t="shared" si="25"/>
        <v>202</v>
      </c>
      <c r="B206" s="140">
        <f>INDEX('PEER GROUP'!B:B,MATCH($A206,'PEER GROUP'!$A:$A,0))</f>
        <v>0</v>
      </c>
      <c r="C206" s="83">
        <f>INDEX('PEER GROUP'!C:C,MATCH($A206,'PEER GROUP'!$A:$A,0))</f>
        <v>0</v>
      </c>
      <c r="D206" s="83">
        <f>INDEX('PEER GROUP'!D:D,MATCH($A206,'PEER GROUP'!$A:$A,0))</f>
        <v>0</v>
      </c>
      <c r="E206" s="83">
        <f>INDEX('PEER GROUP'!E:E,MATCH(A206,'PEER GROUP'!$A:$A,0))</f>
        <v>0</v>
      </c>
      <c r="F206" s="84">
        <f>INDEX('PEER GROUP'!F:F,MATCH($A206,'PEER GROUP'!$A:$A,0))</f>
        <v>0</v>
      </c>
      <c r="G206" s="84">
        <f>INDEX('PEER GROUP'!G:G,MATCH($A206,'PEER GROUP'!$A:$A,0))</f>
        <v>0</v>
      </c>
      <c r="H206" s="85"/>
      <c r="I206" s="85"/>
      <c r="J206" s="70">
        <f>INDEX('PEER GROUP'!K:K,MATCH($A206,'PEER GROUP'!$A:$A,0))</f>
        <v>0</v>
      </c>
      <c r="K206" s="70">
        <f>INDEX('PEER GROUP'!L:L,MATCH($A206,'PEER GROUP'!$A:$A,0))</f>
        <v>0</v>
      </c>
      <c r="L206" s="81">
        <f>INDEX('PEER GROUP'!N:N,MATCH($A206,'PEER GROUP'!$A:$A,0))</f>
        <v>0</v>
      </c>
      <c r="M206" s="118"/>
      <c r="N206" s="115"/>
      <c r="O206" s="117"/>
      <c r="P206" s="87"/>
      <c r="Q206" s="87"/>
      <c r="R206" s="87">
        <f t="shared" si="26"/>
        <v>0</v>
      </c>
      <c r="S206" s="113">
        <f t="shared" si="24"/>
        <v>36.913096727263202</v>
      </c>
      <c r="T206" s="69">
        <f t="shared" si="27"/>
        <v>0</v>
      </c>
      <c r="U206" s="70">
        <f t="shared" si="28"/>
        <v>0</v>
      </c>
      <c r="V206" s="70">
        <f t="shared" si="29"/>
        <v>0</v>
      </c>
      <c r="W206" s="71">
        <f t="shared" si="30"/>
        <v>0</v>
      </c>
      <c r="X206" s="49"/>
      <c r="Y206" s="151"/>
      <c r="Z206" s="69"/>
      <c r="AA206" s="70"/>
      <c r="AB206" s="70"/>
      <c r="AC206" s="70" t="str">
        <f t="shared" si="31"/>
        <v>---</v>
      </c>
      <c r="AD206" s="70" t="str">
        <f>IFERROR(P206/#REF!-1,"---")</f>
        <v>---</v>
      </c>
      <c r="AE206" s="70" t="str">
        <f>IFERROR(#REF!/#REF!-1,"---")</f>
        <v>---</v>
      </c>
      <c r="AF206" s="70" t="str">
        <f>IFERROR(Q206/#REF!-1,"---")</f>
        <v>---</v>
      </c>
      <c r="AG206" s="70" t="str">
        <f>IFERROR(#REF!/#REF!-1,"---")</f>
        <v>---</v>
      </c>
      <c r="AH206" s="70" t="str">
        <f>IFERROR(#REF!/AA206-1,"---")</f>
        <v>---</v>
      </c>
      <c r="AI206" s="71" t="str">
        <f t="shared" si="32"/>
        <v>---</v>
      </c>
    </row>
    <row r="207" spans="1:35" ht="30" customHeight="1" x14ac:dyDescent="0.3">
      <c r="A207" s="123">
        <f t="shared" si="25"/>
        <v>203</v>
      </c>
      <c r="B207" s="140">
        <f>INDEX('PEER GROUP'!B:B,MATCH($A207,'PEER GROUP'!$A:$A,0))</f>
        <v>0</v>
      </c>
      <c r="C207" s="83">
        <f>INDEX('PEER GROUP'!C:C,MATCH($A207,'PEER GROUP'!$A:$A,0))</f>
        <v>0</v>
      </c>
      <c r="D207" s="83">
        <f>INDEX('PEER GROUP'!D:D,MATCH($A207,'PEER GROUP'!$A:$A,0))</f>
        <v>0</v>
      </c>
      <c r="E207" s="83">
        <f>INDEX('PEER GROUP'!E:E,MATCH(A207,'PEER GROUP'!$A:$A,0))</f>
        <v>0</v>
      </c>
      <c r="F207" s="84">
        <f>INDEX('PEER GROUP'!F:F,MATCH($A207,'PEER GROUP'!$A:$A,0))</f>
        <v>0</v>
      </c>
      <c r="G207" s="84">
        <f>INDEX('PEER GROUP'!G:G,MATCH($A207,'PEER GROUP'!$A:$A,0))</f>
        <v>0</v>
      </c>
      <c r="H207" s="85"/>
      <c r="I207" s="85"/>
      <c r="J207" s="70">
        <f>INDEX('PEER GROUP'!K:K,MATCH($A207,'PEER GROUP'!$A:$A,0))</f>
        <v>0</v>
      </c>
      <c r="K207" s="70">
        <f>INDEX('PEER GROUP'!L:L,MATCH($A207,'PEER GROUP'!$A:$A,0))</f>
        <v>0</v>
      </c>
      <c r="L207" s="81">
        <f>INDEX('PEER GROUP'!N:N,MATCH($A207,'PEER GROUP'!$A:$A,0))</f>
        <v>0</v>
      </c>
      <c r="M207" s="118"/>
      <c r="N207" s="115"/>
      <c r="O207" s="117"/>
      <c r="P207" s="87"/>
      <c r="Q207" s="87"/>
      <c r="R207" s="87">
        <f t="shared" si="26"/>
        <v>0</v>
      </c>
      <c r="S207" s="113">
        <f t="shared" si="24"/>
        <v>36.913096727263202</v>
      </c>
      <c r="T207" s="69">
        <f t="shared" si="27"/>
        <v>0</v>
      </c>
      <c r="U207" s="70">
        <f t="shared" si="28"/>
        <v>0</v>
      </c>
      <c r="V207" s="70">
        <f t="shared" si="29"/>
        <v>0</v>
      </c>
      <c r="W207" s="71">
        <f t="shared" si="30"/>
        <v>0</v>
      </c>
      <c r="X207" s="49"/>
      <c r="Y207" s="151"/>
      <c r="Z207" s="69"/>
      <c r="AA207" s="70"/>
      <c r="AB207" s="70"/>
      <c r="AC207" s="70" t="str">
        <f t="shared" si="31"/>
        <v>---</v>
      </c>
      <c r="AD207" s="70" t="str">
        <f>IFERROR(P207/#REF!-1,"---")</f>
        <v>---</v>
      </c>
      <c r="AE207" s="70" t="str">
        <f>IFERROR(#REF!/#REF!-1,"---")</f>
        <v>---</v>
      </c>
      <c r="AF207" s="70" t="str">
        <f>IFERROR(Q207/#REF!-1,"---")</f>
        <v>---</v>
      </c>
      <c r="AG207" s="70" t="str">
        <f>IFERROR(#REF!/#REF!-1,"---")</f>
        <v>---</v>
      </c>
      <c r="AH207" s="70" t="str">
        <f>IFERROR(#REF!/AA207-1,"---")</f>
        <v>---</v>
      </c>
      <c r="AI207" s="71" t="str">
        <f t="shared" si="32"/>
        <v>---</v>
      </c>
    </row>
    <row r="208" spans="1:35" ht="30" customHeight="1" x14ac:dyDescent="0.3">
      <c r="A208" s="123">
        <f t="shared" si="25"/>
        <v>204</v>
      </c>
      <c r="B208" s="140">
        <f>INDEX('PEER GROUP'!B:B,MATCH($A208,'PEER GROUP'!$A:$A,0))</f>
        <v>0</v>
      </c>
      <c r="C208" s="83">
        <f>INDEX('PEER GROUP'!C:C,MATCH($A208,'PEER GROUP'!$A:$A,0))</f>
        <v>0</v>
      </c>
      <c r="D208" s="83">
        <f>INDEX('PEER GROUP'!D:D,MATCH($A208,'PEER GROUP'!$A:$A,0))</f>
        <v>0</v>
      </c>
      <c r="E208" s="83">
        <f>INDEX('PEER GROUP'!E:E,MATCH(A208,'PEER GROUP'!$A:$A,0))</f>
        <v>0</v>
      </c>
      <c r="F208" s="84">
        <f>INDEX('PEER GROUP'!F:F,MATCH($A208,'PEER GROUP'!$A:$A,0))</f>
        <v>0</v>
      </c>
      <c r="G208" s="84">
        <f>INDEX('PEER GROUP'!G:G,MATCH($A208,'PEER GROUP'!$A:$A,0))</f>
        <v>0</v>
      </c>
      <c r="H208" s="85"/>
      <c r="I208" s="85"/>
      <c r="J208" s="70">
        <f>INDEX('PEER GROUP'!K:K,MATCH($A208,'PEER GROUP'!$A:$A,0))</f>
        <v>0</v>
      </c>
      <c r="K208" s="70">
        <f>INDEX('PEER GROUP'!L:L,MATCH($A208,'PEER GROUP'!$A:$A,0))</f>
        <v>0</v>
      </c>
      <c r="L208" s="81">
        <f>INDEX('PEER GROUP'!N:N,MATCH($A208,'PEER GROUP'!$A:$A,0))</f>
        <v>0</v>
      </c>
      <c r="M208" s="118"/>
      <c r="N208" s="115"/>
      <c r="O208" s="117"/>
      <c r="P208" s="87"/>
      <c r="Q208" s="87"/>
      <c r="R208" s="87">
        <f t="shared" si="26"/>
        <v>0</v>
      </c>
      <c r="S208" s="113">
        <f t="shared" si="24"/>
        <v>36.913096727263202</v>
      </c>
      <c r="T208" s="69">
        <f t="shared" si="27"/>
        <v>0</v>
      </c>
      <c r="U208" s="70">
        <f t="shared" si="28"/>
        <v>0</v>
      </c>
      <c r="V208" s="70">
        <f t="shared" si="29"/>
        <v>0</v>
      </c>
      <c r="W208" s="71">
        <f t="shared" si="30"/>
        <v>0</v>
      </c>
      <c r="X208" s="49"/>
      <c r="Y208" s="151"/>
      <c r="Z208" s="69"/>
      <c r="AA208" s="70"/>
      <c r="AB208" s="70"/>
      <c r="AC208" s="70" t="str">
        <f t="shared" si="31"/>
        <v>---</v>
      </c>
      <c r="AD208" s="70" t="str">
        <f>IFERROR(P208/#REF!-1,"---")</f>
        <v>---</v>
      </c>
      <c r="AE208" s="70" t="str">
        <f>IFERROR(#REF!/#REF!-1,"---")</f>
        <v>---</v>
      </c>
      <c r="AF208" s="70" t="str">
        <f>IFERROR(Q208/#REF!-1,"---")</f>
        <v>---</v>
      </c>
      <c r="AG208" s="70" t="str">
        <f>IFERROR(#REF!/#REF!-1,"---")</f>
        <v>---</v>
      </c>
      <c r="AH208" s="70" t="str">
        <f>IFERROR(#REF!/AA208-1,"---")</f>
        <v>---</v>
      </c>
      <c r="AI208" s="71" t="str">
        <f t="shared" si="32"/>
        <v>---</v>
      </c>
    </row>
    <row r="209" spans="1:35" ht="30" customHeight="1" x14ac:dyDescent="0.3">
      <c r="A209" s="123">
        <f t="shared" si="25"/>
        <v>205</v>
      </c>
      <c r="B209" s="140">
        <f>INDEX('PEER GROUP'!B:B,MATCH($A209,'PEER GROUP'!$A:$A,0))</f>
        <v>0</v>
      </c>
      <c r="C209" s="83">
        <f>INDEX('PEER GROUP'!C:C,MATCH($A209,'PEER GROUP'!$A:$A,0))</f>
        <v>0</v>
      </c>
      <c r="D209" s="83">
        <f>INDEX('PEER GROUP'!D:D,MATCH($A209,'PEER GROUP'!$A:$A,0))</f>
        <v>0</v>
      </c>
      <c r="E209" s="83">
        <f>INDEX('PEER GROUP'!E:E,MATCH(A209,'PEER GROUP'!$A:$A,0))</f>
        <v>0</v>
      </c>
      <c r="F209" s="84">
        <f>INDEX('PEER GROUP'!F:F,MATCH($A209,'PEER GROUP'!$A:$A,0))</f>
        <v>0</v>
      </c>
      <c r="G209" s="84">
        <f>INDEX('PEER GROUP'!G:G,MATCH($A209,'PEER GROUP'!$A:$A,0))</f>
        <v>0</v>
      </c>
      <c r="H209" s="85"/>
      <c r="I209" s="85"/>
      <c r="J209" s="70">
        <f>INDEX('PEER GROUP'!K:K,MATCH($A209,'PEER GROUP'!$A:$A,0))</f>
        <v>0</v>
      </c>
      <c r="K209" s="70">
        <f>INDEX('PEER GROUP'!L:L,MATCH($A209,'PEER GROUP'!$A:$A,0))</f>
        <v>0</v>
      </c>
      <c r="L209" s="81">
        <f>INDEX('PEER GROUP'!N:N,MATCH($A209,'PEER GROUP'!$A:$A,0))</f>
        <v>0</v>
      </c>
      <c r="M209" s="118"/>
      <c r="N209" s="115"/>
      <c r="O209" s="117"/>
      <c r="P209" s="87"/>
      <c r="Q209" s="87"/>
      <c r="R209" s="87">
        <f t="shared" si="26"/>
        <v>0</v>
      </c>
      <c r="S209" s="113">
        <f t="shared" si="24"/>
        <v>36.913096727263202</v>
      </c>
      <c r="T209" s="69">
        <f t="shared" si="27"/>
        <v>0</v>
      </c>
      <c r="U209" s="70">
        <f t="shared" si="28"/>
        <v>0</v>
      </c>
      <c r="V209" s="70">
        <f t="shared" si="29"/>
        <v>0</v>
      </c>
      <c r="W209" s="71">
        <f t="shared" si="30"/>
        <v>0</v>
      </c>
      <c r="X209" s="49"/>
      <c r="Y209" s="151"/>
      <c r="Z209" s="69"/>
      <c r="AA209" s="70"/>
      <c r="AB209" s="70"/>
      <c r="AC209" s="70" t="str">
        <f t="shared" si="31"/>
        <v>---</v>
      </c>
      <c r="AD209" s="70" t="str">
        <f>IFERROR(P209/#REF!-1,"---")</f>
        <v>---</v>
      </c>
      <c r="AE209" s="70" t="str">
        <f>IFERROR(#REF!/#REF!-1,"---")</f>
        <v>---</v>
      </c>
      <c r="AF209" s="70" t="str">
        <f>IFERROR(Q209/#REF!-1,"---")</f>
        <v>---</v>
      </c>
      <c r="AG209" s="70" t="str">
        <f>IFERROR(#REF!/#REF!-1,"---")</f>
        <v>---</v>
      </c>
      <c r="AH209" s="70" t="str">
        <f>IFERROR(#REF!/AA209-1,"---")</f>
        <v>---</v>
      </c>
      <c r="AI209" s="71" t="str">
        <f t="shared" si="32"/>
        <v>---</v>
      </c>
    </row>
    <row r="210" spans="1:35" ht="30" customHeight="1" x14ac:dyDescent="0.3">
      <c r="A210" s="123">
        <f t="shared" si="25"/>
        <v>206</v>
      </c>
      <c r="B210" s="140">
        <f>INDEX('PEER GROUP'!B:B,MATCH($A210,'PEER GROUP'!$A:$A,0))</f>
        <v>0</v>
      </c>
      <c r="C210" s="83">
        <f>INDEX('PEER GROUP'!C:C,MATCH($A210,'PEER GROUP'!$A:$A,0))</f>
        <v>0</v>
      </c>
      <c r="D210" s="83">
        <f>INDEX('PEER GROUP'!D:D,MATCH($A210,'PEER GROUP'!$A:$A,0))</f>
        <v>0</v>
      </c>
      <c r="E210" s="83">
        <f>INDEX('PEER GROUP'!E:E,MATCH(A210,'PEER GROUP'!$A:$A,0))</f>
        <v>0</v>
      </c>
      <c r="F210" s="84">
        <f>INDEX('PEER GROUP'!F:F,MATCH($A210,'PEER GROUP'!$A:$A,0))</f>
        <v>0</v>
      </c>
      <c r="G210" s="84">
        <f>INDEX('PEER GROUP'!G:G,MATCH($A210,'PEER GROUP'!$A:$A,0))</f>
        <v>0</v>
      </c>
      <c r="H210" s="85"/>
      <c r="I210" s="85"/>
      <c r="J210" s="70">
        <f>INDEX('PEER GROUP'!K:K,MATCH($A210,'PEER GROUP'!$A:$A,0))</f>
        <v>0</v>
      </c>
      <c r="K210" s="70">
        <f>INDEX('PEER GROUP'!L:L,MATCH($A210,'PEER GROUP'!$A:$A,0))</f>
        <v>0</v>
      </c>
      <c r="L210" s="81">
        <f>INDEX('PEER GROUP'!N:N,MATCH($A210,'PEER GROUP'!$A:$A,0))</f>
        <v>0</v>
      </c>
      <c r="M210" s="118"/>
      <c r="N210" s="115"/>
      <c r="O210" s="117"/>
      <c r="P210" s="87"/>
      <c r="Q210" s="87"/>
      <c r="R210" s="87">
        <f t="shared" si="26"/>
        <v>0</v>
      </c>
      <c r="S210" s="113">
        <f t="shared" si="24"/>
        <v>36.913096727263202</v>
      </c>
      <c r="T210" s="69">
        <f t="shared" si="27"/>
        <v>0</v>
      </c>
      <c r="U210" s="70">
        <f t="shared" si="28"/>
        <v>0</v>
      </c>
      <c r="V210" s="70">
        <f t="shared" si="29"/>
        <v>0</v>
      </c>
      <c r="W210" s="71">
        <f t="shared" si="30"/>
        <v>0</v>
      </c>
      <c r="X210" s="49"/>
      <c r="Y210" s="151"/>
      <c r="Z210" s="69"/>
      <c r="AA210" s="70"/>
      <c r="AB210" s="70"/>
      <c r="AC210" s="70" t="str">
        <f t="shared" si="31"/>
        <v>---</v>
      </c>
      <c r="AD210" s="70" t="str">
        <f>IFERROR(P210/#REF!-1,"---")</f>
        <v>---</v>
      </c>
      <c r="AE210" s="70" t="str">
        <f>IFERROR(#REF!/#REF!-1,"---")</f>
        <v>---</v>
      </c>
      <c r="AF210" s="70" t="str">
        <f>IFERROR(Q210/#REF!-1,"---")</f>
        <v>---</v>
      </c>
      <c r="AG210" s="70" t="str">
        <f>IFERROR(#REF!/#REF!-1,"---")</f>
        <v>---</v>
      </c>
      <c r="AH210" s="70" t="str">
        <f>IFERROR(#REF!/AA210-1,"---")</f>
        <v>---</v>
      </c>
      <c r="AI210" s="71" t="str">
        <f t="shared" si="32"/>
        <v>---</v>
      </c>
    </row>
    <row r="211" spans="1:35" ht="30" customHeight="1" x14ac:dyDescent="0.3">
      <c r="A211" s="123">
        <f t="shared" si="25"/>
        <v>207</v>
      </c>
      <c r="B211" s="140">
        <f>INDEX('PEER GROUP'!B:B,MATCH($A211,'PEER GROUP'!$A:$A,0))</f>
        <v>0</v>
      </c>
      <c r="C211" s="83">
        <f>INDEX('PEER GROUP'!C:C,MATCH($A211,'PEER GROUP'!$A:$A,0))</f>
        <v>0</v>
      </c>
      <c r="D211" s="83">
        <f>INDEX('PEER GROUP'!D:D,MATCH($A211,'PEER GROUP'!$A:$A,0))</f>
        <v>0</v>
      </c>
      <c r="E211" s="83">
        <f>INDEX('PEER GROUP'!E:E,MATCH(A211,'PEER GROUP'!$A:$A,0))</f>
        <v>0</v>
      </c>
      <c r="F211" s="84">
        <f>INDEX('PEER GROUP'!F:F,MATCH($A211,'PEER GROUP'!$A:$A,0))</f>
        <v>0</v>
      </c>
      <c r="G211" s="84">
        <f>INDEX('PEER GROUP'!G:G,MATCH($A211,'PEER GROUP'!$A:$A,0))</f>
        <v>0</v>
      </c>
      <c r="H211" s="85"/>
      <c r="I211" s="85"/>
      <c r="J211" s="70">
        <f>INDEX('PEER GROUP'!K:K,MATCH($A211,'PEER GROUP'!$A:$A,0))</f>
        <v>0</v>
      </c>
      <c r="K211" s="70">
        <f>INDEX('PEER GROUP'!L:L,MATCH($A211,'PEER GROUP'!$A:$A,0))</f>
        <v>0</v>
      </c>
      <c r="L211" s="81">
        <f>INDEX('PEER GROUP'!N:N,MATCH($A211,'PEER GROUP'!$A:$A,0))</f>
        <v>0</v>
      </c>
      <c r="M211" s="118"/>
      <c r="N211" s="115"/>
      <c r="O211" s="117"/>
      <c r="P211" s="87"/>
      <c r="Q211" s="87"/>
      <c r="R211" s="87">
        <f t="shared" si="26"/>
        <v>0</v>
      </c>
      <c r="S211" s="113">
        <f t="shared" si="24"/>
        <v>36.913096727263202</v>
      </c>
      <c r="T211" s="69">
        <f t="shared" si="27"/>
        <v>0</v>
      </c>
      <c r="U211" s="70">
        <f t="shared" si="28"/>
        <v>0</v>
      </c>
      <c r="V211" s="70">
        <f t="shared" si="29"/>
        <v>0</v>
      </c>
      <c r="W211" s="71">
        <f t="shared" si="30"/>
        <v>0</v>
      </c>
      <c r="X211" s="49"/>
      <c r="Y211" s="151"/>
      <c r="Z211" s="69"/>
      <c r="AA211" s="70"/>
      <c r="AB211" s="70"/>
      <c r="AC211" s="70" t="str">
        <f t="shared" si="31"/>
        <v>---</v>
      </c>
      <c r="AD211" s="70" t="str">
        <f>IFERROR(P211/#REF!-1,"---")</f>
        <v>---</v>
      </c>
      <c r="AE211" s="70" t="str">
        <f>IFERROR(#REF!/#REF!-1,"---")</f>
        <v>---</v>
      </c>
      <c r="AF211" s="70" t="str">
        <f>IFERROR(Q211/#REF!-1,"---")</f>
        <v>---</v>
      </c>
      <c r="AG211" s="70" t="str">
        <f>IFERROR(#REF!/#REF!-1,"---")</f>
        <v>---</v>
      </c>
      <c r="AH211" s="70" t="str">
        <f>IFERROR(#REF!/AA211-1,"---")</f>
        <v>---</v>
      </c>
      <c r="AI211" s="71" t="str">
        <f t="shared" si="32"/>
        <v>---</v>
      </c>
    </row>
    <row r="212" spans="1:35" ht="30" customHeight="1" x14ac:dyDescent="0.3">
      <c r="A212" s="123">
        <f t="shared" si="25"/>
        <v>208</v>
      </c>
      <c r="B212" s="140">
        <f>INDEX('PEER GROUP'!B:B,MATCH($A212,'PEER GROUP'!$A:$A,0))</f>
        <v>0</v>
      </c>
      <c r="C212" s="83">
        <f>INDEX('PEER GROUP'!C:C,MATCH($A212,'PEER GROUP'!$A:$A,0))</f>
        <v>0</v>
      </c>
      <c r="D212" s="83">
        <f>INDEX('PEER GROUP'!D:D,MATCH($A212,'PEER GROUP'!$A:$A,0))</f>
        <v>0</v>
      </c>
      <c r="E212" s="83">
        <f>INDEX('PEER GROUP'!E:E,MATCH(A212,'PEER GROUP'!$A:$A,0))</f>
        <v>0</v>
      </c>
      <c r="F212" s="84">
        <f>INDEX('PEER GROUP'!F:F,MATCH($A212,'PEER GROUP'!$A:$A,0))</f>
        <v>0</v>
      </c>
      <c r="G212" s="84">
        <f>INDEX('PEER GROUP'!G:G,MATCH($A212,'PEER GROUP'!$A:$A,0))</f>
        <v>0</v>
      </c>
      <c r="H212" s="85"/>
      <c r="I212" s="85"/>
      <c r="J212" s="70">
        <f>INDEX('PEER GROUP'!K:K,MATCH($A212,'PEER GROUP'!$A:$A,0))</f>
        <v>0</v>
      </c>
      <c r="K212" s="70">
        <f>INDEX('PEER GROUP'!L:L,MATCH($A212,'PEER GROUP'!$A:$A,0))</f>
        <v>0</v>
      </c>
      <c r="L212" s="81">
        <f>INDEX('PEER GROUP'!N:N,MATCH($A212,'PEER GROUP'!$A:$A,0))</f>
        <v>0</v>
      </c>
      <c r="M212" s="118"/>
      <c r="N212" s="115"/>
      <c r="O212" s="117"/>
      <c r="P212" s="87"/>
      <c r="Q212" s="87"/>
      <c r="R212" s="87">
        <f t="shared" si="26"/>
        <v>0</v>
      </c>
      <c r="S212" s="113">
        <f t="shared" si="24"/>
        <v>36.913096727263202</v>
      </c>
      <c r="T212" s="69">
        <f t="shared" si="27"/>
        <v>0</v>
      </c>
      <c r="U212" s="70">
        <f t="shared" si="28"/>
        <v>0</v>
      </c>
      <c r="V212" s="70">
        <f t="shared" si="29"/>
        <v>0</v>
      </c>
      <c r="W212" s="71">
        <f t="shared" si="30"/>
        <v>0</v>
      </c>
      <c r="X212" s="49"/>
      <c r="Y212" s="151"/>
      <c r="Z212" s="69"/>
      <c r="AA212" s="70"/>
      <c r="AB212" s="70"/>
      <c r="AC212" s="70" t="str">
        <f t="shared" si="31"/>
        <v>---</v>
      </c>
      <c r="AD212" s="70" t="str">
        <f>IFERROR(P212/#REF!-1,"---")</f>
        <v>---</v>
      </c>
      <c r="AE212" s="70" t="str">
        <f>IFERROR(#REF!/#REF!-1,"---")</f>
        <v>---</v>
      </c>
      <c r="AF212" s="70" t="str">
        <f>IFERROR(Q212/#REF!-1,"---")</f>
        <v>---</v>
      </c>
      <c r="AG212" s="70" t="str">
        <f>IFERROR(#REF!/#REF!-1,"---")</f>
        <v>---</v>
      </c>
      <c r="AH212" s="70" t="str">
        <f>IFERROR(#REF!/AA212-1,"---")</f>
        <v>---</v>
      </c>
      <c r="AI212" s="71" t="str">
        <f t="shared" si="32"/>
        <v>---</v>
      </c>
    </row>
    <row r="213" spans="1:35" ht="30" customHeight="1" x14ac:dyDescent="0.3">
      <c r="A213" s="123">
        <f t="shared" si="25"/>
        <v>209</v>
      </c>
      <c r="B213" s="140">
        <f>INDEX('PEER GROUP'!B:B,MATCH($A213,'PEER GROUP'!$A:$A,0))</f>
        <v>0</v>
      </c>
      <c r="C213" s="83">
        <f>INDEX('PEER GROUP'!C:C,MATCH($A213,'PEER GROUP'!$A:$A,0))</f>
        <v>0</v>
      </c>
      <c r="D213" s="83">
        <f>INDEX('PEER GROUP'!D:D,MATCH($A213,'PEER GROUP'!$A:$A,0))</f>
        <v>0</v>
      </c>
      <c r="E213" s="83">
        <f>INDEX('PEER GROUP'!E:E,MATCH(A213,'PEER GROUP'!$A:$A,0))</f>
        <v>0</v>
      </c>
      <c r="F213" s="84">
        <f>INDEX('PEER GROUP'!F:F,MATCH($A213,'PEER GROUP'!$A:$A,0))</f>
        <v>0</v>
      </c>
      <c r="G213" s="84">
        <f>INDEX('PEER GROUP'!G:G,MATCH($A213,'PEER GROUP'!$A:$A,0))</f>
        <v>0</v>
      </c>
      <c r="H213" s="85"/>
      <c r="I213" s="85"/>
      <c r="J213" s="70">
        <f>INDEX('PEER GROUP'!K:K,MATCH($A213,'PEER GROUP'!$A:$A,0))</f>
        <v>0</v>
      </c>
      <c r="K213" s="70">
        <f>INDEX('PEER GROUP'!L:L,MATCH($A213,'PEER GROUP'!$A:$A,0))</f>
        <v>0</v>
      </c>
      <c r="L213" s="81">
        <f>INDEX('PEER GROUP'!N:N,MATCH($A213,'PEER GROUP'!$A:$A,0))</f>
        <v>0</v>
      </c>
      <c r="M213" s="118"/>
      <c r="N213" s="115"/>
      <c r="O213" s="117"/>
      <c r="P213" s="87"/>
      <c r="Q213" s="87"/>
      <c r="R213" s="87">
        <f t="shared" si="26"/>
        <v>0</v>
      </c>
      <c r="S213" s="113">
        <f t="shared" si="24"/>
        <v>36.913096727263202</v>
      </c>
      <c r="T213" s="69">
        <f t="shared" si="27"/>
        <v>0</v>
      </c>
      <c r="U213" s="70">
        <f t="shared" si="28"/>
        <v>0</v>
      </c>
      <c r="V213" s="70">
        <f t="shared" si="29"/>
        <v>0</v>
      </c>
      <c r="W213" s="71">
        <f t="shared" si="30"/>
        <v>0</v>
      </c>
      <c r="X213" s="49"/>
      <c r="Y213" s="151"/>
      <c r="Z213" s="69"/>
      <c r="AA213" s="70"/>
      <c r="AB213" s="70"/>
      <c r="AC213" s="70" t="str">
        <f t="shared" si="31"/>
        <v>---</v>
      </c>
      <c r="AD213" s="70" t="str">
        <f>IFERROR(P213/#REF!-1,"---")</f>
        <v>---</v>
      </c>
      <c r="AE213" s="70" t="str">
        <f>IFERROR(#REF!/#REF!-1,"---")</f>
        <v>---</v>
      </c>
      <c r="AF213" s="70" t="str">
        <f>IFERROR(Q213/#REF!-1,"---")</f>
        <v>---</v>
      </c>
      <c r="AG213" s="70" t="str">
        <f>IFERROR(#REF!/#REF!-1,"---")</f>
        <v>---</v>
      </c>
      <c r="AH213" s="70" t="str">
        <f>IFERROR(#REF!/AA213-1,"---")</f>
        <v>---</v>
      </c>
      <c r="AI213" s="71" t="str">
        <f t="shared" si="32"/>
        <v>---</v>
      </c>
    </row>
    <row r="214" spans="1:35" ht="30" customHeight="1" x14ac:dyDescent="0.3">
      <c r="A214" s="123">
        <f t="shared" si="25"/>
        <v>210</v>
      </c>
      <c r="B214" s="140">
        <f>INDEX('PEER GROUP'!B:B,MATCH($A214,'PEER GROUP'!$A:$A,0))</f>
        <v>0</v>
      </c>
      <c r="C214" s="83">
        <f>INDEX('PEER GROUP'!C:C,MATCH($A214,'PEER GROUP'!$A:$A,0))</f>
        <v>0</v>
      </c>
      <c r="D214" s="83">
        <f>INDEX('PEER GROUP'!D:D,MATCH($A214,'PEER GROUP'!$A:$A,0))</f>
        <v>0</v>
      </c>
      <c r="E214" s="83">
        <f>INDEX('PEER GROUP'!E:E,MATCH(A214,'PEER GROUP'!$A:$A,0))</f>
        <v>0</v>
      </c>
      <c r="F214" s="84">
        <f>INDEX('PEER GROUP'!F:F,MATCH($A214,'PEER GROUP'!$A:$A,0))</f>
        <v>0</v>
      </c>
      <c r="G214" s="84">
        <f>INDEX('PEER GROUP'!G:G,MATCH($A214,'PEER GROUP'!$A:$A,0))</f>
        <v>0</v>
      </c>
      <c r="H214" s="85"/>
      <c r="I214" s="85"/>
      <c r="J214" s="70">
        <f>INDEX('PEER GROUP'!K:K,MATCH($A214,'PEER GROUP'!$A:$A,0))</f>
        <v>0</v>
      </c>
      <c r="K214" s="70">
        <f>INDEX('PEER GROUP'!L:L,MATCH($A214,'PEER GROUP'!$A:$A,0))</f>
        <v>0</v>
      </c>
      <c r="L214" s="81">
        <f>INDEX('PEER GROUP'!N:N,MATCH($A214,'PEER GROUP'!$A:$A,0))</f>
        <v>0</v>
      </c>
      <c r="M214" s="118"/>
      <c r="N214" s="115"/>
      <c r="O214" s="117"/>
      <c r="P214" s="87"/>
      <c r="Q214" s="87"/>
      <c r="R214" s="87">
        <f t="shared" si="26"/>
        <v>0</v>
      </c>
      <c r="S214" s="113">
        <f t="shared" si="24"/>
        <v>36.913096727263202</v>
      </c>
      <c r="T214" s="69">
        <f t="shared" si="27"/>
        <v>0</v>
      </c>
      <c r="U214" s="70">
        <f t="shared" si="28"/>
        <v>0</v>
      </c>
      <c r="V214" s="70">
        <f t="shared" si="29"/>
        <v>0</v>
      </c>
      <c r="W214" s="71">
        <f t="shared" si="30"/>
        <v>0</v>
      </c>
      <c r="X214" s="49"/>
      <c r="Y214" s="151"/>
      <c r="Z214" s="69"/>
      <c r="AA214" s="70"/>
      <c r="AB214" s="70"/>
      <c r="AC214" s="70" t="str">
        <f t="shared" si="31"/>
        <v>---</v>
      </c>
      <c r="AD214" s="70" t="str">
        <f>IFERROR(P214/#REF!-1,"---")</f>
        <v>---</v>
      </c>
      <c r="AE214" s="70" t="str">
        <f>IFERROR(#REF!/#REF!-1,"---")</f>
        <v>---</v>
      </c>
      <c r="AF214" s="70" t="str">
        <f>IFERROR(Q214/#REF!-1,"---")</f>
        <v>---</v>
      </c>
      <c r="AG214" s="70" t="str">
        <f>IFERROR(#REF!/#REF!-1,"---")</f>
        <v>---</v>
      </c>
      <c r="AH214" s="70" t="str">
        <f>IFERROR(#REF!/AA214-1,"---")</f>
        <v>---</v>
      </c>
      <c r="AI214" s="71" t="str">
        <f t="shared" si="32"/>
        <v>---</v>
      </c>
    </row>
    <row r="215" spans="1:35" ht="30" customHeight="1" x14ac:dyDescent="0.3">
      <c r="A215" s="123">
        <f t="shared" si="25"/>
        <v>211</v>
      </c>
      <c r="B215" s="140">
        <f>INDEX('PEER GROUP'!B:B,MATCH($A215,'PEER GROUP'!$A:$A,0))</f>
        <v>0</v>
      </c>
      <c r="C215" s="83">
        <f>INDEX('PEER GROUP'!C:C,MATCH($A215,'PEER GROUP'!$A:$A,0))</f>
        <v>0</v>
      </c>
      <c r="D215" s="83">
        <f>INDEX('PEER GROUP'!D:D,MATCH($A215,'PEER GROUP'!$A:$A,0))</f>
        <v>0</v>
      </c>
      <c r="E215" s="83">
        <f>INDEX('PEER GROUP'!E:E,MATCH(A215,'PEER GROUP'!$A:$A,0))</f>
        <v>0</v>
      </c>
      <c r="F215" s="84">
        <f>INDEX('PEER GROUP'!F:F,MATCH($A215,'PEER GROUP'!$A:$A,0))</f>
        <v>0</v>
      </c>
      <c r="G215" s="84">
        <f>INDEX('PEER GROUP'!G:G,MATCH($A215,'PEER GROUP'!$A:$A,0))</f>
        <v>0</v>
      </c>
      <c r="H215" s="85"/>
      <c r="I215" s="85"/>
      <c r="J215" s="70">
        <f>INDEX('PEER GROUP'!K:K,MATCH($A215,'PEER GROUP'!$A:$A,0))</f>
        <v>0</v>
      </c>
      <c r="K215" s="70">
        <f>INDEX('PEER GROUP'!L:L,MATCH($A215,'PEER GROUP'!$A:$A,0))</f>
        <v>0</v>
      </c>
      <c r="L215" s="81">
        <f>INDEX('PEER GROUP'!N:N,MATCH($A215,'PEER GROUP'!$A:$A,0))</f>
        <v>0</v>
      </c>
      <c r="M215" s="118"/>
      <c r="N215" s="115"/>
      <c r="O215" s="117"/>
      <c r="P215" s="87"/>
      <c r="Q215" s="87"/>
      <c r="R215" s="87">
        <f t="shared" si="26"/>
        <v>0</v>
      </c>
      <c r="S215" s="113">
        <f t="shared" si="24"/>
        <v>36.913096727263202</v>
      </c>
      <c r="T215" s="69">
        <f t="shared" si="27"/>
        <v>0</v>
      </c>
      <c r="U215" s="70">
        <f t="shared" si="28"/>
        <v>0</v>
      </c>
      <c r="V215" s="70">
        <f t="shared" si="29"/>
        <v>0</v>
      </c>
      <c r="W215" s="71">
        <f t="shared" si="30"/>
        <v>0</v>
      </c>
      <c r="X215" s="49"/>
      <c r="Y215" s="151"/>
      <c r="Z215" s="69"/>
      <c r="AA215" s="70"/>
      <c r="AB215" s="70"/>
      <c r="AC215" s="70" t="str">
        <f t="shared" si="31"/>
        <v>---</v>
      </c>
      <c r="AD215" s="70" t="str">
        <f>IFERROR(P215/#REF!-1,"---")</f>
        <v>---</v>
      </c>
      <c r="AE215" s="70" t="str">
        <f>IFERROR(#REF!/#REF!-1,"---")</f>
        <v>---</v>
      </c>
      <c r="AF215" s="70" t="str">
        <f>IFERROR(Q215/#REF!-1,"---")</f>
        <v>---</v>
      </c>
      <c r="AG215" s="70" t="str">
        <f>IFERROR(#REF!/#REF!-1,"---")</f>
        <v>---</v>
      </c>
      <c r="AH215" s="70" t="str">
        <f>IFERROR(#REF!/AA215-1,"---")</f>
        <v>---</v>
      </c>
      <c r="AI215" s="71" t="str">
        <f t="shared" si="32"/>
        <v>---</v>
      </c>
    </row>
    <row r="216" spans="1:35" ht="30" customHeight="1" x14ac:dyDescent="0.3">
      <c r="A216" s="123">
        <f t="shared" si="25"/>
        <v>212</v>
      </c>
      <c r="B216" s="140">
        <f>INDEX('PEER GROUP'!B:B,MATCH($A216,'PEER GROUP'!$A:$A,0))</f>
        <v>0</v>
      </c>
      <c r="C216" s="83">
        <f>INDEX('PEER GROUP'!C:C,MATCH($A216,'PEER GROUP'!$A:$A,0))</f>
        <v>0</v>
      </c>
      <c r="D216" s="83">
        <f>INDEX('PEER GROUP'!D:D,MATCH($A216,'PEER GROUP'!$A:$A,0))</f>
        <v>0</v>
      </c>
      <c r="E216" s="83">
        <f>INDEX('PEER GROUP'!E:E,MATCH(A216,'PEER GROUP'!$A:$A,0))</f>
        <v>0</v>
      </c>
      <c r="F216" s="84">
        <f>INDEX('PEER GROUP'!F:F,MATCH($A216,'PEER GROUP'!$A:$A,0))</f>
        <v>0</v>
      </c>
      <c r="G216" s="84">
        <f>INDEX('PEER GROUP'!G:G,MATCH($A216,'PEER GROUP'!$A:$A,0))</f>
        <v>0</v>
      </c>
      <c r="H216" s="85"/>
      <c r="I216" s="85"/>
      <c r="J216" s="70">
        <f>INDEX('PEER GROUP'!K:K,MATCH($A216,'PEER GROUP'!$A:$A,0))</f>
        <v>0</v>
      </c>
      <c r="K216" s="70">
        <f>INDEX('PEER GROUP'!L:L,MATCH($A216,'PEER GROUP'!$A:$A,0))</f>
        <v>0</v>
      </c>
      <c r="L216" s="81">
        <f>INDEX('PEER GROUP'!N:N,MATCH($A216,'PEER GROUP'!$A:$A,0))</f>
        <v>0</v>
      </c>
      <c r="M216" s="118"/>
      <c r="N216" s="115"/>
      <c r="O216" s="117"/>
      <c r="P216" s="87"/>
      <c r="Q216" s="87"/>
      <c r="R216" s="87">
        <f t="shared" si="26"/>
        <v>0</v>
      </c>
      <c r="S216" s="113">
        <f t="shared" si="24"/>
        <v>36.913096727263202</v>
      </c>
      <c r="T216" s="69">
        <f t="shared" si="27"/>
        <v>0</v>
      </c>
      <c r="U216" s="70">
        <f t="shared" si="28"/>
        <v>0</v>
      </c>
      <c r="V216" s="70">
        <f t="shared" si="29"/>
        <v>0</v>
      </c>
      <c r="W216" s="71">
        <f t="shared" si="30"/>
        <v>0</v>
      </c>
      <c r="X216" s="49"/>
      <c r="Y216" s="151"/>
      <c r="Z216" s="69"/>
      <c r="AA216" s="70"/>
      <c r="AB216" s="70"/>
      <c r="AC216" s="70" t="str">
        <f t="shared" si="31"/>
        <v>---</v>
      </c>
      <c r="AD216" s="70" t="str">
        <f>IFERROR(P216/#REF!-1,"---")</f>
        <v>---</v>
      </c>
      <c r="AE216" s="70" t="str">
        <f>IFERROR(#REF!/#REF!-1,"---")</f>
        <v>---</v>
      </c>
      <c r="AF216" s="70" t="str">
        <f>IFERROR(Q216/#REF!-1,"---")</f>
        <v>---</v>
      </c>
      <c r="AG216" s="70" t="str">
        <f>IFERROR(#REF!/#REF!-1,"---")</f>
        <v>---</v>
      </c>
      <c r="AH216" s="70" t="str">
        <f>IFERROR(#REF!/AA216-1,"---")</f>
        <v>---</v>
      </c>
      <c r="AI216" s="71" t="str">
        <f t="shared" si="32"/>
        <v>---</v>
      </c>
    </row>
    <row r="217" spans="1:35" ht="30" customHeight="1" x14ac:dyDescent="0.3">
      <c r="A217" s="123">
        <f t="shared" si="25"/>
        <v>213</v>
      </c>
      <c r="B217" s="140">
        <f>INDEX('PEER GROUP'!B:B,MATCH($A217,'PEER GROUP'!$A:$A,0))</f>
        <v>0</v>
      </c>
      <c r="C217" s="83">
        <f>INDEX('PEER GROUP'!C:C,MATCH($A217,'PEER GROUP'!$A:$A,0))</f>
        <v>0</v>
      </c>
      <c r="D217" s="83">
        <f>INDEX('PEER GROUP'!D:D,MATCH($A217,'PEER GROUP'!$A:$A,0))</f>
        <v>0</v>
      </c>
      <c r="E217" s="83">
        <f>INDEX('PEER GROUP'!E:E,MATCH(A217,'PEER GROUP'!$A:$A,0))</f>
        <v>0</v>
      </c>
      <c r="F217" s="84">
        <f>INDEX('PEER GROUP'!F:F,MATCH($A217,'PEER GROUP'!$A:$A,0))</f>
        <v>0</v>
      </c>
      <c r="G217" s="84">
        <f>INDEX('PEER GROUP'!G:G,MATCH($A217,'PEER GROUP'!$A:$A,0))</f>
        <v>0</v>
      </c>
      <c r="H217" s="85"/>
      <c r="I217" s="85"/>
      <c r="J217" s="70">
        <f>INDEX('PEER GROUP'!K:K,MATCH($A217,'PEER GROUP'!$A:$A,0))</f>
        <v>0</v>
      </c>
      <c r="K217" s="70">
        <f>INDEX('PEER GROUP'!L:L,MATCH($A217,'PEER GROUP'!$A:$A,0))</f>
        <v>0</v>
      </c>
      <c r="L217" s="81">
        <f>INDEX('PEER GROUP'!N:N,MATCH($A217,'PEER GROUP'!$A:$A,0))</f>
        <v>0</v>
      </c>
      <c r="M217" s="118"/>
      <c r="N217" s="115"/>
      <c r="O217" s="117"/>
      <c r="P217" s="87"/>
      <c r="Q217" s="87"/>
      <c r="R217" s="87">
        <f t="shared" si="26"/>
        <v>0</v>
      </c>
      <c r="S217" s="113">
        <f t="shared" si="24"/>
        <v>36.913096727263202</v>
      </c>
      <c r="T217" s="69">
        <f t="shared" si="27"/>
        <v>0</v>
      </c>
      <c r="U217" s="70">
        <f t="shared" si="28"/>
        <v>0</v>
      </c>
      <c r="V217" s="70">
        <f t="shared" si="29"/>
        <v>0</v>
      </c>
      <c r="W217" s="71">
        <f t="shared" si="30"/>
        <v>0</v>
      </c>
      <c r="X217" s="49"/>
      <c r="Y217" s="151"/>
      <c r="Z217" s="69"/>
      <c r="AA217" s="70"/>
      <c r="AB217" s="70"/>
      <c r="AC217" s="70" t="str">
        <f t="shared" si="31"/>
        <v>---</v>
      </c>
      <c r="AD217" s="70" t="str">
        <f>IFERROR(P217/#REF!-1,"---")</f>
        <v>---</v>
      </c>
      <c r="AE217" s="70" t="str">
        <f>IFERROR(#REF!/#REF!-1,"---")</f>
        <v>---</v>
      </c>
      <c r="AF217" s="70" t="str">
        <f>IFERROR(Q217/#REF!-1,"---")</f>
        <v>---</v>
      </c>
      <c r="AG217" s="70" t="str">
        <f>IFERROR(#REF!/#REF!-1,"---")</f>
        <v>---</v>
      </c>
      <c r="AH217" s="70" t="str">
        <f>IFERROR(#REF!/AA217-1,"---")</f>
        <v>---</v>
      </c>
      <c r="AI217" s="71" t="str">
        <f t="shared" si="32"/>
        <v>---</v>
      </c>
    </row>
    <row r="218" spans="1:35" ht="30" customHeight="1" x14ac:dyDescent="0.3">
      <c r="A218" s="123">
        <f t="shared" si="25"/>
        <v>214</v>
      </c>
      <c r="B218" s="140">
        <f>INDEX('PEER GROUP'!B:B,MATCH($A218,'PEER GROUP'!$A:$A,0))</f>
        <v>0</v>
      </c>
      <c r="C218" s="83">
        <f>INDEX('PEER GROUP'!C:C,MATCH($A218,'PEER GROUP'!$A:$A,0))</f>
        <v>0</v>
      </c>
      <c r="D218" s="83">
        <f>INDEX('PEER GROUP'!D:D,MATCH($A218,'PEER GROUP'!$A:$A,0))</f>
        <v>0</v>
      </c>
      <c r="E218" s="83">
        <f>INDEX('PEER GROUP'!E:E,MATCH(A218,'PEER GROUP'!$A:$A,0))</f>
        <v>0</v>
      </c>
      <c r="F218" s="84">
        <f>INDEX('PEER GROUP'!F:F,MATCH($A218,'PEER GROUP'!$A:$A,0))</f>
        <v>0</v>
      </c>
      <c r="G218" s="84">
        <f>INDEX('PEER GROUP'!G:G,MATCH($A218,'PEER GROUP'!$A:$A,0))</f>
        <v>0</v>
      </c>
      <c r="H218" s="85"/>
      <c r="I218" s="85"/>
      <c r="J218" s="70">
        <f>INDEX('PEER GROUP'!K:K,MATCH($A218,'PEER GROUP'!$A:$A,0))</f>
        <v>0</v>
      </c>
      <c r="K218" s="70">
        <f>INDEX('PEER GROUP'!L:L,MATCH($A218,'PEER GROUP'!$A:$A,0))</f>
        <v>0</v>
      </c>
      <c r="L218" s="81">
        <f>INDEX('PEER GROUP'!N:N,MATCH($A218,'PEER GROUP'!$A:$A,0))</f>
        <v>0</v>
      </c>
      <c r="M218" s="118"/>
      <c r="N218" s="115"/>
      <c r="O218" s="117"/>
      <c r="P218" s="87"/>
      <c r="Q218" s="87"/>
      <c r="R218" s="87">
        <f t="shared" si="26"/>
        <v>0</v>
      </c>
      <c r="S218" s="113">
        <f t="shared" si="24"/>
        <v>36.913096727263202</v>
      </c>
      <c r="T218" s="69">
        <f t="shared" si="27"/>
        <v>0</v>
      </c>
      <c r="U218" s="70">
        <f t="shared" si="28"/>
        <v>0</v>
      </c>
      <c r="V218" s="70">
        <f t="shared" si="29"/>
        <v>0</v>
      </c>
      <c r="W218" s="71">
        <f t="shared" si="30"/>
        <v>0</v>
      </c>
      <c r="X218" s="49"/>
      <c r="Y218" s="151"/>
      <c r="Z218" s="69"/>
      <c r="AA218" s="70"/>
      <c r="AB218" s="70"/>
      <c r="AC218" s="70" t="str">
        <f t="shared" si="31"/>
        <v>---</v>
      </c>
      <c r="AD218" s="70" t="str">
        <f>IFERROR(P218/#REF!-1,"---")</f>
        <v>---</v>
      </c>
      <c r="AE218" s="70" t="str">
        <f>IFERROR(#REF!/#REF!-1,"---")</f>
        <v>---</v>
      </c>
      <c r="AF218" s="70" t="str">
        <f>IFERROR(Q218/#REF!-1,"---")</f>
        <v>---</v>
      </c>
      <c r="AG218" s="70" t="str">
        <f>IFERROR(#REF!/#REF!-1,"---")</f>
        <v>---</v>
      </c>
      <c r="AH218" s="70" t="str">
        <f>IFERROR(#REF!/AA218-1,"---")</f>
        <v>---</v>
      </c>
      <c r="AI218" s="71" t="str">
        <f t="shared" si="32"/>
        <v>---</v>
      </c>
    </row>
    <row r="219" spans="1:35" ht="30" customHeight="1" x14ac:dyDescent="0.3">
      <c r="A219" s="123">
        <f t="shared" si="25"/>
        <v>215</v>
      </c>
      <c r="B219" s="140">
        <f>INDEX('PEER GROUP'!B:B,MATCH($A219,'PEER GROUP'!$A:$A,0))</f>
        <v>0</v>
      </c>
      <c r="C219" s="83">
        <f>INDEX('PEER GROUP'!C:C,MATCH($A219,'PEER GROUP'!$A:$A,0))</f>
        <v>0</v>
      </c>
      <c r="D219" s="83">
        <f>INDEX('PEER GROUP'!D:D,MATCH($A219,'PEER GROUP'!$A:$A,0))</f>
        <v>0</v>
      </c>
      <c r="E219" s="83">
        <f>INDEX('PEER GROUP'!E:E,MATCH(A219,'PEER GROUP'!$A:$A,0))</f>
        <v>0</v>
      </c>
      <c r="F219" s="84">
        <f>INDEX('PEER GROUP'!F:F,MATCH($A219,'PEER GROUP'!$A:$A,0))</f>
        <v>0</v>
      </c>
      <c r="G219" s="84">
        <f>INDEX('PEER GROUP'!G:G,MATCH($A219,'PEER GROUP'!$A:$A,0))</f>
        <v>0</v>
      </c>
      <c r="H219" s="85"/>
      <c r="I219" s="85"/>
      <c r="J219" s="70">
        <f>INDEX('PEER GROUP'!K:K,MATCH($A219,'PEER GROUP'!$A:$A,0))</f>
        <v>0</v>
      </c>
      <c r="K219" s="70">
        <f>INDEX('PEER GROUP'!L:L,MATCH($A219,'PEER GROUP'!$A:$A,0))</f>
        <v>0</v>
      </c>
      <c r="L219" s="81">
        <f>INDEX('PEER GROUP'!N:N,MATCH($A219,'PEER GROUP'!$A:$A,0))</f>
        <v>0</v>
      </c>
      <c r="M219" s="118"/>
      <c r="N219" s="115"/>
      <c r="O219" s="117"/>
      <c r="P219" s="87"/>
      <c r="Q219" s="87"/>
      <c r="R219" s="87">
        <f t="shared" si="26"/>
        <v>0</v>
      </c>
      <c r="S219" s="113">
        <f t="shared" si="24"/>
        <v>36.913096727263202</v>
      </c>
      <c r="T219" s="69">
        <f t="shared" si="27"/>
        <v>0</v>
      </c>
      <c r="U219" s="70">
        <f t="shared" si="28"/>
        <v>0</v>
      </c>
      <c r="V219" s="70">
        <f t="shared" si="29"/>
        <v>0</v>
      </c>
      <c r="W219" s="71">
        <f t="shared" si="30"/>
        <v>0</v>
      </c>
      <c r="X219" s="49"/>
      <c r="Y219" s="151"/>
      <c r="Z219" s="69"/>
      <c r="AA219" s="70"/>
      <c r="AB219" s="70"/>
      <c r="AC219" s="70" t="str">
        <f t="shared" si="31"/>
        <v>---</v>
      </c>
      <c r="AD219" s="70" t="str">
        <f>IFERROR(P219/#REF!-1,"---")</f>
        <v>---</v>
      </c>
      <c r="AE219" s="70" t="str">
        <f>IFERROR(#REF!/#REF!-1,"---")</f>
        <v>---</v>
      </c>
      <c r="AF219" s="70" t="str">
        <f>IFERROR(Q219/#REF!-1,"---")</f>
        <v>---</v>
      </c>
      <c r="AG219" s="70" t="str">
        <f>IFERROR(#REF!/#REF!-1,"---")</f>
        <v>---</v>
      </c>
      <c r="AH219" s="70" t="str">
        <f>IFERROR(#REF!/AA219-1,"---")</f>
        <v>---</v>
      </c>
      <c r="AI219" s="71" t="str">
        <f t="shared" si="32"/>
        <v>---</v>
      </c>
    </row>
    <row r="220" spans="1:35" ht="30" customHeight="1" x14ac:dyDescent="0.3">
      <c r="A220" s="123">
        <f t="shared" si="25"/>
        <v>216</v>
      </c>
      <c r="B220" s="140">
        <f>INDEX('PEER GROUP'!B:B,MATCH($A220,'PEER GROUP'!$A:$A,0))</f>
        <v>0</v>
      </c>
      <c r="C220" s="83">
        <f>INDEX('PEER GROUP'!C:C,MATCH($A220,'PEER GROUP'!$A:$A,0))</f>
        <v>0</v>
      </c>
      <c r="D220" s="83">
        <f>INDEX('PEER GROUP'!D:D,MATCH($A220,'PEER GROUP'!$A:$A,0))</f>
        <v>0</v>
      </c>
      <c r="E220" s="83">
        <f>INDEX('PEER GROUP'!E:E,MATCH(A220,'PEER GROUP'!$A:$A,0))</f>
        <v>0</v>
      </c>
      <c r="F220" s="84">
        <f>INDEX('PEER GROUP'!F:F,MATCH($A220,'PEER GROUP'!$A:$A,0))</f>
        <v>0</v>
      </c>
      <c r="G220" s="84">
        <f>INDEX('PEER GROUP'!G:G,MATCH($A220,'PEER GROUP'!$A:$A,0))</f>
        <v>0</v>
      </c>
      <c r="H220" s="85"/>
      <c r="I220" s="85"/>
      <c r="J220" s="70">
        <f>INDEX('PEER GROUP'!K:K,MATCH($A220,'PEER GROUP'!$A:$A,0))</f>
        <v>0</v>
      </c>
      <c r="K220" s="70">
        <f>INDEX('PEER GROUP'!L:L,MATCH($A220,'PEER GROUP'!$A:$A,0))</f>
        <v>0</v>
      </c>
      <c r="L220" s="81">
        <f>INDEX('PEER GROUP'!N:N,MATCH($A220,'PEER GROUP'!$A:$A,0))</f>
        <v>0</v>
      </c>
      <c r="M220" s="118"/>
      <c r="N220" s="115"/>
      <c r="O220" s="117"/>
      <c r="P220" s="87"/>
      <c r="Q220" s="87"/>
      <c r="R220" s="87">
        <f t="shared" si="26"/>
        <v>0</v>
      </c>
      <c r="S220" s="113">
        <f t="shared" si="24"/>
        <v>36.913096727263202</v>
      </c>
      <c r="T220" s="69">
        <f t="shared" si="27"/>
        <v>0</v>
      </c>
      <c r="U220" s="70">
        <f t="shared" si="28"/>
        <v>0</v>
      </c>
      <c r="V220" s="70">
        <f t="shared" si="29"/>
        <v>0</v>
      </c>
      <c r="W220" s="71">
        <f t="shared" si="30"/>
        <v>0</v>
      </c>
      <c r="X220" s="49"/>
      <c r="Y220" s="151"/>
      <c r="Z220" s="69"/>
      <c r="AA220" s="70"/>
      <c r="AB220" s="70"/>
      <c r="AC220" s="70" t="str">
        <f t="shared" si="31"/>
        <v>---</v>
      </c>
      <c r="AD220" s="70" t="str">
        <f>IFERROR(P220/#REF!-1,"---")</f>
        <v>---</v>
      </c>
      <c r="AE220" s="70" t="str">
        <f>IFERROR(#REF!/#REF!-1,"---")</f>
        <v>---</v>
      </c>
      <c r="AF220" s="70" t="str">
        <f>IFERROR(Q220/#REF!-1,"---")</f>
        <v>---</v>
      </c>
      <c r="AG220" s="70" t="str">
        <f>IFERROR(#REF!/#REF!-1,"---")</f>
        <v>---</v>
      </c>
      <c r="AH220" s="70" t="str">
        <f>IFERROR(#REF!/AA220-1,"---")</f>
        <v>---</v>
      </c>
      <c r="AI220" s="71" t="str">
        <f t="shared" si="32"/>
        <v>---</v>
      </c>
    </row>
    <row r="221" spans="1:35" ht="30" customHeight="1" x14ac:dyDescent="0.3">
      <c r="A221" s="123">
        <f t="shared" si="25"/>
        <v>217</v>
      </c>
      <c r="B221" s="140">
        <f>INDEX('PEER GROUP'!B:B,MATCH($A221,'PEER GROUP'!$A:$A,0))</f>
        <v>0</v>
      </c>
      <c r="C221" s="83">
        <f>INDEX('PEER GROUP'!C:C,MATCH($A221,'PEER GROUP'!$A:$A,0))</f>
        <v>0</v>
      </c>
      <c r="D221" s="83">
        <f>INDEX('PEER GROUP'!D:D,MATCH($A221,'PEER GROUP'!$A:$A,0))</f>
        <v>0</v>
      </c>
      <c r="E221" s="83">
        <f>INDEX('PEER GROUP'!E:E,MATCH(A221,'PEER GROUP'!$A:$A,0))</f>
        <v>0</v>
      </c>
      <c r="F221" s="84">
        <f>INDEX('PEER GROUP'!F:F,MATCH($A221,'PEER GROUP'!$A:$A,0))</f>
        <v>0</v>
      </c>
      <c r="G221" s="84">
        <f>INDEX('PEER GROUP'!G:G,MATCH($A221,'PEER GROUP'!$A:$A,0))</f>
        <v>0</v>
      </c>
      <c r="H221" s="85"/>
      <c r="I221" s="85"/>
      <c r="J221" s="70">
        <f>INDEX('PEER GROUP'!K:K,MATCH($A221,'PEER GROUP'!$A:$A,0))</f>
        <v>0</v>
      </c>
      <c r="K221" s="70">
        <f>INDEX('PEER GROUP'!L:L,MATCH($A221,'PEER GROUP'!$A:$A,0))</f>
        <v>0</v>
      </c>
      <c r="L221" s="81">
        <f>INDEX('PEER GROUP'!N:N,MATCH($A221,'PEER GROUP'!$A:$A,0))</f>
        <v>0</v>
      </c>
      <c r="M221" s="118"/>
      <c r="N221" s="115"/>
      <c r="O221" s="117"/>
      <c r="P221" s="87"/>
      <c r="Q221" s="87"/>
      <c r="R221" s="87">
        <f t="shared" si="26"/>
        <v>0</v>
      </c>
      <c r="S221" s="113">
        <f t="shared" si="24"/>
        <v>36.913096727263202</v>
      </c>
      <c r="T221" s="69">
        <f t="shared" si="27"/>
        <v>0</v>
      </c>
      <c r="U221" s="70">
        <f t="shared" si="28"/>
        <v>0</v>
      </c>
      <c r="V221" s="70">
        <f t="shared" si="29"/>
        <v>0</v>
      </c>
      <c r="W221" s="71">
        <f t="shared" si="30"/>
        <v>0</v>
      </c>
      <c r="X221" s="49"/>
      <c r="Y221" s="151"/>
      <c r="Z221" s="69"/>
      <c r="AA221" s="70"/>
      <c r="AB221" s="70"/>
      <c r="AC221" s="70" t="str">
        <f t="shared" si="31"/>
        <v>---</v>
      </c>
      <c r="AD221" s="70" t="str">
        <f>IFERROR(P221/#REF!-1,"---")</f>
        <v>---</v>
      </c>
      <c r="AE221" s="70" t="str">
        <f>IFERROR(#REF!/#REF!-1,"---")</f>
        <v>---</v>
      </c>
      <c r="AF221" s="70" t="str">
        <f>IFERROR(Q221/#REF!-1,"---")</f>
        <v>---</v>
      </c>
      <c r="AG221" s="70" t="str">
        <f>IFERROR(#REF!/#REF!-1,"---")</f>
        <v>---</v>
      </c>
      <c r="AH221" s="70" t="str">
        <f>IFERROR(#REF!/AA221-1,"---")</f>
        <v>---</v>
      </c>
      <c r="AI221" s="71" t="str">
        <f t="shared" si="32"/>
        <v>---</v>
      </c>
    </row>
    <row r="222" spans="1:35" ht="30" customHeight="1" x14ac:dyDescent="0.3">
      <c r="A222" s="123">
        <f t="shared" si="25"/>
        <v>218</v>
      </c>
      <c r="B222" s="140">
        <f>INDEX('PEER GROUP'!B:B,MATCH($A222,'PEER GROUP'!$A:$A,0))</f>
        <v>0</v>
      </c>
      <c r="C222" s="83">
        <f>INDEX('PEER GROUP'!C:C,MATCH($A222,'PEER GROUP'!$A:$A,0))</f>
        <v>0</v>
      </c>
      <c r="D222" s="83">
        <f>INDEX('PEER GROUP'!D:D,MATCH($A222,'PEER GROUP'!$A:$A,0))</f>
        <v>0</v>
      </c>
      <c r="E222" s="83">
        <f>INDEX('PEER GROUP'!E:E,MATCH(A222,'PEER GROUP'!$A:$A,0))</f>
        <v>0</v>
      </c>
      <c r="F222" s="84">
        <f>INDEX('PEER GROUP'!F:F,MATCH($A222,'PEER GROUP'!$A:$A,0))</f>
        <v>0</v>
      </c>
      <c r="G222" s="84">
        <f>INDEX('PEER GROUP'!G:G,MATCH($A222,'PEER GROUP'!$A:$A,0))</f>
        <v>0</v>
      </c>
      <c r="H222" s="85"/>
      <c r="I222" s="85"/>
      <c r="J222" s="70">
        <f>INDEX('PEER GROUP'!K:K,MATCH($A222,'PEER GROUP'!$A:$A,0))</f>
        <v>0</v>
      </c>
      <c r="K222" s="70">
        <f>INDEX('PEER GROUP'!L:L,MATCH($A222,'PEER GROUP'!$A:$A,0))</f>
        <v>0</v>
      </c>
      <c r="L222" s="81">
        <f>INDEX('PEER GROUP'!N:N,MATCH($A222,'PEER GROUP'!$A:$A,0))</f>
        <v>0</v>
      </c>
      <c r="M222" s="118"/>
      <c r="N222" s="115"/>
      <c r="O222" s="117"/>
      <c r="P222" s="87"/>
      <c r="Q222" s="87"/>
      <c r="R222" s="87">
        <f t="shared" si="26"/>
        <v>0</v>
      </c>
      <c r="S222" s="113">
        <f t="shared" si="24"/>
        <v>36.913096727263202</v>
      </c>
      <c r="T222" s="69">
        <f t="shared" si="27"/>
        <v>0</v>
      </c>
      <c r="U222" s="70">
        <f t="shared" si="28"/>
        <v>0</v>
      </c>
      <c r="V222" s="70">
        <f t="shared" si="29"/>
        <v>0</v>
      </c>
      <c r="W222" s="71">
        <f t="shared" si="30"/>
        <v>0</v>
      </c>
      <c r="X222" s="49"/>
      <c r="Y222" s="151"/>
      <c r="Z222" s="69"/>
      <c r="AA222" s="70"/>
      <c r="AB222" s="70"/>
      <c r="AC222" s="70" t="str">
        <f t="shared" si="31"/>
        <v>---</v>
      </c>
      <c r="AD222" s="70" t="str">
        <f>IFERROR(P222/#REF!-1,"---")</f>
        <v>---</v>
      </c>
      <c r="AE222" s="70" t="str">
        <f>IFERROR(#REF!/#REF!-1,"---")</f>
        <v>---</v>
      </c>
      <c r="AF222" s="70" t="str">
        <f>IFERROR(Q222/#REF!-1,"---")</f>
        <v>---</v>
      </c>
      <c r="AG222" s="70" t="str">
        <f>IFERROR(#REF!/#REF!-1,"---")</f>
        <v>---</v>
      </c>
      <c r="AH222" s="70" t="str">
        <f>IFERROR(#REF!/AA222-1,"---")</f>
        <v>---</v>
      </c>
      <c r="AI222" s="71" t="str">
        <f t="shared" si="32"/>
        <v>---</v>
      </c>
    </row>
    <row r="223" spans="1:35" ht="30" customHeight="1" x14ac:dyDescent="0.3">
      <c r="A223" s="123">
        <f t="shared" si="25"/>
        <v>219</v>
      </c>
      <c r="B223" s="140">
        <f>INDEX('PEER GROUP'!B:B,MATCH($A223,'PEER GROUP'!$A:$A,0))</f>
        <v>0</v>
      </c>
      <c r="C223" s="83">
        <f>INDEX('PEER GROUP'!C:C,MATCH($A223,'PEER GROUP'!$A:$A,0))</f>
        <v>0</v>
      </c>
      <c r="D223" s="83">
        <f>INDEX('PEER GROUP'!D:D,MATCH($A223,'PEER GROUP'!$A:$A,0))</f>
        <v>0</v>
      </c>
      <c r="E223" s="83">
        <f>INDEX('PEER GROUP'!E:E,MATCH(A223,'PEER GROUP'!$A:$A,0))</f>
        <v>0</v>
      </c>
      <c r="F223" s="84">
        <f>INDEX('PEER GROUP'!F:F,MATCH($A223,'PEER GROUP'!$A:$A,0))</f>
        <v>0</v>
      </c>
      <c r="G223" s="84">
        <f>INDEX('PEER GROUP'!G:G,MATCH($A223,'PEER GROUP'!$A:$A,0))</f>
        <v>0</v>
      </c>
      <c r="H223" s="85"/>
      <c r="I223" s="85"/>
      <c r="J223" s="70">
        <f>INDEX('PEER GROUP'!K:K,MATCH($A223,'PEER GROUP'!$A:$A,0))</f>
        <v>0</v>
      </c>
      <c r="K223" s="70">
        <f>INDEX('PEER GROUP'!L:L,MATCH($A223,'PEER GROUP'!$A:$A,0))</f>
        <v>0</v>
      </c>
      <c r="L223" s="81">
        <f>INDEX('PEER GROUP'!N:N,MATCH($A223,'PEER GROUP'!$A:$A,0))</f>
        <v>0</v>
      </c>
      <c r="M223" s="118"/>
      <c r="N223" s="115"/>
      <c r="O223" s="117"/>
      <c r="P223" s="87"/>
      <c r="Q223" s="87"/>
      <c r="R223" s="87">
        <f t="shared" si="26"/>
        <v>0</v>
      </c>
      <c r="S223" s="113">
        <f t="shared" si="24"/>
        <v>36.913096727263202</v>
      </c>
      <c r="T223" s="69">
        <f t="shared" si="27"/>
        <v>0</v>
      </c>
      <c r="U223" s="70">
        <f t="shared" si="28"/>
        <v>0</v>
      </c>
      <c r="V223" s="70">
        <f t="shared" si="29"/>
        <v>0</v>
      </c>
      <c r="W223" s="71">
        <f t="shared" si="30"/>
        <v>0</v>
      </c>
      <c r="X223" s="49"/>
      <c r="Y223" s="151"/>
      <c r="Z223" s="69"/>
      <c r="AA223" s="70"/>
      <c r="AB223" s="70"/>
      <c r="AC223" s="70" t="str">
        <f t="shared" si="31"/>
        <v>---</v>
      </c>
      <c r="AD223" s="70" t="str">
        <f>IFERROR(P223/#REF!-1,"---")</f>
        <v>---</v>
      </c>
      <c r="AE223" s="70" t="str">
        <f>IFERROR(#REF!/#REF!-1,"---")</f>
        <v>---</v>
      </c>
      <c r="AF223" s="70" t="str">
        <f>IFERROR(Q223/#REF!-1,"---")</f>
        <v>---</v>
      </c>
      <c r="AG223" s="70" t="str">
        <f>IFERROR(#REF!/#REF!-1,"---")</f>
        <v>---</v>
      </c>
      <c r="AH223" s="70" t="str">
        <f>IFERROR(#REF!/AA223-1,"---")</f>
        <v>---</v>
      </c>
      <c r="AI223" s="71" t="str">
        <f t="shared" si="32"/>
        <v>---</v>
      </c>
    </row>
    <row r="224" spans="1:35" ht="30" customHeight="1" x14ac:dyDescent="0.3">
      <c r="A224" s="123">
        <f t="shared" si="25"/>
        <v>220</v>
      </c>
      <c r="B224" s="140">
        <f>INDEX('PEER GROUP'!B:B,MATCH($A224,'PEER GROUP'!$A:$A,0))</f>
        <v>0</v>
      </c>
      <c r="C224" s="83">
        <f>INDEX('PEER GROUP'!C:C,MATCH($A224,'PEER GROUP'!$A:$A,0))</f>
        <v>0</v>
      </c>
      <c r="D224" s="83">
        <f>INDEX('PEER GROUP'!D:D,MATCH($A224,'PEER GROUP'!$A:$A,0))</f>
        <v>0</v>
      </c>
      <c r="E224" s="83">
        <f>INDEX('PEER GROUP'!E:E,MATCH(A224,'PEER GROUP'!$A:$A,0))</f>
        <v>0</v>
      </c>
      <c r="F224" s="84">
        <f>INDEX('PEER GROUP'!F:F,MATCH($A224,'PEER GROUP'!$A:$A,0))</f>
        <v>0</v>
      </c>
      <c r="G224" s="84">
        <f>INDEX('PEER GROUP'!G:G,MATCH($A224,'PEER GROUP'!$A:$A,0))</f>
        <v>0</v>
      </c>
      <c r="H224" s="85"/>
      <c r="I224" s="85"/>
      <c r="J224" s="70">
        <f>INDEX('PEER GROUP'!K:K,MATCH($A224,'PEER GROUP'!$A:$A,0))</f>
        <v>0</v>
      </c>
      <c r="K224" s="70">
        <f>INDEX('PEER GROUP'!L:L,MATCH($A224,'PEER GROUP'!$A:$A,0))</f>
        <v>0</v>
      </c>
      <c r="L224" s="81">
        <f>INDEX('PEER GROUP'!N:N,MATCH($A224,'PEER GROUP'!$A:$A,0))</f>
        <v>0</v>
      </c>
      <c r="M224" s="118"/>
      <c r="N224" s="115"/>
      <c r="O224" s="117"/>
      <c r="P224" s="87"/>
      <c r="Q224" s="87"/>
      <c r="R224" s="87">
        <f t="shared" si="26"/>
        <v>0</v>
      </c>
      <c r="S224" s="113">
        <f t="shared" si="24"/>
        <v>36.913096727263202</v>
      </c>
      <c r="T224" s="69">
        <f t="shared" si="27"/>
        <v>0</v>
      </c>
      <c r="U224" s="70">
        <f t="shared" si="28"/>
        <v>0</v>
      </c>
      <c r="V224" s="70">
        <f t="shared" si="29"/>
        <v>0</v>
      </c>
      <c r="W224" s="71">
        <f t="shared" si="30"/>
        <v>0</v>
      </c>
      <c r="X224" s="49"/>
      <c r="Y224" s="151"/>
      <c r="Z224" s="69"/>
      <c r="AA224" s="70"/>
      <c r="AB224" s="70"/>
      <c r="AC224" s="70" t="str">
        <f t="shared" si="31"/>
        <v>---</v>
      </c>
      <c r="AD224" s="70" t="str">
        <f>IFERROR(P224/#REF!-1,"---")</f>
        <v>---</v>
      </c>
      <c r="AE224" s="70" t="str">
        <f>IFERROR(#REF!/#REF!-1,"---")</f>
        <v>---</v>
      </c>
      <c r="AF224" s="70" t="str">
        <f>IFERROR(Q224/#REF!-1,"---")</f>
        <v>---</v>
      </c>
      <c r="AG224" s="70" t="str">
        <f>IFERROR(#REF!/#REF!-1,"---")</f>
        <v>---</v>
      </c>
      <c r="AH224" s="70" t="str">
        <f>IFERROR(#REF!/AA224-1,"---")</f>
        <v>---</v>
      </c>
      <c r="AI224" s="71" t="str">
        <f t="shared" si="32"/>
        <v>---</v>
      </c>
    </row>
    <row r="225" spans="1:35" ht="30" customHeight="1" x14ac:dyDescent="0.3">
      <c r="A225" s="123">
        <f t="shared" si="25"/>
        <v>221</v>
      </c>
      <c r="B225" s="140">
        <f>INDEX('PEER GROUP'!B:B,MATCH($A225,'PEER GROUP'!$A:$A,0))</f>
        <v>0</v>
      </c>
      <c r="C225" s="83">
        <f>INDEX('PEER GROUP'!C:C,MATCH($A225,'PEER GROUP'!$A:$A,0))</f>
        <v>0</v>
      </c>
      <c r="D225" s="83">
        <f>INDEX('PEER GROUP'!D:D,MATCH($A225,'PEER GROUP'!$A:$A,0))</f>
        <v>0</v>
      </c>
      <c r="E225" s="83">
        <f>INDEX('PEER GROUP'!E:E,MATCH(A225,'PEER GROUP'!$A:$A,0))</f>
        <v>0</v>
      </c>
      <c r="F225" s="84">
        <f>INDEX('PEER GROUP'!F:F,MATCH($A225,'PEER GROUP'!$A:$A,0))</f>
        <v>0</v>
      </c>
      <c r="G225" s="84">
        <f>INDEX('PEER GROUP'!G:G,MATCH($A225,'PEER GROUP'!$A:$A,0))</f>
        <v>0</v>
      </c>
      <c r="H225" s="85"/>
      <c r="I225" s="85"/>
      <c r="J225" s="70">
        <f>INDEX('PEER GROUP'!K:K,MATCH($A225,'PEER GROUP'!$A:$A,0))</f>
        <v>0</v>
      </c>
      <c r="K225" s="70">
        <f>INDEX('PEER GROUP'!L:L,MATCH($A225,'PEER GROUP'!$A:$A,0))</f>
        <v>0</v>
      </c>
      <c r="L225" s="81">
        <f>INDEX('PEER GROUP'!N:N,MATCH($A225,'PEER GROUP'!$A:$A,0))</f>
        <v>0</v>
      </c>
      <c r="M225" s="118"/>
      <c r="N225" s="115"/>
      <c r="O225" s="117"/>
      <c r="P225" s="87"/>
      <c r="Q225" s="87"/>
      <c r="R225" s="87">
        <f t="shared" si="26"/>
        <v>0</v>
      </c>
      <c r="S225" s="113">
        <f t="shared" si="24"/>
        <v>36.913096727263202</v>
      </c>
      <c r="T225" s="69">
        <f t="shared" si="27"/>
        <v>0</v>
      </c>
      <c r="U225" s="70">
        <f t="shared" si="28"/>
        <v>0</v>
      </c>
      <c r="V225" s="70">
        <f t="shared" si="29"/>
        <v>0</v>
      </c>
      <c r="W225" s="71">
        <f t="shared" si="30"/>
        <v>0</v>
      </c>
      <c r="X225" s="49"/>
      <c r="Y225" s="151"/>
      <c r="Z225" s="69"/>
      <c r="AA225" s="70"/>
      <c r="AB225" s="70"/>
      <c r="AC225" s="70" t="str">
        <f t="shared" si="31"/>
        <v>---</v>
      </c>
      <c r="AD225" s="70" t="str">
        <f>IFERROR(P225/#REF!-1,"---")</f>
        <v>---</v>
      </c>
      <c r="AE225" s="70" t="str">
        <f>IFERROR(#REF!/#REF!-1,"---")</f>
        <v>---</v>
      </c>
      <c r="AF225" s="70" t="str">
        <f>IFERROR(Q225/#REF!-1,"---")</f>
        <v>---</v>
      </c>
      <c r="AG225" s="70" t="str">
        <f>IFERROR(#REF!/#REF!-1,"---")</f>
        <v>---</v>
      </c>
      <c r="AH225" s="70" t="str">
        <f>IFERROR(#REF!/AA225-1,"---")</f>
        <v>---</v>
      </c>
      <c r="AI225" s="71" t="str">
        <f t="shared" si="32"/>
        <v>---</v>
      </c>
    </row>
    <row r="226" spans="1:35" ht="30" customHeight="1" x14ac:dyDescent="0.3">
      <c r="A226" s="123">
        <f t="shared" si="25"/>
        <v>222</v>
      </c>
      <c r="B226" s="140">
        <f>INDEX('PEER GROUP'!B:B,MATCH($A226,'PEER GROUP'!$A:$A,0))</f>
        <v>0</v>
      </c>
      <c r="C226" s="83">
        <f>INDEX('PEER GROUP'!C:C,MATCH($A226,'PEER GROUP'!$A:$A,0))</f>
        <v>0</v>
      </c>
      <c r="D226" s="83">
        <f>INDEX('PEER GROUP'!D:D,MATCH($A226,'PEER GROUP'!$A:$A,0))</f>
        <v>0</v>
      </c>
      <c r="E226" s="83">
        <f>INDEX('PEER GROUP'!E:E,MATCH(A226,'PEER GROUP'!$A:$A,0))</f>
        <v>0</v>
      </c>
      <c r="F226" s="84">
        <f>INDEX('PEER GROUP'!F:F,MATCH($A226,'PEER GROUP'!$A:$A,0))</f>
        <v>0</v>
      </c>
      <c r="G226" s="84">
        <f>INDEX('PEER GROUP'!G:G,MATCH($A226,'PEER GROUP'!$A:$A,0))</f>
        <v>0</v>
      </c>
      <c r="H226" s="85"/>
      <c r="I226" s="85"/>
      <c r="J226" s="70">
        <f>INDEX('PEER GROUP'!K:K,MATCH($A226,'PEER GROUP'!$A:$A,0))</f>
        <v>0</v>
      </c>
      <c r="K226" s="70">
        <f>INDEX('PEER GROUP'!L:L,MATCH($A226,'PEER GROUP'!$A:$A,0))</f>
        <v>0</v>
      </c>
      <c r="L226" s="81">
        <f>INDEX('PEER GROUP'!N:N,MATCH($A226,'PEER GROUP'!$A:$A,0))</f>
        <v>0</v>
      </c>
      <c r="M226" s="118"/>
      <c r="N226" s="115"/>
      <c r="O226" s="117"/>
      <c r="P226" s="87"/>
      <c r="Q226" s="87"/>
      <c r="R226" s="87">
        <f t="shared" si="26"/>
        <v>0</v>
      </c>
      <c r="S226" s="113">
        <f t="shared" si="24"/>
        <v>36.913096727263202</v>
      </c>
      <c r="T226" s="69">
        <f t="shared" si="27"/>
        <v>0</v>
      </c>
      <c r="U226" s="70">
        <f t="shared" si="28"/>
        <v>0</v>
      </c>
      <c r="V226" s="70">
        <f t="shared" si="29"/>
        <v>0</v>
      </c>
      <c r="W226" s="71">
        <f t="shared" si="30"/>
        <v>0</v>
      </c>
      <c r="X226" s="49"/>
      <c r="Y226" s="151"/>
      <c r="Z226" s="69"/>
      <c r="AA226" s="70"/>
      <c r="AB226" s="70"/>
      <c r="AC226" s="70" t="str">
        <f t="shared" si="31"/>
        <v>---</v>
      </c>
      <c r="AD226" s="70" t="str">
        <f>IFERROR(P226/#REF!-1,"---")</f>
        <v>---</v>
      </c>
      <c r="AE226" s="70" t="str">
        <f>IFERROR(#REF!/#REF!-1,"---")</f>
        <v>---</v>
      </c>
      <c r="AF226" s="70" t="str">
        <f>IFERROR(Q226/#REF!-1,"---")</f>
        <v>---</v>
      </c>
      <c r="AG226" s="70" t="str">
        <f>IFERROR(#REF!/#REF!-1,"---")</f>
        <v>---</v>
      </c>
      <c r="AH226" s="70" t="str">
        <f>IFERROR(#REF!/AA226-1,"---")</f>
        <v>---</v>
      </c>
      <c r="AI226" s="71" t="str">
        <f t="shared" si="32"/>
        <v>---</v>
      </c>
    </row>
    <row r="227" spans="1:35" ht="30" customHeight="1" x14ac:dyDescent="0.3">
      <c r="A227" s="123">
        <f t="shared" si="25"/>
        <v>223</v>
      </c>
      <c r="B227" s="140">
        <f>INDEX('PEER GROUP'!B:B,MATCH($A227,'PEER GROUP'!$A:$A,0))</f>
        <v>0</v>
      </c>
      <c r="C227" s="83">
        <f>INDEX('PEER GROUP'!C:C,MATCH($A227,'PEER GROUP'!$A:$A,0))</f>
        <v>0</v>
      </c>
      <c r="D227" s="83">
        <f>INDEX('PEER GROUP'!D:D,MATCH($A227,'PEER GROUP'!$A:$A,0))</f>
        <v>0</v>
      </c>
      <c r="E227" s="83">
        <f>INDEX('PEER GROUP'!E:E,MATCH(A227,'PEER GROUP'!$A:$A,0))</f>
        <v>0</v>
      </c>
      <c r="F227" s="84">
        <f>INDEX('PEER GROUP'!F:F,MATCH($A227,'PEER GROUP'!$A:$A,0))</f>
        <v>0</v>
      </c>
      <c r="G227" s="84">
        <f>INDEX('PEER GROUP'!G:G,MATCH($A227,'PEER GROUP'!$A:$A,0))</f>
        <v>0</v>
      </c>
      <c r="H227" s="85"/>
      <c r="I227" s="85"/>
      <c r="J227" s="70">
        <f>INDEX('PEER GROUP'!K:K,MATCH($A227,'PEER GROUP'!$A:$A,0))</f>
        <v>0</v>
      </c>
      <c r="K227" s="70">
        <f>INDEX('PEER GROUP'!L:L,MATCH($A227,'PEER GROUP'!$A:$A,0))</f>
        <v>0</v>
      </c>
      <c r="L227" s="81">
        <f>INDEX('PEER GROUP'!N:N,MATCH($A227,'PEER GROUP'!$A:$A,0))</f>
        <v>0</v>
      </c>
      <c r="M227" s="118"/>
      <c r="N227" s="115"/>
      <c r="O227" s="117"/>
      <c r="P227" s="87"/>
      <c r="Q227" s="87"/>
      <c r="R227" s="87">
        <f t="shared" si="26"/>
        <v>0</v>
      </c>
      <c r="S227" s="113">
        <f t="shared" ref="S227:S290" si="33">IF(DataEffDate&gt;DATE(2022,1,1),
IF(E227&lt;DATE(2022,1,1),
(1+UpdateFactor)^(IF(E227&lt;DataEffDate,1,-1)*YEARFRAC(E227,DATE(2022,1,1),1))+(1+UpdateFactor_TEMP)^(IF(DATE(2022,1,1)&lt;DataEffDate,1,-1)*YEARFRAC(DATE(2022,1,1),DataEffDate,1))-1,
(1+UpdateFactor_TEMP)^(IF(E227&lt;DataEffDate,1,-1)*YEARFRAC(E227,DataEffDate,1))),
(1+UpdateFactor)^(IF(E227&lt;DataEffDate,1,-1)*YEARFRAC(E227,DataEffDate,1)))</f>
        <v>36.913096727263202</v>
      </c>
      <c r="T227" s="69">
        <f t="shared" si="27"/>
        <v>0</v>
      </c>
      <c r="U227" s="70">
        <f t="shared" si="28"/>
        <v>0</v>
      </c>
      <c r="V227" s="70">
        <f t="shared" si="29"/>
        <v>0</v>
      </c>
      <c r="W227" s="71">
        <f t="shared" si="30"/>
        <v>0</v>
      </c>
      <c r="X227" s="49"/>
      <c r="Y227" s="151"/>
      <c r="Z227" s="69"/>
      <c r="AA227" s="70"/>
      <c r="AB227" s="70"/>
      <c r="AC227" s="70" t="str">
        <f t="shared" si="31"/>
        <v>---</v>
      </c>
      <c r="AD227" s="70" t="str">
        <f>IFERROR(P227/#REF!-1,"---")</f>
        <v>---</v>
      </c>
      <c r="AE227" s="70" t="str">
        <f>IFERROR(#REF!/#REF!-1,"---")</f>
        <v>---</v>
      </c>
      <c r="AF227" s="70" t="str">
        <f>IFERROR(Q227/#REF!-1,"---")</f>
        <v>---</v>
      </c>
      <c r="AG227" s="70" t="str">
        <f>IFERROR(#REF!/#REF!-1,"---")</f>
        <v>---</v>
      </c>
      <c r="AH227" s="70" t="str">
        <f>IFERROR(#REF!/AA227-1,"---")</f>
        <v>---</v>
      </c>
      <c r="AI227" s="71" t="str">
        <f t="shared" si="32"/>
        <v>---</v>
      </c>
    </row>
    <row r="228" spans="1:35" ht="30" customHeight="1" x14ac:dyDescent="0.3">
      <c r="A228" s="123">
        <f t="shared" ref="A228:A291" si="34">A227+1</f>
        <v>224</v>
      </c>
      <c r="B228" s="140">
        <f>INDEX('PEER GROUP'!B:B,MATCH($A228,'PEER GROUP'!$A:$A,0))</f>
        <v>0</v>
      </c>
      <c r="C228" s="83">
        <f>INDEX('PEER GROUP'!C:C,MATCH($A228,'PEER GROUP'!$A:$A,0))</f>
        <v>0</v>
      </c>
      <c r="D228" s="83">
        <f>INDEX('PEER GROUP'!D:D,MATCH($A228,'PEER GROUP'!$A:$A,0))</f>
        <v>0</v>
      </c>
      <c r="E228" s="83">
        <f>INDEX('PEER GROUP'!E:E,MATCH(A228,'PEER GROUP'!$A:$A,0))</f>
        <v>0</v>
      </c>
      <c r="F228" s="84">
        <f>INDEX('PEER GROUP'!F:F,MATCH($A228,'PEER GROUP'!$A:$A,0))</f>
        <v>0</v>
      </c>
      <c r="G228" s="84">
        <f>INDEX('PEER GROUP'!G:G,MATCH($A228,'PEER GROUP'!$A:$A,0))</f>
        <v>0</v>
      </c>
      <c r="H228" s="85"/>
      <c r="I228" s="85"/>
      <c r="J228" s="70">
        <f>INDEX('PEER GROUP'!K:K,MATCH($A228,'PEER GROUP'!$A:$A,0))</f>
        <v>0</v>
      </c>
      <c r="K228" s="70">
        <f>INDEX('PEER GROUP'!L:L,MATCH($A228,'PEER GROUP'!$A:$A,0))</f>
        <v>0</v>
      </c>
      <c r="L228" s="81">
        <f>INDEX('PEER GROUP'!N:N,MATCH($A228,'PEER GROUP'!$A:$A,0))</f>
        <v>0</v>
      </c>
      <c r="M228" s="118"/>
      <c r="N228" s="115"/>
      <c r="O228" s="117"/>
      <c r="P228" s="87"/>
      <c r="Q228" s="87"/>
      <c r="R228" s="87">
        <f t="shared" ref="R228:R291" si="35">SUM(O228:Q228)</f>
        <v>0</v>
      </c>
      <c r="S228" s="113">
        <f t="shared" si="33"/>
        <v>36.913096727263202</v>
      </c>
      <c r="T228" s="69">
        <f t="shared" ref="T228:T291" si="36">O228*$S228</f>
        <v>0</v>
      </c>
      <c r="U228" s="70">
        <f t="shared" ref="U228:U291" si="37">P228*$S228</f>
        <v>0</v>
      </c>
      <c r="V228" s="70">
        <f t="shared" ref="V228:V291" si="38">Q228*$S228</f>
        <v>0</v>
      </c>
      <c r="W228" s="71">
        <f t="shared" ref="W228:W291" si="39">SUM(T228:V228)</f>
        <v>0</v>
      </c>
      <c r="X228" s="49"/>
      <c r="Y228" s="151"/>
      <c r="Z228" s="69"/>
      <c r="AA228" s="70"/>
      <c r="AB228" s="70"/>
      <c r="AC228" s="70" t="str">
        <f t="shared" ref="AC228:AC291" si="40">IFERROR(O228/Z228-1,"---")</f>
        <v>---</v>
      </c>
      <c r="AD228" s="70" t="str">
        <f>IFERROR(P228/#REF!-1,"---")</f>
        <v>---</v>
      </c>
      <c r="AE228" s="70" t="str">
        <f>IFERROR(#REF!/#REF!-1,"---")</f>
        <v>---</v>
      </c>
      <c r="AF228" s="70" t="str">
        <f>IFERROR(Q228/#REF!-1,"---")</f>
        <v>---</v>
      </c>
      <c r="AG228" s="70" t="str">
        <f>IFERROR(#REF!/#REF!-1,"---")</f>
        <v>---</v>
      </c>
      <c r="AH228" s="70" t="str">
        <f>IFERROR(#REF!/AA228-1,"---")</f>
        <v>---</v>
      </c>
      <c r="AI228" s="71" t="str">
        <f t="shared" ref="AI228:AI291" si="41">IFERROR(R228/AB228-1,"---")</f>
        <v>---</v>
      </c>
    </row>
    <row r="229" spans="1:35" ht="30" customHeight="1" x14ac:dyDescent="0.3">
      <c r="A229" s="123">
        <f t="shared" si="34"/>
        <v>225</v>
      </c>
      <c r="B229" s="140">
        <f>INDEX('PEER GROUP'!B:B,MATCH($A229,'PEER GROUP'!$A:$A,0))</f>
        <v>0</v>
      </c>
      <c r="C229" s="83">
        <f>INDEX('PEER GROUP'!C:C,MATCH($A229,'PEER GROUP'!$A:$A,0))</f>
        <v>0</v>
      </c>
      <c r="D229" s="83">
        <f>INDEX('PEER GROUP'!D:D,MATCH($A229,'PEER GROUP'!$A:$A,0))</f>
        <v>0</v>
      </c>
      <c r="E229" s="83">
        <f>INDEX('PEER GROUP'!E:E,MATCH(A229,'PEER GROUP'!$A:$A,0))</f>
        <v>0</v>
      </c>
      <c r="F229" s="84">
        <f>INDEX('PEER GROUP'!F:F,MATCH($A229,'PEER GROUP'!$A:$A,0))</f>
        <v>0</v>
      </c>
      <c r="G229" s="84">
        <f>INDEX('PEER GROUP'!G:G,MATCH($A229,'PEER GROUP'!$A:$A,0))</f>
        <v>0</v>
      </c>
      <c r="H229" s="85"/>
      <c r="I229" s="85"/>
      <c r="J229" s="70">
        <f>INDEX('PEER GROUP'!K:K,MATCH($A229,'PEER GROUP'!$A:$A,0))</f>
        <v>0</v>
      </c>
      <c r="K229" s="70">
        <f>INDEX('PEER GROUP'!L:L,MATCH($A229,'PEER GROUP'!$A:$A,0))</f>
        <v>0</v>
      </c>
      <c r="L229" s="81">
        <f>INDEX('PEER GROUP'!N:N,MATCH($A229,'PEER GROUP'!$A:$A,0))</f>
        <v>0</v>
      </c>
      <c r="M229" s="118"/>
      <c r="N229" s="115"/>
      <c r="O229" s="117"/>
      <c r="P229" s="87"/>
      <c r="Q229" s="87"/>
      <c r="R229" s="87">
        <f t="shared" si="35"/>
        <v>0</v>
      </c>
      <c r="S229" s="113">
        <f t="shared" si="33"/>
        <v>36.913096727263202</v>
      </c>
      <c r="T229" s="69">
        <f t="shared" si="36"/>
        <v>0</v>
      </c>
      <c r="U229" s="70">
        <f t="shared" si="37"/>
        <v>0</v>
      </c>
      <c r="V229" s="70">
        <f t="shared" si="38"/>
        <v>0</v>
      </c>
      <c r="W229" s="71">
        <f t="shared" si="39"/>
        <v>0</v>
      </c>
      <c r="X229" s="49"/>
      <c r="Y229" s="151"/>
      <c r="Z229" s="69"/>
      <c r="AA229" s="70"/>
      <c r="AB229" s="70"/>
      <c r="AC229" s="70" t="str">
        <f t="shared" si="40"/>
        <v>---</v>
      </c>
      <c r="AD229" s="70" t="str">
        <f>IFERROR(P229/#REF!-1,"---")</f>
        <v>---</v>
      </c>
      <c r="AE229" s="70" t="str">
        <f>IFERROR(#REF!/#REF!-1,"---")</f>
        <v>---</v>
      </c>
      <c r="AF229" s="70" t="str">
        <f>IFERROR(Q229/#REF!-1,"---")</f>
        <v>---</v>
      </c>
      <c r="AG229" s="70" t="str">
        <f>IFERROR(#REF!/#REF!-1,"---")</f>
        <v>---</v>
      </c>
      <c r="AH229" s="70" t="str">
        <f>IFERROR(#REF!/AA229-1,"---")</f>
        <v>---</v>
      </c>
      <c r="AI229" s="71" t="str">
        <f t="shared" si="41"/>
        <v>---</v>
      </c>
    </row>
    <row r="230" spans="1:35" ht="30" customHeight="1" x14ac:dyDescent="0.3">
      <c r="A230" s="123">
        <f t="shared" si="34"/>
        <v>226</v>
      </c>
      <c r="B230" s="140">
        <f>INDEX('PEER GROUP'!B:B,MATCH($A230,'PEER GROUP'!$A:$A,0))</f>
        <v>0</v>
      </c>
      <c r="C230" s="83">
        <f>INDEX('PEER GROUP'!C:C,MATCH($A230,'PEER GROUP'!$A:$A,0))</f>
        <v>0</v>
      </c>
      <c r="D230" s="83">
        <f>INDEX('PEER GROUP'!D:D,MATCH($A230,'PEER GROUP'!$A:$A,0))</f>
        <v>0</v>
      </c>
      <c r="E230" s="83">
        <f>INDEX('PEER GROUP'!E:E,MATCH(A230,'PEER GROUP'!$A:$A,0))</f>
        <v>0</v>
      </c>
      <c r="F230" s="84">
        <f>INDEX('PEER GROUP'!F:F,MATCH($A230,'PEER GROUP'!$A:$A,0))</f>
        <v>0</v>
      </c>
      <c r="G230" s="84">
        <f>INDEX('PEER GROUP'!G:G,MATCH($A230,'PEER GROUP'!$A:$A,0))</f>
        <v>0</v>
      </c>
      <c r="H230" s="85"/>
      <c r="I230" s="85"/>
      <c r="J230" s="70">
        <f>INDEX('PEER GROUP'!K:K,MATCH($A230,'PEER GROUP'!$A:$A,0))</f>
        <v>0</v>
      </c>
      <c r="K230" s="70">
        <f>INDEX('PEER GROUP'!L:L,MATCH($A230,'PEER GROUP'!$A:$A,0))</f>
        <v>0</v>
      </c>
      <c r="L230" s="81">
        <f>INDEX('PEER GROUP'!N:N,MATCH($A230,'PEER GROUP'!$A:$A,0))</f>
        <v>0</v>
      </c>
      <c r="M230" s="118"/>
      <c r="N230" s="115"/>
      <c r="O230" s="117"/>
      <c r="P230" s="87"/>
      <c r="Q230" s="87"/>
      <c r="R230" s="87">
        <f t="shared" si="35"/>
        <v>0</v>
      </c>
      <c r="S230" s="113">
        <f t="shared" si="33"/>
        <v>36.913096727263202</v>
      </c>
      <c r="T230" s="69">
        <f t="shared" si="36"/>
        <v>0</v>
      </c>
      <c r="U230" s="70">
        <f t="shared" si="37"/>
        <v>0</v>
      </c>
      <c r="V230" s="70">
        <f t="shared" si="38"/>
        <v>0</v>
      </c>
      <c r="W230" s="71">
        <f t="shared" si="39"/>
        <v>0</v>
      </c>
      <c r="X230" s="49"/>
      <c r="Y230" s="151"/>
      <c r="Z230" s="69"/>
      <c r="AA230" s="70"/>
      <c r="AB230" s="70"/>
      <c r="AC230" s="70" t="str">
        <f t="shared" si="40"/>
        <v>---</v>
      </c>
      <c r="AD230" s="70" t="str">
        <f>IFERROR(P230/#REF!-1,"---")</f>
        <v>---</v>
      </c>
      <c r="AE230" s="70" t="str">
        <f>IFERROR(#REF!/#REF!-1,"---")</f>
        <v>---</v>
      </c>
      <c r="AF230" s="70" t="str">
        <f>IFERROR(Q230/#REF!-1,"---")</f>
        <v>---</v>
      </c>
      <c r="AG230" s="70" t="str">
        <f>IFERROR(#REF!/#REF!-1,"---")</f>
        <v>---</v>
      </c>
      <c r="AH230" s="70" t="str">
        <f>IFERROR(#REF!/AA230-1,"---")</f>
        <v>---</v>
      </c>
      <c r="AI230" s="71" t="str">
        <f t="shared" si="41"/>
        <v>---</v>
      </c>
    </row>
    <row r="231" spans="1:35" ht="30" customHeight="1" x14ac:dyDescent="0.3">
      <c r="A231" s="123">
        <f t="shared" si="34"/>
        <v>227</v>
      </c>
      <c r="B231" s="140">
        <f>INDEX('PEER GROUP'!B:B,MATCH($A231,'PEER GROUP'!$A:$A,0))</f>
        <v>0</v>
      </c>
      <c r="C231" s="83">
        <f>INDEX('PEER GROUP'!C:C,MATCH($A231,'PEER GROUP'!$A:$A,0))</f>
        <v>0</v>
      </c>
      <c r="D231" s="83">
        <f>INDEX('PEER GROUP'!D:D,MATCH($A231,'PEER GROUP'!$A:$A,0))</f>
        <v>0</v>
      </c>
      <c r="E231" s="83">
        <f>INDEX('PEER GROUP'!E:E,MATCH(A231,'PEER GROUP'!$A:$A,0))</f>
        <v>0</v>
      </c>
      <c r="F231" s="84">
        <f>INDEX('PEER GROUP'!F:F,MATCH($A231,'PEER GROUP'!$A:$A,0))</f>
        <v>0</v>
      </c>
      <c r="G231" s="84">
        <f>INDEX('PEER GROUP'!G:G,MATCH($A231,'PEER GROUP'!$A:$A,0))</f>
        <v>0</v>
      </c>
      <c r="H231" s="85"/>
      <c r="I231" s="85"/>
      <c r="J231" s="70">
        <f>INDEX('PEER GROUP'!K:K,MATCH($A231,'PEER GROUP'!$A:$A,0))</f>
        <v>0</v>
      </c>
      <c r="K231" s="70">
        <f>INDEX('PEER GROUP'!L:L,MATCH($A231,'PEER GROUP'!$A:$A,0))</f>
        <v>0</v>
      </c>
      <c r="L231" s="81">
        <f>INDEX('PEER GROUP'!N:N,MATCH($A231,'PEER GROUP'!$A:$A,0))</f>
        <v>0</v>
      </c>
      <c r="M231" s="118"/>
      <c r="N231" s="115"/>
      <c r="O231" s="117"/>
      <c r="P231" s="87"/>
      <c r="Q231" s="87"/>
      <c r="R231" s="87">
        <f t="shared" si="35"/>
        <v>0</v>
      </c>
      <c r="S231" s="113">
        <f t="shared" si="33"/>
        <v>36.913096727263202</v>
      </c>
      <c r="T231" s="69">
        <f t="shared" si="36"/>
        <v>0</v>
      </c>
      <c r="U231" s="70">
        <f t="shared" si="37"/>
        <v>0</v>
      </c>
      <c r="V231" s="70">
        <f t="shared" si="38"/>
        <v>0</v>
      </c>
      <c r="W231" s="71">
        <f t="shared" si="39"/>
        <v>0</v>
      </c>
      <c r="X231" s="49"/>
      <c r="Y231" s="151"/>
      <c r="Z231" s="69"/>
      <c r="AA231" s="70"/>
      <c r="AB231" s="70"/>
      <c r="AC231" s="70" t="str">
        <f t="shared" si="40"/>
        <v>---</v>
      </c>
      <c r="AD231" s="70" t="str">
        <f>IFERROR(P231/#REF!-1,"---")</f>
        <v>---</v>
      </c>
      <c r="AE231" s="70" t="str">
        <f>IFERROR(#REF!/#REF!-1,"---")</f>
        <v>---</v>
      </c>
      <c r="AF231" s="70" t="str">
        <f>IFERROR(Q231/#REF!-1,"---")</f>
        <v>---</v>
      </c>
      <c r="AG231" s="70" t="str">
        <f>IFERROR(#REF!/#REF!-1,"---")</f>
        <v>---</v>
      </c>
      <c r="AH231" s="70" t="str">
        <f>IFERROR(#REF!/AA231-1,"---")</f>
        <v>---</v>
      </c>
      <c r="AI231" s="71" t="str">
        <f t="shared" si="41"/>
        <v>---</v>
      </c>
    </row>
    <row r="232" spans="1:35" ht="30" customHeight="1" x14ac:dyDescent="0.3">
      <c r="A232" s="123">
        <f t="shared" si="34"/>
        <v>228</v>
      </c>
      <c r="B232" s="140">
        <f>INDEX('PEER GROUP'!B:B,MATCH($A232,'PEER GROUP'!$A:$A,0))</f>
        <v>0</v>
      </c>
      <c r="C232" s="83">
        <f>INDEX('PEER GROUP'!C:C,MATCH($A232,'PEER GROUP'!$A:$A,0))</f>
        <v>0</v>
      </c>
      <c r="D232" s="83">
        <f>INDEX('PEER GROUP'!D:D,MATCH($A232,'PEER GROUP'!$A:$A,0))</f>
        <v>0</v>
      </c>
      <c r="E232" s="83">
        <f>INDEX('PEER GROUP'!E:E,MATCH(A232,'PEER GROUP'!$A:$A,0))</f>
        <v>0</v>
      </c>
      <c r="F232" s="84">
        <f>INDEX('PEER GROUP'!F:F,MATCH($A232,'PEER GROUP'!$A:$A,0))</f>
        <v>0</v>
      </c>
      <c r="G232" s="84">
        <f>INDEX('PEER GROUP'!G:G,MATCH($A232,'PEER GROUP'!$A:$A,0))</f>
        <v>0</v>
      </c>
      <c r="H232" s="85"/>
      <c r="I232" s="85"/>
      <c r="J232" s="70">
        <f>INDEX('PEER GROUP'!K:K,MATCH($A232,'PEER GROUP'!$A:$A,0))</f>
        <v>0</v>
      </c>
      <c r="K232" s="70">
        <f>INDEX('PEER GROUP'!L:L,MATCH($A232,'PEER GROUP'!$A:$A,0))</f>
        <v>0</v>
      </c>
      <c r="L232" s="81">
        <f>INDEX('PEER GROUP'!N:N,MATCH($A232,'PEER GROUP'!$A:$A,0))</f>
        <v>0</v>
      </c>
      <c r="M232" s="118"/>
      <c r="N232" s="115"/>
      <c r="O232" s="117"/>
      <c r="P232" s="87"/>
      <c r="Q232" s="87"/>
      <c r="R232" s="87">
        <f t="shared" si="35"/>
        <v>0</v>
      </c>
      <c r="S232" s="113">
        <f t="shared" si="33"/>
        <v>36.913096727263202</v>
      </c>
      <c r="T232" s="69">
        <f t="shared" si="36"/>
        <v>0</v>
      </c>
      <c r="U232" s="70">
        <f t="shared" si="37"/>
        <v>0</v>
      </c>
      <c r="V232" s="70">
        <f t="shared" si="38"/>
        <v>0</v>
      </c>
      <c r="W232" s="71">
        <f t="shared" si="39"/>
        <v>0</v>
      </c>
      <c r="X232" s="49"/>
      <c r="Y232" s="151"/>
      <c r="Z232" s="69"/>
      <c r="AA232" s="70"/>
      <c r="AB232" s="70"/>
      <c r="AC232" s="70" t="str">
        <f t="shared" si="40"/>
        <v>---</v>
      </c>
      <c r="AD232" s="70" t="str">
        <f>IFERROR(P232/#REF!-1,"---")</f>
        <v>---</v>
      </c>
      <c r="AE232" s="70" t="str">
        <f>IFERROR(#REF!/#REF!-1,"---")</f>
        <v>---</v>
      </c>
      <c r="AF232" s="70" t="str">
        <f>IFERROR(Q232/#REF!-1,"---")</f>
        <v>---</v>
      </c>
      <c r="AG232" s="70" t="str">
        <f>IFERROR(#REF!/#REF!-1,"---")</f>
        <v>---</v>
      </c>
      <c r="AH232" s="70" t="str">
        <f>IFERROR(#REF!/AA232-1,"---")</f>
        <v>---</v>
      </c>
      <c r="AI232" s="71" t="str">
        <f t="shared" si="41"/>
        <v>---</v>
      </c>
    </row>
    <row r="233" spans="1:35" ht="30" customHeight="1" x14ac:dyDescent="0.3">
      <c r="A233" s="123">
        <f t="shared" si="34"/>
        <v>229</v>
      </c>
      <c r="B233" s="140">
        <f>INDEX('PEER GROUP'!B:B,MATCH($A233,'PEER GROUP'!$A:$A,0))</f>
        <v>0</v>
      </c>
      <c r="C233" s="83">
        <f>INDEX('PEER GROUP'!C:C,MATCH($A233,'PEER GROUP'!$A:$A,0))</f>
        <v>0</v>
      </c>
      <c r="D233" s="83">
        <f>INDEX('PEER GROUP'!D:D,MATCH($A233,'PEER GROUP'!$A:$A,0))</f>
        <v>0</v>
      </c>
      <c r="E233" s="83">
        <f>INDEX('PEER GROUP'!E:E,MATCH(A233,'PEER GROUP'!$A:$A,0))</f>
        <v>0</v>
      </c>
      <c r="F233" s="84">
        <f>INDEX('PEER GROUP'!F:F,MATCH($A233,'PEER GROUP'!$A:$A,0))</f>
        <v>0</v>
      </c>
      <c r="G233" s="84">
        <f>INDEX('PEER GROUP'!G:G,MATCH($A233,'PEER GROUP'!$A:$A,0))</f>
        <v>0</v>
      </c>
      <c r="H233" s="85"/>
      <c r="I233" s="85"/>
      <c r="J233" s="70">
        <f>INDEX('PEER GROUP'!K:K,MATCH($A233,'PEER GROUP'!$A:$A,0))</f>
        <v>0</v>
      </c>
      <c r="K233" s="70">
        <f>INDEX('PEER GROUP'!L:L,MATCH($A233,'PEER GROUP'!$A:$A,0))</f>
        <v>0</v>
      </c>
      <c r="L233" s="81">
        <f>INDEX('PEER GROUP'!N:N,MATCH($A233,'PEER GROUP'!$A:$A,0))</f>
        <v>0</v>
      </c>
      <c r="M233" s="118"/>
      <c r="N233" s="115"/>
      <c r="O233" s="117"/>
      <c r="P233" s="87"/>
      <c r="Q233" s="87"/>
      <c r="R233" s="87">
        <f t="shared" si="35"/>
        <v>0</v>
      </c>
      <c r="S233" s="113">
        <f t="shared" si="33"/>
        <v>36.913096727263202</v>
      </c>
      <c r="T233" s="69">
        <f t="shared" si="36"/>
        <v>0</v>
      </c>
      <c r="U233" s="70">
        <f t="shared" si="37"/>
        <v>0</v>
      </c>
      <c r="V233" s="70">
        <f t="shared" si="38"/>
        <v>0</v>
      </c>
      <c r="W233" s="71">
        <f t="shared" si="39"/>
        <v>0</v>
      </c>
      <c r="X233" s="49"/>
      <c r="Y233" s="151"/>
      <c r="Z233" s="69"/>
      <c r="AA233" s="70"/>
      <c r="AB233" s="70"/>
      <c r="AC233" s="70" t="str">
        <f t="shared" si="40"/>
        <v>---</v>
      </c>
      <c r="AD233" s="70" t="str">
        <f>IFERROR(P233/#REF!-1,"---")</f>
        <v>---</v>
      </c>
      <c r="AE233" s="70" t="str">
        <f>IFERROR(#REF!/#REF!-1,"---")</f>
        <v>---</v>
      </c>
      <c r="AF233" s="70" t="str">
        <f>IFERROR(Q233/#REF!-1,"---")</f>
        <v>---</v>
      </c>
      <c r="AG233" s="70" t="str">
        <f>IFERROR(#REF!/#REF!-1,"---")</f>
        <v>---</v>
      </c>
      <c r="AH233" s="70" t="str">
        <f>IFERROR(#REF!/AA233-1,"---")</f>
        <v>---</v>
      </c>
      <c r="AI233" s="71" t="str">
        <f t="shared" si="41"/>
        <v>---</v>
      </c>
    </row>
    <row r="234" spans="1:35" ht="30" customHeight="1" x14ac:dyDescent="0.3">
      <c r="A234" s="123">
        <f t="shared" si="34"/>
        <v>230</v>
      </c>
      <c r="B234" s="140">
        <f>INDEX('PEER GROUP'!B:B,MATCH($A234,'PEER GROUP'!$A:$A,0))</f>
        <v>0</v>
      </c>
      <c r="C234" s="83">
        <f>INDEX('PEER GROUP'!C:C,MATCH($A234,'PEER GROUP'!$A:$A,0))</f>
        <v>0</v>
      </c>
      <c r="D234" s="83">
        <f>INDEX('PEER GROUP'!D:D,MATCH($A234,'PEER GROUP'!$A:$A,0))</f>
        <v>0</v>
      </c>
      <c r="E234" s="83">
        <f>INDEX('PEER GROUP'!E:E,MATCH(A234,'PEER GROUP'!$A:$A,0))</f>
        <v>0</v>
      </c>
      <c r="F234" s="84">
        <f>INDEX('PEER GROUP'!F:F,MATCH($A234,'PEER GROUP'!$A:$A,0))</f>
        <v>0</v>
      </c>
      <c r="G234" s="84">
        <f>INDEX('PEER GROUP'!G:G,MATCH($A234,'PEER GROUP'!$A:$A,0))</f>
        <v>0</v>
      </c>
      <c r="H234" s="85"/>
      <c r="I234" s="85"/>
      <c r="J234" s="70">
        <f>INDEX('PEER GROUP'!K:K,MATCH($A234,'PEER GROUP'!$A:$A,0))</f>
        <v>0</v>
      </c>
      <c r="K234" s="70">
        <f>INDEX('PEER GROUP'!L:L,MATCH($A234,'PEER GROUP'!$A:$A,0))</f>
        <v>0</v>
      </c>
      <c r="L234" s="81">
        <f>INDEX('PEER GROUP'!N:N,MATCH($A234,'PEER GROUP'!$A:$A,0))</f>
        <v>0</v>
      </c>
      <c r="M234" s="118"/>
      <c r="N234" s="115"/>
      <c r="O234" s="117"/>
      <c r="P234" s="87"/>
      <c r="Q234" s="87"/>
      <c r="R234" s="87">
        <f t="shared" si="35"/>
        <v>0</v>
      </c>
      <c r="S234" s="113">
        <f t="shared" si="33"/>
        <v>36.913096727263202</v>
      </c>
      <c r="T234" s="69">
        <f t="shared" si="36"/>
        <v>0</v>
      </c>
      <c r="U234" s="70">
        <f t="shared" si="37"/>
        <v>0</v>
      </c>
      <c r="V234" s="70">
        <f t="shared" si="38"/>
        <v>0</v>
      </c>
      <c r="W234" s="71">
        <f t="shared" si="39"/>
        <v>0</v>
      </c>
      <c r="X234" s="49"/>
      <c r="Y234" s="151"/>
      <c r="Z234" s="69"/>
      <c r="AA234" s="70"/>
      <c r="AB234" s="70"/>
      <c r="AC234" s="70" t="str">
        <f t="shared" si="40"/>
        <v>---</v>
      </c>
      <c r="AD234" s="70" t="str">
        <f>IFERROR(P234/#REF!-1,"---")</f>
        <v>---</v>
      </c>
      <c r="AE234" s="70" t="str">
        <f>IFERROR(#REF!/#REF!-1,"---")</f>
        <v>---</v>
      </c>
      <c r="AF234" s="70" t="str">
        <f>IFERROR(Q234/#REF!-1,"---")</f>
        <v>---</v>
      </c>
      <c r="AG234" s="70" t="str">
        <f>IFERROR(#REF!/#REF!-1,"---")</f>
        <v>---</v>
      </c>
      <c r="AH234" s="70" t="str">
        <f>IFERROR(#REF!/AA234-1,"---")</f>
        <v>---</v>
      </c>
      <c r="AI234" s="71" t="str">
        <f t="shared" si="41"/>
        <v>---</v>
      </c>
    </row>
    <row r="235" spans="1:35" ht="30" customHeight="1" x14ac:dyDescent="0.3">
      <c r="A235" s="123">
        <f t="shared" si="34"/>
        <v>231</v>
      </c>
      <c r="B235" s="140">
        <f>INDEX('PEER GROUP'!B:B,MATCH($A235,'PEER GROUP'!$A:$A,0))</f>
        <v>0</v>
      </c>
      <c r="C235" s="83">
        <f>INDEX('PEER GROUP'!C:C,MATCH($A235,'PEER GROUP'!$A:$A,0))</f>
        <v>0</v>
      </c>
      <c r="D235" s="83">
        <f>INDEX('PEER GROUP'!D:D,MATCH($A235,'PEER GROUP'!$A:$A,0))</f>
        <v>0</v>
      </c>
      <c r="E235" s="83">
        <f>INDEX('PEER GROUP'!E:E,MATCH(A235,'PEER GROUP'!$A:$A,0))</f>
        <v>0</v>
      </c>
      <c r="F235" s="84">
        <f>INDEX('PEER GROUP'!F:F,MATCH($A235,'PEER GROUP'!$A:$A,0))</f>
        <v>0</v>
      </c>
      <c r="G235" s="84">
        <f>INDEX('PEER GROUP'!G:G,MATCH($A235,'PEER GROUP'!$A:$A,0))</f>
        <v>0</v>
      </c>
      <c r="H235" s="85"/>
      <c r="I235" s="85"/>
      <c r="J235" s="70">
        <f>INDEX('PEER GROUP'!K:K,MATCH($A235,'PEER GROUP'!$A:$A,0))</f>
        <v>0</v>
      </c>
      <c r="K235" s="70">
        <f>INDEX('PEER GROUP'!L:L,MATCH($A235,'PEER GROUP'!$A:$A,0))</f>
        <v>0</v>
      </c>
      <c r="L235" s="81">
        <f>INDEX('PEER GROUP'!N:N,MATCH($A235,'PEER GROUP'!$A:$A,0))</f>
        <v>0</v>
      </c>
      <c r="M235" s="118"/>
      <c r="N235" s="115"/>
      <c r="O235" s="117"/>
      <c r="P235" s="87"/>
      <c r="Q235" s="87"/>
      <c r="R235" s="87">
        <f t="shared" si="35"/>
        <v>0</v>
      </c>
      <c r="S235" s="113">
        <f t="shared" si="33"/>
        <v>36.913096727263202</v>
      </c>
      <c r="T235" s="69">
        <f t="shared" si="36"/>
        <v>0</v>
      </c>
      <c r="U235" s="70">
        <f t="shared" si="37"/>
        <v>0</v>
      </c>
      <c r="V235" s="70">
        <f t="shared" si="38"/>
        <v>0</v>
      </c>
      <c r="W235" s="71">
        <f t="shared" si="39"/>
        <v>0</v>
      </c>
      <c r="X235" s="49"/>
      <c r="Y235" s="151"/>
      <c r="Z235" s="69"/>
      <c r="AA235" s="70"/>
      <c r="AB235" s="70"/>
      <c r="AC235" s="70" t="str">
        <f t="shared" si="40"/>
        <v>---</v>
      </c>
      <c r="AD235" s="70" t="str">
        <f>IFERROR(P235/#REF!-1,"---")</f>
        <v>---</v>
      </c>
      <c r="AE235" s="70" t="str">
        <f>IFERROR(#REF!/#REF!-1,"---")</f>
        <v>---</v>
      </c>
      <c r="AF235" s="70" t="str">
        <f>IFERROR(Q235/#REF!-1,"---")</f>
        <v>---</v>
      </c>
      <c r="AG235" s="70" t="str">
        <f>IFERROR(#REF!/#REF!-1,"---")</f>
        <v>---</v>
      </c>
      <c r="AH235" s="70" t="str">
        <f>IFERROR(#REF!/AA235-1,"---")</f>
        <v>---</v>
      </c>
      <c r="AI235" s="71" t="str">
        <f t="shared" si="41"/>
        <v>---</v>
      </c>
    </row>
    <row r="236" spans="1:35" ht="30" customHeight="1" x14ac:dyDescent="0.3">
      <c r="A236" s="123">
        <f t="shared" si="34"/>
        <v>232</v>
      </c>
      <c r="B236" s="140">
        <f>INDEX('PEER GROUP'!B:B,MATCH($A236,'PEER GROUP'!$A:$A,0))</f>
        <v>0</v>
      </c>
      <c r="C236" s="83">
        <f>INDEX('PEER GROUP'!C:C,MATCH($A236,'PEER GROUP'!$A:$A,0))</f>
        <v>0</v>
      </c>
      <c r="D236" s="83">
        <f>INDEX('PEER GROUP'!D:D,MATCH($A236,'PEER GROUP'!$A:$A,0))</f>
        <v>0</v>
      </c>
      <c r="E236" s="83">
        <f>INDEX('PEER GROUP'!E:E,MATCH(A236,'PEER GROUP'!$A:$A,0))</f>
        <v>0</v>
      </c>
      <c r="F236" s="84">
        <f>INDEX('PEER GROUP'!F:F,MATCH($A236,'PEER GROUP'!$A:$A,0))</f>
        <v>0</v>
      </c>
      <c r="G236" s="84">
        <f>INDEX('PEER GROUP'!G:G,MATCH($A236,'PEER GROUP'!$A:$A,0))</f>
        <v>0</v>
      </c>
      <c r="H236" s="85"/>
      <c r="I236" s="85"/>
      <c r="J236" s="70">
        <f>INDEX('PEER GROUP'!K:K,MATCH($A236,'PEER GROUP'!$A:$A,0))</f>
        <v>0</v>
      </c>
      <c r="K236" s="70">
        <f>INDEX('PEER GROUP'!L:L,MATCH($A236,'PEER GROUP'!$A:$A,0))</f>
        <v>0</v>
      </c>
      <c r="L236" s="81">
        <f>INDEX('PEER GROUP'!N:N,MATCH($A236,'PEER GROUP'!$A:$A,0))</f>
        <v>0</v>
      </c>
      <c r="M236" s="118"/>
      <c r="N236" s="115"/>
      <c r="O236" s="117"/>
      <c r="P236" s="87"/>
      <c r="Q236" s="87"/>
      <c r="R236" s="87">
        <f t="shared" si="35"/>
        <v>0</v>
      </c>
      <c r="S236" s="113">
        <f t="shared" si="33"/>
        <v>36.913096727263202</v>
      </c>
      <c r="T236" s="69">
        <f t="shared" si="36"/>
        <v>0</v>
      </c>
      <c r="U236" s="70">
        <f t="shared" si="37"/>
        <v>0</v>
      </c>
      <c r="V236" s="70">
        <f t="shared" si="38"/>
        <v>0</v>
      </c>
      <c r="W236" s="71">
        <f t="shared" si="39"/>
        <v>0</v>
      </c>
      <c r="X236" s="49"/>
      <c r="Y236" s="151"/>
      <c r="Z236" s="69"/>
      <c r="AA236" s="70"/>
      <c r="AB236" s="70"/>
      <c r="AC236" s="70" t="str">
        <f t="shared" si="40"/>
        <v>---</v>
      </c>
      <c r="AD236" s="70" t="str">
        <f>IFERROR(P236/#REF!-1,"---")</f>
        <v>---</v>
      </c>
      <c r="AE236" s="70" t="str">
        <f>IFERROR(#REF!/#REF!-1,"---")</f>
        <v>---</v>
      </c>
      <c r="AF236" s="70" t="str">
        <f>IFERROR(Q236/#REF!-1,"---")</f>
        <v>---</v>
      </c>
      <c r="AG236" s="70" t="str">
        <f>IFERROR(#REF!/#REF!-1,"---")</f>
        <v>---</v>
      </c>
      <c r="AH236" s="70" t="str">
        <f>IFERROR(#REF!/AA236-1,"---")</f>
        <v>---</v>
      </c>
      <c r="AI236" s="71" t="str">
        <f t="shared" si="41"/>
        <v>---</v>
      </c>
    </row>
    <row r="237" spans="1:35" ht="30" customHeight="1" x14ac:dyDescent="0.3">
      <c r="A237" s="123">
        <f t="shared" si="34"/>
        <v>233</v>
      </c>
      <c r="B237" s="140">
        <f>INDEX('PEER GROUP'!B:B,MATCH($A237,'PEER GROUP'!$A:$A,0))</f>
        <v>0</v>
      </c>
      <c r="C237" s="83">
        <f>INDEX('PEER GROUP'!C:C,MATCH($A237,'PEER GROUP'!$A:$A,0))</f>
        <v>0</v>
      </c>
      <c r="D237" s="83">
        <f>INDEX('PEER GROUP'!D:D,MATCH($A237,'PEER GROUP'!$A:$A,0))</f>
        <v>0</v>
      </c>
      <c r="E237" s="83">
        <f>INDEX('PEER GROUP'!E:E,MATCH(A237,'PEER GROUP'!$A:$A,0))</f>
        <v>0</v>
      </c>
      <c r="F237" s="84">
        <f>INDEX('PEER GROUP'!F:F,MATCH($A237,'PEER GROUP'!$A:$A,0))</f>
        <v>0</v>
      </c>
      <c r="G237" s="84">
        <f>INDEX('PEER GROUP'!G:G,MATCH($A237,'PEER GROUP'!$A:$A,0))</f>
        <v>0</v>
      </c>
      <c r="H237" s="85"/>
      <c r="I237" s="85"/>
      <c r="J237" s="70">
        <f>INDEX('PEER GROUP'!K:K,MATCH($A237,'PEER GROUP'!$A:$A,0))</f>
        <v>0</v>
      </c>
      <c r="K237" s="70">
        <f>INDEX('PEER GROUP'!L:L,MATCH($A237,'PEER GROUP'!$A:$A,0))</f>
        <v>0</v>
      </c>
      <c r="L237" s="81">
        <f>INDEX('PEER GROUP'!N:N,MATCH($A237,'PEER GROUP'!$A:$A,0))</f>
        <v>0</v>
      </c>
      <c r="M237" s="118"/>
      <c r="N237" s="115"/>
      <c r="O237" s="117"/>
      <c r="P237" s="87"/>
      <c r="Q237" s="87"/>
      <c r="R237" s="87">
        <f t="shared" si="35"/>
        <v>0</v>
      </c>
      <c r="S237" s="113">
        <f t="shared" si="33"/>
        <v>36.913096727263202</v>
      </c>
      <c r="T237" s="69">
        <f t="shared" si="36"/>
        <v>0</v>
      </c>
      <c r="U237" s="70">
        <f t="shared" si="37"/>
        <v>0</v>
      </c>
      <c r="V237" s="70">
        <f t="shared" si="38"/>
        <v>0</v>
      </c>
      <c r="W237" s="71">
        <f t="shared" si="39"/>
        <v>0</v>
      </c>
      <c r="X237" s="49"/>
      <c r="Y237" s="151"/>
      <c r="Z237" s="69"/>
      <c r="AA237" s="70"/>
      <c r="AB237" s="70"/>
      <c r="AC237" s="70" t="str">
        <f t="shared" si="40"/>
        <v>---</v>
      </c>
      <c r="AD237" s="70" t="str">
        <f>IFERROR(P237/#REF!-1,"---")</f>
        <v>---</v>
      </c>
      <c r="AE237" s="70" t="str">
        <f>IFERROR(#REF!/#REF!-1,"---")</f>
        <v>---</v>
      </c>
      <c r="AF237" s="70" t="str">
        <f>IFERROR(Q237/#REF!-1,"---")</f>
        <v>---</v>
      </c>
      <c r="AG237" s="70" t="str">
        <f>IFERROR(#REF!/#REF!-1,"---")</f>
        <v>---</v>
      </c>
      <c r="AH237" s="70" t="str">
        <f>IFERROR(#REF!/AA237-1,"---")</f>
        <v>---</v>
      </c>
      <c r="AI237" s="71" t="str">
        <f t="shared" si="41"/>
        <v>---</v>
      </c>
    </row>
    <row r="238" spans="1:35" ht="30" customHeight="1" x14ac:dyDescent="0.3">
      <c r="A238" s="123">
        <f t="shared" si="34"/>
        <v>234</v>
      </c>
      <c r="B238" s="140">
        <f>INDEX('PEER GROUP'!B:B,MATCH($A238,'PEER GROUP'!$A:$A,0))</f>
        <v>0</v>
      </c>
      <c r="C238" s="83">
        <f>INDEX('PEER GROUP'!C:C,MATCH($A238,'PEER GROUP'!$A:$A,0))</f>
        <v>0</v>
      </c>
      <c r="D238" s="83">
        <f>INDEX('PEER GROUP'!D:D,MATCH($A238,'PEER GROUP'!$A:$A,0))</f>
        <v>0</v>
      </c>
      <c r="E238" s="83">
        <f>INDEX('PEER GROUP'!E:E,MATCH(A238,'PEER GROUP'!$A:$A,0))</f>
        <v>0</v>
      </c>
      <c r="F238" s="84">
        <f>INDEX('PEER GROUP'!F:F,MATCH($A238,'PEER GROUP'!$A:$A,0))</f>
        <v>0</v>
      </c>
      <c r="G238" s="84">
        <f>INDEX('PEER GROUP'!G:G,MATCH($A238,'PEER GROUP'!$A:$A,0))</f>
        <v>0</v>
      </c>
      <c r="H238" s="85"/>
      <c r="I238" s="85"/>
      <c r="J238" s="70">
        <f>INDEX('PEER GROUP'!K:K,MATCH($A238,'PEER GROUP'!$A:$A,0))</f>
        <v>0</v>
      </c>
      <c r="K238" s="70">
        <f>INDEX('PEER GROUP'!L:L,MATCH($A238,'PEER GROUP'!$A:$A,0))</f>
        <v>0</v>
      </c>
      <c r="L238" s="81">
        <f>INDEX('PEER GROUP'!N:N,MATCH($A238,'PEER GROUP'!$A:$A,0))</f>
        <v>0</v>
      </c>
      <c r="M238" s="118"/>
      <c r="N238" s="115"/>
      <c r="O238" s="117"/>
      <c r="P238" s="87"/>
      <c r="Q238" s="87"/>
      <c r="R238" s="87">
        <f t="shared" si="35"/>
        <v>0</v>
      </c>
      <c r="S238" s="113">
        <f t="shared" si="33"/>
        <v>36.913096727263202</v>
      </c>
      <c r="T238" s="69">
        <f t="shared" si="36"/>
        <v>0</v>
      </c>
      <c r="U238" s="70">
        <f t="shared" si="37"/>
        <v>0</v>
      </c>
      <c r="V238" s="70">
        <f t="shared" si="38"/>
        <v>0</v>
      </c>
      <c r="W238" s="71">
        <f t="shared" si="39"/>
        <v>0</v>
      </c>
      <c r="X238" s="49"/>
      <c r="Y238" s="151"/>
      <c r="Z238" s="69"/>
      <c r="AA238" s="70"/>
      <c r="AB238" s="70"/>
      <c r="AC238" s="70" t="str">
        <f t="shared" si="40"/>
        <v>---</v>
      </c>
      <c r="AD238" s="70" t="str">
        <f>IFERROR(P238/#REF!-1,"---")</f>
        <v>---</v>
      </c>
      <c r="AE238" s="70" t="str">
        <f>IFERROR(#REF!/#REF!-1,"---")</f>
        <v>---</v>
      </c>
      <c r="AF238" s="70" t="str">
        <f>IFERROR(Q238/#REF!-1,"---")</f>
        <v>---</v>
      </c>
      <c r="AG238" s="70" t="str">
        <f>IFERROR(#REF!/#REF!-1,"---")</f>
        <v>---</v>
      </c>
      <c r="AH238" s="70" t="str">
        <f>IFERROR(#REF!/AA238-1,"---")</f>
        <v>---</v>
      </c>
      <c r="AI238" s="71" t="str">
        <f t="shared" si="41"/>
        <v>---</v>
      </c>
    </row>
    <row r="239" spans="1:35" ht="30" customHeight="1" x14ac:dyDescent="0.3">
      <c r="A239" s="123">
        <f t="shared" si="34"/>
        <v>235</v>
      </c>
      <c r="B239" s="140">
        <f>INDEX('PEER GROUP'!B:B,MATCH($A239,'PEER GROUP'!$A:$A,0))</f>
        <v>0</v>
      </c>
      <c r="C239" s="83">
        <f>INDEX('PEER GROUP'!C:C,MATCH($A239,'PEER GROUP'!$A:$A,0))</f>
        <v>0</v>
      </c>
      <c r="D239" s="83">
        <f>INDEX('PEER GROUP'!D:D,MATCH($A239,'PEER GROUP'!$A:$A,0))</f>
        <v>0</v>
      </c>
      <c r="E239" s="83">
        <f>INDEX('PEER GROUP'!E:E,MATCH(A239,'PEER GROUP'!$A:$A,0))</f>
        <v>0</v>
      </c>
      <c r="F239" s="84">
        <f>INDEX('PEER GROUP'!F:F,MATCH($A239,'PEER GROUP'!$A:$A,0))</f>
        <v>0</v>
      </c>
      <c r="G239" s="84">
        <f>INDEX('PEER GROUP'!G:G,MATCH($A239,'PEER GROUP'!$A:$A,0))</f>
        <v>0</v>
      </c>
      <c r="H239" s="85"/>
      <c r="I239" s="85"/>
      <c r="J239" s="70">
        <f>INDEX('PEER GROUP'!K:K,MATCH($A239,'PEER GROUP'!$A:$A,0))</f>
        <v>0</v>
      </c>
      <c r="K239" s="70">
        <f>INDEX('PEER GROUP'!L:L,MATCH($A239,'PEER GROUP'!$A:$A,0))</f>
        <v>0</v>
      </c>
      <c r="L239" s="81">
        <f>INDEX('PEER GROUP'!N:N,MATCH($A239,'PEER GROUP'!$A:$A,0))</f>
        <v>0</v>
      </c>
      <c r="M239" s="118"/>
      <c r="N239" s="115"/>
      <c r="O239" s="117"/>
      <c r="P239" s="87"/>
      <c r="Q239" s="87"/>
      <c r="R239" s="87">
        <f t="shared" si="35"/>
        <v>0</v>
      </c>
      <c r="S239" s="113">
        <f t="shared" si="33"/>
        <v>36.913096727263202</v>
      </c>
      <c r="T239" s="69">
        <f t="shared" si="36"/>
        <v>0</v>
      </c>
      <c r="U239" s="70">
        <f t="shared" si="37"/>
        <v>0</v>
      </c>
      <c r="V239" s="70">
        <f t="shared" si="38"/>
        <v>0</v>
      </c>
      <c r="W239" s="71">
        <f t="shared" si="39"/>
        <v>0</v>
      </c>
      <c r="X239" s="49"/>
      <c r="Y239" s="151"/>
      <c r="Z239" s="69"/>
      <c r="AA239" s="70"/>
      <c r="AB239" s="70"/>
      <c r="AC239" s="70" t="str">
        <f t="shared" si="40"/>
        <v>---</v>
      </c>
      <c r="AD239" s="70" t="str">
        <f>IFERROR(P239/#REF!-1,"---")</f>
        <v>---</v>
      </c>
      <c r="AE239" s="70" t="str">
        <f>IFERROR(#REF!/#REF!-1,"---")</f>
        <v>---</v>
      </c>
      <c r="AF239" s="70" t="str">
        <f>IFERROR(Q239/#REF!-1,"---")</f>
        <v>---</v>
      </c>
      <c r="AG239" s="70" t="str">
        <f>IFERROR(#REF!/#REF!-1,"---")</f>
        <v>---</v>
      </c>
      <c r="AH239" s="70" t="str">
        <f>IFERROR(#REF!/AA239-1,"---")</f>
        <v>---</v>
      </c>
      <c r="AI239" s="71" t="str">
        <f t="shared" si="41"/>
        <v>---</v>
      </c>
    </row>
    <row r="240" spans="1:35" ht="30" customHeight="1" x14ac:dyDescent="0.3">
      <c r="A240" s="123">
        <f t="shared" si="34"/>
        <v>236</v>
      </c>
      <c r="B240" s="140">
        <f>INDEX('PEER GROUP'!B:B,MATCH($A240,'PEER GROUP'!$A:$A,0))</f>
        <v>0</v>
      </c>
      <c r="C240" s="83">
        <f>INDEX('PEER GROUP'!C:C,MATCH($A240,'PEER GROUP'!$A:$A,0))</f>
        <v>0</v>
      </c>
      <c r="D240" s="83">
        <f>INDEX('PEER GROUP'!D:D,MATCH($A240,'PEER GROUP'!$A:$A,0))</f>
        <v>0</v>
      </c>
      <c r="E240" s="83">
        <f>INDEX('PEER GROUP'!E:E,MATCH(A240,'PEER GROUP'!$A:$A,0))</f>
        <v>0</v>
      </c>
      <c r="F240" s="84">
        <f>INDEX('PEER GROUP'!F:F,MATCH($A240,'PEER GROUP'!$A:$A,0))</f>
        <v>0</v>
      </c>
      <c r="G240" s="84">
        <f>INDEX('PEER GROUP'!G:G,MATCH($A240,'PEER GROUP'!$A:$A,0))</f>
        <v>0</v>
      </c>
      <c r="H240" s="85"/>
      <c r="I240" s="85"/>
      <c r="J240" s="70">
        <f>INDEX('PEER GROUP'!K:K,MATCH($A240,'PEER GROUP'!$A:$A,0))</f>
        <v>0</v>
      </c>
      <c r="K240" s="70">
        <f>INDEX('PEER GROUP'!L:L,MATCH($A240,'PEER GROUP'!$A:$A,0))</f>
        <v>0</v>
      </c>
      <c r="L240" s="81">
        <f>INDEX('PEER GROUP'!N:N,MATCH($A240,'PEER GROUP'!$A:$A,0))</f>
        <v>0</v>
      </c>
      <c r="M240" s="118"/>
      <c r="N240" s="115"/>
      <c r="O240" s="117"/>
      <c r="P240" s="87"/>
      <c r="Q240" s="87"/>
      <c r="R240" s="87">
        <f t="shared" si="35"/>
        <v>0</v>
      </c>
      <c r="S240" s="113">
        <f t="shared" si="33"/>
        <v>36.913096727263202</v>
      </c>
      <c r="T240" s="69">
        <f t="shared" si="36"/>
        <v>0</v>
      </c>
      <c r="U240" s="70">
        <f t="shared" si="37"/>
        <v>0</v>
      </c>
      <c r="V240" s="70">
        <f t="shared" si="38"/>
        <v>0</v>
      </c>
      <c r="W240" s="71">
        <f t="shared" si="39"/>
        <v>0</v>
      </c>
      <c r="X240" s="49"/>
      <c r="Y240" s="151"/>
      <c r="Z240" s="69"/>
      <c r="AA240" s="70"/>
      <c r="AB240" s="70"/>
      <c r="AC240" s="70" t="str">
        <f t="shared" si="40"/>
        <v>---</v>
      </c>
      <c r="AD240" s="70" t="str">
        <f>IFERROR(P240/#REF!-1,"---")</f>
        <v>---</v>
      </c>
      <c r="AE240" s="70" t="str">
        <f>IFERROR(#REF!/#REF!-1,"---")</f>
        <v>---</v>
      </c>
      <c r="AF240" s="70" t="str">
        <f>IFERROR(Q240/#REF!-1,"---")</f>
        <v>---</v>
      </c>
      <c r="AG240" s="70" t="str">
        <f>IFERROR(#REF!/#REF!-1,"---")</f>
        <v>---</v>
      </c>
      <c r="AH240" s="70" t="str">
        <f>IFERROR(#REF!/AA240-1,"---")</f>
        <v>---</v>
      </c>
      <c r="AI240" s="71" t="str">
        <f t="shared" si="41"/>
        <v>---</v>
      </c>
    </row>
    <row r="241" spans="1:35" ht="30" customHeight="1" x14ac:dyDescent="0.3">
      <c r="A241" s="123">
        <f t="shared" si="34"/>
        <v>237</v>
      </c>
      <c r="B241" s="140">
        <f>INDEX('PEER GROUP'!B:B,MATCH($A241,'PEER GROUP'!$A:$A,0))</f>
        <v>0</v>
      </c>
      <c r="C241" s="83">
        <f>INDEX('PEER GROUP'!C:C,MATCH($A241,'PEER GROUP'!$A:$A,0))</f>
        <v>0</v>
      </c>
      <c r="D241" s="83">
        <f>INDEX('PEER GROUP'!D:D,MATCH($A241,'PEER GROUP'!$A:$A,0))</f>
        <v>0</v>
      </c>
      <c r="E241" s="83">
        <f>INDEX('PEER GROUP'!E:E,MATCH(A241,'PEER GROUP'!$A:$A,0))</f>
        <v>0</v>
      </c>
      <c r="F241" s="84">
        <f>INDEX('PEER GROUP'!F:F,MATCH($A241,'PEER GROUP'!$A:$A,0))</f>
        <v>0</v>
      </c>
      <c r="G241" s="84">
        <f>INDEX('PEER GROUP'!G:G,MATCH($A241,'PEER GROUP'!$A:$A,0))</f>
        <v>0</v>
      </c>
      <c r="H241" s="85"/>
      <c r="I241" s="85"/>
      <c r="J241" s="70">
        <f>INDEX('PEER GROUP'!K:K,MATCH($A241,'PEER GROUP'!$A:$A,0))</f>
        <v>0</v>
      </c>
      <c r="K241" s="70">
        <f>INDEX('PEER GROUP'!L:L,MATCH($A241,'PEER GROUP'!$A:$A,0))</f>
        <v>0</v>
      </c>
      <c r="L241" s="81">
        <f>INDEX('PEER GROUP'!N:N,MATCH($A241,'PEER GROUP'!$A:$A,0))</f>
        <v>0</v>
      </c>
      <c r="M241" s="118"/>
      <c r="N241" s="115"/>
      <c r="O241" s="117"/>
      <c r="P241" s="87"/>
      <c r="Q241" s="87"/>
      <c r="R241" s="87">
        <f t="shared" si="35"/>
        <v>0</v>
      </c>
      <c r="S241" s="113">
        <f t="shared" si="33"/>
        <v>36.913096727263202</v>
      </c>
      <c r="T241" s="69">
        <f t="shared" si="36"/>
        <v>0</v>
      </c>
      <c r="U241" s="70">
        <f t="shared" si="37"/>
        <v>0</v>
      </c>
      <c r="V241" s="70">
        <f t="shared" si="38"/>
        <v>0</v>
      </c>
      <c r="W241" s="71">
        <f t="shared" si="39"/>
        <v>0</v>
      </c>
      <c r="X241" s="49"/>
      <c r="Y241" s="151"/>
      <c r="Z241" s="69"/>
      <c r="AA241" s="70"/>
      <c r="AB241" s="70"/>
      <c r="AC241" s="70" t="str">
        <f t="shared" si="40"/>
        <v>---</v>
      </c>
      <c r="AD241" s="70" t="str">
        <f>IFERROR(P241/#REF!-1,"---")</f>
        <v>---</v>
      </c>
      <c r="AE241" s="70" t="str">
        <f>IFERROR(#REF!/#REF!-1,"---")</f>
        <v>---</v>
      </c>
      <c r="AF241" s="70" t="str">
        <f>IFERROR(Q241/#REF!-1,"---")</f>
        <v>---</v>
      </c>
      <c r="AG241" s="70" t="str">
        <f>IFERROR(#REF!/#REF!-1,"---")</f>
        <v>---</v>
      </c>
      <c r="AH241" s="70" t="str">
        <f>IFERROR(#REF!/AA241-1,"---")</f>
        <v>---</v>
      </c>
      <c r="AI241" s="71" t="str">
        <f t="shared" si="41"/>
        <v>---</v>
      </c>
    </row>
    <row r="242" spans="1:35" ht="30" customHeight="1" x14ac:dyDescent="0.3">
      <c r="A242" s="123">
        <f t="shared" si="34"/>
        <v>238</v>
      </c>
      <c r="B242" s="140">
        <f>INDEX('PEER GROUP'!B:B,MATCH($A242,'PEER GROUP'!$A:$A,0))</f>
        <v>0</v>
      </c>
      <c r="C242" s="83">
        <f>INDEX('PEER GROUP'!C:C,MATCH($A242,'PEER GROUP'!$A:$A,0))</f>
        <v>0</v>
      </c>
      <c r="D242" s="83">
        <f>INDEX('PEER GROUP'!D:D,MATCH($A242,'PEER GROUP'!$A:$A,0))</f>
        <v>0</v>
      </c>
      <c r="E242" s="83">
        <f>INDEX('PEER GROUP'!E:E,MATCH(A242,'PEER GROUP'!$A:$A,0))</f>
        <v>0</v>
      </c>
      <c r="F242" s="84">
        <f>INDEX('PEER GROUP'!F:F,MATCH($A242,'PEER GROUP'!$A:$A,0))</f>
        <v>0</v>
      </c>
      <c r="G242" s="84">
        <f>INDEX('PEER GROUP'!G:G,MATCH($A242,'PEER GROUP'!$A:$A,0))</f>
        <v>0</v>
      </c>
      <c r="H242" s="85"/>
      <c r="I242" s="85"/>
      <c r="J242" s="70">
        <f>INDEX('PEER GROUP'!K:K,MATCH($A242,'PEER GROUP'!$A:$A,0))</f>
        <v>0</v>
      </c>
      <c r="K242" s="70">
        <f>INDEX('PEER GROUP'!L:L,MATCH($A242,'PEER GROUP'!$A:$A,0))</f>
        <v>0</v>
      </c>
      <c r="L242" s="81">
        <f>INDEX('PEER GROUP'!N:N,MATCH($A242,'PEER GROUP'!$A:$A,0))</f>
        <v>0</v>
      </c>
      <c r="M242" s="118"/>
      <c r="N242" s="115"/>
      <c r="O242" s="117"/>
      <c r="P242" s="87"/>
      <c r="Q242" s="87"/>
      <c r="R242" s="87">
        <f t="shared" si="35"/>
        <v>0</v>
      </c>
      <c r="S242" s="113">
        <f t="shared" si="33"/>
        <v>36.913096727263202</v>
      </c>
      <c r="T242" s="69">
        <f t="shared" si="36"/>
        <v>0</v>
      </c>
      <c r="U242" s="70">
        <f t="shared" si="37"/>
        <v>0</v>
      </c>
      <c r="V242" s="70">
        <f t="shared" si="38"/>
        <v>0</v>
      </c>
      <c r="W242" s="71">
        <f t="shared" si="39"/>
        <v>0</v>
      </c>
      <c r="X242" s="49"/>
      <c r="Y242" s="151"/>
      <c r="Z242" s="69"/>
      <c r="AA242" s="70"/>
      <c r="AB242" s="70"/>
      <c r="AC242" s="70" t="str">
        <f t="shared" si="40"/>
        <v>---</v>
      </c>
      <c r="AD242" s="70" t="str">
        <f>IFERROR(P242/#REF!-1,"---")</f>
        <v>---</v>
      </c>
      <c r="AE242" s="70" t="str">
        <f>IFERROR(#REF!/#REF!-1,"---")</f>
        <v>---</v>
      </c>
      <c r="AF242" s="70" t="str">
        <f>IFERROR(Q242/#REF!-1,"---")</f>
        <v>---</v>
      </c>
      <c r="AG242" s="70" t="str">
        <f>IFERROR(#REF!/#REF!-1,"---")</f>
        <v>---</v>
      </c>
      <c r="AH242" s="70" t="str">
        <f>IFERROR(#REF!/AA242-1,"---")</f>
        <v>---</v>
      </c>
      <c r="AI242" s="71" t="str">
        <f t="shared" si="41"/>
        <v>---</v>
      </c>
    </row>
    <row r="243" spans="1:35" ht="30" customHeight="1" x14ac:dyDescent="0.3">
      <c r="A243" s="123">
        <f t="shared" si="34"/>
        <v>239</v>
      </c>
      <c r="B243" s="140">
        <f>INDEX('PEER GROUP'!B:B,MATCH($A243,'PEER GROUP'!$A:$A,0))</f>
        <v>0</v>
      </c>
      <c r="C243" s="83">
        <f>INDEX('PEER GROUP'!C:C,MATCH($A243,'PEER GROUP'!$A:$A,0))</f>
        <v>0</v>
      </c>
      <c r="D243" s="83">
        <f>INDEX('PEER GROUP'!D:D,MATCH($A243,'PEER GROUP'!$A:$A,0))</f>
        <v>0</v>
      </c>
      <c r="E243" s="83">
        <f>INDEX('PEER GROUP'!E:E,MATCH(A243,'PEER GROUP'!$A:$A,0))</f>
        <v>0</v>
      </c>
      <c r="F243" s="84">
        <f>INDEX('PEER GROUP'!F:F,MATCH($A243,'PEER GROUP'!$A:$A,0))</f>
        <v>0</v>
      </c>
      <c r="G243" s="84">
        <f>INDEX('PEER GROUP'!G:G,MATCH($A243,'PEER GROUP'!$A:$A,0))</f>
        <v>0</v>
      </c>
      <c r="H243" s="85"/>
      <c r="I243" s="85"/>
      <c r="J243" s="70">
        <f>INDEX('PEER GROUP'!K:K,MATCH($A243,'PEER GROUP'!$A:$A,0))</f>
        <v>0</v>
      </c>
      <c r="K243" s="70">
        <f>INDEX('PEER GROUP'!L:L,MATCH($A243,'PEER GROUP'!$A:$A,0))</f>
        <v>0</v>
      </c>
      <c r="L243" s="81">
        <f>INDEX('PEER GROUP'!N:N,MATCH($A243,'PEER GROUP'!$A:$A,0))</f>
        <v>0</v>
      </c>
      <c r="M243" s="118"/>
      <c r="N243" s="115"/>
      <c r="O243" s="117"/>
      <c r="P243" s="87"/>
      <c r="Q243" s="87"/>
      <c r="R243" s="87">
        <f t="shared" si="35"/>
        <v>0</v>
      </c>
      <c r="S243" s="113">
        <f t="shared" si="33"/>
        <v>36.913096727263202</v>
      </c>
      <c r="T243" s="69">
        <f t="shared" si="36"/>
        <v>0</v>
      </c>
      <c r="U243" s="70">
        <f t="shared" si="37"/>
        <v>0</v>
      </c>
      <c r="V243" s="70">
        <f t="shared" si="38"/>
        <v>0</v>
      </c>
      <c r="W243" s="71">
        <f t="shared" si="39"/>
        <v>0</v>
      </c>
      <c r="X243" s="49"/>
      <c r="Y243" s="151"/>
      <c r="Z243" s="69"/>
      <c r="AA243" s="70"/>
      <c r="AB243" s="70"/>
      <c r="AC243" s="70" t="str">
        <f t="shared" si="40"/>
        <v>---</v>
      </c>
      <c r="AD243" s="70" t="str">
        <f>IFERROR(P243/#REF!-1,"---")</f>
        <v>---</v>
      </c>
      <c r="AE243" s="70" t="str">
        <f>IFERROR(#REF!/#REF!-1,"---")</f>
        <v>---</v>
      </c>
      <c r="AF243" s="70" t="str">
        <f>IFERROR(Q243/#REF!-1,"---")</f>
        <v>---</v>
      </c>
      <c r="AG243" s="70" t="str">
        <f>IFERROR(#REF!/#REF!-1,"---")</f>
        <v>---</v>
      </c>
      <c r="AH243" s="70" t="str">
        <f>IFERROR(#REF!/AA243-1,"---")</f>
        <v>---</v>
      </c>
      <c r="AI243" s="71" t="str">
        <f t="shared" si="41"/>
        <v>---</v>
      </c>
    </row>
    <row r="244" spans="1:35" ht="30" customHeight="1" x14ac:dyDescent="0.3">
      <c r="A244" s="123">
        <f t="shared" si="34"/>
        <v>240</v>
      </c>
      <c r="B244" s="140">
        <f>INDEX('PEER GROUP'!B:B,MATCH($A244,'PEER GROUP'!$A:$A,0))</f>
        <v>0</v>
      </c>
      <c r="C244" s="83">
        <f>INDEX('PEER GROUP'!C:C,MATCH($A244,'PEER GROUP'!$A:$A,0))</f>
        <v>0</v>
      </c>
      <c r="D244" s="83">
        <f>INDEX('PEER GROUP'!D:D,MATCH($A244,'PEER GROUP'!$A:$A,0))</f>
        <v>0</v>
      </c>
      <c r="E244" s="83">
        <f>INDEX('PEER GROUP'!E:E,MATCH(A244,'PEER GROUP'!$A:$A,0))</f>
        <v>0</v>
      </c>
      <c r="F244" s="84">
        <f>INDEX('PEER GROUP'!F:F,MATCH($A244,'PEER GROUP'!$A:$A,0))</f>
        <v>0</v>
      </c>
      <c r="G244" s="84">
        <f>INDEX('PEER GROUP'!G:G,MATCH($A244,'PEER GROUP'!$A:$A,0))</f>
        <v>0</v>
      </c>
      <c r="H244" s="85"/>
      <c r="I244" s="85"/>
      <c r="J244" s="70">
        <f>INDEX('PEER GROUP'!K:K,MATCH($A244,'PEER GROUP'!$A:$A,0))</f>
        <v>0</v>
      </c>
      <c r="K244" s="70">
        <f>INDEX('PEER GROUP'!L:L,MATCH($A244,'PEER GROUP'!$A:$A,0))</f>
        <v>0</v>
      </c>
      <c r="L244" s="81">
        <f>INDEX('PEER GROUP'!N:N,MATCH($A244,'PEER GROUP'!$A:$A,0))</f>
        <v>0</v>
      </c>
      <c r="M244" s="118"/>
      <c r="N244" s="115"/>
      <c r="O244" s="117"/>
      <c r="P244" s="87"/>
      <c r="Q244" s="87"/>
      <c r="R244" s="87">
        <f t="shared" si="35"/>
        <v>0</v>
      </c>
      <c r="S244" s="113">
        <f t="shared" si="33"/>
        <v>36.913096727263202</v>
      </c>
      <c r="T244" s="69">
        <f t="shared" si="36"/>
        <v>0</v>
      </c>
      <c r="U244" s="70">
        <f t="shared" si="37"/>
        <v>0</v>
      </c>
      <c r="V244" s="70">
        <f t="shared" si="38"/>
        <v>0</v>
      </c>
      <c r="W244" s="71">
        <f t="shared" si="39"/>
        <v>0</v>
      </c>
      <c r="X244" s="49"/>
      <c r="Y244" s="151"/>
      <c r="Z244" s="69"/>
      <c r="AA244" s="70"/>
      <c r="AB244" s="70"/>
      <c r="AC244" s="70" t="str">
        <f t="shared" si="40"/>
        <v>---</v>
      </c>
      <c r="AD244" s="70" t="str">
        <f>IFERROR(P244/#REF!-1,"---")</f>
        <v>---</v>
      </c>
      <c r="AE244" s="70" t="str">
        <f>IFERROR(#REF!/#REF!-1,"---")</f>
        <v>---</v>
      </c>
      <c r="AF244" s="70" t="str">
        <f>IFERROR(Q244/#REF!-1,"---")</f>
        <v>---</v>
      </c>
      <c r="AG244" s="70" t="str">
        <f>IFERROR(#REF!/#REF!-1,"---")</f>
        <v>---</v>
      </c>
      <c r="AH244" s="70" t="str">
        <f>IFERROR(#REF!/AA244-1,"---")</f>
        <v>---</v>
      </c>
      <c r="AI244" s="71" t="str">
        <f t="shared" si="41"/>
        <v>---</v>
      </c>
    </row>
    <row r="245" spans="1:35" ht="30" customHeight="1" x14ac:dyDescent="0.3">
      <c r="A245" s="123">
        <f t="shared" si="34"/>
        <v>241</v>
      </c>
      <c r="B245" s="140">
        <f>INDEX('PEER GROUP'!B:B,MATCH($A245,'PEER GROUP'!$A:$A,0))</f>
        <v>0</v>
      </c>
      <c r="C245" s="83">
        <f>INDEX('PEER GROUP'!C:C,MATCH($A245,'PEER GROUP'!$A:$A,0))</f>
        <v>0</v>
      </c>
      <c r="D245" s="83">
        <f>INDEX('PEER GROUP'!D:D,MATCH($A245,'PEER GROUP'!$A:$A,0))</f>
        <v>0</v>
      </c>
      <c r="E245" s="83">
        <f>INDEX('PEER GROUP'!E:E,MATCH(A245,'PEER GROUP'!$A:$A,0))</f>
        <v>0</v>
      </c>
      <c r="F245" s="84">
        <f>INDEX('PEER GROUP'!F:F,MATCH($A245,'PEER GROUP'!$A:$A,0))</f>
        <v>0</v>
      </c>
      <c r="G245" s="84">
        <f>INDEX('PEER GROUP'!G:G,MATCH($A245,'PEER GROUP'!$A:$A,0))</f>
        <v>0</v>
      </c>
      <c r="H245" s="85"/>
      <c r="I245" s="85"/>
      <c r="J245" s="70">
        <f>INDEX('PEER GROUP'!K:K,MATCH($A245,'PEER GROUP'!$A:$A,0))</f>
        <v>0</v>
      </c>
      <c r="K245" s="70">
        <f>INDEX('PEER GROUP'!L:L,MATCH($A245,'PEER GROUP'!$A:$A,0))</f>
        <v>0</v>
      </c>
      <c r="L245" s="81">
        <f>INDEX('PEER GROUP'!N:N,MATCH($A245,'PEER GROUP'!$A:$A,0))</f>
        <v>0</v>
      </c>
      <c r="M245" s="118"/>
      <c r="N245" s="115"/>
      <c r="O245" s="117"/>
      <c r="P245" s="87"/>
      <c r="Q245" s="87"/>
      <c r="R245" s="87">
        <f t="shared" si="35"/>
        <v>0</v>
      </c>
      <c r="S245" s="113">
        <f t="shared" si="33"/>
        <v>36.913096727263202</v>
      </c>
      <c r="T245" s="69">
        <f t="shared" si="36"/>
        <v>0</v>
      </c>
      <c r="U245" s="70">
        <f t="shared" si="37"/>
        <v>0</v>
      </c>
      <c r="V245" s="70">
        <f t="shared" si="38"/>
        <v>0</v>
      </c>
      <c r="W245" s="71">
        <f t="shared" si="39"/>
        <v>0</v>
      </c>
      <c r="X245" s="49"/>
      <c r="Y245" s="151"/>
      <c r="Z245" s="69"/>
      <c r="AA245" s="70"/>
      <c r="AB245" s="70"/>
      <c r="AC245" s="70" t="str">
        <f t="shared" si="40"/>
        <v>---</v>
      </c>
      <c r="AD245" s="70" t="str">
        <f>IFERROR(P245/#REF!-1,"---")</f>
        <v>---</v>
      </c>
      <c r="AE245" s="70" t="str">
        <f>IFERROR(#REF!/#REF!-1,"---")</f>
        <v>---</v>
      </c>
      <c r="AF245" s="70" t="str">
        <f>IFERROR(Q245/#REF!-1,"---")</f>
        <v>---</v>
      </c>
      <c r="AG245" s="70" t="str">
        <f>IFERROR(#REF!/#REF!-1,"---")</f>
        <v>---</v>
      </c>
      <c r="AH245" s="70" t="str">
        <f>IFERROR(#REF!/AA245-1,"---")</f>
        <v>---</v>
      </c>
      <c r="AI245" s="71" t="str">
        <f t="shared" si="41"/>
        <v>---</v>
      </c>
    </row>
    <row r="246" spans="1:35" ht="30" customHeight="1" x14ac:dyDescent="0.3">
      <c r="A246" s="123">
        <f t="shared" si="34"/>
        <v>242</v>
      </c>
      <c r="B246" s="140">
        <f>INDEX('PEER GROUP'!B:B,MATCH($A246,'PEER GROUP'!$A:$A,0))</f>
        <v>0</v>
      </c>
      <c r="C246" s="83">
        <f>INDEX('PEER GROUP'!C:C,MATCH($A246,'PEER GROUP'!$A:$A,0))</f>
        <v>0</v>
      </c>
      <c r="D246" s="83">
        <f>INDEX('PEER GROUP'!D:D,MATCH($A246,'PEER GROUP'!$A:$A,0))</f>
        <v>0</v>
      </c>
      <c r="E246" s="83">
        <f>INDEX('PEER GROUP'!E:E,MATCH(A246,'PEER GROUP'!$A:$A,0))</f>
        <v>0</v>
      </c>
      <c r="F246" s="84">
        <f>INDEX('PEER GROUP'!F:F,MATCH($A246,'PEER GROUP'!$A:$A,0))</f>
        <v>0</v>
      </c>
      <c r="G246" s="84">
        <f>INDEX('PEER GROUP'!G:G,MATCH($A246,'PEER GROUP'!$A:$A,0))</f>
        <v>0</v>
      </c>
      <c r="H246" s="85"/>
      <c r="I246" s="85"/>
      <c r="J246" s="70">
        <f>INDEX('PEER GROUP'!K:K,MATCH($A246,'PEER GROUP'!$A:$A,0))</f>
        <v>0</v>
      </c>
      <c r="K246" s="70">
        <f>INDEX('PEER GROUP'!L:L,MATCH($A246,'PEER GROUP'!$A:$A,0))</f>
        <v>0</v>
      </c>
      <c r="L246" s="81">
        <f>INDEX('PEER GROUP'!N:N,MATCH($A246,'PEER GROUP'!$A:$A,0))</f>
        <v>0</v>
      </c>
      <c r="M246" s="118"/>
      <c r="N246" s="115"/>
      <c r="O246" s="117"/>
      <c r="P246" s="87"/>
      <c r="Q246" s="87"/>
      <c r="R246" s="87">
        <f t="shared" si="35"/>
        <v>0</v>
      </c>
      <c r="S246" s="113">
        <f t="shared" si="33"/>
        <v>36.913096727263202</v>
      </c>
      <c r="T246" s="69">
        <f t="shared" si="36"/>
        <v>0</v>
      </c>
      <c r="U246" s="70">
        <f t="shared" si="37"/>
        <v>0</v>
      </c>
      <c r="V246" s="70">
        <f t="shared" si="38"/>
        <v>0</v>
      </c>
      <c r="W246" s="71">
        <f t="shared" si="39"/>
        <v>0</v>
      </c>
      <c r="X246" s="49"/>
      <c r="Y246" s="151"/>
      <c r="Z246" s="69"/>
      <c r="AA246" s="70"/>
      <c r="AB246" s="70"/>
      <c r="AC246" s="70" t="str">
        <f t="shared" si="40"/>
        <v>---</v>
      </c>
      <c r="AD246" s="70" t="str">
        <f>IFERROR(P246/#REF!-1,"---")</f>
        <v>---</v>
      </c>
      <c r="AE246" s="70" t="str">
        <f>IFERROR(#REF!/#REF!-1,"---")</f>
        <v>---</v>
      </c>
      <c r="AF246" s="70" t="str">
        <f>IFERROR(Q246/#REF!-1,"---")</f>
        <v>---</v>
      </c>
      <c r="AG246" s="70" t="str">
        <f>IFERROR(#REF!/#REF!-1,"---")</f>
        <v>---</v>
      </c>
      <c r="AH246" s="70" t="str">
        <f>IFERROR(#REF!/AA246-1,"---")</f>
        <v>---</v>
      </c>
      <c r="AI246" s="71" t="str">
        <f t="shared" si="41"/>
        <v>---</v>
      </c>
    </row>
    <row r="247" spans="1:35" ht="30" customHeight="1" x14ac:dyDescent="0.3">
      <c r="A247" s="123">
        <f t="shared" si="34"/>
        <v>243</v>
      </c>
      <c r="B247" s="140">
        <f>INDEX('PEER GROUP'!B:B,MATCH($A247,'PEER GROUP'!$A:$A,0))</f>
        <v>0</v>
      </c>
      <c r="C247" s="83">
        <f>INDEX('PEER GROUP'!C:C,MATCH($A247,'PEER GROUP'!$A:$A,0))</f>
        <v>0</v>
      </c>
      <c r="D247" s="83">
        <f>INDEX('PEER GROUP'!D:D,MATCH($A247,'PEER GROUP'!$A:$A,0))</f>
        <v>0</v>
      </c>
      <c r="E247" s="83">
        <f>INDEX('PEER GROUP'!E:E,MATCH(A247,'PEER GROUP'!$A:$A,0))</f>
        <v>0</v>
      </c>
      <c r="F247" s="84">
        <f>INDEX('PEER GROUP'!F:F,MATCH($A247,'PEER GROUP'!$A:$A,0))</f>
        <v>0</v>
      </c>
      <c r="G247" s="84">
        <f>INDEX('PEER GROUP'!G:G,MATCH($A247,'PEER GROUP'!$A:$A,0))</f>
        <v>0</v>
      </c>
      <c r="H247" s="85"/>
      <c r="I247" s="85"/>
      <c r="J247" s="70">
        <f>INDEX('PEER GROUP'!K:K,MATCH($A247,'PEER GROUP'!$A:$A,0))</f>
        <v>0</v>
      </c>
      <c r="K247" s="70">
        <f>INDEX('PEER GROUP'!L:L,MATCH($A247,'PEER GROUP'!$A:$A,0))</f>
        <v>0</v>
      </c>
      <c r="L247" s="81">
        <f>INDEX('PEER GROUP'!N:N,MATCH($A247,'PEER GROUP'!$A:$A,0))</f>
        <v>0</v>
      </c>
      <c r="M247" s="118"/>
      <c r="N247" s="115"/>
      <c r="O247" s="117"/>
      <c r="P247" s="87"/>
      <c r="Q247" s="87"/>
      <c r="R247" s="87">
        <f t="shared" si="35"/>
        <v>0</v>
      </c>
      <c r="S247" s="113">
        <f t="shared" si="33"/>
        <v>36.913096727263202</v>
      </c>
      <c r="T247" s="69">
        <f t="shared" si="36"/>
        <v>0</v>
      </c>
      <c r="U247" s="70">
        <f t="shared" si="37"/>
        <v>0</v>
      </c>
      <c r="V247" s="70">
        <f t="shared" si="38"/>
        <v>0</v>
      </c>
      <c r="W247" s="71">
        <f t="shared" si="39"/>
        <v>0</v>
      </c>
      <c r="X247" s="49"/>
      <c r="Y247" s="151"/>
      <c r="Z247" s="69"/>
      <c r="AA247" s="70"/>
      <c r="AB247" s="70"/>
      <c r="AC247" s="70" t="str">
        <f t="shared" si="40"/>
        <v>---</v>
      </c>
      <c r="AD247" s="70" t="str">
        <f>IFERROR(P247/#REF!-1,"---")</f>
        <v>---</v>
      </c>
      <c r="AE247" s="70" t="str">
        <f>IFERROR(#REF!/#REF!-1,"---")</f>
        <v>---</v>
      </c>
      <c r="AF247" s="70" t="str">
        <f>IFERROR(Q247/#REF!-1,"---")</f>
        <v>---</v>
      </c>
      <c r="AG247" s="70" t="str">
        <f>IFERROR(#REF!/#REF!-1,"---")</f>
        <v>---</v>
      </c>
      <c r="AH247" s="70" t="str">
        <f>IFERROR(#REF!/AA247-1,"---")</f>
        <v>---</v>
      </c>
      <c r="AI247" s="71" t="str">
        <f t="shared" si="41"/>
        <v>---</v>
      </c>
    </row>
    <row r="248" spans="1:35" ht="30" customHeight="1" x14ac:dyDescent="0.3">
      <c r="A248" s="123">
        <f t="shared" si="34"/>
        <v>244</v>
      </c>
      <c r="B248" s="140">
        <f>INDEX('PEER GROUP'!B:B,MATCH($A248,'PEER GROUP'!$A:$A,0))</f>
        <v>0</v>
      </c>
      <c r="C248" s="83">
        <f>INDEX('PEER GROUP'!C:C,MATCH($A248,'PEER GROUP'!$A:$A,0))</f>
        <v>0</v>
      </c>
      <c r="D248" s="83">
        <f>INDEX('PEER GROUP'!D:D,MATCH($A248,'PEER GROUP'!$A:$A,0))</f>
        <v>0</v>
      </c>
      <c r="E248" s="83">
        <f>INDEX('PEER GROUP'!E:E,MATCH(A248,'PEER GROUP'!$A:$A,0))</f>
        <v>0</v>
      </c>
      <c r="F248" s="84">
        <f>INDEX('PEER GROUP'!F:F,MATCH($A248,'PEER GROUP'!$A:$A,0))</f>
        <v>0</v>
      </c>
      <c r="G248" s="84">
        <f>INDEX('PEER GROUP'!G:G,MATCH($A248,'PEER GROUP'!$A:$A,0))</f>
        <v>0</v>
      </c>
      <c r="H248" s="85"/>
      <c r="I248" s="85"/>
      <c r="J248" s="70">
        <f>INDEX('PEER GROUP'!K:K,MATCH($A248,'PEER GROUP'!$A:$A,0))</f>
        <v>0</v>
      </c>
      <c r="K248" s="70">
        <f>INDEX('PEER GROUP'!L:L,MATCH($A248,'PEER GROUP'!$A:$A,0))</f>
        <v>0</v>
      </c>
      <c r="L248" s="81">
        <f>INDEX('PEER GROUP'!N:N,MATCH($A248,'PEER GROUP'!$A:$A,0))</f>
        <v>0</v>
      </c>
      <c r="M248" s="118"/>
      <c r="N248" s="115"/>
      <c r="O248" s="117"/>
      <c r="P248" s="87"/>
      <c r="Q248" s="87"/>
      <c r="R248" s="87">
        <f t="shared" si="35"/>
        <v>0</v>
      </c>
      <c r="S248" s="113">
        <f t="shared" si="33"/>
        <v>36.913096727263202</v>
      </c>
      <c r="T248" s="69">
        <f t="shared" si="36"/>
        <v>0</v>
      </c>
      <c r="U248" s="70">
        <f t="shared" si="37"/>
        <v>0</v>
      </c>
      <c r="V248" s="70">
        <f t="shared" si="38"/>
        <v>0</v>
      </c>
      <c r="W248" s="71">
        <f t="shared" si="39"/>
        <v>0</v>
      </c>
      <c r="X248" s="49"/>
      <c r="Y248" s="151"/>
      <c r="Z248" s="69"/>
      <c r="AA248" s="70"/>
      <c r="AB248" s="70"/>
      <c r="AC248" s="70" t="str">
        <f t="shared" si="40"/>
        <v>---</v>
      </c>
      <c r="AD248" s="70" t="str">
        <f>IFERROR(P248/#REF!-1,"---")</f>
        <v>---</v>
      </c>
      <c r="AE248" s="70" t="str">
        <f>IFERROR(#REF!/#REF!-1,"---")</f>
        <v>---</v>
      </c>
      <c r="AF248" s="70" t="str">
        <f>IFERROR(Q248/#REF!-1,"---")</f>
        <v>---</v>
      </c>
      <c r="AG248" s="70" t="str">
        <f>IFERROR(#REF!/#REF!-1,"---")</f>
        <v>---</v>
      </c>
      <c r="AH248" s="70" t="str">
        <f>IFERROR(#REF!/AA248-1,"---")</f>
        <v>---</v>
      </c>
      <c r="AI248" s="71" t="str">
        <f t="shared" si="41"/>
        <v>---</v>
      </c>
    </row>
    <row r="249" spans="1:35" ht="30" customHeight="1" x14ac:dyDescent="0.3">
      <c r="A249" s="123">
        <f t="shared" si="34"/>
        <v>245</v>
      </c>
      <c r="B249" s="140">
        <f>INDEX('PEER GROUP'!B:B,MATCH($A249,'PEER GROUP'!$A:$A,0))</f>
        <v>0</v>
      </c>
      <c r="C249" s="83">
        <f>INDEX('PEER GROUP'!C:C,MATCH($A249,'PEER GROUP'!$A:$A,0))</f>
        <v>0</v>
      </c>
      <c r="D249" s="83">
        <f>INDEX('PEER GROUP'!D:D,MATCH($A249,'PEER GROUP'!$A:$A,0))</f>
        <v>0</v>
      </c>
      <c r="E249" s="83">
        <f>INDEX('PEER GROUP'!E:E,MATCH(A249,'PEER GROUP'!$A:$A,0))</f>
        <v>0</v>
      </c>
      <c r="F249" s="84">
        <f>INDEX('PEER GROUP'!F:F,MATCH($A249,'PEER GROUP'!$A:$A,0))</f>
        <v>0</v>
      </c>
      <c r="G249" s="84">
        <f>INDEX('PEER GROUP'!G:G,MATCH($A249,'PEER GROUP'!$A:$A,0))</f>
        <v>0</v>
      </c>
      <c r="H249" s="85"/>
      <c r="I249" s="85"/>
      <c r="J249" s="70">
        <f>INDEX('PEER GROUP'!K:K,MATCH($A249,'PEER GROUP'!$A:$A,0))</f>
        <v>0</v>
      </c>
      <c r="K249" s="70">
        <f>INDEX('PEER GROUP'!L:L,MATCH($A249,'PEER GROUP'!$A:$A,0))</f>
        <v>0</v>
      </c>
      <c r="L249" s="81">
        <f>INDEX('PEER GROUP'!N:N,MATCH($A249,'PEER GROUP'!$A:$A,0))</f>
        <v>0</v>
      </c>
      <c r="M249" s="118"/>
      <c r="N249" s="115"/>
      <c r="O249" s="117"/>
      <c r="P249" s="87"/>
      <c r="Q249" s="87"/>
      <c r="R249" s="87">
        <f t="shared" si="35"/>
        <v>0</v>
      </c>
      <c r="S249" s="113">
        <f t="shared" si="33"/>
        <v>36.913096727263202</v>
      </c>
      <c r="T249" s="69">
        <f t="shared" si="36"/>
        <v>0</v>
      </c>
      <c r="U249" s="70">
        <f t="shared" si="37"/>
        <v>0</v>
      </c>
      <c r="V249" s="70">
        <f t="shared" si="38"/>
        <v>0</v>
      </c>
      <c r="W249" s="71">
        <f t="shared" si="39"/>
        <v>0</v>
      </c>
      <c r="X249" s="49"/>
      <c r="Y249" s="151"/>
      <c r="Z249" s="69"/>
      <c r="AA249" s="70"/>
      <c r="AB249" s="70"/>
      <c r="AC249" s="70" t="str">
        <f t="shared" si="40"/>
        <v>---</v>
      </c>
      <c r="AD249" s="70" t="str">
        <f>IFERROR(P249/#REF!-1,"---")</f>
        <v>---</v>
      </c>
      <c r="AE249" s="70" t="str">
        <f>IFERROR(#REF!/#REF!-1,"---")</f>
        <v>---</v>
      </c>
      <c r="AF249" s="70" t="str">
        <f>IFERROR(Q249/#REF!-1,"---")</f>
        <v>---</v>
      </c>
      <c r="AG249" s="70" t="str">
        <f>IFERROR(#REF!/#REF!-1,"---")</f>
        <v>---</v>
      </c>
      <c r="AH249" s="70" t="str">
        <f>IFERROR(#REF!/AA249-1,"---")</f>
        <v>---</v>
      </c>
      <c r="AI249" s="71" t="str">
        <f t="shared" si="41"/>
        <v>---</v>
      </c>
    </row>
    <row r="250" spans="1:35" ht="30" customHeight="1" x14ac:dyDescent="0.3">
      <c r="A250" s="123">
        <f t="shared" si="34"/>
        <v>246</v>
      </c>
      <c r="B250" s="140">
        <f>INDEX('PEER GROUP'!B:B,MATCH($A250,'PEER GROUP'!$A:$A,0))</f>
        <v>0</v>
      </c>
      <c r="C250" s="83">
        <f>INDEX('PEER GROUP'!C:C,MATCH($A250,'PEER GROUP'!$A:$A,0))</f>
        <v>0</v>
      </c>
      <c r="D250" s="83">
        <f>INDEX('PEER GROUP'!D:D,MATCH($A250,'PEER GROUP'!$A:$A,0))</f>
        <v>0</v>
      </c>
      <c r="E250" s="83">
        <f>INDEX('PEER GROUP'!E:E,MATCH(A250,'PEER GROUP'!$A:$A,0))</f>
        <v>0</v>
      </c>
      <c r="F250" s="84">
        <f>INDEX('PEER GROUP'!F:F,MATCH($A250,'PEER GROUP'!$A:$A,0))</f>
        <v>0</v>
      </c>
      <c r="G250" s="84">
        <f>INDEX('PEER GROUP'!G:G,MATCH($A250,'PEER GROUP'!$A:$A,0))</f>
        <v>0</v>
      </c>
      <c r="H250" s="85"/>
      <c r="I250" s="85"/>
      <c r="J250" s="70">
        <f>INDEX('PEER GROUP'!K:K,MATCH($A250,'PEER GROUP'!$A:$A,0))</f>
        <v>0</v>
      </c>
      <c r="K250" s="70">
        <f>INDEX('PEER GROUP'!L:L,MATCH($A250,'PEER GROUP'!$A:$A,0))</f>
        <v>0</v>
      </c>
      <c r="L250" s="81">
        <f>INDEX('PEER GROUP'!N:N,MATCH($A250,'PEER GROUP'!$A:$A,0))</f>
        <v>0</v>
      </c>
      <c r="M250" s="118"/>
      <c r="N250" s="115"/>
      <c r="O250" s="117"/>
      <c r="P250" s="87"/>
      <c r="Q250" s="87"/>
      <c r="R250" s="87">
        <f t="shared" si="35"/>
        <v>0</v>
      </c>
      <c r="S250" s="113">
        <f t="shared" si="33"/>
        <v>36.913096727263202</v>
      </c>
      <c r="T250" s="69">
        <f t="shared" si="36"/>
        <v>0</v>
      </c>
      <c r="U250" s="70">
        <f t="shared" si="37"/>
        <v>0</v>
      </c>
      <c r="V250" s="70">
        <f t="shared" si="38"/>
        <v>0</v>
      </c>
      <c r="W250" s="71">
        <f t="shared" si="39"/>
        <v>0</v>
      </c>
      <c r="X250" s="49"/>
      <c r="Y250" s="151"/>
      <c r="Z250" s="69"/>
      <c r="AA250" s="70"/>
      <c r="AB250" s="70"/>
      <c r="AC250" s="70" t="str">
        <f t="shared" si="40"/>
        <v>---</v>
      </c>
      <c r="AD250" s="70" t="str">
        <f>IFERROR(P250/#REF!-1,"---")</f>
        <v>---</v>
      </c>
      <c r="AE250" s="70" t="str">
        <f>IFERROR(#REF!/#REF!-1,"---")</f>
        <v>---</v>
      </c>
      <c r="AF250" s="70" t="str">
        <f>IFERROR(Q250/#REF!-1,"---")</f>
        <v>---</v>
      </c>
      <c r="AG250" s="70" t="str">
        <f>IFERROR(#REF!/#REF!-1,"---")</f>
        <v>---</v>
      </c>
      <c r="AH250" s="70" t="str">
        <f>IFERROR(#REF!/AA250-1,"---")</f>
        <v>---</v>
      </c>
      <c r="AI250" s="71" t="str">
        <f t="shared" si="41"/>
        <v>---</v>
      </c>
    </row>
    <row r="251" spans="1:35" ht="30" customHeight="1" x14ac:dyDescent="0.3">
      <c r="A251" s="123">
        <f t="shared" si="34"/>
        <v>247</v>
      </c>
      <c r="B251" s="140">
        <f>INDEX('PEER GROUP'!B:B,MATCH($A251,'PEER GROUP'!$A:$A,0))</f>
        <v>0</v>
      </c>
      <c r="C251" s="83">
        <f>INDEX('PEER GROUP'!C:C,MATCH($A251,'PEER GROUP'!$A:$A,0))</f>
        <v>0</v>
      </c>
      <c r="D251" s="83">
        <f>INDEX('PEER GROUP'!D:D,MATCH($A251,'PEER GROUP'!$A:$A,0))</f>
        <v>0</v>
      </c>
      <c r="E251" s="83">
        <f>INDEX('PEER GROUP'!E:E,MATCH(A251,'PEER GROUP'!$A:$A,0))</f>
        <v>0</v>
      </c>
      <c r="F251" s="84">
        <f>INDEX('PEER GROUP'!F:F,MATCH($A251,'PEER GROUP'!$A:$A,0))</f>
        <v>0</v>
      </c>
      <c r="G251" s="84">
        <f>INDEX('PEER GROUP'!G:G,MATCH($A251,'PEER GROUP'!$A:$A,0))</f>
        <v>0</v>
      </c>
      <c r="H251" s="85"/>
      <c r="I251" s="85"/>
      <c r="J251" s="70">
        <f>INDEX('PEER GROUP'!K:K,MATCH($A251,'PEER GROUP'!$A:$A,0))</f>
        <v>0</v>
      </c>
      <c r="K251" s="70">
        <f>INDEX('PEER GROUP'!L:L,MATCH($A251,'PEER GROUP'!$A:$A,0))</f>
        <v>0</v>
      </c>
      <c r="L251" s="81">
        <f>INDEX('PEER GROUP'!N:N,MATCH($A251,'PEER GROUP'!$A:$A,0))</f>
        <v>0</v>
      </c>
      <c r="M251" s="118"/>
      <c r="N251" s="115"/>
      <c r="O251" s="117"/>
      <c r="P251" s="87"/>
      <c r="Q251" s="87"/>
      <c r="R251" s="87">
        <f t="shared" si="35"/>
        <v>0</v>
      </c>
      <c r="S251" s="113">
        <f t="shared" si="33"/>
        <v>36.913096727263202</v>
      </c>
      <c r="T251" s="69">
        <f t="shared" si="36"/>
        <v>0</v>
      </c>
      <c r="U251" s="70">
        <f t="shared" si="37"/>
        <v>0</v>
      </c>
      <c r="V251" s="70">
        <f t="shared" si="38"/>
        <v>0</v>
      </c>
      <c r="W251" s="71">
        <f t="shared" si="39"/>
        <v>0</v>
      </c>
      <c r="X251" s="49"/>
      <c r="Y251" s="151"/>
      <c r="Z251" s="69"/>
      <c r="AA251" s="70"/>
      <c r="AB251" s="70"/>
      <c r="AC251" s="70" t="str">
        <f t="shared" si="40"/>
        <v>---</v>
      </c>
      <c r="AD251" s="70" t="str">
        <f>IFERROR(P251/#REF!-1,"---")</f>
        <v>---</v>
      </c>
      <c r="AE251" s="70" t="str">
        <f>IFERROR(#REF!/#REF!-1,"---")</f>
        <v>---</v>
      </c>
      <c r="AF251" s="70" t="str">
        <f>IFERROR(Q251/#REF!-1,"---")</f>
        <v>---</v>
      </c>
      <c r="AG251" s="70" t="str">
        <f>IFERROR(#REF!/#REF!-1,"---")</f>
        <v>---</v>
      </c>
      <c r="AH251" s="70" t="str">
        <f>IFERROR(#REF!/AA251-1,"---")</f>
        <v>---</v>
      </c>
      <c r="AI251" s="71" t="str">
        <f t="shared" si="41"/>
        <v>---</v>
      </c>
    </row>
    <row r="252" spans="1:35" ht="30" customHeight="1" x14ac:dyDescent="0.3">
      <c r="A252" s="123">
        <f t="shared" si="34"/>
        <v>248</v>
      </c>
      <c r="B252" s="140">
        <f>INDEX('PEER GROUP'!B:B,MATCH($A252,'PEER GROUP'!$A:$A,0))</f>
        <v>0</v>
      </c>
      <c r="C252" s="83">
        <f>INDEX('PEER GROUP'!C:C,MATCH($A252,'PEER GROUP'!$A:$A,0))</f>
        <v>0</v>
      </c>
      <c r="D252" s="83">
        <f>INDEX('PEER GROUP'!D:D,MATCH($A252,'PEER GROUP'!$A:$A,0))</f>
        <v>0</v>
      </c>
      <c r="E252" s="83">
        <f>INDEX('PEER GROUP'!E:E,MATCH(A252,'PEER GROUP'!$A:$A,0))</f>
        <v>0</v>
      </c>
      <c r="F252" s="84">
        <f>INDEX('PEER GROUP'!F:F,MATCH($A252,'PEER GROUP'!$A:$A,0))</f>
        <v>0</v>
      </c>
      <c r="G252" s="84">
        <f>INDEX('PEER GROUP'!G:G,MATCH($A252,'PEER GROUP'!$A:$A,0))</f>
        <v>0</v>
      </c>
      <c r="H252" s="85"/>
      <c r="I252" s="85"/>
      <c r="J252" s="70">
        <f>INDEX('PEER GROUP'!K:K,MATCH($A252,'PEER GROUP'!$A:$A,0))</f>
        <v>0</v>
      </c>
      <c r="K252" s="70">
        <f>INDEX('PEER GROUP'!L:L,MATCH($A252,'PEER GROUP'!$A:$A,0))</f>
        <v>0</v>
      </c>
      <c r="L252" s="81">
        <f>INDEX('PEER GROUP'!N:N,MATCH($A252,'PEER GROUP'!$A:$A,0))</f>
        <v>0</v>
      </c>
      <c r="M252" s="118"/>
      <c r="N252" s="115"/>
      <c r="O252" s="117"/>
      <c r="P252" s="87"/>
      <c r="Q252" s="87"/>
      <c r="R252" s="87">
        <f t="shared" si="35"/>
        <v>0</v>
      </c>
      <c r="S252" s="113">
        <f t="shared" si="33"/>
        <v>36.913096727263202</v>
      </c>
      <c r="T252" s="69">
        <f t="shared" si="36"/>
        <v>0</v>
      </c>
      <c r="U252" s="70">
        <f t="shared" si="37"/>
        <v>0</v>
      </c>
      <c r="V252" s="70">
        <f t="shared" si="38"/>
        <v>0</v>
      </c>
      <c r="W252" s="71">
        <f t="shared" si="39"/>
        <v>0</v>
      </c>
      <c r="X252" s="49"/>
      <c r="Y252" s="151"/>
      <c r="Z252" s="69"/>
      <c r="AA252" s="70"/>
      <c r="AB252" s="70"/>
      <c r="AC252" s="70" t="str">
        <f t="shared" si="40"/>
        <v>---</v>
      </c>
      <c r="AD252" s="70" t="str">
        <f>IFERROR(P252/#REF!-1,"---")</f>
        <v>---</v>
      </c>
      <c r="AE252" s="70" t="str">
        <f>IFERROR(#REF!/#REF!-1,"---")</f>
        <v>---</v>
      </c>
      <c r="AF252" s="70" t="str">
        <f>IFERROR(Q252/#REF!-1,"---")</f>
        <v>---</v>
      </c>
      <c r="AG252" s="70" t="str">
        <f>IFERROR(#REF!/#REF!-1,"---")</f>
        <v>---</v>
      </c>
      <c r="AH252" s="70" t="str">
        <f>IFERROR(#REF!/AA252-1,"---")</f>
        <v>---</v>
      </c>
      <c r="AI252" s="71" t="str">
        <f t="shared" si="41"/>
        <v>---</v>
      </c>
    </row>
    <row r="253" spans="1:35" ht="30" customHeight="1" x14ac:dyDescent="0.3">
      <c r="A253" s="123">
        <f t="shared" si="34"/>
        <v>249</v>
      </c>
      <c r="B253" s="140">
        <f>INDEX('PEER GROUP'!B:B,MATCH($A253,'PEER GROUP'!$A:$A,0))</f>
        <v>0</v>
      </c>
      <c r="C253" s="83">
        <f>INDEX('PEER GROUP'!C:C,MATCH($A253,'PEER GROUP'!$A:$A,0))</f>
        <v>0</v>
      </c>
      <c r="D253" s="83">
        <f>INDEX('PEER GROUP'!D:D,MATCH($A253,'PEER GROUP'!$A:$A,0))</f>
        <v>0</v>
      </c>
      <c r="E253" s="83">
        <f>INDEX('PEER GROUP'!E:E,MATCH(A253,'PEER GROUP'!$A:$A,0))</f>
        <v>0</v>
      </c>
      <c r="F253" s="84">
        <f>INDEX('PEER GROUP'!F:F,MATCH($A253,'PEER GROUP'!$A:$A,0))</f>
        <v>0</v>
      </c>
      <c r="G253" s="84">
        <f>INDEX('PEER GROUP'!G:G,MATCH($A253,'PEER GROUP'!$A:$A,0))</f>
        <v>0</v>
      </c>
      <c r="H253" s="85"/>
      <c r="I253" s="85"/>
      <c r="J253" s="70">
        <f>INDEX('PEER GROUP'!K:K,MATCH($A253,'PEER GROUP'!$A:$A,0))</f>
        <v>0</v>
      </c>
      <c r="K253" s="70">
        <f>INDEX('PEER GROUP'!L:L,MATCH($A253,'PEER GROUP'!$A:$A,0))</f>
        <v>0</v>
      </c>
      <c r="L253" s="81">
        <f>INDEX('PEER GROUP'!N:N,MATCH($A253,'PEER GROUP'!$A:$A,0))</f>
        <v>0</v>
      </c>
      <c r="M253" s="118"/>
      <c r="N253" s="115"/>
      <c r="O253" s="117"/>
      <c r="P253" s="87"/>
      <c r="Q253" s="87"/>
      <c r="R253" s="87">
        <f t="shared" si="35"/>
        <v>0</v>
      </c>
      <c r="S253" s="113">
        <f t="shared" si="33"/>
        <v>36.913096727263202</v>
      </c>
      <c r="T253" s="69">
        <f t="shared" si="36"/>
        <v>0</v>
      </c>
      <c r="U253" s="70">
        <f t="shared" si="37"/>
        <v>0</v>
      </c>
      <c r="V253" s="70">
        <f t="shared" si="38"/>
        <v>0</v>
      </c>
      <c r="W253" s="71">
        <f t="shared" si="39"/>
        <v>0</v>
      </c>
      <c r="X253" s="49"/>
      <c r="Y253" s="151"/>
      <c r="Z253" s="69"/>
      <c r="AA253" s="70"/>
      <c r="AB253" s="70"/>
      <c r="AC253" s="70" t="str">
        <f t="shared" si="40"/>
        <v>---</v>
      </c>
      <c r="AD253" s="70" t="str">
        <f>IFERROR(P253/#REF!-1,"---")</f>
        <v>---</v>
      </c>
      <c r="AE253" s="70" t="str">
        <f>IFERROR(#REF!/#REF!-1,"---")</f>
        <v>---</v>
      </c>
      <c r="AF253" s="70" t="str">
        <f>IFERROR(Q253/#REF!-1,"---")</f>
        <v>---</v>
      </c>
      <c r="AG253" s="70" t="str">
        <f>IFERROR(#REF!/#REF!-1,"---")</f>
        <v>---</v>
      </c>
      <c r="AH253" s="70" t="str">
        <f>IFERROR(#REF!/AA253-1,"---")</f>
        <v>---</v>
      </c>
      <c r="AI253" s="71" t="str">
        <f t="shared" si="41"/>
        <v>---</v>
      </c>
    </row>
    <row r="254" spans="1:35" ht="30" customHeight="1" x14ac:dyDescent="0.3">
      <c r="A254" s="123">
        <f t="shared" si="34"/>
        <v>250</v>
      </c>
      <c r="B254" s="140">
        <f>INDEX('PEER GROUP'!B:B,MATCH($A254,'PEER GROUP'!$A:$A,0))</f>
        <v>0</v>
      </c>
      <c r="C254" s="83">
        <f>INDEX('PEER GROUP'!C:C,MATCH($A254,'PEER GROUP'!$A:$A,0))</f>
        <v>0</v>
      </c>
      <c r="D254" s="83">
        <f>INDEX('PEER GROUP'!D:D,MATCH($A254,'PEER GROUP'!$A:$A,0))</f>
        <v>0</v>
      </c>
      <c r="E254" s="83">
        <f>INDEX('PEER GROUP'!E:E,MATCH(A254,'PEER GROUP'!$A:$A,0))</f>
        <v>0</v>
      </c>
      <c r="F254" s="84">
        <f>INDEX('PEER GROUP'!F:F,MATCH($A254,'PEER GROUP'!$A:$A,0))</f>
        <v>0</v>
      </c>
      <c r="G254" s="84">
        <f>INDEX('PEER GROUP'!G:G,MATCH($A254,'PEER GROUP'!$A:$A,0))</f>
        <v>0</v>
      </c>
      <c r="H254" s="85"/>
      <c r="I254" s="85"/>
      <c r="J254" s="70">
        <f>INDEX('PEER GROUP'!K:K,MATCH($A254,'PEER GROUP'!$A:$A,0))</f>
        <v>0</v>
      </c>
      <c r="K254" s="70">
        <f>INDEX('PEER GROUP'!L:L,MATCH($A254,'PEER GROUP'!$A:$A,0))</f>
        <v>0</v>
      </c>
      <c r="L254" s="81">
        <f>INDEX('PEER GROUP'!N:N,MATCH($A254,'PEER GROUP'!$A:$A,0))</f>
        <v>0</v>
      </c>
      <c r="M254" s="118"/>
      <c r="N254" s="115"/>
      <c r="O254" s="117"/>
      <c r="P254" s="87"/>
      <c r="Q254" s="87"/>
      <c r="R254" s="87">
        <f t="shared" si="35"/>
        <v>0</v>
      </c>
      <c r="S254" s="113">
        <f t="shared" si="33"/>
        <v>36.913096727263202</v>
      </c>
      <c r="T254" s="69">
        <f t="shared" si="36"/>
        <v>0</v>
      </c>
      <c r="U254" s="70">
        <f t="shared" si="37"/>
        <v>0</v>
      </c>
      <c r="V254" s="70">
        <f t="shared" si="38"/>
        <v>0</v>
      </c>
      <c r="W254" s="71">
        <f t="shared" si="39"/>
        <v>0</v>
      </c>
      <c r="X254" s="49"/>
      <c r="Y254" s="151"/>
      <c r="Z254" s="69"/>
      <c r="AA254" s="70"/>
      <c r="AB254" s="70"/>
      <c r="AC254" s="70" t="str">
        <f t="shared" si="40"/>
        <v>---</v>
      </c>
      <c r="AD254" s="70" t="str">
        <f>IFERROR(P254/#REF!-1,"---")</f>
        <v>---</v>
      </c>
      <c r="AE254" s="70" t="str">
        <f>IFERROR(#REF!/#REF!-1,"---")</f>
        <v>---</v>
      </c>
      <c r="AF254" s="70" t="str">
        <f>IFERROR(Q254/#REF!-1,"---")</f>
        <v>---</v>
      </c>
      <c r="AG254" s="70" t="str">
        <f>IFERROR(#REF!/#REF!-1,"---")</f>
        <v>---</v>
      </c>
      <c r="AH254" s="70" t="str">
        <f>IFERROR(#REF!/AA254-1,"---")</f>
        <v>---</v>
      </c>
      <c r="AI254" s="71" t="str">
        <f t="shared" si="41"/>
        <v>---</v>
      </c>
    </row>
    <row r="255" spans="1:35" ht="30" customHeight="1" x14ac:dyDescent="0.3">
      <c r="A255" s="123">
        <f t="shared" si="34"/>
        <v>251</v>
      </c>
      <c r="B255" s="140">
        <f>INDEX('PEER GROUP'!B:B,MATCH($A255,'PEER GROUP'!$A:$A,0))</f>
        <v>0</v>
      </c>
      <c r="C255" s="83">
        <f>INDEX('PEER GROUP'!C:C,MATCH($A255,'PEER GROUP'!$A:$A,0))</f>
        <v>0</v>
      </c>
      <c r="D255" s="83">
        <f>INDEX('PEER GROUP'!D:D,MATCH($A255,'PEER GROUP'!$A:$A,0))</f>
        <v>0</v>
      </c>
      <c r="E255" s="83">
        <f>INDEX('PEER GROUP'!E:E,MATCH(A255,'PEER GROUP'!$A:$A,0))</f>
        <v>0</v>
      </c>
      <c r="F255" s="84">
        <f>INDEX('PEER GROUP'!F:F,MATCH($A255,'PEER GROUP'!$A:$A,0))</f>
        <v>0</v>
      </c>
      <c r="G255" s="84">
        <f>INDEX('PEER GROUP'!G:G,MATCH($A255,'PEER GROUP'!$A:$A,0))</f>
        <v>0</v>
      </c>
      <c r="H255" s="85"/>
      <c r="I255" s="85"/>
      <c r="J255" s="70">
        <f>INDEX('PEER GROUP'!K:K,MATCH($A255,'PEER GROUP'!$A:$A,0))</f>
        <v>0</v>
      </c>
      <c r="K255" s="70">
        <f>INDEX('PEER GROUP'!L:L,MATCH($A255,'PEER GROUP'!$A:$A,0))</f>
        <v>0</v>
      </c>
      <c r="L255" s="81">
        <f>INDEX('PEER GROUP'!N:N,MATCH($A255,'PEER GROUP'!$A:$A,0))</f>
        <v>0</v>
      </c>
      <c r="M255" s="118"/>
      <c r="N255" s="115"/>
      <c r="O255" s="117"/>
      <c r="P255" s="87"/>
      <c r="Q255" s="87"/>
      <c r="R255" s="87">
        <f t="shared" si="35"/>
        <v>0</v>
      </c>
      <c r="S255" s="113">
        <f t="shared" si="33"/>
        <v>36.913096727263202</v>
      </c>
      <c r="T255" s="69">
        <f t="shared" si="36"/>
        <v>0</v>
      </c>
      <c r="U255" s="70">
        <f t="shared" si="37"/>
        <v>0</v>
      </c>
      <c r="V255" s="70">
        <f t="shared" si="38"/>
        <v>0</v>
      </c>
      <c r="W255" s="71">
        <f t="shared" si="39"/>
        <v>0</v>
      </c>
      <c r="X255" s="49"/>
      <c r="Y255" s="151"/>
      <c r="Z255" s="69"/>
      <c r="AA255" s="70"/>
      <c r="AB255" s="70"/>
      <c r="AC255" s="70" t="str">
        <f t="shared" si="40"/>
        <v>---</v>
      </c>
      <c r="AD255" s="70" t="str">
        <f>IFERROR(P255/#REF!-1,"---")</f>
        <v>---</v>
      </c>
      <c r="AE255" s="70" t="str">
        <f>IFERROR(#REF!/#REF!-1,"---")</f>
        <v>---</v>
      </c>
      <c r="AF255" s="70" t="str">
        <f>IFERROR(Q255/#REF!-1,"---")</f>
        <v>---</v>
      </c>
      <c r="AG255" s="70" t="str">
        <f>IFERROR(#REF!/#REF!-1,"---")</f>
        <v>---</v>
      </c>
      <c r="AH255" s="70" t="str">
        <f>IFERROR(#REF!/AA255-1,"---")</f>
        <v>---</v>
      </c>
      <c r="AI255" s="71" t="str">
        <f t="shared" si="41"/>
        <v>---</v>
      </c>
    </row>
    <row r="256" spans="1:35" ht="30" customHeight="1" x14ac:dyDescent="0.3">
      <c r="A256" s="123">
        <f t="shared" si="34"/>
        <v>252</v>
      </c>
      <c r="B256" s="140">
        <f>INDEX('PEER GROUP'!B:B,MATCH($A256,'PEER GROUP'!$A:$A,0))</f>
        <v>0</v>
      </c>
      <c r="C256" s="83">
        <f>INDEX('PEER GROUP'!C:C,MATCH($A256,'PEER GROUP'!$A:$A,0))</f>
        <v>0</v>
      </c>
      <c r="D256" s="83">
        <f>INDEX('PEER GROUP'!D:D,MATCH($A256,'PEER GROUP'!$A:$A,0))</f>
        <v>0</v>
      </c>
      <c r="E256" s="83">
        <f>INDEX('PEER GROUP'!E:E,MATCH(A256,'PEER GROUP'!$A:$A,0))</f>
        <v>0</v>
      </c>
      <c r="F256" s="84">
        <f>INDEX('PEER GROUP'!F:F,MATCH($A256,'PEER GROUP'!$A:$A,0))</f>
        <v>0</v>
      </c>
      <c r="G256" s="84">
        <f>INDEX('PEER GROUP'!G:G,MATCH($A256,'PEER GROUP'!$A:$A,0))</f>
        <v>0</v>
      </c>
      <c r="H256" s="85"/>
      <c r="I256" s="85"/>
      <c r="J256" s="70">
        <f>INDEX('PEER GROUP'!K:K,MATCH($A256,'PEER GROUP'!$A:$A,0))</f>
        <v>0</v>
      </c>
      <c r="K256" s="70">
        <f>INDEX('PEER GROUP'!L:L,MATCH($A256,'PEER GROUP'!$A:$A,0))</f>
        <v>0</v>
      </c>
      <c r="L256" s="81">
        <f>INDEX('PEER GROUP'!N:N,MATCH($A256,'PEER GROUP'!$A:$A,0))</f>
        <v>0</v>
      </c>
      <c r="M256" s="118"/>
      <c r="N256" s="115"/>
      <c r="O256" s="117"/>
      <c r="P256" s="87"/>
      <c r="Q256" s="87"/>
      <c r="R256" s="87">
        <f t="shared" si="35"/>
        <v>0</v>
      </c>
      <c r="S256" s="113">
        <f t="shared" si="33"/>
        <v>36.913096727263202</v>
      </c>
      <c r="T256" s="69">
        <f t="shared" si="36"/>
        <v>0</v>
      </c>
      <c r="U256" s="70">
        <f t="shared" si="37"/>
        <v>0</v>
      </c>
      <c r="V256" s="70">
        <f t="shared" si="38"/>
        <v>0</v>
      </c>
      <c r="W256" s="71">
        <f t="shared" si="39"/>
        <v>0</v>
      </c>
      <c r="X256" s="49"/>
      <c r="Y256" s="151"/>
      <c r="Z256" s="69"/>
      <c r="AA256" s="70"/>
      <c r="AB256" s="70"/>
      <c r="AC256" s="70" t="str">
        <f t="shared" si="40"/>
        <v>---</v>
      </c>
      <c r="AD256" s="70" t="str">
        <f>IFERROR(P256/#REF!-1,"---")</f>
        <v>---</v>
      </c>
      <c r="AE256" s="70" t="str">
        <f>IFERROR(#REF!/#REF!-1,"---")</f>
        <v>---</v>
      </c>
      <c r="AF256" s="70" t="str">
        <f>IFERROR(Q256/#REF!-1,"---")</f>
        <v>---</v>
      </c>
      <c r="AG256" s="70" t="str">
        <f>IFERROR(#REF!/#REF!-1,"---")</f>
        <v>---</v>
      </c>
      <c r="AH256" s="70" t="str">
        <f>IFERROR(#REF!/AA256-1,"---")</f>
        <v>---</v>
      </c>
      <c r="AI256" s="71" t="str">
        <f t="shared" si="41"/>
        <v>---</v>
      </c>
    </row>
    <row r="257" spans="1:35" ht="30" customHeight="1" x14ac:dyDescent="0.3">
      <c r="A257" s="123">
        <f t="shared" si="34"/>
        <v>253</v>
      </c>
      <c r="B257" s="140">
        <f>INDEX('PEER GROUP'!B:B,MATCH($A257,'PEER GROUP'!$A:$A,0))</f>
        <v>0</v>
      </c>
      <c r="C257" s="83">
        <f>INDEX('PEER GROUP'!C:C,MATCH($A257,'PEER GROUP'!$A:$A,0))</f>
        <v>0</v>
      </c>
      <c r="D257" s="83">
        <f>INDEX('PEER GROUP'!D:D,MATCH($A257,'PEER GROUP'!$A:$A,0))</f>
        <v>0</v>
      </c>
      <c r="E257" s="83">
        <f>INDEX('PEER GROUP'!E:E,MATCH(A257,'PEER GROUP'!$A:$A,0))</f>
        <v>0</v>
      </c>
      <c r="F257" s="84">
        <f>INDEX('PEER GROUP'!F:F,MATCH($A257,'PEER GROUP'!$A:$A,0))</f>
        <v>0</v>
      </c>
      <c r="G257" s="84">
        <f>INDEX('PEER GROUP'!G:G,MATCH($A257,'PEER GROUP'!$A:$A,0))</f>
        <v>0</v>
      </c>
      <c r="H257" s="85"/>
      <c r="I257" s="85"/>
      <c r="J257" s="70">
        <f>INDEX('PEER GROUP'!K:K,MATCH($A257,'PEER GROUP'!$A:$A,0))</f>
        <v>0</v>
      </c>
      <c r="K257" s="70">
        <f>INDEX('PEER GROUP'!L:L,MATCH($A257,'PEER GROUP'!$A:$A,0))</f>
        <v>0</v>
      </c>
      <c r="L257" s="81">
        <f>INDEX('PEER GROUP'!N:N,MATCH($A257,'PEER GROUP'!$A:$A,0))</f>
        <v>0</v>
      </c>
      <c r="M257" s="118"/>
      <c r="N257" s="115"/>
      <c r="O257" s="117"/>
      <c r="P257" s="87"/>
      <c r="Q257" s="87"/>
      <c r="R257" s="87">
        <f t="shared" si="35"/>
        <v>0</v>
      </c>
      <c r="S257" s="113">
        <f t="shared" si="33"/>
        <v>36.913096727263202</v>
      </c>
      <c r="T257" s="69">
        <f t="shared" si="36"/>
        <v>0</v>
      </c>
      <c r="U257" s="70">
        <f t="shared" si="37"/>
        <v>0</v>
      </c>
      <c r="V257" s="70">
        <f t="shared" si="38"/>
        <v>0</v>
      </c>
      <c r="W257" s="71">
        <f t="shared" si="39"/>
        <v>0</v>
      </c>
      <c r="X257" s="49"/>
      <c r="Y257" s="151"/>
      <c r="Z257" s="69"/>
      <c r="AA257" s="70"/>
      <c r="AB257" s="70"/>
      <c r="AC257" s="70" t="str">
        <f t="shared" si="40"/>
        <v>---</v>
      </c>
      <c r="AD257" s="70" t="str">
        <f>IFERROR(P257/#REF!-1,"---")</f>
        <v>---</v>
      </c>
      <c r="AE257" s="70" t="str">
        <f>IFERROR(#REF!/#REF!-1,"---")</f>
        <v>---</v>
      </c>
      <c r="AF257" s="70" t="str">
        <f>IFERROR(Q257/#REF!-1,"---")</f>
        <v>---</v>
      </c>
      <c r="AG257" s="70" t="str">
        <f>IFERROR(#REF!/#REF!-1,"---")</f>
        <v>---</v>
      </c>
      <c r="AH257" s="70" t="str">
        <f>IFERROR(#REF!/AA257-1,"---")</f>
        <v>---</v>
      </c>
      <c r="AI257" s="71" t="str">
        <f t="shared" si="41"/>
        <v>---</v>
      </c>
    </row>
    <row r="258" spans="1:35" ht="30" customHeight="1" x14ac:dyDescent="0.3">
      <c r="A258" s="123">
        <f t="shared" si="34"/>
        <v>254</v>
      </c>
      <c r="B258" s="140">
        <f>INDEX('PEER GROUP'!B:B,MATCH($A258,'PEER GROUP'!$A:$A,0))</f>
        <v>0</v>
      </c>
      <c r="C258" s="83">
        <f>INDEX('PEER GROUP'!C:C,MATCH($A258,'PEER GROUP'!$A:$A,0))</f>
        <v>0</v>
      </c>
      <c r="D258" s="83">
        <f>INDEX('PEER GROUP'!D:D,MATCH($A258,'PEER GROUP'!$A:$A,0))</f>
        <v>0</v>
      </c>
      <c r="E258" s="83">
        <f>INDEX('PEER GROUP'!E:E,MATCH(A258,'PEER GROUP'!$A:$A,0))</f>
        <v>0</v>
      </c>
      <c r="F258" s="84">
        <f>INDEX('PEER GROUP'!F:F,MATCH($A258,'PEER GROUP'!$A:$A,0))</f>
        <v>0</v>
      </c>
      <c r="G258" s="84">
        <f>INDEX('PEER GROUP'!G:G,MATCH($A258,'PEER GROUP'!$A:$A,0))</f>
        <v>0</v>
      </c>
      <c r="H258" s="85"/>
      <c r="I258" s="85"/>
      <c r="J258" s="70">
        <f>INDEX('PEER GROUP'!K:K,MATCH($A258,'PEER GROUP'!$A:$A,0))</f>
        <v>0</v>
      </c>
      <c r="K258" s="70">
        <f>INDEX('PEER GROUP'!L:L,MATCH($A258,'PEER GROUP'!$A:$A,0))</f>
        <v>0</v>
      </c>
      <c r="L258" s="81">
        <f>INDEX('PEER GROUP'!N:N,MATCH($A258,'PEER GROUP'!$A:$A,0))</f>
        <v>0</v>
      </c>
      <c r="M258" s="118"/>
      <c r="N258" s="115"/>
      <c r="O258" s="117"/>
      <c r="P258" s="87"/>
      <c r="Q258" s="87"/>
      <c r="R258" s="87">
        <f t="shared" si="35"/>
        <v>0</v>
      </c>
      <c r="S258" s="113">
        <f t="shared" si="33"/>
        <v>36.913096727263202</v>
      </c>
      <c r="T258" s="69">
        <f t="shared" si="36"/>
        <v>0</v>
      </c>
      <c r="U258" s="70">
        <f t="shared" si="37"/>
        <v>0</v>
      </c>
      <c r="V258" s="70">
        <f t="shared" si="38"/>
        <v>0</v>
      </c>
      <c r="W258" s="71">
        <f t="shared" si="39"/>
        <v>0</v>
      </c>
      <c r="X258" s="49"/>
      <c r="Y258" s="151"/>
      <c r="Z258" s="69"/>
      <c r="AA258" s="70"/>
      <c r="AB258" s="70"/>
      <c r="AC258" s="70" t="str">
        <f t="shared" si="40"/>
        <v>---</v>
      </c>
      <c r="AD258" s="70" t="str">
        <f>IFERROR(P258/#REF!-1,"---")</f>
        <v>---</v>
      </c>
      <c r="AE258" s="70" t="str">
        <f>IFERROR(#REF!/#REF!-1,"---")</f>
        <v>---</v>
      </c>
      <c r="AF258" s="70" t="str">
        <f>IFERROR(Q258/#REF!-1,"---")</f>
        <v>---</v>
      </c>
      <c r="AG258" s="70" t="str">
        <f>IFERROR(#REF!/#REF!-1,"---")</f>
        <v>---</v>
      </c>
      <c r="AH258" s="70" t="str">
        <f>IFERROR(#REF!/AA258-1,"---")</f>
        <v>---</v>
      </c>
      <c r="AI258" s="71" t="str">
        <f t="shared" si="41"/>
        <v>---</v>
      </c>
    </row>
    <row r="259" spans="1:35" ht="30" customHeight="1" x14ac:dyDescent="0.3">
      <c r="A259" s="123">
        <f t="shared" si="34"/>
        <v>255</v>
      </c>
      <c r="B259" s="140">
        <f>INDEX('PEER GROUP'!B:B,MATCH($A259,'PEER GROUP'!$A:$A,0))</f>
        <v>0</v>
      </c>
      <c r="C259" s="83">
        <f>INDEX('PEER GROUP'!C:C,MATCH($A259,'PEER GROUP'!$A:$A,0))</f>
        <v>0</v>
      </c>
      <c r="D259" s="83">
        <f>INDEX('PEER GROUP'!D:D,MATCH($A259,'PEER GROUP'!$A:$A,0))</f>
        <v>0</v>
      </c>
      <c r="E259" s="83">
        <f>INDEX('PEER GROUP'!E:E,MATCH(A259,'PEER GROUP'!$A:$A,0))</f>
        <v>0</v>
      </c>
      <c r="F259" s="84">
        <f>INDEX('PEER GROUP'!F:F,MATCH($A259,'PEER GROUP'!$A:$A,0))</f>
        <v>0</v>
      </c>
      <c r="G259" s="84">
        <f>INDEX('PEER GROUP'!G:G,MATCH($A259,'PEER GROUP'!$A:$A,0))</f>
        <v>0</v>
      </c>
      <c r="H259" s="85"/>
      <c r="I259" s="85"/>
      <c r="J259" s="70">
        <f>INDEX('PEER GROUP'!K:K,MATCH($A259,'PEER GROUP'!$A:$A,0))</f>
        <v>0</v>
      </c>
      <c r="K259" s="70">
        <f>INDEX('PEER GROUP'!L:L,MATCH($A259,'PEER GROUP'!$A:$A,0))</f>
        <v>0</v>
      </c>
      <c r="L259" s="81">
        <f>INDEX('PEER GROUP'!N:N,MATCH($A259,'PEER GROUP'!$A:$A,0))</f>
        <v>0</v>
      </c>
      <c r="M259" s="118"/>
      <c r="N259" s="115"/>
      <c r="O259" s="117"/>
      <c r="P259" s="87"/>
      <c r="Q259" s="87"/>
      <c r="R259" s="87">
        <f t="shared" si="35"/>
        <v>0</v>
      </c>
      <c r="S259" s="113">
        <f t="shared" si="33"/>
        <v>36.913096727263202</v>
      </c>
      <c r="T259" s="69">
        <f t="shared" si="36"/>
        <v>0</v>
      </c>
      <c r="U259" s="70">
        <f t="shared" si="37"/>
        <v>0</v>
      </c>
      <c r="V259" s="70">
        <f t="shared" si="38"/>
        <v>0</v>
      </c>
      <c r="W259" s="71">
        <f t="shared" si="39"/>
        <v>0</v>
      </c>
      <c r="X259" s="49"/>
      <c r="Y259" s="151"/>
      <c r="Z259" s="69"/>
      <c r="AA259" s="70"/>
      <c r="AB259" s="70"/>
      <c r="AC259" s="70" t="str">
        <f t="shared" si="40"/>
        <v>---</v>
      </c>
      <c r="AD259" s="70" t="str">
        <f>IFERROR(P259/#REF!-1,"---")</f>
        <v>---</v>
      </c>
      <c r="AE259" s="70" t="str">
        <f>IFERROR(#REF!/#REF!-1,"---")</f>
        <v>---</v>
      </c>
      <c r="AF259" s="70" t="str">
        <f>IFERROR(Q259/#REF!-1,"---")</f>
        <v>---</v>
      </c>
      <c r="AG259" s="70" t="str">
        <f>IFERROR(#REF!/#REF!-1,"---")</f>
        <v>---</v>
      </c>
      <c r="AH259" s="70" t="str">
        <f>IFERROR(#REF!/AA259-1,"---")</f>
        <v>---</v>
      </c>
      <c r="AI259" s="71" t="str">
        <f t="shared" si="41"/>
        <v>---</v>
      </c>
    </row>
    <row r="260" spans="1:35" ht="30" customHeight="1" x14ac:dyDescent="0.3">
      <c r="A260" s="123">
        <f t="shared" si="34"/>
        <v>256</v>
      </c>
      <c r="B260" s="140">
        <f>INDEX('PEER GROUP'!B:B,MATCH($A260,'PEER GROUP'!$A:$A,0))</f>
        <v>0</v>
      </c>
      <c r="C260" s="83">
        <f>INDEX('PEER GROUP'!C:C,MATCH($A260,'PEER GROUP'!$A:$A,0))</f>
        <v>0</v>
      </c>
      <c r="D260" s="83">
        <f>INDEX('PEER GROUP'!D:D,MATCH($A260,'PEER GROUP'!$A:$A,0))</f>
        <v>0</v>
      </c>
      <c r="E260" s="83">
        <f>INDEX('PEER GROUP'!E:E,MATCH(A260,'PEER GROUP'!$A:$A,0))</f>
        <v>0</v>
      </c>
      <c r="F260" s="84">
        <f>INDEX('PEER GROUP'!F:F,MATCH($A260,'PEER GROUP'!$A:$A,0))</f>
        <v>0</v>
      </c>
      <c r="G260" s="84">
        <f>INDEX('PEER GROUP'!G:G,MATCH($A260,'PEER GROUP'!$A:$A,0))</f>
        <v>0</v>
      </c>
      <c r="H260" s="85"/>
      <c r="I260" s="85"/>
      <c r="J260" s="70">
        <f>INDEX('PEER GROUP'!K:K,MATCH($A260,'PEER GROUP'!$A:$A,0))</f>
        <v>0</v>
      </c>
      <c r="K260" s="70">
        <f>INDEX('PEER GROUP'!L:L,MATCH($A260,'PEER GROUP'!$A:$A,0))</f>
        <v>0</v>
      </c>
      <c r="L260" s="81">
        <f>INDEX('PEER GROUP'!N:N,MATCH($A260,'PEER GROUP'!$A:$A,0))</f>
        <v>0</v>
      </c>
      <c r="M260" s="118"/>
      <c r="N260" s="115"/>
      <c r="O260" s="117"/>
      <c r="P260" s="87"/>
      <c r="Q260" s="87"/>
      <c r="R260" s="87">
        <f t="shared" si="35"/>
        <v>0</v>
      </c>
      <c r="S260" s="113">
        <f t="shared" si="33"/>
        <v>36.913096727263202</v>
      </c>
      <c r="T260" s="69">
        <f t="shared" si="36"/>
        <v>0</v>
      </c>
      <c r="U260" s="70">
        <f t="shared" si="37"/>
        <v>0</v>
      </c>
      <c r="V260" s="70">
        <f t="shared" si="38"/>
        <v>0</v>
      </c>
      <c r="W260" s="71">
        <f t="shared" si="39"/>
        <v>0</v>
      </c>
      <c r="X260" s="49"/>
      <c r="Y260" s="151"/>
      <c r="Z260" s="69"/>
      <c r="AA260" s="70"/>
      <c r="AB260" s="70"/>
      <c r="AC260" s="70" t="str">
        <f t="shared" si="40"/>
        <v>---</v>
      </c>
      <c r="AD260" s="70" t="str">
        <f>IFERROR(P260/#REF!-1,"---")</f>
        <v>---</v>
      </c>
      <c r="AE260" s="70" t="str">
        <f>IFERROR(#REF!/#REF!-1,"---")</f>
        <v>---</v>
      </c>
      <c r="AF260" s="70" t="str">
        <f>IFERROR(Q260/#REF!-1,"---")</f>
        <v>---</v>
      </c>
      <c r="AG260" s="70" t="str">
        <f>IFERROR(#REF!/#REF!-1,"---")</f>
        <v>---</v>
      </c>
      <c r="AH260" s="70" t="str">
        <f>IFERROR(#REF!/AA260-1,"---")</f>
        <v>---</v>
      </c>
      <c r="AI260" s="71" t="str">
        <f t="shared" si="41"/>
        <v>---</v>
      </c>
    </row>
    <row r="261" spans="1:35" ht="30" customHeight="1" x14ac:dyDescent="0.3">
      <c r="A261" s="123">
        <f t="shared" si="34"/>
        <v>257</v>
      </c>
      <c r="B261" s="140">
        <f>INDEX('PEER GROUP'!B:B,MATCH($A261,'PEER GROUP'!$A:$A,0))</f>
        <v>0</v>
      </c>
      <c r="C261" s="83">
        <f>INDEX('PEER GROUP'!C:C,MATCH($A261,'PEER GROUP'!$A:$A,0))</f>
        <v>0</v>
      </c>
      <c r="D261" s="83">
        <f>INDEX('PEER GROUP'!D:D,MATCH($A261,'PEER GROUP'!$A:$A,0))</f>
        <v>0</v>
      </c>
      <c r="E261" s="83">
        <f>INDEX('PEER GROUP'!E:E,MATCH(A261,'PEER GROUP'!$A:$A,0))</f>
        <v>0</v>
      </c>
      <c r="F261" s="84">
        <f>INDEX('PEER GROUP'!F:F,MATCH($A261,'PEER GROUP'!$A:$A,0))</f>
        <v>0</v>
      </c>
      <c r="G261" s="84">
        <f>INDEX('PEER GROUP'!G:G,MATCH($A261,'PEER GROUP'!$A:$A,0))</f>
        <v>0</v>
      </c>
      <c r="H261" s="85"/>
      <c r="I261" s="85"/>
      <c r="J261" s="70">
        <f>INDEX('PEER GROUP'!K:K,MATCH($A261,'PEER GROUP'!$A:$A,0))</f>
        <v>0</v>
      </c>
      <c r="K261" s="70">
        <f>INDEX('PEER GROUP'!L:L,MATCH($A261,'PEER GROUP'!$A:$A,0))</f>
        <v>0</v>
      </c>
      <c r="L261" s="81">
        <f>INDEX('PEER GROUP'!N:N,MATCH($A261,'PEER GROUP'!$A:$A,0))</f>
        <v>0</v>
      </c>
      <c r="M261" s="118"/>
      <c r="N261" s="115"/>
      <c r="O261" s="117"/>
      <c r="P261" s="87"/>
      <c r="Q261" s="87"/>
      <c r="R261" s="87">
        <f t="shared" si="35"/>
        <v>0</v>
      </c>
      <c r="S261" s="113">
        <f t="shared" si="33"/>
        <v>36.913096727263202</v>
      </c>
      <c r="T261" s="69">
        <f t="shared" si="36"/>
        <v>0</v>
      </c>
      <c r="U261" s="70">
        <f t="shared" si="37"/>
        <v>0</v>
      </c>
      <c r="V261" s="70">
        <f t="shared" si="38"/>
        <v>0</v>
      </c>
      <c r="W261" s="71">
        <f t="shared" si="39"/>
        <v>0</v>
      </c>
      <c r="X261" s="49"/>
      <c r="Y261" s="151"/>
      <c r="Z261" s="69"/>
      <c r="AA261" s="70"/>
      <c r="AB261" s="70"/>
      <c r="AC261" s="70" t="str">
        <f t="shared" si="40"/>
        <v>---</v>
      </c>
      <c r="AD261" s="70" t="str">
        <f>IFERROR(P261/#REF!-1,"---")</f>
        <v>---</v>
      </c>
      <c r="AE261" s="70" t="str">
        <f>IFERROR(#REF!/#REF!-1,"---")</f>
        <v>---</v>
      </c>
      <c r="AF261" s="70" t="str">
        <f>IFERROR(Q261/#REF!-1,"---")</f>
        <v>---</v>
      </c>
      <c r="AG261" s="70" t="str">
        <f>IFERROR(#REF!/#REF!-1,"---")</f>
        <v>---</v>
      </c>
      <c r="AH261" s="70" t="str">
        <f>IFERROR(#REF!/AA261-1,"---")</f>
        <v>---</v>
      </c>
      <c r="AI261" s="71" t="str">
        <f t="shared" si="41"/>
        <v>---</v>
      </c>
    </row>
    <row r="262" spans="1:35" ht="30" customHeight="1" x14ac:dyDescent="0.3">
      <c r="A262" s="123">
        <f t="shared" si="34"/>
        <v>258</v>
      </c>
      <c r="B262" s="140">
        <f>INDEX('PEER GROUP'!B:B,MATCH($A262,'PEER GROUP'!$A:$A,0))</f>
        <v>0</v>
      </c>
      <c r="C262" s="83">
        <f>INDEX('PEER GROUP'!C:C,MATCH($A262,'PEER GROUP'!$A:$A,0))</f>
        <v>0</v>
      </c>
      <c r="D262" s="83">
        <f>INDEX('PEER GROUP'!D:D,MATCH($A262,'PEER GROUP'!$A:$A,0))</f>
        <v>0</v>
      </c>
      <c r="E262" s="83">
        <f>INDEX('PEER GROUP'!E:E,MATCH(A262,'PEER GROUP'!$A:$A,0))</f>
        <v>0</v>
      </c>
      <c r="F262" s="84">
        <f>INDEX('PEER GROUP'!F:F,MATCH($A262,'PEER GROUP'!$A:$A,0))</f>
        <v>0</v>
      </c>
      <c r="G262" s="84">
        <f>INDEX('PEER GROUP'!G:G,MATCH($A262,'PEER GROUP'!$A:$A,0))</f>
        <v>0</v>
      </c>
      <c r="H262" s="85"/>
      <c r="I262" s="85"/>
      <c r="J262" s="70">
        <f>INDEX('PEER GROUP'!K:K,MATCH($A262,'PEER GROUP'!$A:$A,0))</f>
        <v>0</v>
      </c>
      <c r="K262" s="70">
        <f>INDEX('PEER GROUP'!L:L,MATCH($A262,'PEER GROUP'!$A:$A,0))</f>
        <v>0</v>
      </c>
      <c r="L262" s="81">
        <f>INDEX('PEER GROUP'!N:N,MATCH($A262,'PEER GROUP'!$A:$A,0))</f>
        <v>0</v>
      </c>
      <c r="M262" s="118"/>
      <c r="N262" s="115"/>
      <c r="O262" s="117"/>
      <c r="P262" s="87"/>
      <c r="Q262" s="87"/>
      <c r="R262" s="87">
        <f t="shared" si="35"/>
        <v>0</v>
      </c>
      <c r="S262" s="113">
        <f t="shared" si="33"/>
        <v>36.913096727263202</v>
      </c>
      <c r="T262" s="69">
        <f t="shared" si="36"/>
        <v>0</v>
      </c>
      <c r="U262" s="70">
        <f t="shared" si="37"/>
        <v>0</v>
      </c>
      <c r="V262" s="70">
        <f t="shared" si="38"/>
        <v>0</v>
      </c>
      <c r="W262" s="71">
        <f t="shared" si="39"/>
        <v>0</v>
      </c>
      <c r="X262" s="49"/>
      <c r="Y262" s="151"/>
      <c r="Z262" s="69"/>
      <c r="AA262" s="70"/>
      <c r="AB262" s="70"/>
      <c r="AC262" s="70" t="str">
        <f t="shared" si="40"/>
        <v>---</v>
      </c>
      <c r="AD262" s="70" t="str">
        <f>IFERROR(P262/#REF!-1,"---")</f>
        <v>---</v>
      </c>
      <c r="AE262" s="70" t="str">
        <f>IFERROR(#REF!/#REF!-1,"---")</f>
        <v>---</v>
      </c>
      <c r="AF262" s="70" t="str">
        <f>IFERROR(Q262/#REF!-1,"---")</f>
        <v>---</v>
      </c>
      <c r="AG262" s="70" t="str">
        <f>IFERROR(#REF!/#REF!-1,"---")</f>
        <v>---</v>
      </c>
      <c r="AH262" s="70" t="str">
        <f>IFERROR(#REF!/AA262-1,"---")</f>
        <v>---</v>
      </c>
      <c r="AI262" s="71" t="str">
        <f t="shared" si="41"/>
        <v>---</v>
      </c>
    </row>
    <row r="263" spans="1:35" ht="30" customHeight="1" x14ac:dyDescent="0.3">
      <c r="A263" s="123">
        <f t="shared" si="34"/>
        <v>259</v>
      </c>
      <c r="B263" s="140">
        <f>INDEX('PEER GROUP'!B:B,MATCH($A263,'PEER GROUP'!$A:$A,0))</f>
        <v>0</v>
      </c>
      <c r="C263" s="83">
        <f>INDEX('PEER GROUP'!C:C,MATCH($A263,'PEER GROUP'!$A:$A,0))</f>
        <v>0</v>
      </c>
      <c r="D263" s="83">
        <f>INDEX('PEER GROUP'!D:D,MATCH($A263,'PEER GROUP'!$A:$A,0))</f>
        <v>0</v>
      </c>
      <c r="E263" s="83">
        <f>INDEX('PEER GROUP'!E:E,MATCH(A263,'PEER GROUP'!$A:$A,0))</f>
        <v>0</v>
      </c>
      <c r="F263" s="84">
        <f>INDEX('PEER GROUP'!F:F,MATCH($A263,'PEER GROUP'!$A:$A,0))</f>
        <v>0</v>
      </c>
      <c r="G263" s="84">
        <f>INDEX('PEER GROUP'!G:G,MATCH($A263,'PEER GROUP'!$A:$A,0))</f>
        <v>0</v>
      </c>
      <c r="H263" s="85"/>
      <c r="I263" s="85"/>
      <c r="J263" s="70">
        <f>INDEX('PEER GROUP'!K:K,MATCH($A263,'PEER GROUP'!$A:$A,0))</f>
        <v>0</v>
      </c>
      <c r="K263" s="70">
        <f>INDEX('PEER GROUP'!L:L,MATCH($A263,'PEER GROUP'!$A:$A,0))</f>
        <v>0</v>
      </c>
      <c r="L263" s="81">
        <f>INDEX('PEER GROUP'!N:N,MATCH($A263,'PEER GROUP'!$A:$A,0))</f>
        <v>0</v>
      </c>
      <c r="M263" s="118"/>
      <c r="N263" s="115"/>
      <c r="O263" s="117"/>
      <c r="P263" s="87"/>
      <c r="Q263" s="87"/>
      <c r="R263" s="87">
        <f t="shared" si="35"/>
        <v>0</v>
      </c>
      <c r="S263" s="113">
        <f t="shared" si="33"/>
        <v>36.913096727263202</v>
      </c>
      <c r="T263" s="69">
        <f t="shared" si="36"/>
        <v>0</v>
      </c>
      <c r="U263" s="70">
        <f t="shared" si="37"/>
        <v>0</v>
      </c>
      <c r="V263" s="70">
        <f t="shared" si="38"/>
        <v>0</v>
      </c>
      <c r="W263" s="71">
        <f t="shared" si="39"/>
        <v>0</v>
      </c>
      <c r="X263" s="49"/>
      <c r="Y263" s="151"/>
      <c r="Z263" s="69"/>
      <c r="AA263" s="70"/>
      <c r="AB263" s="70"/>
      <c r="AC263" s="70" t="str">
        <f t="shared" si="40"/>
        <v>---</v>
      </c>
      <c r="AD263" s="70" t="str">
        <f>IFERROR(P263/#REF!-1,"---")</f>
        <v>---</v>
      </c>
      <c r="AE263" s="70" t="str">
        <f>IFERROR(#REF!/#REF!-1,"---")</f>
        <v>---</v>
      </c>
      <c r="AF263" s="70" t="str">
        <f>IFERROR(Q263/#REF!-1,"---")</f>
        <v>---</v>
      </c>
      <c r="AG263" s="70" t="str">
        <f>IFERROR(#REF!/#REF!-1,"---")</f>
        <v>---</v>
      </c>
      <c r="AH263" s="70" t="str">
        <f>IFERROR(#REF!/AA263-1,"---")</f>
        <v>---</v>
      </c>
      <c r="AI263" s="71" t="str">
        <f t="shared" si="41"/>
        <v>---</v>
      </c>
    </row>
    <row r="264" spans="1:35" ht="30" customHeight="1" x14ac:dyDescent="0.3">
      <c r="A264" s="123">
        <f t="shared" si="34"/>
        <v>260</v>
      </c>
      <c r="B264" s="140">
        <f>INDEX('PEER GROUP'!B:B,MATCH($A264,'PEER GROUP'!$A:$A,0))</f>
        <v>0</v>
      </c>
      <c r="C264" s="83">
        <f>INDEX('PEER GROUP'!C:C,MATCH($A264,'PEER GROUP'!$A:$A,0))</f>
        <v>0</v>
      </c>
      <c r="D264" s="83">
        <f>INDEX('PEER GROUP'!D:D,MATCH($A264,'PEER GROUP'!$A:$A,0))</f>
        <v>0</v>
      </c>
      <c r="E264" s="83">
        <f>INDEX('PEER GROUP'!E:E,MATCH(A264,'PEER GROUP'!$A:$A,0))</f>
        <v>0</v>
      </c>
      <c r="F264" s="84">
        <f>INDEX('PEER GROUP'!F:F,MATCH($A264,'PEER GROUP'!$A:$A,0))</f>
        <v>0</v>
      </c>
      <c r="G264" s="84">
        <f>INDEX('PEER GROUP'!G:G,MATCH($A264,'PEER GROUP'!$A:$A,0))</f>
        <v>0</v>
      </c>
      <c r="H264" s="85"/>
      <c r="I264" s="85"/>
      <c r="J264" s="70">
        <f>INDEX('PEER GROUP'!K:K,MATCH($A264,'PEER GROUP'!$A:$A,0))</f>
        <v>0</v>
      </c>
      <c r="K264" s="70">
        <f>INDEX('PEER GROUP'!L:L,MATCH($A264,'PEER GROUP'!$A:$A,0))</f>
        <v>0</v>
      </c>
      <c r="L264" s="81">
        <f>INDEX('PEER GROUP'!N:N,MATCH($A264,'PEER GROUP'!$A:$A,0))</f>
        <v>0</v>
      </c>
      <c r="M264" s="118"/>
      <c r="N264" s="115"/>
      <c r="O264" s="117"/>
      <c r="P264" s="87"/>
      <c r="Q264" s="87"/>
      <c r="R264" s="87">
        <f t="shared" si="35"/>
        <v>0</v>
      </c>
      <c r="S264" s="113">
        <f t="shared" si="33"/>
        <v>36.913096727263202</v>
      </c>
      <c r="T264" s="69">
        <f t="shared" si="36"/>
        <v>0</v>
      </c>
      <c r="U264" s="70">
        <f t="shared" si="37"/>
        <v>0</v>
      </c>
      <c r="V264" s="70">
        <f t="shared" si="38"/>
        <v>0</v>
      </c>
      <c r="W264" s="71">
        <f t="shared" si="39"/>
        <v>0</v>
      </c>
      <c r="X264" s="49"/>
      <c r="Y264" s="151"/>
      <c r="Z264" s="69"/>
      <c r="AA264" s="70"/>
      <c r="AB264" s="70"/>
      <c r="AC264" s="70" t="str">
        <f t="shared" si="40"/>
        <v>---</v>
      </c>
      <c r="AD264" s="70" t="str">
        <f>IFERROR(P264/#REF!-1,"---")</f>
        <v>---</v>
      </c>
      <c r="AE264" s="70" t="str">
        <f>IFERROR(#REF!/#REF!-1,"---")</f>
        <v>---</v>
      </c>
      <c r="AF264" s="70" t="str">
        <f>IFERROR(Q264/#REF!-1,"---")</f>
        <v>---</v>
      </c>
      <c r="AG264" s="70" t="str">
        <f>IFERROR(#REF!/#REF!-1,"---")</f>
        <v>---</v>
      </c>
      <c r="AH264" s="70" t="str">
        <f>IFERROR(#REF!/AA264-1,"---")</f>
        <v>---</v>
      </c>
      <c r="AI264" s="71" t="str">
        <f t="shared" si="41"/>
        <v>---</v>
      </c>
    </row>
    <row r="265" spans="1:35" ht="30" customHeight="1" x14ac:dyDescent="0.3">
      <c r="A265" s="123">
        <f t="shared" si="34"/>
        <v>261</v>
      </c>
      <c r="B265" s="140">
        <f>INDEX('PEER GROUP'!B:B,MATCH($A265,'PEER GROUP'!$A:$A,0))</f>
        <v>0</v>
      </c>
      <c r="C265" s="83">
        <f>INDEX('PEER GROUP'!C:C,MATCH($A265,'PEER GROUP'!$A:$A,0))</f>
        <v>0</v>
      </c>
      <c r="D265" s="83">
        <f>INDEX('PEER GROUP'!D:D,MATCH($A265,'PEER GROUP'!$A:$A,0))</f>
        <v>0</v>
      </c>
      <c r="E265" s="83">
        <f>INDEX('PEER GROUP'!E:E,MATCH(A265,'PEER GROUP'!$A:$A,0))</f>
        <v>0</v>
      </c>
      <c r="F265" s="84">
        <f>INDEX('PEER GROUP'!F:F,MATCH($A265,'PEER GROUP'!$A:$A,0))</f>
        <v>0</v>
      </c>
      <c r="G265" s="84">
        <f>INDEX('PEER GROUP'!G:G,MATCH($A265,'PEER GROUP'!$A:$A,0))</f>
        <v>0</v>
      </c>
      <c r="H265" s="85"/>
      <c r="I265" s="85"/>
      <c r="J265" s="70">
        <f>INDEX('PEER GROUP'!K:K,MATCH($A265,'PEER GROUP'!$A:$A,0))</f>
        <v>0</v>
      </c>
      <c r="K265" s="70">
        <f>INDEX('PEER GROUP'!L:L,MATCH($A265,'PEER GROUP'!$A:$A,0))</f>
        <v>0</v>
      </c>
      <c r="L265" s="81">
        <f>INDEX('PEER GROUP'!N:N,MATCH($A265,'PEER GROUP'!$A:$A,0))</f>
        <v>0</v>
      </c>
      <c r="M265" s="118"/>
      <c r="N265" s="115"/>
      <c r="O265" s="117"/>
      <c r="P265" s="87"/>
      <c r="Q265" s="87"/>
      <c r="R265" s="87">
        <f t="shared" si="35"/>
        <v>0</v>
      </c>
      <c r="S265" s="113">
        <f t="shared" si="33"/>
        <v>36.913096727263202</v>
      </c>
      <c r="T265" s="69">
        <f t="shared" si="36"/>
        <v>0</v>
      </c>
      <c r="U265" s="70">
        <f t="shared" si="37"/>
        <v>0</v>
      </c>
      <c r="V265" s="70">
        <f t="shared" si="38"/>
        <v>0</v>
      </c>
      <c r="W265" s="71">
        <f t="shared" si="39"/>
        <v>0</v>
      </c>
      <c r="X265" s="49"/>
      <c r="Y265" s="151"/>
      <c r="Z265" s="69"/>
      <c r="AA265" s="70"/>
      <c r="AB265" s="70"/>
      <c r="AC265" s="70" t="str">
        <f t="shared" si="40"/>
        <v>---</v>
      </c>
      <c r="AD265" s="70" t="str">
        <f>IFERROR(P265/#REF!-1,"---")</f>
        <v>---</v>
      </c>
      <c r="AE265" s="70" t="str">
        <f>IFERROR(#REF!/#REF!-1,"---")</f>
        <v>---</v>
      </c>
      <c r="AF265" s="70" t="str">
        <f>IFERROR(Q265/#REF!-1,"---")</f>
        <v>---</v>
      </c>
      <c r="AG265" s="70" t="str">
        <f>IFERROR(#REF!/#REF!-1,"---")</f>
        <v>---</v>
      </c>
      <c r="AH265" s="70" t="str">
        <f>IFERROR(#REF!/AA265-1,"---")</f>
        <v>---</v>
      </c>
      <c r="AI265" s="71" t="str">
        <f t="shared" si="41"/>
        <v>---</v>
      </c>
    </row>
    <row r="266" spans="1:35" ht="30" customHeight="1" x14ac:dyDescent="0.3">
      <c r="A266" s="123">
        <f t="shared" si="34"/>
        <v>262</v>
      </c>
      <c r="B266" s="140">
        <f>INDEX('PEER GROUP'!B:B,MATCH($A266,'PEER GROUP'!$A:$A,0))</f>
        <v>0</v>
      </c>
      <c r="C266" s="83">
        <f>INDEX('PEER GROUP'!C:C,MATCH($A266,'PEER GROUP'!$A:$A,0))</f>
        <v>0</v>
      </c>
      <c r="D266" s="83">
        <f>INDEX('PEER GROUP'!D:D,MATCH($A266,'PEER GROUP'!$A:$A,0))</f>
        <v>0</v>
      </c>
      <c r="E266" s="83">
        <f>INDEX('PEER GROUP'!E:E,MATCH(A266,'PEER GROUP'!$A:$A,0))</f>
        <v>0</v>
      </c>
      <c r="F266" s="84">
        <f>INDEX('PEER GROUP'!F:F,MATCH($A266,'PEER GROUP'!$A:$A,0))</f>
        <v>0</v>
      </c>
      <c r="G266" s="84">
        <f>INDEX('PEER GROUP'!G:G,MATCH($A266,'PEER GROUP'!$A:$A,0))</f>
        <v>0</v>
      </c>
      <c r="H266" s="85"/>
      <c r="I266" s="85"/>
      <c r="J266" s="70">
        <f>INDEX('PEER GROUP'!K:K,MATCH($A266,'PEER GROUP'!$A:$A,0))</f>
        <v>0</v>
      </c>
      <c r="K266" s="70">
        <f>INDEX('PEER GROUP'!L:L,MATCH($A266,'PEER GROUP'!$A:$A,0))</f>
        <v>0</v>
      </c>
      <c r="L266" s="81">
        <f>INDEX('PEER GROUP'!N:N,MATCH($A266,'PEER GROUP'!$A:$A,0))</f>
        <v>0</v>
      </c>
      <c r="M266" s="118"/>
      <c r="N266" s="115"/>
      <c r="O266" s="117"/>
      <c r="P266" s="87"/>
      <c r="Q266" s="87"/>
      <c r="R266" s="87">
        <f t="shared" si="35"/>
        <v>0</v>
      </c>
      <c r="S266" s="113">
        <f t="shared" si="33"/>
        <v>36.913096727263202</v>
      </c>
      <c r="T266" s="69">
        <f t="shared" si="36"/>
        <v>0</v>
      </c>
      <c r="U266" s="70">
        <f t="shared" si="37"/>
        <v>0</v>
      </c>
      <c r="V266" s="70">
        <f t="shared" si="38"/>
        <v>0</v>
      </c>
      <c r="W266" s="71">
        <f t="shared" si="39"/>
        <v>0</v>
      </c>
      <c r="X266" s="49"/>
      <c r="Y266" s="151"/>
      <c r="Z266" s="69"/>
      <c r="AA266" s="70"/>
      <c r="AB266" s="70"/>
      <c r="AC266" s="70" t="str">
        <f t="shared" si="40"/>
        <v>---</v>
      </c>
      <c r="AD266" s="70" t="str">
        <f>IFERROR(P266/#REF!-1,"---")</f>
        <v>---</v>
      </c>
      <c r="AE266" s="70" t="str">
        <f>IFERROR(#REF!/#REF!-1,"---")</f>
        <v>---</v>
      </c>
      <c r="AF266" s="70" t="str">
        <f>IFERROR(Q266/#REF!-1,"---")</f>
        <v>---</v>
      </c>
      <c r="AG266" s="70" t="str">
        <f>IFERROR(#REF!/#REF!-1,"---")</f>
        <v>---</v>
      </c>
      <c r="AH266" s="70" t="str">
        <f>IFERROR(#REF!/AA266-1,"---")</f>
        <v>---</v>
      </c>
      <c r="AI266" s="71" t="str">
        <f t="shared" si="41"/>
        <v>---</v>
      </c>
    </row>
    <row r="267" spans="1:35" ht="30" customHeight="1" x14ac:dyDescent="0.3">
      <c r="A267" s="123">
        <f t="shared" si="34"/>
        <v>263</v>
      </c>
      <c r="B267" s="140">
        <f>INDEX('PEER GROUP'!B:B,MATCH($A267,'PEER GROUP'!$A:$A,0))</f>
        <v>0</v>
      </c>
      <c r="C267" s="83">
        <f>INDEX('PEER GROUP'!C:C,MATCH($A267,'PEER GROUP'!$A:$A,0))</f>
        <v>0</v>
      </c>
      <c r="D267" s="83">
        <f>INDEX('PEER GROUP'!D:D,MATCH($A267,'PEER GROUP'!$A:$A,0))</f>
        <v>0</v>
      </c>
      <c r="E267" s="83">
        <f>INDEX('PEER GROUP'!E:E,MATCH(A267,'PEER GROUP'!$A:$A,0))</f>
        <v>0</v>
      </c>
      <c r="F267" s="84">
        <f>INDEX('PEER GROUP'!F:F,MATCH($A267,'PEER GROUP'!$A:$A,0))</f>
        <v>0</v>
      </c>
      <c r="G267" s="84">
        <f>INDEX('PEER GROUP'!G:G,MATCH($A267,'PEER GROUP'!$A:$A,0))</f>
        <v>0</v>
      </c>
      <c r="H267" s="85"/>
      <c r="I267" s="85"/>
      <c r="J267" s="70">
        <f>INDEX('PEER GROUP'!K:K,MATCH($A267,'PEER GROUP'!$A:$A,0))</f>
        <v>0</v>
      </c>
      <c r="K267" s="70">
        <f>INDEX('PEER GROUP'!L:L,MATCH($A267,'PEER GROUP'!$A:$A,0))</f>
        <v>0</v>
      </c>
      <c r="L267" s="81">
        <f>INDEX('PEER GROUP'!N:N,MATCH($A267,'PEER GROUP'!$A:$A,0))</f>
        <v>0</v>
      </c>
      <c r="M267" s="118"/>
      <c r="N267" s="115"/>
      <c r="O267" s="117"/>
      <c r="P267" s="87"/>
      <c r="Q267" s="87"/>
      <c r="R267" s="87">
        <f t="shared" si="35"/>
        <v>0</v>
      </c>
      <c r="S267" s="113">
        <f t="shared" si="33"/>
        <v>36.913096727263202</v>
      </c>
      <c r="T267" s="69">
        <f t="shared" si="36"/>
        <v>0</v>
      </c>
      <c r="U267" s="70">
        <f t="shared" si="37"/>
        <v>0</v>
      </c>
      <c r="V267" s="70">
        <f t="shared" si="38"/>
        <v>0</v>
      </c>
      <c r="W267" s="71">
        <f t="shared" si="39"/>
        <v>0</v>
      </c>
      <c r="X267" s="49"/>
      <c r="Y267" s="151"/>
      <c r="Z267" s="69"/>
      <c r="AA267" s="70"/>
      <c r="AB267" s="70"/>
      <c r="AC267" s="70" t="str">
        <f t="shared" si="40"/>
        <v>---</v>
      </c>
      <c r="AD267" s="70" t="str">
        <f>IFERROR(P267/#REF!-1,"---")</f>
        <v>---</v>
      </c>
      <c r="AE267" s="70" t="str">
        <f>IFERROR(#REF!/#REF!-1,"---")</f>
        <v>---</v>
      </c>
      <c r="AF267" s="70" t="str">
        <f>IFERROR(Q267/#REF!-1,"---")</f>
        <v>---</v>
      </c>
      <c r="AG267" s="70" t="str">
        <f>IFERROR(#REF!/#REF!-1,"---")</f>
        <v>---</v>
      </c>
      <c r="AH267" s="70" t="str">
        <f>IFERROR(#REF!/AA267-1,"---")</f>
        <v>---</v>
      </c>
      <c r="AI267" s="71" t="str">
        <f t="shared" si="41"/>
        <v>---</v>
      </c>
    </row>
    <row r="268" spans="1:35" ht="30" customHeight="1" x14ac:dyDescent="0.3">
      <c r="A268" s="123">
        <f t="shared" si="34"/>
        <v>264</v>
      </c>
      <c r="B268" s="140">
        <f>INDEX('PEER GROUP'!B:B,MATCH($A268,'PEER GROUP'!$A:$A,0))</f>
        <v>0</v>
      </c>
      <c r="C268" s="83">
        <f>INDEX('PEER GROUP'!C:C,MATCH($A268,'PEER GROUP'!$A:$A,0))</f>
        <v>0</v>
      </c>
      <c r="D268" s="83">
        <f>INDEX('PEER GROUP'!D:D,MATCH($A268,'PEER GROUP'!$A:$A,0))</f>
        <v>0</v>
      </c>
      <c r="E268" s="83">
        <f>INDEX('PEER GROUP'!E:E,MATCH(A268,'PEER GROUP'!$A:$A,0))</f>
        <v>0</v>
      </c>
      <c r="F268" s="84">
        <f>INDEX('PEER GROUP'!F:F,MATCH($A268,'PEER GROUP'!$A:$A,0))</f>
        <v>0</v>
      </c>
      <c r="G268" s="84">
        <f>INDEX('PEER GROUP'!G:G,MATCH($A268,'PEER GROUP'!$A:$A,0))</f>
        <v>0</v>
      </c>
      <c r="H268" s="85"/>
      <c r="I268" s="85"/>
      <c r="J268" s="70">
        <f>INDEX('PEER GROUP'!K:K,MATCH($A268,'PEER GROUP'!$A:$A,0))</f>
        <v>0</v>
      </c>
      <c r="K268" s="70">
        <f>INDEX('PEER GROUP'!L:L,MATCH($A268,'PEER GROUP'!$A:$A,0))</f>
        <v>0</v>
      </c>
      <c r="L268" s="81">
        <f>INDEX('PEER GROUP'!N:N,MATCH($A268,'PEER GROUP'!$A:$A,0))</f>
        <v>0</v>
      </c>
      <c r="M268" s="118"/>
      <c r="N268" s="115"/>
      <c r="O268" s="117"/>
      <c r="P268" s="87"/>
      <c r="Q268" s="87"/>
      <c r="R268" s="87">
        <f t="shared" si="35"/>
        <v>0</v>
      </c>
      <c r="S268" s="113">
        <f t="shared" si="33"/>
        <v>36.913096727263202</v>
      </c>
      <c r="T268" s="69">
        <f t="shared" si="36"/>
        <v>0</v>
      </c>
      <c r="U268" s="70">
        <f t="shared" si="37"/>
        <v>0</v>
      </c>
      <c r="V268" s="70">
        <f t="shared" si="38"/>
        <v>0</v>
      </c>
      <c r="W268" s="71">
        <f t="shared" si="39"/>
        <v>0</v>
      </c>
      <c r="X268" s="49"/>
      <c r="Y268" s="151"/>
      <c r="Z268" s="69"/>
      <c r="AA268" s="70"/>
      <c r="AB268" s="70"/>
      <c r="AC268" s="70" t="str">
        <f t="shared" si="40"/>
        <v>---</v>
      </c>
      <c r="AD268" s="70" t="str">
        <f>IFERROR(P268/#REF!-1,"---")</f>
        <v>---</v>
      </c>
      <c r="AE268" s="70" t="str">
        <f>IFERROR(#REF!/#REF!-1,"---")</f>
        <v>---</v>
      </c>
      <c r="AF268" s="70" t="str">
        <f>IFERROR(Q268/#REF!-1,"---")</f>
        <v>---</v>
      </c>
      <c r="AG268" s="70" t="str">
        <f>IFERROR(#REF!/#REF!-1,"---")</f>
        <v>---</v>
      </c>
      <c r="AH268" s="70" t="str">
        <f>IFERROR(#REF!/AA268-1,"---")</f>
        <v>---</v>
      </c>
      <c r="AI268" s="71" t="str">
        <f t="shared" si="41"/>
        <v>---</v>
      </c>
    </row>
    <row r="269" spans="1:35" ht="30" customHeight="1" x14ac:dyDescent="0.3">
      <c r="A269" s="123">
        <f t="shared" si="34"/>
        <v>265</v>
      </c>
      <c r="B269" s="140">
        <f>INDEX('PEER GROUP'!B:B,MATCH($A269,'PEER GROUP'!$A:$A,0))</f>
        <v>0</v>
      </c>
      <c r="C269" s="83">
        <f>INDEX('PEER GROUP'!C:C,MATCH($A269,'PEER GROUP'!$A:$A,0))</f>
        <v>0</v>
      </c>
      <c r="D269" s="83">
        <f>INDEX('PEER GROUP'!D:D,MATCH($A269,'PEER GROUP'!$A:$A,0))</f>
        <v>0</v>
      </c>
      <c r="E269" s="83">
        <f>INDEX('PEER GROUP'!E:E,MATCH(A269,'PEER GROUP'!$A:$A,0))</f>
        <v>0</v>
      </c>
      <c r="F269" s="84">
        <f>INDEX('PEER GROUP'!F:F,MATCH($A269,'PEER GROUP'!$A:$A,0))</f>
        <v>0</v>
      </c>
      <c r="G269" s="84">
        <f>INDEX('PEER GROUP'!G:G,MATCH($A269,'PEER GROUP'!$A:$A,0))</f>
        <v>0</v>
      </c>
      <c r="H269" s="85"/>
      <c r="I269" s="85"/>
      <c r="J269" s="70">
        <f>INDEX('PEER GROUP'!K:K,MATCH($A269,'PEER GROUP'!$A:$A,0))</f>
        <v>0</v>
      </c>
      <c r="K269" s="70">
        <f>INDEX('PEER GROUP'!L:L,MATCH($A269,'PEER GROUP'!$A:$A,0))</f>
        <v>0</v>
      </c>
      <c r="L269" s="81">
        <f>INDEX('PEER GROUP'!N:N,MATCH($A269,'PEER GROUP'!$A:$A,0))</f>
        <v>0</v>
      </c>
      <c r="M269" s="118"/>
      <c r="N269" s="115"/>
      <c r="O269" s="117"/>
      <c r="P269" s="87"/>
      <c r="Q269" s="87"/>
      <c r="R269" s="87">
        <f t="shared" si="35"/>
        <v>0</v>
      </c>
      <c r="S269" s="113">
        <f t="shared" si="33"/>
        <v>36.913096727263202</v>
      </c>
      <c r="T269" s="69">
        <f t="shared" si="36"/>
        <v>0</v>
      </c>
      <c r="U269" s="70">
        <f t="shared" si="37"/>
        <v>0</v>
      </c>
      <c r="V269" s="70">
        <f t="shared" si="38"/>
        <v>0</v>
      </c>
      <c r="W269" s="71">
        <f t="shared" si="39"/>
        <v>0</v>
      </c>
      <c r="X269" s="49"/>
      <c r="Y269" s="151"/>
      <c r="Z269" s="69"/>
      <c r="AA269" s="70"/>
      <c r="AB269" s="70"/>
      <c r="AC269" s="70" t="str">
        <f t="shared" si="40"/>
        <v>---</v>
      </c>
      <c r="AD269" s="70" t="str">
        <f>IFERROR(P269/#REF!-1,"---")</f>
        <v>---</v>
      </c>
      <c r="AE269" s="70" t="str">
        <f>IFERROR(#REF!/#REF!-1,"---")</f>
        <v>---</v>
      </c>
      <c r="AF269" s="70" t="str">
        <f>IFERROR(Q269/#REF!-1,"---")</f>
        <v>---</v>
      </c>
      <c r="AG269" s="70" t="str">
        <f>IFERROR(#REF!/#REF!-1,"---")</f>
        <v>---</v>
      </c>
      <c r="AH269" s="70" t="str">
        <f>IFERROR(#REF!/AA269-1,"---")</f>
        <v>---</v>
      </c>
      <c r="AI269" s="71" t="str">
        <f t="shared" si="41"/>
        <v>---</v>
      </c>
    </row>
    <row r="270" spans="1:35" ht="30" customHeight="1" x14ac:dyDescent="0.3">
      <c r="A270" s="123">
        <f t="shared" si="34"/>
        <v>266</v>
      </c>
      <c r="B270" s="140">
        <f>INDEX('PEER GROUP'!B:B,MATCH($A270,'PEER GROUP'!$A:$A,0))</f>
        <v>0</v>
      </c>
      <c r="C270" s="83">
        <f>INDEX('PEER GROUP'!C:C,MATCH($A270,'PEER GROUP'!$A:$A,0))</f>
        <v>0</v>
      </c>
      <c r="D270" s="83">
        <f>INDEX('PEER GROUP'!D:D,MATCH($A270,'PEER GROUP'!$A:$A,0))</f>
        <v>0</v>
      </c>
      <c r="E270" s="83">
        <f>INDEX('PEER GROUP'!E:E,MATCH(A270,'PEER GROUP'!$A:$A,0))</f>
        <v>0</v>
      </c>
      <c r="F270" s="84">
        <f>INDEX('PEER GROUP'!F:F,MATCH($A270,'PEER GROUP'!$A:$A,0))</f>
        <v>0</v>
      </c>
      <c r="G270" s="84">
        <f>INDEX('PEER GROUP'!G:G,MATCH($A270,'PEER GROUP'!$A:$A,0))</f>
        <v>0</v>
      </c>
      <c r="H270" s="85"/>
      <c r="I270" s="85"/>
      <c r="J270" s="70">
        <f>INDEX('PEER GROUP'!K:K,MATCH($A270,'PEER GROUP'!$A:$A,0))</f>
        <v>0</v>
      </c>
      <c r="K270" s="70">
        <f>INDEX('PEER GROUP'!L:L,MATCH($A270,'PEER GROUP'!$A:$A,0))</f>
        <v>0</v>
      </c>
      <c r="L270" s="81">
        <f>INDEX('PEER GROUP'!N:N,MATCH($A270,'PEER GROUP'!$A:$A,0))</f>
        <v>0</v>
      </c>
      <c r="M270" s="118"/>
      <c r="N270" s="115"/>
      <c r="O270" s="117"/>
      <c r="P270" s="87"/>
      <c r="Q270" s="87"/>
      <c r="R270" s="87">
        <f t="shared" si="35"/>
        <v>0</v>
      </c>
      <c r="S270" s="113">
        <f t="shared" si="33"/>
        <v>36.913096727263202</v>
      </c>
      <c r="T270" s="69">
        <f t="shared" si="36"/>
        <v>0</v>
      </c>
      <c r="U270" s="70">
        <f t="shared" si="37"/>
        <v>0</v>
      </c>
      <c r="V270" s="70">
        <f t="shared" si="38"/>
        <v>0</v>
      </c>
      <c r="W270" s="71">
        <f t="shared" si="39"/>
        <v>0</v>
      </c>
      <c r="X270" s="49"/>
      <c r="Y270" s="151"/>
      <c r="Z270" s="69"/>
      <c r="AA270" s="70"/>
      <c r="AB270" s="70"/>
      <c r="AC270" s="70" t="str">
        <f t="shared" si="40"/>
        <v>---</v>
      </c>
      <c r="AD270" s="70" t="str">
        <f>IFERROR(P270/#REF!-1,"---")</f>
        <v>---</v>
      </c>
      <c r="AE270" s="70" t="str">
        <f>IFERROR(#REF!/#REF!-1,"---")</f>
        <v>---</v>
      </c>
      <c r="AF270" s="70" t="str">
        <f>IFERROR(Q270/#REF!-1,"---")</f>
        <v>---</v>
      </c>
      <c r="AG270" s="70" t="str">
        <f>IFERROR(#REF!/#REF!-1,"---")</f>
        <v>---</v>
      </c>
      <c r="AH270" s="70" t="str">
        <f>IFERROR(#REF!/AA270-1,"---")</f>
        <v>---</v>
      </c>
      <c r="AI270" s="71" t="str">
        <f t="shared" si="41"/>
        <v>---</v>
      </c>
    </row>
    <row r="271" spans="1:35" ht="30" customHeight="1" x14ac:dyDescent="0.3">
      <c r="A271" s="123">
        <f t="shared" si="34"/>
        <v>267</v>
      </c>
      <c r="B271" s="140">
        <f>INDEX('PEER GROUP'!B:B,MATCH($A271,'PEER GROUP'!$A:$A,0))</f>
        <v>0</v>
      </c>
      <c r="C271" s="83">
        <f>INDEX('PEER GROUP'!C:C,MATCH($A271,'PEER GROUP'!$A:$A,0))</f>
        <v>0</v>
      </c>
      <c r="D271" s="83">
        <f>INDEX('PEER GROUP'!D:D,MATCH($A271,'PEER GROUP'!$A:$A,0))</f>
        <v>0</v>
      </c>
      <c r="E271" s="83">
        <f>INDEX('PEER GROUP'!E:E,MATCH(A271,'PEER GROUP'!$A:$A,0))</f>
        <v>0</v>
      </c>
      <c r="F271" s="84">
        <f>INDEX('PEER GROUP'!F:F,MATCH($A271,'PEER GROUP'!$A:$A,0))</f>
        <v>0</v>
      </c>
      <c r="G271" s="84">
        <f>INDEX('PEER GROUP'!G:G,MATCH($A271,'PEER GROUP'!$A:$A,0))</f>
        <v>0</v>
      </c>
      <c r="H271" s="85"/>
      <c r="I271" s="85"/>
      <c r="J271" s="70">
        <f>INDEX('PEER GROUP'!K:K,MATCH($A271,'PEER GROUP'!$A:$A,0))</f>
        <v>0</v>
      </c>
      <c r="K271" s="70">
        <f>INDEX('PEER GROUP'!L:L,MATCH($A271,'PEER GROUP'!$A:$A,0))</f>
        <v>0</v>
      </c>
      <c r="L271" s="81">
        <f>INDEX('PEER GROUP'!N:N,MATCH($A271,'PEER GROUP'!$A:$A,0))</f>
        <v>0</v>
      </c>
      <c r="M271" s="118"/>
      <c r="N271" s="115"/>
      <c r="O271" s="117"/>
      <c r="P271" s="87"/>
      <c r="Q271" s="87"/>
      <c r="R271" s="87">
        <f t="shared" si="35"/>
        <v>0</v>
      </c>
      <c r="S271" s="113">
        <f t="shared" si="33"/>
        <v>36.913096727263202</v>
      </c>
      <c r="T271" s="69">
        <f t="shared" si="36"/>
        <v>0</v>
      </c>
      <c r="U271" s="70">
        <f t="shared" si="37"/>
        <v>0</v>
      </c>
      <c r="V271" s="70">
        <f t="shared" si="38"/>
        <v>0</v>
      </c>
      <c r="W271" s="71">
        <f t="shared" si="39"/>
        <v>0</v>
      </c>
      <c r="X271" s="49"/>
      <c r="Y271" s="151"/>
      <c r="Z271" s="69"/>
      <c r="AA271" s="70"/>
      <c r="AB271" s="70"/>
      <c r="AC271" s="70" t="str">
        <f t="shared" si="40"/>
        <v>---</v>
      </c>
      <c r="AD271" s="70" t="str">
        <f>IFERROR(P271/#REF!-1,"---")</f>
        <v>---</v>
      </c>
      <c r="AE271" s="70" t="str">
        <f>IFERROR(#REF!/#REF!-1,"---")</f>
        <v>---</v>
      </c>
      <c r="AF271" s="70" t="str">
        <f>IFERROR(Q271/#REF!-1,"---")</f>
        <v>---</v>
      </c>
      <c r="AG271" s="70" t="str">
        <f>IFERROR(#REF!/#REF!-1,"---")</f>
        <v>---</v>
      </c>
      <c r="AH271" s="70" t="str">
        <f>IFERROR(#REF!/AA271-1,"---")</f>
        <v>---</v>
      </c>
      <c r="AI271" s="71" t="str">
        <f t="shared" si="41"/>
        <v>---</v>
      </c>
    </row>
    <row r="272" spans="1:35" ht="30" customHeight="1" x14ac:dyDescent="0.3">
      <c r="A272" s="123">
        <f t="shared" si="34"/>
        <v>268</v>
      </c>
      <c r="B272" s="140">
        <f>INDEX('PEER GROUP'!B:B,MATCH($A272,'PEER GROUP'!$A:$A,0))</f>
        <v>0</v>
      </c>
      <c r="C272" s="83">
        <f>INDEX('PEER GROUP'!C:C,MATCH($A272,'PEER GROUP'!$A:$A,0))</f>
        <v>0</v>
      </c>
      <c r="D272" s="83">
        <f>INDEX('PEER GROUP'!D:D,MATCH($A272,'PEER GROUP'!$A:$A,0))</f>
        <v>0</v>
      </c>
      <c r="E272" s="83">
        <f>INDEX('PEER GROUP'!E:E,MATCH(A272,'PEER GROUP'!$A:$A,0))</f>
        <v>0</v>
      </c>
      <c r="F272" s="84">
        <f>INDEX('PEER GROUP'!F:F,MATCH($A272,'PEER GROUP'!$A:$A,0))</f>
        <v>0</v>
      </c>
      <c r="G272" s="84">
        <f>INDEX('PEER GROUP'!G:G,MATCH($A272,'PEER GROUP'!$A:$A,0))</f>
        <v>0</v>
      </c>
      <c r="H272" s="85"/>
      <c r="I272" s="85"/>
      <c r="J272" s="70">
        <f>INDEX('PEER GROUP'!K:K,MATCH($A272,'PEER GROUP'!$A:$A,0))</f>
        <v>0</v>
      </c>
      <c r="K272" s="70">
        <f>INDEX('PEER GROUP'!L:L,MATCH($A272,'PEER GROUP'!$A:$A,0))</f>
        <v>0</v>
      </c>
      <c r="L272" s="81">
        <f>INDEX('PEER GROUP'!N:N,MATCH($A272,'PEER GROUP'!$A:$A,0))</f>
        <v>0</v>
      </c>
      <c r="M272" s="118"/>
      <c r="N272" s="115"/>
      <c r="O272" s="117"/>
      <c r="P272" s="87"/>
      <c r="Q272" s="87"/>
      <c r="R272" s="87">
        <f t="shared" si="35"/>
        <v>0</v>
      </c>
      <c r="S272" s="113">
        <f t="shared" si="33"/>
        <v>36.913096727263202</v>
      </c>
      <c r="T272" s="69">
        <f t="shared" si="36"/>
        <v>0</v>
      </c>
      <c r="U272" s="70">
        <f t="shared" si="37"/>
        <v>0</v>
      </c>
      <c r="V272" s="70">
        <f t="shared" si="38"/>
        <v>0</v>
      </c>
      <c r="W272" s="71">
        <f t="shared" si="39"/>
        <v>0</v>
      </c>
      <c r="X272" s="49"/>
      <c r="Y272" s="151"/>
      <c r="Z272" s="69"/>
      <c r="AA272" s="70"/>
      <c r="AB272" s="70"/>
      <c r="AC272" s="70" t="str">
        <f t="shared" si="40"/>
        <v>---</v>
      </c>
      <c r="AD272" s="70" t="str">
        <f>IFERROR(P272/#REF!-1,"---")</f>
        <v>---</v>
      </c>
      <c r="AE272" s="70" t="str">
        <f>IFERROR(#REF!/#REF!-1,"---")</f>
        <v>---</v>
      </c>
      <c r="AF272" s="70" t="str">
        <f>IFERROR(Q272/#REF!-1,"---")</f>
        <v>---</v>
      </c>
      <c r="AG272" s="70" t="str">
        <f>IFERROR(#REF!/#REF!-1,"---")</f>
        <v>---</v>
      </c>
      <c r="AH272" s="70" t="str">
        <f>IFERROR(#REF!/AA272-1,"---")</f>
        <v>---</v>
      </c>
      <c r="AI272" s="71" t="str">
        <f t="shared" si="41"/>
        <v>---</v>
      </c>
    </row>
    <row r="273" spans="1:35" ht="30" customHeight="1" x14ac:dyDescent="0.3">
      <c r="A273" s="123">
        <f t="shared" si="34"/>
        <v>269</v>
      </c>
      <c r="B273" s="140">
        <f>INDEX('PEER GROUP'!B:B,MATCH($A273,'PEER GROUP'!$A:$A,0))</f>
        <v>0</v>
      </c>
      <c r="C273" s="83">
        <f>INDEX('PEER GROUP'!C:C,MATCH($A273,'PEER GROUP'!$A:$A,0))</f>
        <v>0</v>
      </c>
      <c r="D273" s="83">
        <f>INDEX('PEER GROUP'!D:D,MATCH($A273,'PEER GROUP'!$A:$A,0))</f>
        <v>0</v>
      </c>
      <c r="E273" s="83">
        <f>INDEX('PEER GROUP'!E:E,MATCH(A273,'PEER GROUP'!$A:$A,0))</f>
        <v>0</v>
      </c>
      <c r="F273" s="84">
        <f>INDEX('PEER GROUP'!F:F,MATCH($A273,'PEER GROUP'!$A:$A,0))</f>
        <v>0</v>
      </c>
      <c r="G273" s="84">
        <f>INDEX('PEER GROUP'!G:G,MATCH($A273,'PEER GROUP'!$A:$A,0))</f>
        <v>0</v>
      </c>
      <c r="H273" s="85"/>
      <c r="I273" s="85"/>
      <c r="J273" s="70">
        <f>INDEX('PEER GROUP'!K:K,MATCH($A273,'PEER GROUP'!$A:$A,0))</f>
        <v>0</v>
      </c>
      <c r="K273" s="70">
        <f>INDEX('PEER GROUP'!L:L,MATCH($A273,'PEER GROUP'!$A:$A,0))</f>
        <v>0</v>
      </c>
      <c r="L273" s="81">
        <f>INDEX('PEER GROUP'!N:N,MATCH($A273,'PEER GROUP'!$A:$A,0))</f>
        <v>0</v>
      </c>
      <c r="M273" s="118"/>
      <c r="N273" s="115"/>
      <c r="O273" s="117"/>
      <c r="P273" s="87"/>
      <c r="Q273" s="87"/>
      <c r="R273" s="87">
        <f t="shared" si="35"/>
        <v>0</v>
      </c>
      <c r="S273" s="113">
        <f t="shared" si="33"/>
        <v>36.913096727263202</v>
      </c>
      <c r="T273" s="69">
        <f t="shared" si="36"/>
        <v>0</v>
      </c>
      <c r="U273" s="70">
        <f t="shared" si="37"/>
        <v>0</v>
      </c>
      <c r="V273" s="70">
        <f t="shared" si="38"/>
        <v>0</v>
      </c>
      <c r="W273" s="71">
        <f t="shared" si="39"/>
        <v>0</v>
      </c>
      <c r="X273" s="49"/>
      <c r="Y273" s="151"/>
      <c r="Z273" s="69"/>
      <c r="AA273" s="70"/>
      <c r="AB273" s="70"/>
      <c r="AC273" s="70" t="str">
        <f t="shared" si="40"/>
        <v>---</v>
      </c>
      <c r="AD273" s="70" t="str">
        <f>IFERROR(P273/#REF!-1,"---")</f>
        <v>---</v>
      </c>
      <c r="AE273" s="70" t="str">
        <f>IFERROR(#REF!/#REF!-1,"---")</f>
        <v>---</v>
      </c>
      <c r="AF273" s="70" t="str">
        <f>IFERROR(Q273/#REF!-1,"---")</f>
        <v>---</v>
      </c>
      <c r="AG273" s="70" t="str">
        <f>IFERROR(#REF!/#REF!-1,"---")</f>
        <v>---</v>
      </c>
      <c r="AH273" s="70" t="str">
        <f>IFERROR(#REF!/AA273-1,"---")</f>
        <v>---</v>
      </c>
      <c r="AI273" s="71" t="str">
        <f t="shared" si="41"/>
        <v>---</v>
      </c>
    </row>
    <row r="274" spans="1:35" ht="30" customHeight="1" x14ac:dyDescent="0.3">
      <c r="A274" s="123">
        <f t="shared" si="34"/>
        <v>270</v>
      </c>
      <c r="B274" s="140">
        <f>INDEX('PEER GROUP'!B:B,MATCH($A274,'PEER GROUP'!$A:$A,0))</f>
        <v>0</v>
      </c>
      <c r="C274" s="83">
        <f>INDEX('PEER GROUP'!C:C,MATCH($A274,'PEER GROUP'!$A:$A,0))</f>
        <v>0</v>
      </c>
      <c r="D274" s="83">
        <f>INDEX('PEER GROUP'!D:D,MATCH($A274,'PEER GROUP'!$A:$A,0))</f>
        <v>0</v>
      </c>
      <c r="E274" s="83">
        <f>INDEX('PEER GROUP'!E:E,MATCH(A274,'PEER GROUP'!$A:$A,0))</f>
        <v>0</v>
      </c>
      <c r="F274" s="84">
        <f>INDEX('PEER GROUP'!F:F,MATCH($A274,'PEER GROUP'!$A:$A,0))</f>
        <v>0</v>
      </c>
      <c r="G274" s="84">
        <f>INDEX('PEER GROUP'!G:G,MATCH($A274,'PEER GROUP'!$A:$A,0))</f>
        <v>0</v>
      </c>
      <c r="H274" s="85"/>
      <c r="I274" s="85"/>
      <c r="J274" s="70">
        <f>INDEX('PEER GROUP'!K:K,MATCH($A274,'PEER GROUP'!$A:$A,0))</f>
        <v>0</v>
      </c>
      <c r="K274" s="70">
        <f>INDEX('PEER GROUP'!L:L,MATCH($A274,'PEER GROUP'!$A:$A,0))</f>
        <v>0</v>
      </c>
      <c r="L274" s="81">
        <f>INDEX('PEER GROUP'!N:N,MATCH($A274,'PEER GROUP'!$A:$A,0))</f>
        <v>0</v>
      </c>
      <c r="M274" s="118"/>
      <c r="N274" s="115"/>
      <c r="O274" s="117"/>
      <c r="P274" s="87"/>
      <c r="Q274" s="87"/>
      <c r="R274" s="87">
        <f t="shared" si="35"/>
        <v>0</v>
      </c>
      <c r="S274" s="113">
        <f t="shared" si="33"/>
        <v>36.913096727263202</v>
      </c>
      <c r="T274" s="69">
        <f t="shared" si="36"/>
        <v>0</v>
      </c>
      <c r="U274" s="70">
        <f t="shared" si="37"/>
        <v>0</v>
      </c>
      <c r="V274" s="70">
        <f t="shared" si="38"/>
        <v>0</v>
      </c>
      <c r="W274" s="71">
        <f t="shared" si="39"/>
        <v>0</v>
      </c>
      <c r="X274" s="49"/>
      <c r="Y274" s="151"/>
      <c r="Z274" s="69"/>
      <c r="AA274" s="70"/>
      <c r="AB274" s="70"/>
      <c r="AC274" s="70" t="str">
        <f t="shared" si="40"/>
        <v>---</v>
      </c>
      <c r="AD274" s="70" t="str">
        <f>IFERROR(P274/#REF!-1,"---")</f>
        <v>---</v>
      </c>
      <c r="AE274" s="70" t="str">
        <f>IFERROR(#REF!/#REF!-1,"---")</f>
        <v>---</v>
      </c>
      <c r="AF274" s="70" t="str">
        <f>IFERROR(Q274/#REF!-1,"---")</f>
        <v>---</v>
      </c>
      <c r="AG274" s="70" t="str">
        <f>IFERROR(#REF!/#REF!-1,"---")</f>
        <v>---</v>
      </c>
      <c r="AH274" s="70" t="str">
        <f>IFERROR(#REF!/AA274-1,"---")</f>
        <v>---</v>
      </c>
      <c r="AI274" s="71" t="str">
        <f t="shared" si="41"/>
        <v>---</v>
      </c>
    </row>
    <row r="275" spans="1:35" ht="30" customHeight="1" x14ac:dyDescent="0.3">
      <c r="A275" s="123">
        <f t="shared" si="34"/>
        <v>271</v>
      </c>
      <c r="B275" s="140">
        <f>INDEX('PEER GROUP'!B:B,MATCH($A275,'PEER GROUP'!$A:$A,0))</f>
        <v>0</v>
      </c>
      <c r="C275" s="83">
        <f>INDEX('PEER GROUP'!C:C,MATCH($A275,'PEER GROUP'!$A:$A,0))</f>
        <v>0</v>
      </c>
      <c r="D275" s="83">
        <f>INDEX('PEER GROUP'!D:D,MATCH($A275,'PEER GROUP'!$A:$A,0))</f>
        <v>0</v>
      </c>
      <c r="E275" s="83">
        <f>INDEX('PEER GROUP'!E:E,MATCH(A275,'PEER GROUP'!$A:$A,0))</f>
        <v>0</v>
      </c>
      <c r="F275" s="84">
        <f>INDEX('PEER GROUP'!F:F,MATCH($A275,'PEER GROUP'!$A:$A,0))</f>
        <v>0</v>
      </c>
      <c r="G275" s="84">
        <f>INDEX('PEER GROUP'!G:G,MATCH($A275,'PEER GROUP'!$A:$A,0))</f>
        <v>0</v>
      </c>
      <c r="H275" s="85"/>
      <c r="I275" s="85"/>
      <c r="J275" s="70">
        <f>INDEX('PEER GROUP'!K:K,MATCH($A275,'PEER GROUP'!$A:$A,0))</f>
        <v>0</v>
      </c>
      <c r="K275" s="70">
        <f>INDEX('PEER GROUP'!L:L,MATCH($A275,'PEER GROUP'!$A:$A,0))</f>
        <v>0</v>
      </c>
      <c r="L275" s="81">
        <f>INDEX('PEER GROUP'!N:N,MATCH($A275,'PEER GROUP'!$A:$A,0))</f>
        <v>0</v>
      </c>
      <c r="M275" s="118"/>
      <c r="N275" s="115"/>
      <c r="O275" s="117"/>
      <c r="P275" s="87"/>
      <c r="Q275" s="87"/>
      <c r="R275" s="87">
        <f t="shared" si="35"/>
        <v>0</v>
      </c>
      <c r="S275" s="113">
        <f t="shared" si="33"/>
        <v>36.913096727263202</v>
      </c>
      <c r="T275" s="69">
        <f t="shared" si="36"/>
        <v>0</v>
      </c>
      <c r="U275" s="70">
        <f t="shared" si="37"/>
        <v>0</v>
      </c>
      <c r="V275" s="70">
        <f t="shared" si="38"/>
        <v>0</v>
      </c>
      <c r="W275" s="71">
        <f t="shared" si="39"/>
        <v>0</v>
      </c>
      <c r="X275" s="49"/>
      <c r="Y275" s="151"/>
      <c r="Z275" s="69"/>
      <c r="AA275" s="70"/>
      <c r="AB275" s="70"/>
      <c r="AC275" s="70" t="str">
        <f t="shared" si="40"/>
        <v>---</v>
      </c>
      <c r="AD275" s="70" t="str">
        <f>IFERROR(P275/#REF!-1,"---")</f>
        <v>---</v>
      </c>
      <c r="AE275" s="70" t="str">
        <f>IFERROR(#REF!/#REF!-1,"---")</f>
        <v>---</v>
      </c>
      <c r="AF275" s="70" t="str">
        <f>IFERROR(Q275/#REF!-1,"---")</f>
        <v>---</v>
      </c>
      <c r="AG275" s="70" t="str">
        <f>IFERROR(#REF!/#REF!-1,"---")</f>
        <v>---</v>
      </c>
      <c r="AH275" s="70" t="str">
        <f>IFERROR(#REF!/AA275-1,"---")</f>
        <v>---</v>
      </c>
      <c r="AI275" s="71" t="str">
        <f t="shared" si="41"/>
        <v>---</v>
      </c>
    </row>
    <row r="276" spans="1:35" ht="30" customHeight="1" x14ac:dyDescent="0.3">
      <c r="A276" s="123">
        <f t="shared" si="34"/>
        <v>272</v>
      </c>
      <c r="B276" s="140">
        <f>INDEX('PEER GROUP'!B:B,MATCH($A276,'PEER GROUP'!$A:$A,0))</f>
        <v>0</v>
      </c>
      <c r="C276" s="83">
        <f>INDEX('PEER GROUP'!C:C,MATCH($A276,'PEER GROUP'!$A:$A,0))</f>
        <v>0</v>
      </c>
      <c r="D276" s="83">
        <f>INDEX('PEER GROUP'!D:D,MATCH($A276,'PEER GROUP'!$A:$A,0))</f>
        <v>0</v>
      </c>
      <c r="E276" s="83">
        <f>INDEX('PEER GROUP'!E:E,MATCH(A276,'PEER GROUP'!$A:$A,0))</f>
        <v>0</v>
      </c>
      <c r="F276" s="84">
        <f>INDEX('PEER GROUP'!F:F,MATCH($A276,'PEER GROUP'!$A:$A,0))</f>
        <v>0</v>
      </c>
      <c r="G276" s="84">
        <f>INDEX('PEER GROUP'!G:G,MATCH($A276,'PEER GROUP'!$A:$A,0))</f>
        <v>0</v>
      </c>
      <c r="H276" s="85"/>
      <c r="I276" s="85"/>
      <c r="J276" s="70">
        <f>INDEX('PEER GROUP'!K:K,MATCH($A276,'PEER GROUP'!$A:$A,0))</f>
        <v>0</v>
      </c>
      <c r="K276" s="70">
        <f>INDEX('PEER GROUP'!L:L,MATCH($A276,'PEER GROUP'!$A:$A,0))</f>
        <v>0</v>
      </c>
      <c r="L276" s="81">
        <f>INDEX('PEER GROUP'!N:N,MATCH($A276,'PEER GROUP'!$A:$A,0))</f>
        <v>0</v>
      </c>
      <c r="M276" s="118"/>
      <c r="N276" s="115"/>
      <c r="O276" s="117"/>
      <c r="P276" s="87"/>
      <c r="Q276" s="87"/>
      <c r="R276" s="87">
        <f t="shared" si="35"/>
        <v>0</v>
      </c>
      <c r="S276" s="113">
        <f t="shared" si="33"/>
        <v>36.913096727263202</v>
      </c>
      <c r="T276" s="69">
        <f t="shared" si="36"/>
        <v>0</v>
      </c>
      <c r="U276" s="70">
        <f t="shared" si="37"/>
        <v>0</v>
      </c>
      <c r="V276" s="70">
        <f t="shared" si="38"/>
        <v>0</v>
      </c>
      <c r="W276" s="71">
        <f t="shared" si="39"/>
        <v>0</v>
      </c>
      <c r="X276" s="49"/>
      <c r="Y276" s="151"/>
      <c r="Z276" s="69"/>
      <c r="AA276" s="70"/>
      <c r="AB276" s="70"/>
      <c r="AC276" s="70" t="str">
        <f t="shared" si="40"/>
        <v>---</v>
      </c>
      <c r="AD276" s="70" t="str">
        <f>IFERROR(P276/#REF!-1,"---")</f>
        <v>---</v>
      </c>
      <c r="AE276" s="70" t="str">
        <f>IFERROR(#REF!/#REF!-1,"---")</f>
        <v>---</v>
      </c>
      <c r="AF276" s="70" t="str">
        <f>IFERROR(Q276/#REF!-1,"---")</f>
        <v>---</v>
      </c>
      <c r="AG276" s="70" t="str">
        <f>IFERROR(#REF!/#REF!-1,"---")</f>
        <v>---</v>
      </c>
      <c r="AH276" s="70" t="str">
        <f>IFERROR(#REF!/AA276-1,"---")</f>
        <v>---</v>
      </c>
      <c r="AI276" s="71" t="str">
        <f t="shared" si="41"/>
        <v>---</v>
      </c>
    </row>
    <row r="277" spans="1:35" ht="30" customHeight="1" x14ac:dyDescent="0.3">
      <c r="A277" s="123">
        <f t="shared" si="34"/>
        <v>273</v>
      </c>
      <c r="B277" s="140">
        <f>INDEX('PEER GROUP'!B:B,MATCH($A277,'PEER GROUP'!$A:$A,0))</f>
        <v>0</v>
      </c>
      <c r="C277" s="83">
        <f>INDEX('PEER GROUP'!C:C,MATCH($A277,'PEER GROUP'!$A:$A,0))</f>
        <v>0</v>
      </c>
      <c r="D277" s="83">
        <f>INDEX('PEER GROUP'!D:D,MATCH($A277,'PEER GROUP'!$A:$A,0))</f>
        <v>0</v>
      </c>
      <c r="E277" s="83">
        <f>INDEX('PEER GROUP'!E:E,MATCH(A277,'PEER GROUP'!$A:$A,0))</f>
        <v>0</v>
      </c>
      <c r="F277" s="84">
        <f>INDEX('PEER GROUP'!F:F,MATCH($A277,'PEER GROUP'!$A:$A,0))</f>
        <v>0</v>
      </c>
      <c r="G277" s="84">
        <f>INDEX('PEER GROUP'!G:G,MATCH($A277,'PEER GROUP'!$A:$A,0))</f>
        <v>0</v>
      </c>
      <c r="H277" s="85"/>
      <c r="I277" s="85"/>
      <c r="J277" s="70">
        <f>INDEX('PEER GROUP'!K:K,MATCH($A277,'PEER GROUP'!$A:$A,0))</f>
        <v>0</v>
      </c>
      <c r="K277" s="70">
        <f>INDEX('PEER GROUP'!L:L,MATCH($A277,'PEER GROUP'!$A:$A,0))</f>
        <v>0</v>
      </c>
      <c r="L277" s="81">
        <f>INDEX('PEER GROUP'!N:N,MATCH($A277,'PEER GROUP'!$A:$A,0))</f>
        <v>0</v>
      </c>
      <c r="M277" s="118"/>
      <c r="N277" s="115"/>
      <c r="O277" s="117"/>
      <c r="P277" s="87"/>
      <c r="Q277" s="87"/>
      <c r="R277" s="87">
        <f t="shared" si="35"/>
        <v>0</v>
      </c>
      <c r="S277" s="113">
        <f t="shared" si="33"/>
        <v>36.913096727263202</v>
      </c>
      <c r="T277" s="69">
        <f t="shared" si="36"/>
        <v>0</v>
      </c>
      <c r="U277" s="70">
        <f t="shared" si="37"/>
        <v>0</v>
      </c>
      <c r="V277" s="70">
        <f t="shared" si="38"/>
        <v>0</v>
      </c>
      <c r="W277" s="71">
        <f t="shared" si="39"/>
        <v>0</v>
      </c>
      <c r="X277" s="49"/>
      <c r="Y277" s="151"/>
      <c r="Z277" s="69"/>
      <c r="AA277" s="70"/>
      <c r="AB277" s="70"/>
      <c r="AC277" s="70" t="str">
        <f t="shared" si="40"/>
        <v>---</v>
      </c>
      <c r="AD277" s="70" t="str">
        <f>IFERROR(P277/#REF!-1,"---")</f>
        <v>---</v>
      </c>
      <c r="AE277" s="70" t="str">
        <f>IFERROR(#REF!/#REF!-1,"---")</f>
        <v>---</v>
      </c>
      <c r="AF277" s="70" t="str">
        <f>IFERROR(Q277/#REF!-1,"---")</f>
        <v>---</v>
      </c>
      <c r="AG277" s="70" t="str">
        <f>IFERROR(#REF!/#REF!-1,"---")</f>
        <v>---</v>
      </c>
      <c r="AH277" s="70" t="str">
        <f>IFERROR(#REF!/AA277-1,"---")</f>
        <v>---</v>
      </c>
      <c r="AI277" s="71" t="str">
        <f t="shared" si="41"/>
        <v>---</v>
      </c>
    </row>
    <row r="278" spans="1:35" ht="30" customHeight="1" x14ac:dyDescent="0.3">
      <c r="A278" s="123">
        <f t="shared" si="34"/>
        <v>274</v>
      </c>
      <c r="B278" s="140">
        <f>INDEX('PEER GROUP'!B:B,MATCH($A278,'PEER GROUP'!$A:$A,0))</f>
        <v>0</v>
      </c>
      <c r="C278" s="83">
        <f>INDEX('PEER GROUP'!C:C,MATCH($A278,'PEER GROUP'!$A:$A,0))</f>
        <v>0</v>
      </c>
      <c r="D278" s="83">
        <f>INDEX('PEER GROUP'!D:D,MATCH($A278,'PEER GROUP'!$A:$A,0))</f>
        <v>0</v>
      </c>
      <c r="E278" s="83">
        <f>INDEX('PEER GROUP'!E:E,MATCH(A278,'PEER GROUP'!$A:$A,0))</f>
        <v>0</v>
      </c>
      <c r="F278" s="84">
        <f>INDEX('PEER GROUP'!F:F,MATCH($A278,'PEER GROUP'!$A:$A,0))</f>
        <v>0</v>
      </c>
      <c r="G278" s="84">
        <f>INDEX('PEER GROUP'!G:G,MATCH($A278,'PEER GROUP'!$A:$A,0))</f>
        <v>0</v>
      </c>
      <c r="H278" s="85"/>
      <c r="I278" s="85"/>
      <c r="J278" s="70">
        <f>INDEX('PEER GROUP'!K:K,MATCH($A278,'PEER GROUP'!$A:$A,0))</f>
        <v>0</v>
      </c>
      <c r="K278" s="70">
        <f>INDEX('PEER GROUP'!L:L,MATCH($A278,'PEER GROUP'!$A:$A,0))</f>
        <v>0</v>
      </c>
      <c r="L278" s="81">
        <f>INDEX('PEER GROUP'!N:N,MATCH($A278,'PEER GROUP'!$A:$A,0))</f>
        <v>0</v>
      </c>
      <c r="M278" s="118"/>
      <c r="N278" s="115"/>
      <c r="O278" s="117"/>
      <c r="P278" s="87"/>
      <c r="Q278" s="87"/>
      <c r="R278" s="87">
        <f t="shared" si="35"/>
        <v>0</v>
      </c>
      <c r="S278" s="113">
        <f t="shared" si="33"/>
        <v>36.913096727263202</v>
      </c>
      <c r="T278" s="69">
        <f t="shared" si="36"/>
        <v>0</v>
      </c>
      <c r="U278" s="70">
        <f t="shared" si="37"/>
        <v>0</v>
      </c>
      <c r="V278" s="70">
        <f t="shared" si="38"/>
        <v>0</v>
      </c>
      <c r="W278" s="71">
        <f t="shared" si="39"/>
        <v>0</v>
      </c>
      <c r="X278" s="49"/>
      <c r="Y278" s="151"/>
      <c r="Z278" s="69"/>
      <c r="AA278" s="70"/>
      <c r="AB278" s="70"/>
      <c r="AC278" s="70" t="str">
        <f t="shared" si="40"/>
        <v>---</v>
      </c>
      <c r="AD278" s="70" t="str">
        <f>IFERROR(P278/#REF!-1,"---")</f>
        <v>---</v>
      </c>
      <c r="AE278" s="70" t="str">
        <f>IFERROR(#REF!/#REF!-1,"---")</f>
        <v>---</v>
      </c>
      <c r="AF278" s="70" t="str">
        <f>IFERROR(Q278/#REF!-1,"---")</f>
        <v>---</v>
      </c>
      <c r="AG278" s="70" t="str">
        <f>IFERROR(#REF!/#REF!-1,"---")</f>
        <v>---</v>
      </c>
      <c r="AH278" s="70" t="str">
        <f>IFERROR(#REF!/AA278-1,"---")</f>
        <v>---</v>
      </c>
      <c r="AI278" s="71" t="str">
        <f t="shared" si="41"/>
        <v>---</v>
      </c>
    </row>
    <row r="279" spans="1:35" ht="30" customHeight="1" x14ac:dyDescent="0.3">
      <c r="A279" s="123">
        <f t="shared" si="34"/>
        <v>275</v>
      </c>
      <c r="B279" s="140">
        <f>INDEX('PEER GROUP'!B:B,MATCH($A279,'PEER GROUP'!$A:$A,0))</f>
        <v>0</v>
      </c>
      <c r="C279" s="83">
        <f>INDEX('PEER GROUP'!C:C,MATCH($A279,'PEER GROUP'!$A:$A,0))</f>
        <v>0</v>
      </c>
      <c r="D279" s="83">
        <f>INDEX('PEER GROUP'!D:D,MATCH($A279,'PEER GROUP'!$A:$A,0))</f>
        <v>0</v>
      </c>
      <c r="E279" s="83">
        <f>INDEX('PEER GROUP'!E:E,MATCH(A279,'PEER GROUP'!$A:$A,0))</f>
        <v>0</v>
      </c>
      <c r="F279" s="84">
        <f>INDEX('PEER GROUP'!F:F,MATCH($A279,'PEER GROUP'!$A:$A,0))</f>
        <v>0</v>
      </c>
      <c r="G279" s="84">
        <f>INDEX('PEER GROUP'!G:G,MATCH($A279,'PEER GROUP'!$A:$A,0))</f>
        <v>0</v>
      </c>
      <c r="H279" s="85"/>
      <c r="I279" s="85"/>
      <c r="J279" s="70">
        <f>INDEX('PEER GROUP'!K:K,MATCH($A279,'PEER GROUP'!$A:$A,0))</f>
        <v>0</v>
      </c>
      <c r="K279" s="70">
        <f>INDEX('PEER GROUP'!L:L,MATCH($A279,'PEER GROUP'!$A:$A,0))</f>
        <v>0</v>
      </c>
      <c r="L279" s="81">
        <f>INDEX('PEER GROUP'!N:N,MATCH($A279,'PEER GROUP'!$A:$A,0))</f>
        <v>0</v>
      </c>
      <c r="M279" s="118"/>
      <c r="N279" s="115"/>
      <c r="O279" s="117"/>
      <c r="P279" s="87"/>
      <c r="Q279" s="87"/>
      <c r="R279" s="87">
        <f t="shared" si="35"/>
        <v>0</v>
      </c>
      <c r="S279" s="113">
        <f t="shared" si="33"/>
        <v>36.913096727263202</v>
      </c>
      <c r="T279" s="69">
        <f t="shared" si="36"/>
        <v>0</v>
      </c>
      <c r="U279" s="70">
        <f t="shared" si="37"/>
        <v>0</v>
      </c>
      <c r="V279" s="70">
        <f t="shared" si="38"/>
        <v>0</v>
      </c>
      <c r="W279" s="71">
        <f t="shared" si="39"/>
        <v>0</v>
      </c>
      <c r="X279" s="49"/>
      <c r="Y279" s="151"/>
      <c r="Z279" s="69"/>
      <c r="AA279" s="70"/>
      <c r="AB279" s="70"/>
      <c r="AC279" s="70" t="str">
        <f t="shared" si="40"/>
        <v>---</v>
      </c>
      <c r="AD279" s="70" t="str">
        <f>IFERROR(P279/#REF!-1,"---")</f>
        <v>---</v>
      </c>
      <c r="AE279" s="70" t="str">
        <f>IFERROR(#REF!/#REF!-1,"---")</f>
        <v>---</v>
      </c>
      <c r="AF279" s="70" t="str">
        <f>IFERROR(Q279/#REF!-1,"---")</f>
        <v>---</v>
      </c>
      <c r="AG279" s="70" t="str">
        <f>IFERROR(#REF!/#REF!-1,"---")</f>
        <v>---</v>
      </c>
      <c r="AH279" s="70" t="str">
        <f>IFERROR(#REF!/AA279-1,"---")</f>
        <v>---</v>
      </c>
      <c r="AI279" s="71" t="str">
        <f t="shared" si="41"/>
        <v>---</v>
      </c>
    </row>
    <row r="280" spans="1:35" ht="30" customHeight="1" x14ac:dyDescent="0.3">
      <c r="A280" s="123">
        <f t="shared" si="34"/>
        <v>276</v>
      </c>
      <c r="B280" s="140">
        <f>INDEX('PEER GROUP'!B:B,MATCH($A280,'PEER GROUP'!$A:$A,0))</f>
        <v>0</v>
      </c>
      <c r="C280" s="83">
        <f>INDEX('PEER GROUP'!C:C,MATCH($A280,'PEER GROUP'!$A:$A,0))</f>
        <v>0</v>
      </c>
      <c r="D280" s="83">
        <f>INDEX('PEER GROUP'!D:D,MATCH($A280,'PEER GROUP'!$A:$A,0))</f>
        <v>0</v>
      </c>
      <c r="E280" s="83">
        <f>INDEX('PEER GROUP'!E:E,MATCH(A280,'PEER GROUP'!$A:$A,0))</f>
        <v>0</v>
      </c>
      <c r="F280" s="84">
        <f>INDEX('PEER GROUP'!F:F,MATCH($A280,'PEER GROUP'!$A:$A,0))</f>
        <v>0</v>
      </c>
      <c r="G280" s="84">
        <f>INDEX('PEER GROUP'!G:G,MATCH($A280,'PEER GROUP'!$A:$A,0))</f>
        <v>0</v>
      </c>
      <c r="H280" s="85"/>
      <c r="I280" s="85"/>
      <c r="J280" s="70">
        <f>INDEX('PEER GROUP'!K:K,MATCH($A280,'PEER GROUP'!$A:$A,0))</f>
        <v>0</v>
      </c>
      <c r="K280" s="70">
        <f>INDEX('PEER GROUP'!L:L,MATCH($A280,'PEER GROUP'!$A:$A,0))</f>
        <v>0</v>
      </c>
      <c r="L280" s="81">
        <f>INDEX('PEER GROUP'!N:N,MATCH($A280,'PEER GROUP'!$A:$A,0))</f>
        <v>0</v>
      </c>
      <c r="M280" s="118"/>
      <c r="N280" s="115"/>
      <c r="O280" s="117"/>
      <c r="P280" s="87"/>
      <c r="Q280" s="87"/>
      <c r="R280" s="87">
        <f t="shared" si="35"/>
        <v>0</v>
      </c>
      <c r="S280" s="113">
        <f t="shared" si="33"/>
        <v>36.913096727263202</v>
      </c>
      <c r="T280" s="69">
        <f t="shared" si="36"/>
        <v>0</v>
      </c>
      <c r="U280" s="70">
        <f t="shared" si="37"/>
        <v>0</v>
      </c>
      <c r="V280" s="70">
        <f t="shared" si="38"/>
        <v>0</v>
      </c>
      <c r="W280" s="71">
        <f t="shared" si="39"/>
        <v>0</v>
      </c>
      <c r="X280" s="49"/>
      <c r="Y280" s="151"/>
      <c r="Z280" s="69"/>
      <c r="AA280" s="70"/>
      <c r="AB280" s="70"/>
      <c r="AC280" s="70" t="str">
        <f t="shared" si="40"/>
        <v>---</v>
      </c>
      <c r="AD280" s="70" t="str">
        <f>IFERROR(P280/#REF!-1,"---")</f>
        <v>---</v>
      </c>
      <c r="AE280" s="70" t="str">
        <f>IFERROR(#REF!/#REF!-1,"---")</f>
        <v>---</v>
      </c>
      <c r="AF280" s="70" t="str">
        <f>IFERROR(Q280/#REF!-1,"---")</f>
        <v>---</v>
      </c>
      <c r="AG280" s="70" t="str">
        <f>IFERROR(#REF!/#REF!-1,"---")</f>
        <v>---</v>
      </c>
      <c r="AH280" s="70" t="str">
        <f>IFERROR(#REF!/AA280-1,"---")</f>
        <v>---</v>
      </c>
      <c r="AI280" s="71" t="str">
        <f t="shared" si="41"/>
        <v>---</v>
      </c>
    </row>
    <row r="281" spans="1:35" ht="30" customHeight="1" x14ac:dyDescent="0.3">
      <c r="A281" s="123">
        <f t="shared" si="34"/>
        <v>277</v>
      </c>
      <c r="B281" s="140">
        <f>INDEX('PEER GROUP'!B:B,MATCH($A281,'PEER GROUP'!$A:$A,0))</f>
        <v>0</v>
      </c>
      <c r="C281" s="83">
        <f>INDEX('PEER GROUP'!C:C,MATCH($A281,'PEER GROUP'!$A:$A,0))</f>
        <v>0</v>
      </c>
      <c r="D281" s="83">
        <f>INDEX('PEER GROUP'!D:D,MATCH($A281,'PEER GROUP'!$A:$A,0))</f>
        <v>0</v>
      </c>
      <c r="E281" s="83">
        <f>INDEX('PEER GROUP'!E:E,MATCH(A281,'PEER GROUP'!$A:$A,0))</f>
        <v>0</v>
      </c>
      <c r="F281" s="84">
        <f>INDEX('PEER GROUP'!F:F,MATCH($A281,'PEER GROUP'!$A:$A,0))</f>
        <v>0</v>
      </c>
      <c r="G281" s="84">
        <f>INDEX('PEER GROUP'!G:G,MATCH($A281,'PEER GROUP'!$A:$A,0))</f>
        <v>0</v>
      </c>
      <c r="H281" s="85"/>
      <c r="I281" s="85"/>
      <c r="J281" s="70">
        <f>INDEX('PEER GROUP'!K:K,MATCH($A281,'PEER GROUP'!$A:$A,0))</f>
        <v>0</v>
      </c>
      <c r="K281" s="70">
        <f>INDEX('PEER GROUP'!L:L,MATCH($A281,'PEER GROUP'!$A:$A,0))</f>
        <v>0</v>
      </c>
      <c r="L281" s="81">
        <f>INDEX('PEER GROUP'!N:N,MATCH($A281,'PEER GROUP'!$A:$A,0))</f>
        <v>0</v>
      </c>
      <c r="M281" s="118"/>
      <c r="N281" s="115"/>
      <c r="O281" s="117"/>
      <c r="P281" s="87"/>
      <c r="Q281" s="87"/>
      <c r="R281" s="87">
        <f t="shared" si="35"/>
        <v>0</v>
      </c>
      <c r="S281" s="113">
        <f t="shared" si="33"/>
        <v>36.913096727263202</v>
      </c>
      <c r="T281" s="69">
        <f t="shared" si="36"/>
        <v>0</v>
      </c>
      <c r="U281" s="70">
        <f t="shared" si="37"/>
        <v>0</v>
      </c>
      <c r="V281" s="70">
        <f t="shared" si="38"/>
        <v>0</v>
      </c>
      <c r="W281" s="71">
        <f t="shared" si="39"/>
        <v>0</v>
      </c>
      <c r="X281" s="49"/>
      <c r="Y281" s="151"/>
      <c r="Z281" s="69"/>
      <c r="AA281" s="70"/>
      <c r="AB281" s="70"/>
      <c r="AC281" s="70" t="str">
        <f t="shared" si="40"/>
        <v>---</v>
      </c>
      <c r="AD281" s="70" t="str">
        <f>IFERROR(P281/#REF!-1,"---")</f>
        <v>---</v>
      </c>
      <c r="AE281" s="70" t="str">
        <f>IFERROR(#REF!/#REF!-1,"---")</f>
        <v>---</v>
      </c>
      <c r="AF281" s="70" t="str">
        <f>IFERROR(Q281/#REF!-1,"---")</f>
        <v>---</v>
      </c>
      <c r="AG281" s="70" t="str">
        <f>IFERROR(#REF!/#REF!-1,"---")</f>
        <v>---</v>
      </c>
      <c r="AH281" s="70" t="str">
        <f>IFERROR(#REF!/AA281-1,"---")</f>
        <v>---</v>
      </c>
      <c r="AI281" s="71" t="str">
        <f t="shared" si="41"/>
        <v>---</v>
      </c>
    </row>
    <row r="282" spans="1:35" ht="30" customHeight="1" x14ac:dyDescent="0.3">
      <c r="A282" s="123">
        <f t="shared" si="34"/>
        <v>278</v>
      </c>
      <c r="B282" s="140">
        <f>INDEX('PEER GROUP'!B:B,MATCH($A282,'PEER GROUP'!$A:$A,0))</f>
        <v>0</v>
      </c>
      <c r="C282" s="83">
        <f>INDEX('PEER GROUP'!C:C,MATCH($A282,'PEER GROUP'!$A:$A,0))</f>
        <v>0</v>
      </c>
      <c r="D282" s="83">
        <f>INDEX('PEER GROUP'!D:D,MATCH($A282,'PEER GROUP'!$A:$A,0))</f>
        <v>0</v>
      </c>
      <c r="E282" s="83">
        <f>INDEX('PEER GROUP'!E:E,MATCH(A282,'PEER GROUP'!$A:$A,0))</f>
        <v>0</v>
      </c>
      <c r="F282" s="84">
        <f>INDEX('PEER GROUP'!F:F,MATCH($A282,'PEER GROUP'!$A:$A,0))</f>
        <v>0</v>
      </c>
      <c r="G282" s="84">
        <f>INDEX('PEER GROUP'!G:G,MATCH($A282,'PEER GROUP'!$A:$A,0))</f>
        <v>0</v>
      </c>
      <c r="H282" s="85"/>
      <c r="I282" s="85"/>
      <c r="J282" s="70">
        <f>INDEX('PEER GROUP'!K:K,MATCH($A282,'PEER GROUP'!$A:$A,0))</f>
        <v>0</v>
      </c>
      <c r="K282" s="70">
        <f>INDEX('PEER GROUP'!L:L,MATCH($A282,'PEER GROUP'!$A:$A,0))</f>
        <v>0</v>
      </c>
      <c r="L282" s="81">
        <f>INDEX('PEER GROUP'!N:N,MATCH($A282,'PEER GROUP'!$A:$A,0))</f>
        <v>0</v>
      </c>
      <c r="M282" s="118"/>
      <c r="N282" s="115"/>
      <c r="O282" s="117"/>
      <c r="P282" s="87"/>
      <c r="Q282" s="87"/>
      <c r="R282" s="87">
        <f t="shared" si="35"/>
        <v>0</v>
      </c>
      <c r="S282" s="113">
        <f t="shared" si="33"/>
        <v>36.913096727263202</v>
      </c>
      <c r="T282" s="69">
        <f t="shared" si="36"/>
        <v>0</v>
      </c>
      <c r="U282" s="70">
        <f t="shared" si="37"/>
        <v>0</v>
      </c>
      <c r="V282" s="70">
        <f t="shared" si="38"/>
        <v>0</v>
      </c>
      <c r="W282" s="71">
        <f t="shared" si="39"/>
        <v>0</v>
      </c>
      <c r="X282" s="49"/>
      <c r="Y282" s="151"/>
      <c r="Z282" s="69"/>
      <c r="AA282" s="70"/>
      <c r="AB282" s="70"/>
      <c r="AC282" s="70" t="str">
        <f t="shared" si="40"/>
        <v>---</v>
      </c>
      <c r="AD282" s="70" t="str">
        <f>IFERROR(P282/#REF!-1,"---")</f>
        <v>---</v>
      </c>
      <c r="AE282" s="70" t="str">
        <f>IFERROR(#REF!/#REF!-1,"---")</f>
        <v>---</v>
      </c>
      <c r="AF282" s="70" t="str">
        <f>IFERROR(Q282/#REF!-1,"---")</f>
        <v>---</v>
      </c>
      <c r="AG282" s="70" t="str">
        <f>IFERROR(#REF!/#REF!-1,"---")</f>
        <v>---</v>
      </c>
      <c r="AH282" s="70" t="str">
        <f>IFERROR(#REF!/AA282-1,"---")</f>
        <v>---</v>
      </c>
      <c r="AI282" s="71" t="str">
        <f t="shared" si="41"/>
        <v>---</v>
      </c>
    </row>
    <row r="283" spans="1:35" ht="30" customHeight="1" x14ac:dyDescent="0.3">
      <c r="A283" s="123">
        <f t="shared" si="34"/>
        <v>279</v>
      </c>
      <c r="B283" s="140">
        <f>INDEX('PEER GROUP'!B:B,MATCH($A283,'PEER GROUP'!$A:$A,0))</f>
        <v>0</v>
      </c>
      <c r="C283" s="83">
        <f>INDEX('PEER GROUP'!C:C,MATCH($A283,'PEER GROUP'!$A:$A,0))</f>
        <v>0</v>
      </c>
      <c r="D283" s="83">
        <f>INDEX('PEER GROUP'!D:D,MATCH($A283,'PEER GROUP'!$A:$A,0))</f>
        <v>0</v>
      </c>
      <c r="E283" s="83">
        <f>INDEX('PEER GROUP'!E:E,MATCH(A283,'PEER GROUP'!$A:$A,0))</f>
        <v>0</v>
      </c>
      <c r="F283" s="84">
        <f>INDEX('PEER GROUP'!F:F,MATCH($A283,'PEER GROUP'!$A:$A,0))</f>
        <v>0</v>
      </c>
      <c r="G283" s="84">
        <f>INDEX('PEER GROUP'!G:G,MATCH($A283,'PEER GROUP'!$A:$A,0))</f>
        <v>0</v>
      </c>
      <c r="H283" s="85"/>
      <c r="I283" s="85"/>
      <c r="J283" s="70">
        <f>INDEX('PEER GROUP'!K:K,MATCH($A283,'PEER GROUP'!$A:$A,0))</f>
        <v>0</v>
      </c>
      <c r="K283" s="70">
        <f>INDEX('PEER GROUP'!L:L,MATCH($A283,'PEER GROUP'!$A:$A,0))</f>
        <v>0</v>
      </c>
      <c r="L283" s="81">
        <f>INDEX('PEER GROUP'!N:N,MATCH($A283,'PEER GROUP'!$A:$A,0))</f>
        <v>0</v>
      </c>
      <c r="M283" s="118"/>
      <c r="N283" s="115"/>
      <c r="O283" s="117"/>
      <c r="P283" s="87"/>
      <c r="Q283" s="87"/>
      <c r="R283" s="87">
        <f t="shared" si="35"/>
        <v>0</v>
      </c>
      <c r="S283" s="113">
        <f t="shared" si="33"/>
        <v>36.913096727263202</v>
      </c>
      <c r="T283" s="69">
        <f t="shared" si="36"/>
        <v>0</v>
      </c>
      <c r="U283" s="70">
        <f t="shared" si="37"/>
        <v>0</v>
      </c>
      <c r="V283" s="70">
        <f t="shared" si="38"/>
        <v>0</v>
      </c>
      <c r="W283" s="71">
        <f t="shared" si="39"/>
        <v>0</v>
      </c>
      <c r="X283" s="49"/>
      <c r="Y283" s="151"/>
      <c r="Z283" s="69"/>
      <c r="AA283" s="70"/>
      <c r="AB283" s="70"/>
      <c r="AC283" s="70" t="str">
        <f t="shared" si="40"/>
        <v>---</v>
      </c>
      <c r="AD283" s="70" t="str">
        <f>IFERROR(P283/#REF!-1,"---")</f>
        <v>---</v>
      </c>
      <c r="AE283" s="70" t="str">
        <f>IFERROR(#REF!/#REF!-1,"---")</f>
        <v>---</v>
      </c>
      <c r="AF283" s="70" t="str">
        <f>IFERROR(Q283/#REF!-1,"---")</f>
        <v>---</v>
      </c>
      <c r="AG283" s="70" t="str">
        <f>IFERROR(#REF!/#REF!-1,"---")</f>
        <v>---</v>
      </c>
      <c r="AH283" s="70" t="str">
        <f>IFERROR(#REF!/AA283-1,"---")</f>
        <v>---</v>
      </c>
      <c r="AI283" s="71" t="str">
        <f t="shared" si="41"/>
        <v>---</v>
      </c>
    </row>
    <row r="284" spans="1:35" ht="30" customHeight="1" x14ac:dyDescent="0.3">
      <c r="A284" s="123">
        <f t="shared" si="34"/>
        <v>280</v>
      </c>
      <c r="B284" s="140">
        <f>INDEX('PEER GROUP'!B:B,MATCH($A284,'PEER GROUP'!$A:$A,0))</f>
        <v>0</v>
      </c>
      <c r="C284" s="83">
        <f>INDEX('PEER GROUP'!C:C,MATCH($A284,'PEER GROUP'!$A:$A,0))</f>
        <v>0</v>
      </c>
      <c r="D284" s="83">
        <f>INDEX('PEER GROUP'!D:D,MATCH($A284,'PEER GROUP'!$A:$A,0))</f>
        <v>0</v>
      </c>
      <c r="E284" s="83">
        <f>INDEX('PEER GROUP'!E:E,MATCH(A284,'PEER GROUP'!$A:$A,0))</f>
        <v>0</v>
      </c>
      <c r="F284" s="84">
        <f>INDEX('PEER GROUP'!F:F,MATCH($A284,'PEER GROUP'!$A:$A,0))</f>
        <v>0</v>
      </c>
      <c r="G284" s="84">
        <f>INDEX('PEER GROUP'!G:G,MATCH($A284,'PEER GROUP'!$A:$A,0))</f>
        <v>0</v>
      </c>
      <c r="H284" s="85"/>
      <c r="I284" s="85"/>
      <c r="J284" s="70">
        <f>INDEX('PEER GROUP'!K:K,MATCH($A284,'PEER GROUP'!$A:$A,0))</f>
        <v>0</v>
      </c>
      <c r="K284" s="70">
        <f>INDEX('PEER GROUP'!L:L,MATCH($A284,'PEER GROUP'!$A:$A,0))</f>
        <v>0</v>
      </c>
      <c r="L284" s="81">
        <f>INDEX('PEER GROUP'!N:N,MATCH($A284,'PEER GROUP'!$A:$A,0))</f>
        <v>0</v>
      </c>
      <c r="M284" s="118"/>
      <c r="N284" s="115"/>
      <c r="O284" s="117"/>
      <c r="P284" s="87"/>
      <c r="Q284" s="87"/>
      <c r="R284" s="87">
        <f t="shared" si="35"/>
        <v>0</v>
      </c>
      <c r="S284" s="113">
        <f t="shared" si="33"/>
        <v>36.913096727263202</v>
      </c>
      <c r="T284" s="69">
        <f t="shared" si="36"/>
        <v>0</v>
      </c>
      <c r="U284" s="70">
        <f t="shared" si="37"/>
        <v>0</v>
      </c>
      <c r="V284" s="70">
        <f t="shared" si="38"/>
        <v>0</v>
      </c>
      <c r="W284" s="71">
        <f t="shared" si="39"/>
        <v>0</v>
      </c>
      <c r="X284" s="49"/>
      <c r="Y284" s="151"/>
      <c r="Z284" s="69"/>
      <c r="AA284" s="70"/>
      <c r="AB284" s="70"/>
      <c r="AC284" s="70" t="str">
        <f t="shared" si="40"/>
        <v>---</v>
      </c>
      <c r="AD284" s="70" t="str">
        <f>IFERROR(P284/#REF!-1,"---")</f>
        <v>---</v>
      </c>
      <c r="AE284" s="70" t="str">
        <f>IFERROR(#REF!/#REF!-1,"---")</f>
        <v>---</v>
      </c>
      <c r="AF284" s="70" t="str">
        <f>IFERROR(Q284/#REF!-1,"---")</f>
        <v>---</v>
      </c>
      <c r="AG284" s="70" t="str">
        <f>IFERROR(#REF!/#REF!-1,"---")</f>
        <v>---</v>
      </c>
      <c r="AH284" s="70" t="str">
        <f>IFERROR(#REF!/AA284-1,"---")</f>
        <v>---</v>
      </c>
      <c r="AI284" s="71" t="str">
        <f t="shared" si="41"/>
        <v>---</v>
      </c>
    </row>
    <row r="285" spans="1:35" ht="30" customHeight="1" x14ac:dyDescent="0.3">
      <c r="A285" s="123">
        <f t="shared" si="34"/>
        <v>281</v>
      </c>
      <c r="B285" s="140">
        <f>INDEX('PEER GROUP'!B:B,MATCH($A285,'PEER GROUP'!$A:$A,0))</f>
        <v>0</v>
      </c>
      <c r="C285" s="83">
        <f>INDEX('PEER GROUP'!C:C,MATCH($A285,'PEER GROUP'!$A:$A,0))</f>
        <v>0</v>
      </c>
      <c r="D285" s="83">
        <f>INDEX('PEER GROUP'!D:D,MATCH($A285,'PEER GROUP'!$A:$A,0))</f>
        <v>0</v>
      </c>
      <c r="E285" s="83">
        <f>INDEX('PEER GROUP'!E:E,MATCH(A285,'PEER GROUP'!$A:$A,0))</f>
        <v>0</v>
      </c>
      <c r="F285" s="84">
        <f>INDEX('PEER GROUP'!F:F,MATCH($A285,'PEER GROUP'!$A:$A,0))</f>
        <v>0</v>
      </c>
      <c r="G285" s="84">
        <f>INDEX('PEER GROUP'!G:G,MATCH($A285,'PEER GROUP'!$A:$A,0))</f>
        <v>0</v>
      </c>
      <c r="H285" s="85"/>
      <c r="I285" s="85"/>
      <c r="J285" s="70">
        <f>INDEX('PEER GROUP'!K:K,MATCH($A285,'PEER GROUP'!$A:$A,0))</f>
        <v>0</v>
      </c>
      <c r="K285" s="70">
        <f>INDEX('PEER GROUP'!L:L,MATCH($A285,'PEER GROUP'!$A:$A,0))</f>
        <v>0</v>
      </c>
      <c r="L285" s="81">
        <f>INDEX('PEER GROUP'!N:N,MATCH($A285,'PEER GROUP'!$A:$A,0))</f>
        <v>0</v>
      </c>
      <c r="M285" s="118"/>
      <c r="N285" s="115"/>
      <c r="O285" s="117"/>
      <c r="P285" s="87"/>
      <c r="Q285" s="87"/>
      <c r="R285" s="87">
        <f t="shared" si="35"/>
        <v>0</v>
      </c>
      <c r="S285" s="113">
        <f t="shared" si="33"/>
        <v>36.913096727263202</v>
      </c>
      <c r="T285" s="69">
        <f t="shared" si="36"/>
        <v>0</v>
      </c>
      <c r="U285" s="70">
        <f t="shared" si="37"/>
        <v>0</v>
      </c>
      <c r="V285" s="70">
        <f t="shared" si="38"/>
        <v>0</v>
      </c>
      <c r="W285" s="71">
        <f t="shared" si="39"/>
        <v>0</v>
      </c>
      <c r="X285" s="49"/>
      <c r="Y285" s="151"/>
      <c r="Z285" s="69"/>
      <c r="AA285" s="70"/>
      <c r="AB285" s="70"/>
      <c r="AC285" s="70" t="str">
        <f t="shared" si="40"/>
        <v>---</v>
      </c>
      <c r="AD285" s="70" t="str">
        <f>IFERROR(P285/#REF!-1,"---")</f>
        <v>---</v>
      </c>
      <c r="AE285" s="70" t="str">
        <f>IFERROR(#REF!/#REF!-1,"---")</f>
        <v>---</v>
      </c>
      <c r="AF285" s="70" t="str">
        <f>IFERROR(Q285/#REF!-1,"---")</f>
        <v>---</v>
      </c>
      <c r="AG285" s="70" t="str">
        <f>IFERROR(#REF!/#REF!-1,"---")</f>
        <v>---</v>
      </c>
      <c r="AH285" s="70" t="str">
        <f>IFERROR(#REF!/AA285-1,"---")</f>
        <v>---</v>
      </c>
      <c r="AI285" s="71" t="str">
        <f t="shared" si="41"/>
        <v>---</v>
      </c>
    </row>
    <row r="286" spans="1:35" ht="30" customHeight="1" x14ac:dyDescent="0.3">
      <c r="A286" s="123">
        <f t="shared" si="34"/>
        <v>282</v>
      </c>
      <c r="B286" s="140">
        <f>INDEX('PEER GROUP'!B:B,MATCH($A286,'PEER GROUP'!$A:$A,0))</f>
        <v>0</v>
      </c>
      <c r="C286" s="83">
        <f>INDEX('PEER GROUP'!C:C,MATCH($A286,'PEER GROUP'!$A:$A,0))</f>
        <v>0</v>
      </c>
      <c r="D286" s="83">
        <f>INDEX('PEER GROUP'!D:D,MATCH($A286,'PEER GROUP'!$A:$A,0))</f>
        <v>0</v>
      </c>
      <c r="E286" s="83">
        <f>INDEX('PEER GROUP'!E:E,MATCH(A286,'PEER GROUP'!$A:$A,0))</f>
        <v>0</v>
      </c>
      <c r="F286" s="84">
        <f>INDEX('PEER GROUP'!F:F,MATCH($A286,'PEER GROUP'!$A:$A,0))</f>
        <v>0</v>
      </c>
      <c r="G286" s="84">
        <f>INDEX('PEER GROUP'!G:G,MATCH($A286,'PEER GROUP'!$A:$A,0))</f>
        <v>0</v>
      </c>
      <c r="H286" s="85"/>
      <c r="I286" s="85"/>
      <c r="J286" s="70">
        <f>INDEX('PEER GROUP'!K:K,MATCH($A286,'PEER GROUP'!$A:$A,0))</f>
        <v>0</v>
      </c>
      <c r="K286" s="70">
        <f>INDEX('PEER GROUP'!L:L,MATCH($A286,'PEER GROUP'!$A:$A,0))</f>
        <v>0</v>
      </c>
      <c r="L286" s="81">
        <f>INDEX('PEER GROUP'!N:N,MATCH($A286,'PEER GROUP'!$A:$A,0))</f>
        <v>0</v>
      </c>
      <c r="M286" s="118"/>
      <c r="N286" s="115"/>
      <c r="O286" s="117"/>
      <c r="P286" s="87"/>
      <c r="Q286" s="87"/>
      <c r="R286" s="87">
        <f t="shared" si="35"/>
        <v>0</v>
      </c>
      <c r="S286" s="113">
        <f t="shared" si="33"/>
        <v>36.913096727263202</v>
      </c>
      <c r="T286" s="69">
        <f t="shared" si="36"/>
        <v>0</v>
      </c>
      <c r="U286" s="70">
        <f t="shared" si="37"/>
        <v>0</v>
      </c>
      <c r="V286" s="70">
        <f t="shared" si="38"/>
        <v>0</v>
      </c>
      <c r="W286" s="71">
        <f t="shared" si="39"/>
        <v>0</v>
      </c>
      <c r="X286" s="49"/>
      <c r="Y286" s="151"/>
      <c r="Z286" s="69"/>
      <c r="AA286" s="70"/>
      <c r="AB286" s="70"/>
      <c r="AC286" s="70" t="str">
        <f t="shared" si="40"/>
        <v>---</v>
      </c>
      <c r="AD286" s="70" t="str">
        <f>IFERROR(P286/#REF!-1,"---")</f>
        <v>---</v>
      </c>
      <c r="AE286" s="70" t="str">
        <f>IFERROR(#REF!/#REF!-1,"---")</f>
        <v>---</v>
      </c>
      <c r="AF286" s="70" t="str">
        <f>IFERROR(Q286/#REF!-1,"---")</f>
        <v>---</v>
      </c>
      <c r="AG286" s="70" t="str">
        <f>IFERROR(#REF!/#REF!-1,"---")</f>
        <v>---</v>
      </c>
      <c r="AH286" s="70" t="str">
        <f>IFERROR(#REF!/AA286-1,"---")</f>
        <v>---</v>
      </c>
      <c r="AI286" s="71" t="str">
        <f t="shared" si="41"/>
        <v>---</v>
      </c>
    </row>
    <row r="287" spans="1:35" ht="30" customHeight="1" x14ac:dyDescent="0.3">
      <c r="A287" s="123">
        <f t="shared" si="34"/>
        <v>283</v>
      </c>
      <c r="B287" s="140">
        <f>INDEX('PEER GROUP'!B:B,MATCH($A287,'PEER GROUP'!$A:$A,0))</f>
        <v>0</v>
      </c>
      <c r="C287" s="83">
        <f>INDEX('PEER GROUP'!C:C,MATCH($A287,'PEER GROUP'!$A:$A,0))</f>
        <v>0</v>
      </c>
      <c r="D287" s="83">
        <f>INDEX('PEER GROUP'!D:D,MATCH($A287,'PEER GROUP'!$A:$A,0))</f>
        <v>0</v>
      </c>
      <c r="E287" s="83">
        <f>INDEX('PEER GROUP'!E:E,MATCH(A287,'PEER GROUP'!$A:$A,0))</f>
        <v>0</v>
      </c>
      <c r="F287" s="84">
        <f>INDEX('PEER GROUP'!F:F,MATCH($A287,'PEER GROUP'!$A:$A,0))</f>
        <v>0</v>
      </c>
      <c r="G287" s="84">
        <f>INDEX('PEER GROUP'!G:G,MATCH($A287,'PEER GROUP'!$A:$A,0))</f>
        <v>0</v>
      </c>
      <c r="H287" s="85"/>
      <c r="I287" s="85"/>
      <c r="J287" s="70">
        <f>INDEX('PEER GROUP'!K:K,MATCH($A287,'PEER GROUP'!$A:$A,0))</f>
        <v>0</v>
      </c>
      <c r="K287" s="70">
        <f>INDEX('PEER GROUP'!L:L,MATCH($A287,'PEER GROUP'!$A:$A,0))</f>
        <v>0</v>
      </c>
      <c r="L287" s="81">
        <f>INDEX('PEER GROUP'!N:N,MATCH($A287,'PEER GROUP'!$A:$A,0))</f>
        <v>0</v>
      </c>
      <c r="M287" s="118"/>
      <c r="N287" s="115"/>
      <c r="O287" s="117"/>
      <c r="P287" s="87"/>
      <c r="Q287" s="87"/>
      <c r="R287" s="87">
        <f t="shared" si="35"/>
        <v>0</v>
      </c>
      <c r="S287" s="113">
        <f t="shared" si="33"/>
        <v>36.913096727263202</v>
      </c>
      <c r="T287" s="69">
        <f t="shared" si="36"/>
        <v>0</v>
      </c>
      <c r="U287" s="70">
        <f t="shared" si="37"/>
        <v>0</v>
      </c>
      <c r="V287" s="70">
        <f t="shared" si="38"/>
        <v>0</v>
      </c>
      <c r="W287" s="71">
        <f t="shared" si="39"/>
        <v>0</v>
      </c>
      <c r="X287" s="49"/>
      <c r="Y287" s="151"/>
      <c r="Z287" s="69"/>
      <c r="AA287" s="70"/>
      <c r="AB287" s="70"/>
      <c r="AC287" s="70" t="str">
        <f t="shared" si="40"/>
        <v>---</v>
      </c>
      <c r="AD287" s="70" t="str">
        <f>IFERROR(P287/#REF!-1,"---")</f>
        <v>---</v>
      </c>
      <c r="AE287" s="70" t="str">
        <f>IFERROR(#REF!/#REF!-1,"---")</f>
        <v>---</v>
      </c>
      <c r="AF287" s="70" t="str">
        <f>IFERROR(Q287/#REF!-1,"---")</f>
        <v>---</v>
      </c>
      <c r="AG287" s="70" t="str">
        <f>IFERROR(#REF!/#REF!-1,"---")</f>
        <v>---</v>
      </c>
      <c r="AH287" s="70" t="str">
        <f>IFERROR(#REF!/AA287-1,"---")</f>
        <v>---</v>
      </c>
      <c r="AI287" s="71" t="str">
        <f t="shared" si="41"/>
        <v>---</v>
      </c>
    </row>
    <row r="288" spans="1:35" ht="30" customHeight="1" x14ac:dyDescent="0.3">
      <c r="A288" s="123">
        <f t="shared" si="34"/>
        <v>284</v>
      </c>
      <c r="B288" s="140">
        <f>INDEX('PEER GROUP'!B:B,MATCH($A288,'PEER GROUP'!$A:$A,0))</f>
        <v>0</v>
      </c>
      <c r="C288" s="83">
        <f>INDEX('PEER GROUP'!C:C,MATCH($A288,'PEER GROUP'!$A:$A,0))</f>
        <v>0</v>
      </c>
      <c r="D288" s="83">
        <f>INDEX('PEER GROUP'!D:D,MATCH($A288,'PEER GROUP'!$A:$A,0))</f>
        <v>0</v>
      </c>
      <c r="E288" s="83">
        <f>INDEX('PEER GROUP'!E:E,MATCH(A288,'PEER GROUP'!$A:$A,0))</f>
        <v>0</v>
      </c>
      <c r="F288" s="84">
        <f>INDEX('PEER GROUP'!F:F,MATCH($A288,'PEER GROUP'!$A:$A,0))</f>
        <v>0</v>
      </c>
      <c r="G288" s="84">
        <f>INDEX('PEER GROUP'!G:G,MATCH($A288,'PEER GROUP'!$A:$A,0))</f>
        <v>0</v>
      </c>
      <c r="H288" s="85"/>
      <c r="I288" s="85"/>
      <c r="J288" s="70">
        <f>INDEX('PEER GROUP'!K:K,MATCH($A288,'PEER GROUP'!$A:$A,0))</f>
        <v>0</v>
      </c>
      <c r="K288" s="70">
        <f>INDEX('PEER GROUP'!L:L,MATCH($A288,'PEER GROUP'!$A:$A,0))</f>
        <v>0</v>
      </c>
      <c r="L288" s="81">
        <f>INDEX('PEER GROUP'!N:N,MATCH($A288,'PEER GROUP'!$A:$A,0))</f>
        <v>0</v>
      </c>
      <c r="M288" s="118"/>
      <c r="N288" s="115"/>
      <c r="O288" s="117"/>
      <c r="P288" s="87"/>
      <c r="Q288" s="87"/>
      <c r="R288" s="87">
        <f t="shared" si="35"/>
        <v>0</v>
      </c>
      <c r="S288" s="113">
        <f t="shared" si="33"/>
        <v>36.913096727263202</v>
      </c>
      <c r="T288" s="69">
        <f t="shared" si="36"/>
        <v>0</v>
      </c>
      <c r="U288" s="70">
        <f t="shared" si="37"/>
        <v>0</v>
      </c>
      <c r="V288" s="70">
        <f t="shared" si="38"/>
        <v>0</v>
      </c>
      <c r="W288" s="71">
        <f t="shared" si="39"/>
        <v>0</v>
      </c>
      <c r="X288" s="49"/>
      <c r="Y288" s="151"/>
      <c r="Z288" s="69"/>
      <c r="AA288" s="70"/>
      <c r="AB288" s="70"/>
      <c r="AC288" s="70" t="str">
        <f t="shared" si="40"/>
        <v>---</v>
      </c>
      <c r="AD288" s="70" t="str">
        <f>IFERROR(P288/#REF!-1,"---")</f>
        <v>---</v>
      </c>
      <c r="AE288" s="70" t="str">
        <f>IFERROR(#REF!/#REF!-1,"---")</f>
        <v>---</v>
      </c>
      <c r="AF288" s="70" t="str">
        <f>IFERROR(Q288/#REF!-1,"---")</f>
        <v>---</v>
      </c>
      <c r="AG288" s="70" t="str">
        <f>IFERROR(#REF!/#REF!-1,"---")</f>
        <v>---</v>
      </c>
      <c r="AH288" s="70" t="str">
        <f>IFERROR(#REF!/AA288-1,"---")</f>
        <v>---</v>
      </c>
      <c r="AI288" s="71" t="str">
        <f t="shared" si="41"/>
        <v>---</v>
      </c>
    </row>
    <row r="289" spans="1:35" ht="30" customHeight="1" x14ac:dyDescent="0.3">
      <c r="A289" s="123">
        <f t="shared" si="34"/>
        <v>285</v>
      </c>
      <c r="B289" s="140">
        <f>INDEX('PEER GROUP'!B:B,MATCH($A289,'PEER GROUP'!$A:$A,0))</f>
        <v>0</v>
      </c>
      <c r="C289" s="83">
        <f>INDEX('PEER GROUP'!C:C,MATCH($A289,'PEER GROUP'!$A:$A,0))</f>
        <v>0</v>
      </c>
      <c r="D289" s="83">
        <f>INDEX('PEER GROUP'!D:D,MATCH($A289,'PEER GROUP'!$A:$A,0))</f>
        <v>0</v>
      </c>
      <c r="E289" s="83">
        <f>INDEX('PEER GROUP'!E:E,MATCH(A289,'PEER GROUP'!$A:$A,0))</f>
        <v>0</v>
      </c>
      <c r="F289" s="84">
        <f>INDEX('PEER GROUP'!F:F,MATCH($A289,'PEER GROUP'!$A:$A,0))</f>
        <v>0</v>
      </c>
      <c r="G289" s="84">
        <f>INDEX('PEER GROUP'!G:G,MATCH($A289,'PEER GROUP'!$A:$A,0))</f>
        <v>0</v>
      </c>
      <c r="H289" s="85"/>
      <c r="I289" s="85"/>
      <c r="J289" s="70">
        <f>INDEX('PEER GROUP'!K:K,MATCH($A289,'PEER GROUP'!$A:$A,0))</f>
        <v>0</v>
      </c>
      <c r="K289" s="70">
        <f>INDEX('PEER GROUP'!L:L,MATCH($A289,'PEER GROUP'!$A:$A,0))</f>
        <v>0</v>
      </c>
      <c r="L289" s="81">
        <f>INDEX('PEER GROUP'!N:N,MATCH($A289,'PEER GROUP'!$A:$A,0))</f>
        <v>0</v>
      </c>
      <c r="M289" s="118"/>
      <c r="N289" s="115"/>
      <c r="O289" s="117"/>
      <c r="P289" s="87"/>
      <c r="Q289" s="87"/>
      <c r="R289" s="87">
        <f t="shared" si="35"/>
        <v>0</v>
      </c>
      <c r="S289" s="113">
        <f t="shared" si="33"/>
        <v>36.913096727263202</v>
      </c>
      <c r="T289" s="69">
        <f t="shared" si="36"/>
        <v>0</v>
      </c>
      <c r="U289" s="70">
        <f t="shared" si="37"/>
        <v>0</v>
      </c>
      <c r="V289" s="70">
        <f t="shared" si="38"/>
        <v>0</v>
      </c>
      <c r="W289" s="71">
        <f t="shared" si="39"/>
        <v>0</v>
      </c>
      <c r="X289" s="49"/>
      <c r="Y289" s="151"/>
      <c r="Z289" s="69"/>
      <c r="AA289" s="70"/>
      <c r="AB289" s="70"/>
      <c r="AC289" s="70" t="str">
        <f t="shared" si="40"/>
        <v>---</v>
      </c>
      <c r="AD289" s="70" t="str">
        <f>IFERROR(P289/#REF!-1,"---")</f>
        <v>---</v>
      </c>
      <c r="AE289" s="70" t="str">
        <f>IFERROR(#REF!/#REF!-1,"---")</f>
        <v>---</v>
      </c>
      <c r="AF289" s="70" t="str">
        <f>IFERROR(Q289/#REF!-1,"---")</f>
        <v>---</v>
      </c>
      <c r="AG289" s="70" t="str">
        <f>IFERROR(#REF!/#REF!-1,"---")</f>
        <v>---</v>
      </c>
      <c r="AH289" s="70" t="str">
        <f>IFERROR(#REF!/AA289-1,"---")</f>
        <v>---</v>
      </c>
      <c r="AI289" s="71" t="str">
        <f t="shared" si="41"/>
        <v>---</v>
      </c>
    </row>
    <row r="290" spans="1:35" ht="30" customHeight="1" x14ac:dyDescent="0.3">
      <c r="A290" s="123">
        <f t="shared" si="34"/>
        <v>286</v>
      </c>
      <c r="B290" s="140">
        <f>INDEX('PEER GROUP'!B:B,MATCH($A290,'PEER GROUP'!$A:$A,0))</f>
        <v>0</v>
      </c>
      <c r="C290" s="83">
        <f>INDEX('PEER GROUP'!C:C,MATCH($A290,'PEER GROUP'!$A:$A,0))</f>
        <v>0</v>
      </c>
      <c r="D290" s="83">
        <f>INDEX('PEER GROUP'!D:D,MATCH($A290,'PEER GROUP'!$A:$A,0))</f>
        <v>0</v>
      </c>
      <c r="E290" s="83">
        <f>INDEX('PEER GROUP'!E:E,MATCH(A290,'PEER GROUP'!$A:$A,0))</f>
        <v>0</v>
      </c>
      <c r="F290" s="84">
        <f>INDEX('PEER GROUP'!F:F,MATCH($A290,'PEER GROUP'!$A:$A,0))</f>
        <v>0</v>
      </c>
      <c r="G290" s="84">
        <f>INDEX('PEER GROUP'!G:G,MATCH($A290,'PEER GROUP'!$A:$A,0))</f>
        <v>0</v>
      </c>
      <c r="H290" s="85"/>
      <c r="I290" s="85"/>
      <c r="J290" s="70">
        <f>INDEX('PEER GROUP'!K:K,MATCH($A290,'PEER GROUP'!$A:$A,0))</f>
        <v>0</v>
      </c>
      <c r="K290" s="70">
        <f>INDEX('PEER GROUP'!L:L,MATCH($A290,'PEER GROUP'!$A:$A,0))</f>
        <v>0</v>
      </c>
      <c r="L290" s="81">
        <f>INDEX('PEER GROUP'!N:N,MATCH($A290,'PEER GROUP'!$A:$A,0))</f>
        <v>0</v>
      </c>
      <c r="M290" s="118"/>
      <c r="N290" s="115"/>
      <c r="O290" s="117"/>
      <c r="P290" s="87"/>
      <c r="Q290" s="87"/>
      <c r="R290" s="87">
        <f t="shared" si="35"/>
        <v>0</v>
      </c>
      <c r="S290" s="113">
        <f t="shared" si="33"/>
        <v>36.913096727263202</v>
      </c>
      <c r="T290" s="69">
        <f t="shared" si="36"/>
        <v>0</v>
      </c>
      <c r="U290" s="70">
        <f t="shared" si="37"/>
        <v>0</v>
      </c>
      <c r="V290" s="70">
        <f t="shared" si="38"/>
        <v>0</v>
      </c>
      <c r="W290" s="71">
        <f t="shared" si="39"/>
        <v>0</v>
      </c>
      <c r="X290" s="49"/>
      <c r="Y290" s="151"/>
      <c r="Z290" s="69"/>
      <c r="AA290" s="70"/>
      <c r="AB290" s="70"/>
      <c r="AC290" s="70" t="str">
        <f t="shared" si="40"/>
        <v>---</v>
      </c>
      <c r="AD290" s="70" t="str">
        <f>IFERROR(P290/#REF!-1,"---")</f>
        <v>---</v>
      </c>
      <c r="AE290" s="70" t="str">
        <f>IFERROR(#REF!/#REF!-1,"---")</f>
        <v>---</v>
      </c>
      <c r="AF290" s="70" t="str">
        <f>IFERROR(Q290/#REF!-1,"---")</f>
        <v>---</v>
      </c>
      <c r="AG290" s="70" t="str">
        <f>IFERROR(#REF!/#REF!-1,"---")</f>
        <v>---</v>
      </c>
      <c r="AH290" s="70" t="str">
        <f>IFERROR(#REF!/AA290-1,"---")</f>
        <v>---</v>
      </c>
      <c r="AI290" s="71" t="str">
        <f t="shared" si="41"/>
        <v>---</v>
      </c>
    </row>
    <row r="291" spans="1:35" ht="30" customHeight="1" x14ac:dyDescent="0.3">
      <c r="A291" s="123">
        <f t="shared" si="34"/>
        <v>287</v>
      </c>
      <c r="B291" s="140">
        <f>INDEX('PEER GROUP'!B:B,MATCH($A291,'PEER GROUP'!$A:$A,0))</f>
        <v>0</v>
      </c>
      <c r="C291" s="83">
        <f>INDEX('PEER GROUP'!C:C,MATCH($A291,'PEER GROUP'!$A:$A,0))</f>
        <v>0</v>
      </c>
      <c r="D291" s="83">
        <f>INDEX('PEER GROUP'!D:D,MATCH($A291,'PEER GROUP'!$A:$A,0))</f>
        <v>0</v>
      </c>
      <c r="E291" s="83">
        <f>INDEX('PEER GROUP'!E:E,MATCH(A291,'PEER GROUP'!$A:$A,0))</f>
        <v>0</v>
      </c>
      <c r="F291" s="84">
        <f>INDEX('PEER GROUP'!F:F,MATCH($A291,'PEER GROUP'!$A:$A,0))</f>
        <v>0</v>
      </c>
      <c r="G291" s="84">
        <f>INDEX('PEER GROUP'!G:G,MATCH($A291,'PEER GROUP'!$A:$A,0))</f>
        <v>0</v>
      </c>
      <c r="H291" s="85"/>
      <c r="I291" s="85"/>
      <c r="J291" s="70">
        <f>INDEX('PEER GROUP'!K:K,MATCH($A291,'PEER GROUP'!$A:$A,0))</f>
        <v>0</v>
      </c>
      <c r="K291" s="70">
        <f>INDEX('PEER GROUP'!L:L,MATCH($A291,'PEER GROUP'!$A:$A,0))</f>
        <v>0</v>
      </c>
      <c r="L291" s="81">
        <f>INDEX('PEER GROUP'!N:N,MATCH($A291,'PEER GROUP'!$A:$A,0))</f>
        <v>0</v>
      </c>
      <c r="M291" s="118"/>
      <c r="N291" s="115"/>
      <c r="O291" s="117"/>
      <c r="P291" s="87"/>
      <c r="Q291" s="87"/>
      <c r="R291" s="87">
        <f t="shared" si="35"/>
        <v>0</v>
      </c>
      <c r="S291" s="113">
        <f t="shared" ref="S291:S354" si="42">IF(DataEffDate&gt;DATE(2022,1,1),
IF(E291&lt;DATE(2022,1,1),
(1+UpdateFactor)^(IF(E291&lt;DataEffDate,1,-1)*YEARFRAC(E291,DATE(2022,1,1),1))+(1+UpdateFactor_TEMP)^(IF(DATE(2022,1,1)&lt;DataEffDate,1,-1)*YEARFRAC(DATE(2022,1,1),DataEffDate,1))-1,
(1+UpdateFactor_TEMP)^(IF(E291&lt;DataEffDate,1,-1)*YEARFRAC(E291,DataEffDate,1))),
(1+UpdateFactor)^(IF(E291&lt;DataEffDate,1,-1)*YEARFRAC(E291,DataEffDate,1)))</f>
        <v>36.913096727263202</v>
      </c>
      <c r="T291" s="69">
        <f t="shared" si="36"/>
        <v>0</v>
      </c>
      <c r="U291" s="70">
        <f t="shared" si="37"/>
        <v>0</v>
      </c>
      <c r="V291" s="70">
        <f t="shared" si="38"/>
        <v>0</v>
      </c>
      <c r="W291" s="71">
        <f t="shared" si="39"/>
        <v>0</v>
      </c>
      <c r="X291" s="49"/>
      <c r="Y291" s="151"/>
      <c r="Z291" s="69"/>
      <c r="AA291" s="70"/>
      <c r="AB291" s="70"/>
      <c r="AC291" s="70" t="str">
        <f t="shared" si="40"/>
        <v>---</v>
      </c>
      <c r="AD291" s="70" t="str">
        <f>IFERROR(P291/#REF!-1,"---")</f>
        <v>---</v>
      </c>
      <c r="AE291" s="70" t="str">
        <f>IFERROR(#REF!/#REF!-1,"---")</f>
        <v>---</v>
      </c>
      <c r="AF291" s="70" t="str">
        <f>IFERROR(Q291/#REF!-1,"---")</f>
        <v>---</v>
      </c>
      <c r="AG291" s="70" t="str">
        <f>IFERROR(#REF!/#REF!-1,"---")</f>
        <v>---</v>
      </c>
      <c r="AH291" s="70" t="str">
        <f>IFERROR(#REF!/AA291-1,"---")</f>
        <v>---</v>
      </c>
      <c r="AI291" s="71" t="str">
        <f t="shared" si="41"/>
        <v>---</v>
      </c>
    </row>
    <row r="292" spans="1:35" ht="30" customHeight="1" x14ac:dyDescent="0.3">
      <c r="A292" s="123">
        <f t="shared" ref="A292:A355" si="43">A291+1</f>
        <v>288</v>
      </c>
      <c r="B292" s="140">
        <f>INDEX('PEER GROUP'!B:B,MATCH($A292,'PEER GROUP'!$A:$A,0))</f>
        <v>0</v>
      </c>
      <c r="C292" s="83">
        <f>INDEX('PEER GROUP'!C:C,MATCH($A292,'PEER GROUP'!$A:$A,0))</f>
        <v>0</v>
      </c>
      <c r="D292" s="83">
        <f>INDEX('PEER GROUP'!D:D,MATCH($A292,'PEER GROUP'!$A:$A,0))</f>
        <v>0</v>
      </c>
      <c r="E292" s="83">
        <f>INDEX('PEER GROUP'!E:E,MATCH(A292,'PEER GROUP'!$A:$A,0))</f>
        <v>0</v>
      </c>
      <c r="F292" s="84">
        <f>INDEX('PEER GROUP'!F:F,MATCH($A292,'PEER GROUP'!$A:$A,0))</f>
        <v>0</v>
      </c>
      <c r="G292" s="84">
        <f>INDEX('PEER GROUP'!G:G,MATCH($A292,'PEER GROUP'!$A:$A,0))</f>
        <v>0</v>
      </c>
      <c r="H292" s="85"/>
      <c r="I292" s="85"/>
      <c r="J292" s="70">
        <f>INDEX('PEER GROUP'!K:K,MATCH($A292,'PEER GROUP'!$A:$A,0))</f>
        <v>0</v>
      </c>
      <c r="K292" s="70">
        <f>INDEX('PEER GROUP'!L:L,MATCH($A292,'PEER GROUP'!$A:$A,0))</f>
        <v>0</v>
      </c>
      <c r="L292" s="81">
        <f>INDEX('PEER GROUP'!N:N,MATCH($A292,'PEER GROUP'!$A:$A,0))</f>
        <v>0</v>
      </c>
      <c r="M292" s="118"/>
      <c r="N292" s="115"/>
      <c r="O292" s="117"/>
      <c r="P292" s="87"/>
      <c r="Q292" s="87"/>
      <c r="R292" s="87">
        <f t="shared" ref="R292:R355" si="44">SUM(O292:Q292)</f>
        <v>0</v>
      </c>
      <c r="S292" s="113">
        <f t="shared" si="42"/>
        <v>36.913096727263202</v>
      </c>
      <c r="T292" s="69">
        <f t="shared" ref="T292:T355" si="45">O292*$S292</f>
        <v>0</v>
      </c>
      <c r="U292" s="70">
        <f t="shared" ref="U292:U355" si="46">P292*$S292</f>
        <v>0</v>
      </c>
      <c r="V292" s="70">
        <f t="shared" ref="V292:V355" si="47">Q292*$S292</f>
        <v>0</v>
      </c>
      <c r="W292" s="71">
        <f t="shared" ref="W292:W355" si="48">SUM(T292:V292)</f>
        <v>0</v>
      </c>
      <c r="X292" s="49"/>
      <c r="Y292" s="151"/>
      <c r="Z292" s="69"/>
      <c r="AA292" s="70"/>
      <c r="AB292" s="70"/>
      <c r="AC292" s="70" t="str">
        <f t="shared" ref="AC292:AC355" si="49">IFERROR(O292/Z292-1,"---")</f>
        <v>---</v>
      </c>
      <c r="AD292" s="70" t="str">
        <f>IFERROR(P292/#REF!-1,"---")</f>
        <v>---</v>
      </c>
      <c r="AE292" s="70" t="str">
        <f>IFERROR(#REF!/#REF!-1,"---")</f>
        <v>---</v>
      </c>
      <c r="AF292" s="70" t="str">
        <f>IFERROR(Q292/#REF!-1,"---")</f>
        <v>---</v>
      </c>
      <c r="AG292" s="70" t="str">
        <f>IFERROR(#REF!/#REF!-1,"---")</f>
        <v>---</v>
      </c>
      <c r="AH292" s="70" t="str">
        <f>IFERROR(#REF!/AA292-1,"---")</f>
        <v>---</v>
      </c>
      <c r="AI292" s="71" t="str">
        <f t="shared" ref="AI292:AI355" si="50">IFERROR(R292/AB292-1,"---")</f>
        <v>---</v>
      </c>
    </row>
    <row r="293" spans="1:35" ht="30" customHeight="1" x14ac:dyDescent="0.3">
      <c r="A293" s="123">
        <f t="shared" si="43"/>
        <v>289</v>
      </c>
      <c r="B293" s="140">
        <f>INDEX('PEER GROUP'!B:B,MATCH($A293,'PEER GROUP'!$A:$A,0))</f>
        <v>0</v>
      </c>
      <c r="C293" s="83">
        <f>INDEX('PEER GROUP'!C:C,MATCH($A293,'PEER GROUP'!$A:$A,0))</f>
        <v>0</v>
      </c>
      <c r="D293" s="83">
        <f>INDEX('PEER GROUP'!D:D,MATCH($A293,'PEER GROUP'!$A:$A,0))</f>
        <v>0</v>
      </c>
      <c r="E293" s="83">
        <f>INDEX('PEER GROUP'!E:E,MATCH(A293,'PEER GROUP'!$A:$A,0))</f>
        <v>0</v>
      </c>
      <c r="F293" s="84">
        <f>INDEX('PEER GROUP'!F:F,MATCH($A293,'PEER GROUP'!$A:$A,0))</f>
        <v>0</v>
      </c>
      <c r="G293" s="84">
        <f>INDEX('PEER GROUP'!G:G,MATCH($A293,'PEER GROUP'!$A:$A,0))</f>
        <v>0</v>
      </c>
      <c r="H293" s="85"/>
      <c r="I293" s="85"/>
      <c r="J293" s="70">
        <f>INDEX('PEER GROUP'!K:K,MATCH($A293,'PEER GROUP'!$A:$A,0))</f>
        <v>0</v>
      </c>
      <c r="K293" s="70">
        <f>INDEX('PEER GROUP'!L:L,MATCH($A293,'PEER GROUP'!$A:$A,0))</f>
        <v>0</v>
      </c>
      <c r="L293" s="81">
        <f>INDEX('PEER GROUP'!N:N,MATCH($A293,'PEER GROUP'!$A:$A,0))</f>
        <v>0</v>
      </c>
      <c r="M293" s="118"/>
      <c r="N293" s="115"/>
      <c r="O293" s="117"/>
      <c r="P293" s="87"/>
      <c r="Q293" s="87"/>
      <c r="R293" s="87">
        <f t="shared" si="44"/>
        <v>0</v>
      </c>
      <c r="S293" s="113">
        <f t="shared" si="42"/>
        <v>36.913096727263202</v>
      </c>
      <c r="T293" s="69">
        <f t="shared" si="45"/>
        <v>0</v>
      </c>
      <c r="U293" s="70">
        <f t="shared" si="46"/>
        <v>0</v>
      </c>
      <c r="V293" s="70">
        <f t="shared" si="47"/>
        <v>0</v>
      </c>
      <c r="W293" s="71">
        <f t="shared" si="48"/>
        <v>0</v>
      </c>
      <c r="X293" s="49"/>
      <c r="Y293" s="151"/>
      <c r="Z293" s="69"/>
      <c r="AA293" s="70"/>
      <c r="AB293" s="70"/>
      <c r="AC293" s="70" t="str">
        <f t="shared" si="49"/>
        <v>---</v>
      </c>
      <c r="AD293" s="70" t="str">
        <f>IFERROR(P293/#REF!-1,"---")</f>
        <v>---</v>
      </c>
      <c r="AE293" s="70" t="str">
        <f>IFERROR(#REF!/#REF!-1,"---")</f>
        <v>---</v>
      </c>
      <c r="AF293" s="70" t="str">
        <f>IFERROR(Q293/#REF!-1,"---")</f>
        <v>---</v>
      </c>
      <c r="AG293" s="70" t="str">
        <f>IFERROR(#REF!/#REF!-1,"---")</f>
        <v>---</v>
      </c>
      <c r="AH293" s="70" t="str">
        <f>IFERROR(#REF!/AA293-1,"---")</f>
        <v>---</v>
      </c>
      <c r="AI293" s="71" t="str">
        <f t="shared" si="50"/>
        <v>---</v>
      </c>
    </row>
    <row r="294" spans="1:35" ht="30" customHeight="1" x14ac:dyDescent="0.3">
      <c r="A294" s="123">
        <f t="shared" si="43"/>
        <v>290</v>
      </c>
      <c r="B294" s="140">
        <f>INDEX('PEER GROUP'!B:B,MATCH($A294,'PEER GROUP'!$A:$A,0))</f>
        <v>0</v>
      </c>
      <c r="C294" s="83">
        <f>INDEX('PEER GROUP'!C:C,MATCH($A294,'PEER GROUP'!$A:$A,0))</f>
        <v>0</v>
      </c>
      <c r="D294" s="83">
        <f>INDEX('PEER GROUP'!D:D,MATCH($A294,'PEER GROUP'!$A:$A,0))</f>
        <v>0</v>
      </c>
      <c r="E294" s="83">
        <f>INDEX('PEER GROUP'!E:E,MATCH(A294,'PEER GROUP'!$A:$A,0))</f>
        <v>0</v>
      </c>
      <c r="F294" s="84">
        <f>INDEX('PEER GROUP'!F:F,MATCH($A294,'PEER GROUP'!$A:$A,0))</f>
        <v>0</v>
      </c>
      <c r="G294" s="84">
        <f>INDEX('PEER GROUP'!G:G,MATCH($A294,'PEER GROUP'!$A:$A,0))</f>
        <v>0</v>
      </c>
      <c r="H294" s="85"/>
      <c r="I294" s="85"/>
      <c r="J294" s="70">
        <f>INDEX('PEER GROUP'!K:K,MATCH($A294,'PEER GROUP'!$A:$A,0))</f>
        <v>0</v>
      </c>
      <c r="K294" s="70">
        <f>INDEX('PEER GROUP'!L:L,MATCH($A294,'PEER GROUP'!$A:$A,0))</f>
        <v>0</v>
      </c>
      <c r="L294" s="81">
        <f>INDEX('PEER GROUP'!N:N,MATCH($A294,'PEER GROUP'!$A:$A,0))</f>
        <v>0</v>
      </c>
      <c r="M294" s="118"/>
      <c r="N294" s="115"/>
      <c r="O294" s="117"/>
      <c r="P294" s="87"/>
      <c r="Q294" s="87"/>
      <c r="R294" s="87">
        <f t="shared" si="44"/>
        <v>0</v>
      </c>
      <c r="S294" s="113">
        <f t="shared" si="42"/>
        <v>36.913096727263202</v>
      </c>
      <c r="T294" s="69">
        <f t="shared" si="45"/>
        <v>0</v>
      </c>
      <c r="U294" s="70">
        <f t="shared" si="46"/>
        <v>0</v>
      </c>
      <c r="V294" s="70">
        <f t="shared" si="47"/>
        <v>0</v>
      </c>
      <c r="W294" s="71">
        <f t="shared" si="48"/>
        <v>0</v>
      </c>
      <c r="X294" s="49"/>
      <c r="Y294" s="151"/>
      <c r="Z294" s="69"/>
      <c r="AA294" s="70"/>
      <c r="AB294" s="70"/>
      <c r="AC294" s="70" t="str">
        <f t="shared" si="49"/>
        <v>---</v>
      </c>
      <c r="AD294" s="70" t="str">
        <f>IFERROR(P294/#REF!-1,"---")</f>
        <v>---</v>
      </c>
      <c r="AE294" s="70" t="str">
        <f>IFERROR(#REF!/#REF!-1,"---")</f>
        <v>---</v>
      </c>
      <c r="AF294" s="70" t="str">
        <f>IFERROR(Q294/#REF!-1,"---")</f>
        <v>---</v>
      </c>
      <c r="AG294" s="70" t="str">
        <f>IFERROR(#REF!/#REF!-1,"---")</f>
        <v>---</v>
      </c>
      <c r="AH294" s="70" t="str">
        <f>IFERROR(#REF!/AA294-1,"---")</f>
        <v>---</v>
      </c>
      <c r="AI294" s="71" t="str">
        <f t="shared" si="50"/>
        <v>---</v>
      </c>
    </row>
    <row r="295" spans="1:35" ht="30" customHeight="1" x14ac:dyDescent="0.3">
      <c r="A295" s="123">
        <f t="shared" si="43"/>
        <v>291</v>
      </c>
      <c r="B295" s="140">
        <f>INDEX('PEER GROUP'!B:B,MATCH($A295,'PEER GROUP'!$A:$A,0))</f>
        <v>0</v>
      </c>
      <c r="C295" s="83">
        <f>INDEX('PEER GROUP'!C:C,MATCH($A295,'PEER GROUP'!$A:$A,0))</f>
        <v>0</v>
      </c>
      <c r="D295" s="83">
        <f>INDEX('PEER GROUP'!D:D,MATCH($A295,'PEER GROUP'!$A:$A,0))</f>
        <v>0</v>
      </c>
      <c r="E295" s="83">
        <f>INDEX('PEER GROUP'!E:E,MATCH(A295,'PEER GROUP'!$A:$A,0))</f>
        <v>0</v>
      </c>
      <c r="F295" s="84">
        <f>INDEX('PEER GROUP'!F:F,MATCH($A295,'PEER GROUP'!$A:$A,0))</f>
        <v>0</v>
      </c>
      <c r="G295" s="84">
        <f>INDEX('PEER GROUP'!G:G,MATCH($A295,'PEER GROUP'!$A:$A,0))</f>
        <v>0</v>
      </c>
      <c r="H295" s="85"/>
      <c r="I295" s="85"/>
      <c r="J295" s="70">
        <f>INDEX('PEER GROUP'!K:K,MATCH($A295,'PEER GROUP'!$A:$A,0))</f>
        <v>0</v>
      </c>
      <c r="K295" s="70">
        <f>INDEX('PEER GROUP'!L:L,MATCH($A295,'PEER GROUP'!$A:$A,0))</f>
        <v>0</v>
      </c>
      <c r="L295" s="81">
        <f>INDEX('PEER GROUP'!N:N,MATCH($A295,'PEER GROUP'!$A:$A,0))</f>
        <v>0</v>
      </c>
      <c r="M295" s="118"/>
      <c r="N295" s="115"/>
      <c r="O295" s="117"/>
      <c r="P295" s="87"/>
      <c r="Q295" s="87"/>
      <c r="R295" s="87">
        <f t="shared" si="44"/>
        <v>0</v>
      </c>
      <c r="S295" s="113">
        <f t="shared" si="42"/>
        <v>36.913096727263202</v>
      </c>
      <c r="T295" s="69">
        <f t="shared" si="45"/>
        <v>0</v>
      </c>
      <c r="U295" s="70">
        <f t="shared" si="46"/>
        <v>0</v>
      </c>
      <c r="V295" s="70">
        <f t="shared" si="47"/>
        <v>0</v>
      </c>
      <c r="W295" s="71">
        <f t="shared" si="48"/>
        <v>0</v>
      </c>
      <c r="X295" s="49"/>
      <c r="Y295" s="151"/>
      <c r="Z295" s="69"/>
      <c r="AA295" s="70"/>
      <c r="AB295" s="70"/>
      <c r="AC295" s="70" t="str">
        <f t="shared" si="49"/>
        <v>---</v>
      </c>
      <c r="AD295" s="70" t="str">
        <f>IFERROR(P295/#REF!-1,"---")</f>
        <v>---</v>
      </c>
      <c r="AE295" s="70" t="str">
        <f>IFERROR(#REF!/#REF!-1,"---")</f>
        <v>---</v>
      </c>
      <c r="AF295" s="70" t="str">
        <f>IFERROR(Q295/#REF!-1,"---")</f>
        <v>---</v>
      </c>
      <c r="AG295" s="70" t="str">
        <f>IFERROR(#REF!/#REF!-1,"---")</f>
        <v>---</v>
      </c>
      <c r="AH295" s="70" t="str">
        <f>IFERROR(#REF!/AA295-1,"---")</f>
        <v>---</v>
      </c>
      <c r="AI295" s="71" t="str">
        <f t="shared" si="50"/>
        <v>---</v>
      </c>
    </row>
    <row r="296" spans="1:35" ht="30" customHeight="1" x14ac:dyDescent="0.3">
      <c r="A296" s="123">
        <f t="shared" si="43"/>
        <v>292</v>
      </c>
      <c r="B296" s="140">
        <f>INDEX('PEER GROUP'!B:B,MATCH($A296,'PEER GROUP'!$A:$A,0))</f>
        <v>0</v>
      </c>
      <c r="C296" s="83">
        <f>INDEX('PEER GROUP'!C:C,MATCH($A296,'PEER GROUP'!$A:$A,0))</f>
        <v>0</v>
      </c>
      <c r="D296" s="83">
        <f>INDEX('PEER GROUP'!D:D,MATCH($A296,'PEER GROUP'!$A:$A,0))</f>
        <v>0</v>
      </c>
      <c r="E296" s="83">
        <f>INDEX('PEER GROUP'!E:E,MATCH(A296,'PEER GROUP'!$A:$A,0))</f>
        <v>0</v>
      </c>
      <c r="F296" s="84">
        <f>INDEX('PEER GROUP'!F:F,MATCH($A296,'PEER GROUP'!$A:$A,0))</f>
        <v>0</v>
      </c>
      <c r="G296" s="84">
        <f>INDEX('PEER GROUP'!G:G,MATCH($A296,'PEER GROUP'!$A:$A,0))</f>
        <v>0</v>
      </c>
      <c r="H296" s="85"/>
      <c r="I296" s="85"/>
      <c r="J296" s="70">
        <f>INDEX('PEER GROUP'!K:K,MATCH($A296,'PEER GROUP'!$A:$A,0))</f>
        <v>0</v>
      </c>
      <c r="K296" s="70">
        <f>INDEX('PEER GROUP'!L:L,MATCH($A296,'PEER GROUP'!$A:$A,0))</f>
        <v>0</v>
      </c>
      <c r="L296" s="81">
        <f>INDEX('PEER GROUP'!N:N,MATCH($A296,'PEER GROUP'!$A:$A,0))</f>
        <v>0</v>
      </c>
      <c r="M296" s="118"/>
      <c r="N296" s="115"/>
      <c r="O296" s="117"/>
      <c r="P296" s="87"/>
      <c r="Q296" s="87"/>
      <c r="R296" s="87">
        <f t="shared" si="44"/>
        <v>0</v>
      </c>
      <c r="S296" s="113">
        <f t="shared" si="42"/>
        <v>36.913096727263202</v>
      </c>
      <c r="T296" s="69">
        <f t="shared" si="45"/>
        <v>0</v>
      </c>
      <c r="U296" s="70">
        <f t="shared" si="46"/>
        <v>0</v>
      </c>
      <c r="V296" s="70">
        <f t="shared" si="47"/>
        <v>0</v>
      </c>
      <c r="W296" s="71">
        <f t="shared" si="48"/>
        <v>0</v>
      </c>
      <c r="X296" s="49"/>
      <c r="Y296" s="151"/>
      <c r="Z296" s="69"/>
      <c r="AA296" s="70"/>
      <c r="AB296" s="70"/>
      <c r="AC296" s="70" t="str">
        <f t="shared" si="49"/>
        <v>---</v>
      </c>
      <c r="AD296" s="70" t="str">
        <f>IFERROR(P296/#REF!-1,"---")</f>
        <v>---</v>
      </c>
      <c r="AE296" s="70" t="str">
        <f>IFERROR(#REF!/#REF!-1,"---")</f>
        <v>---</v>
      </c>
      <c r="AF296" s="70" t="str">
        <f>IFERROR(Q296/#REF!-1,"---")</f>
        <v>---</v>
      </c>
      <c r="AG296" s="70" t="str">
        <f>IFERROR(#REF!/#REF!-1,"---")</f>
        <v>---</v>
      </c>
      <c r="AH296" s="70" t="str">
        <f>IFERROR(#REF!/AA296-1,"---")</f>
        <v>---</v>
      </c>
      <c r="AI296" s="71" t="str">
        <f t="shared" si="50"/>
        <v>---</v>
      </c>
    </row>
    <row r="297" spans="1:35" ht="30" customHeight="1" x14ac:dyDescent="0.3">
      <c r="A297" s="123">
        <f t="shared" si="43"/>
        <v>293</v>
      </c>
      <c r="B297" s="140">
        <f>INDEX('PEER GROUP'!B:B,MATCH($A297,'PEER GROUP'!$A:$A,0))</f>
        <v>0</v>
      </c>
      <c r="C297" s="83">
        <f>INDEX('PEER GROUP'!C:C,MATCH($A297,'PEER GROUP'!$A:$A,0))</f>
        <v>0</v>
      </c>
      <c r="D297" s="83">
        <f>INDEX('PEER GROUP'!D:D,MATCH($A297,'PEER GROUP'!$A:$A,0))</f>
        <v>0</v>
      </c>
      <c r="E297" s="83">
        <f>INDEX('PEER GROUP'!E:E,MATCH(A297,'PEER GROUP'!$A:$A,0))</f>
        <v>0</v>
      </c>
      <c r="F297" s="84">
        <f>INDEX('PEER GROUP'!F:F,MATCH($A297,'PEER GROUP'!$A:$A,0))</f>
        <v>0</v>
      </c>
      <c r="G297" s="84">
        <f>INDEX('PEER GROUP'!G:G,MATCH($A297,'PEER GROUP'!$A:$A,0))</f>
        <v>0</v>
      </c>
      <c r="H297" s="85"/>
      <c r="I297" s="85"/>
      <c r="J297" s="70">
        <f>INDEX('PEER GROUP'!K:K,MATCH($A297,'PEER GROUP'!$A:$A,0))</f>
        <v>0</v>
      </c>
      <c r="K297" s="70">
        <f>INDEX('PEER GROUP'!L:L,MATCH($A297,'PEER GROUP'!$A:$A,0))</f>
        <v>0</v>
      </c>
      <c r="L297" s="81">
        <f>INDEX('PEER GROUP'!N:N,MATCH($A297,'PEER GROUP'!$A:$A,0))</f>
        <v>0</v>
      </c>
      <c r="M297" s="118"/>
      <c r="N297" s="115"/>
      <c r="O297" s="117"/>
      <c r="P297" s="87"/>
      <c r="Q297" s="87"/>
      <c r="R297" s="87">
        <f t="shared" si="44"/>
        <v>0</v>
      </c>
      <c r="S297" s="113">
        <f t="shared" si="42"/>
        <v>36.913096727263202</v>
      </c>
      <c r="T297" s="69">
        <f t="shared" si="45"/>
        <v>0</v>
      </c>
      <c r="U297" s="70">
        <f t="shared" si="46"/>
        <v>0</v>
      </c>
      <c r="V297" s="70">
        <f t="shared" si="47"/>
        <v>0</v>
      </c>
      <c r="W297" s="71">
        <f t="shared" si="48"/>
        <v>0</v>
      </c>
      <c r="X297" s="49"/>
      <c r="Y297" s="151"/>
      <c r="Z297" s="69"/>
      <c r="AA297" s="70"/>
      <c r="AB297" s="70"/>
      <c r="AC297" s="70" t="str">
        <f t="shared" si="49"/>
        <v>---</v>
      </c>
      <c r="AD297" s="70" t="str">
        <f>IFERROR(P297/#REF!-1,"---")</f>
        <v>---</v>
      </c>
      <c r="AE297" s="70" t="str">
        <f>IFERROR(#REF!/#REF!-1,"---")</f>
        <v>---</v>
      </c>
      <c r="AF297" s="70" t="str">
        <f>IFERROR(Q297/#REF!-1,"---")</f>
        <v>---</v>
      </c>
      <c r="AG297" s="70" t="str">
        <f>IFERROR(#REF!/#REF!-1,"---")</f>
        <v>---</v>
      </c>
      <c r="AH297" s="70" t="str">
        <f>IFERROR(#REF!/AA297-1,"---")</f>
        <v>---</v>
      </c>
      <c r="AI297" s="71" t="str">
        <f t="shared" si="50"/>
        <v>---</v>
      </c>
    </row>
    <row r="298" spans="1:35" ht="30" customHeight="1" x14ac:dyDescent="0.3">
      <c r="A298" s="123">
        <f t="shared" si="43"/>
        <v>294</v>
      </c>
      <c r="B298" s="140">
        <f>INDEX('PEER GROUP'!B:B,MATCH($A298,'PEER GROUP'!$A:$A,0))</f>
        <v>0</v>
      </c>
      <c r="C298" s="83">
        <f>INDEX('PEER GROUP'!C:C,MATCH($A298,'PEER GROUP'!$A:$A,0))</f>
        <v>0</v>
      </c>
      <c r="D298" s="83">
        <f>INDEX('PEER GROUP'!D:D,MATCH($A298,'PEER GROUP'!$A:$A,0))</f>
        <v>0</v>
      </c>
      <c r="E298" s="83">
        <f>INDEX('PEER GROUP'!E:E,MATCH(A298,'PEER GROUP'!$A:$A,0))</f>
        <v>0</v>
      </c>
      <c r="F298" s="84">
        <f>INDEX('PEER GROUP'!F:F,MATCH($A298,'PEER GROUP'!$A:$A,0))</f>
        <v>0</v>
      </c>
      <c r="G298" s="84">
        <f>INDEX('PEER GROUP'!G:G,MATCH($A298,'PEER GROUP'!$A:$A,0))</f>
        <v>0</v>
      </c>
      <c r="H298" s="85"/>
      <c r="I298" s="85"/>
      <c r="J298" s="70">
        <f>INDEX('PEER GROUP'!K:K,MATCH($A298,'PEER GROUP'!$A:$A,0))</f>
        <v>0</v>
      </c>
      <c r="K298" s="70">
        <f>INDEX('PEER GROUP'!L:L,MATCH($A298,'PEER GROUP'!$A:$A,0))</f>
        <v>0</v>
      </c>
      <c r="L298" s="81">
        <f>INDEX('PEER GROUP'!N:N,MATCH($A298,'PEER GROUP'!$A:$A,0))</f>
        <v>0</v>
      </c>
      <c r="M298" s="118"/>
      <c r="N298" s="115"/>
      <c r="O298" s="117"/>
      <c r="P298" s="87"/>
      <c r="Q298" s="87"/>
      <c r="R298" s="87">
        <f t="shared" si="44"/>
        <v>0</v>
      </c>
      <c r="S298" s="113">
        <f t="shared" si="42"/>
        <v>36.913096727263202</v>
      </c>
      <c r="T298" s="69">
        <f t="shared" si="45"/>
        <v>0</v>
      </c>
      <c r="U298" s="70">
        <f t="shared" si="46"/>
        <v>0</v>
      </c>
      <c r="V298" s="70">
        <f t="shared" si="47"/>
        <v>0</v>
      </c>
      <c r="W298" s="71">
        <f t="shared" si="48"/>
        <v>0</v>
      </c>
      <c r="X298" s="49"/>
      <c r="Y298" s="151"/>
      <c r="Z298" s="69"/>
      <c r="AA298" s="70"/>
      <c r="AB298" s="70"/>
      <c r="AC298" s="70" t="str">
        <f t="shared" si="49"/>
        <v>---</v>
      </c>
      <c r="AD298" s="70" t="str">
        <f>IFERROR(P298/#REF!-1,"---")</f>
        <v>---</v>
      </c>
      <c r="AE298" s="70" t="str">
        <f>IFERROR(#REF!/#REF!-1,"---")</f>
        <v>---</v>
      </c>
      <c r="AF298" s="70" t="str">
        <f>IFERROR(Q298/#REF!-1,"---")</f>
        <v>---</v>
      </c>
      <c r="AG298" s="70" t="str">
        <f>IFERROR(#REF!/#REF!-1,"---")</f>
        <v>---</v>
      </c>
      <c r="AH298" s="70" t="str">
        <f>IFERROR(#REF!/AA298-1,"---")</f>
        <v>---</v>
      </c>
      <c r="AI298" s="71" t="str">
        <f t="shared" si="50"/>
        <v>---</v>
      </c>
    </row>
    <row r="299" spans="1:35" ht="30" customHeight="1" x14ac:dyDescent="0.3">
      <c r="A299" s="123">
        <f t="shared" si="43"/>
        <v>295</v>
      </c>
      <c r="B299" s="140">
        <f>INDEX('PEER GROUP'!B:B,MATCH($A299,'PEER GROUP'!$A:$A,0))</f>
        <v>0</v>
      </c>
      <c r="C299" s="83">
        <f>INDEX('PEER GROUP'!C:C,MATCH($A299,'PEER GROUP'!$A:$A,0))</f>
        <v>0</v>
      </c>
      <c r="D299" s="83">
        <f>INDEX('PEER GROUP'!D:D,MATCH($A299,'PEER GROUP'!$A:$A,0))</f>
        <v>0</v>
      </c>
      <c r="E299" s="83">
        <f>INDEX('PEER GROUP'!E:E,MATCH(A299,'PEER GROUP'!$A:$A,0))</f>
        <v>0</v>
      </c>
      <c r="F299" s="84">
        <f>INDEX('PEER GROUP'!F:F,MATCH($A299,'PEER GROUP'!$A:$A,0))</f>
        <v>0</v>
      </c>
      <c r="G299" s="84">
        <f>INDEX('PEER GROUP'!G:G,MATCH($A299,'PEER GROUP'!$A:$A,0))</f>
        <v>0</v>
      </c>
      <c r="H299" s="85"/>
      <c r="I299" s="85"/>
      <c r="J299" s="70">
        <f>INDEX('PEER GROUP'!K:K,MATCH($A299,'PEER GROUP'!$A:$A,0))</f>
        <v>0</v>
      </c>
      <c r="K299" s="70">
        <f>INDEX('PEER GROUP'!L:L,MATCH($A299,'PEER GROUP'!$A:$A,0))</f>
        <v>0</v>
      </c>
      <c r="L299" s="81">
        <f>INDEX('PEER GROUP'!N:N,MATCH($A299,'PEER GROUP'!$A:$A,0))</f>
        <v>0</v>
      </c>
      <c r="M299" s="118"/>
      <c r="N299" s="115"/>
      <c r="O299" s="117"/>
      <c r="P299" s="87"/>
      <c r="Q299" s="87"/>
      <c r="R299" s="87">
        <f t="shared" si="44"/>
        <v>0</v>
      </c>
      <c r="S299" s="113">
        <f t="shared" si="42"/>
        <v>36.913096727263202</v>
      </c>
      <c r="T299" s="69">
        <f t="shared" si="45"/>
        <v>0</v>
      </c>
      <c r="U299" s="70">
        <f t="shared" si="46"/>
        <v>0</v>
      </c>
      <c r="V299" s="70">
        <f t="shared" si="47"/>
        <v>0</v>
      </c>
      <c r="W299" s="71">
        <f t="shared" si="48"/>
        <v>0</v>
      </c>
      <c r="X299" s="49"/>
      <c r="Y299" s="151"/>
      <c r="Z299" s="69"/>
      <c r="AA299" s="70"/>
      <c r="AB299" s="70"/>
      <c r="AC299" s="70" t="str">
        <f t="shared" si="49"/>
        <v>---</v>
      </c>
      <c r="AD299" s="70" t="str">
        <f>IFERROR(P299/#REF!-1,"---")</f>
        <v>---</v>
      </c>
      <c r="AE299" s="70" t="str">
        <f>IFERROR(#REF!/#REF!-1,"---")</f>
        <v>---</v>
      </c>
      <c r="AF299" s="70" t="str">
        <f>IFERROR(Q299/#REF!-1,"---")</f>
        <v>---</v>
      </c>
      <c r="AG299" s="70" t="str">
        <f>IFERROR(#REF!/#REF!-1,"---")</f>
        <v>---</v>
      </c>
      <c r="AH299" s="70" t="str">
        <f>IFERROR(#REF!/AA299-1,"---")</f>
        <v>---</v>
      </c>
      <c r="AI299" s="71" t="str">
        <f t="shared" si="50"/>
        <v>---</v>
      </c>
    </row>
    <row r="300" spans="1:35" ht="30" customHeight="1" x14ac:dyDescent="0.3">
      <c r="A300" s="123">
        <f t="shared" si="43"/>
        <v>296</v>
      </c>
      <c r="B300" s="140">
        <f>INDEX('PEER GROUP'!B:B,MATCH($A300,'PEER GROUP'!$A:$A,0))</f>
        <v>0</v>
      </c>
      <c r="C300" s="83">
        <f>INDEX('PEER GROUP'!C:C,MATCH($A300,'PEER GROUP'!$A:$A,0))</f>
        <v>0</v>
      </c>
      <c r="D300" s="83">
        <f>INDEX('PEER GROUP'!D:D,MATCH($A300,'PEER GROUP'!$A:$A,0))</f>
        <v>0</v>
      </c>
      <c r="E300" s="83">
        <f>INDEX('PEER GROUP'!E:E,MATCH(A300,'PEER GROUP'!$A:$A,0))</f>
        <v>0</v>
      </c>
      <c r="F300" s="84">
        <f>INDEX('PEER GROUP'!F:F,MATCH($A300,'PEER GROUP'!$A:$A,0))</f>
        <v>0</v>
      </c>
      <c r="G300" s="84">
        <f>INDEX('PEER GROUP'!G:G,MATCH($A300,'PEER GROUP'!$A:$A,0))</f>
        <v>0</v>
      </c>
      <c r="H300" s="85"/>
      <c r="I300" s="85"/>
      <c r="J300" s="70">
        <f>INDEX('PEER GROUP'!K:K,MATCH($A300,'PEER GROUP'!$A:$A,0))</f>
        <v>0</v>
      </c>
      <c r="K300" s="70">
        <f>INDEX('PEER GROUP'!L:L,MATCH($A300,'PEER GROUP'!$A:$A,0))</f>
        <v>0</v>
      </c>
      <c r="L300" s="81">
        <f>INDEX('PEER GROUP'!N:N,MATCH($A300,'PEER GROUP'!$A:$A,0))</f>
        <v>0</v>
      </c>
      <c r="M300" s="118"/>
      <c r="N300" s="115"/>
      <c r="O300" s="117"/>
      <c r="P300" s="87"/>
      <c r="Q300" s="87"/>
      <c r="R300" s="87">
        <f t="shared" si="44"/>
        <v>0</v>
      </c>
      <c r="S300" s="113">
        <f t="shared" si="42"/>
        <v>36.913096727263202</v>
      </c>
      <c r="T300" s="69">
        <f t="shared" si="45"/>
        <v>0</v>
      </c>
      <c r="U300" s="70">
        <f t="shared" si="46"/>
        <v>0</v>
      </c>
      <c r="V300" s="70">
        <f t="shared" si="47"/>
        <v>0</v>
      </c>
      <c r="W300" s="71">
        <f t="shared" si="48"/>
        <v>0</v>
      </c>
      <c r="X300" s="49"/>
      <c r="Y300" s="151"/>
      <c r="Z300" s="69"/>
      <c r="AA300" s="70"/>
      <c r="AB300" s="70"/>
      <c r="AC300" s="70" t="str">
        <f t="shared" si="49"/>
        <v>---</v>
      </c>
      <c r="AD300" s="70" t="str">
        <f>IFERROR(P300/#REF!-1,"---")</f>
        <v>---</v>
      </c>
      <c r="AE300" s="70" t="str">
        <f>IFERROR(#REF!/#REF!-1,"---")</f>
        <v>---</v>
      </c>
      <c r="AF300" s="70" t="str">
        <f>IFERROR(Q300/#REF!-1,"---")</f>
        <v>---</v>
      </c>
      <c r="AG300" s="70" t="str">
        <f>IFERROR(#REF!/#REF!-1,"---")</f>
        <v>---</v>
      </c>
      <c r="AH300" s="70" t="str">
        <f>IFERROR(#REF!/AA300-1,"---")</f>
        <v>---</v>
      </c>
      <c r="AI300" s="71" t="str">
        <f t="shared" si="50"/>
        <v>---</v>
      </c>
    </row>
    <row r="301" spans="1:35" ht="30" customHeight="1" x14ac:dyDescent="0.3">
      <c r="A301" s="123">
        <f t="shared" si="43"/>
        <v>297</v>
      </c>
      <c r="B301" s="140">
        <f>INDEX('PEER GROUP'!B:B,MATCH($A301,'PEER GROUP'!$A:$A,0))</f>
        <v>0</v>
      </c>
      <c r="C301" s="83">
        <f>INDEX('PEER GROUP'!C:C,MATCH($A301,'PEER GROUP'!$A:$A,0))</f>
        <v>0</v>
      </c>
      <c r="D301" s="83">
        <f>INDEX('PEER GROUP'!D:D,MATCH($A301,'PEER GROUP'!$A:$A,0))</f>
        <v>0</v>
      </c>
      <c r="E301" s="83">
        <f>INDEX('PEER GROUP'!E:E,MATCH(A301,'PEER GROUP'!$A:$A,0))</f>
        <v>0</v>
      </c>
      <c r="F301" s="84">
        <f>INDEX('PEER GROUP'!F:F,MATCH($A301,'PEER GROUP'!$A:$A,0))</f>
        <v>0</v>
      </c>
      <c r="G301" s="84">
        <f>INDEX('PEER GROUP'!G:G,MATCH($A301,'PEER GROUP'!$A:$A,0))</f>
        <v>0</v>
      </c>
      <c r="H301" s="85"/>
      <c r="I301" s="85"/>
      <c r="J301" s="70">
        <f>INDEX('PEER GROUP'!K:K,MATCH($A301,'PEER GROUP'!$A:$A,0))</f>
        <v>0</v>
      </c>
      <c r="K301" s="70">
        <f>INDEX('PEER GROUP'!L:L,MATCH($A301,'PEER GROUP'!$A:$A,0))</f>
        <v>0</v>
      </c>
      <c r="L301" s="81">
        <f>INDEX('PEER GROUP'!N:N,MATCH($A301,'PEER GROUP'!$A:$A,0))</f>
        <v>0</v>
      </c>
      <c r="M301" s="118"/>
      <c r="N301" s="115"/>
      <c r="O301" s="117"/>
      <c r="P301" s="87"/>
      <c r="Q301" s="87"/>
      <c r="R301" s="87">
        <f t="shared" si="44"/>
        <v>0</v>
      </c>
      <c r="S301" s="113">
        <f t="shared" si="42"/>
        <v>36.913096727263202</v>
      </c>
      <c r="T301" s="69">
        <f t="shared" si="45"/>
        <v>0</v>
      </c>
      <c r="U301" s="70">
        <f t="shared" si="46"/>
        <v>0</v>
      </c>
      <c r="V301" s="70">
        <f t="shared" si="47"/>
        <v>0</v>
      </c>
      <c r="W301" s="71">
        <f t="shared" si="48"/>
        <v>0</v>
      </c>
      <c r="X301" s="49"/>
      <c r="Y301" s="151"/>
      <c r="Z301" s="69"/>
      <c r="AA301" s="70"/>
      <c r="AB301" s="70"/>
      <c r="AC301" s="70" t="str">
        <f t="shared" si="49"/>
        <v>---</v>
      </c>
      <c r="AD301" s="70" t="str">
        <f>IFERROR(P301/#REF!-1,"---")</f>
        <v>---</v>
      </c>
      <c r="AE301" s="70" t="str">
        <f>IFERROR(#REF!/#REF!-1,"---")</f>
        <v>---</v>
      </c>
      <c r="AF301" s="70" t="str">
        <f>IFERROR(Q301/#REF!-1,"---")</f>
        <v>---</v>
      </c>
      <c r="AG301" s="70" t="str">
        <f>IFERROR(#REF!/#REF!-1,"---")</f>
        <v>---</v>
      </c>
      <c r="AH301" s="70" t="str">
        <f>IFERROR(#REF!/AA301-1,"---")</f>
        <v>---</v>
      </c>
      <c r="AI301" s="71" t="str">
        <f t="shared" si="50"/>
        <v>---</v>
      </c>
    </row>
    <row r="302" spans="1:35" ht="30" customHeight="1" x14ac:dyDescent="0.3">
      <c r="A302" s="123">
        <f t="shared" si="43"/>
        <v>298</v>
      </c>
      <c r="B302" s="140">
        <f>INDEX('PEER GROUP'!B:B,MATCH($A302,'PEER GROUP'!$A:$A,0))</f>
        <v>0</v>
      </c>
      <c r="C302" s="83">
        <f>INDEX('PEER GROUP'!C:C,MATCH($A302,'PEER GROUP'!$A:$A,0))</f>
        <v>0</v>
      </c>
      <c r="D302" s="83">
        <f>INDEX('PEER GROUP'!D:D,MATCH($A302,'PEER GROUP'!$A:$A,0))</f>
        <v>0</v>
      </c>
      <c r="E302" s="83">
        <f>INDEX('PEER GROUP'!E:E,MATCH(A302,'PEER GROUP'!$A:$A,0))</f>
        <v>0</v>
      </c>
      <c r="F302" s="84">
        <f>INDEX('PEER GROUP'!F:F,MATCH($A302,'PEER GROUP'!$A:$A,0))</f>
        <v>0</v>
      </c>
      <c r="G302" s="84">
        <f>INDEX('PEER GROUP'!G:G,MATCH($A302,'PEER GROUP'!$A:$A,0))</f>
        <v>0</v>
      </c>
      <c r="H302" s="85"/>
      <c r="I302" s="85"/>
      <c r="J302" s="70">
        <f>INDEX('PEER GROUP'!K:K,MATCH($A302,'PEER GROUP'!$A:$A,0))</f>
        <v>0</v>
      </c>
      <c r="K302" s="70">
        <f>INDEX('PEER GROUP'!L:L,MATCH($A302,'PEER GROUP'!$A:$A,0))</f>
        <v>0</v>
      </c>
      <c r="L302" s="81">
        <f>INDEX('PEER GROUP'!N:N,MATCH($A302,'PEER GROUP'!$A:$A,0))</f>
        <v>0</v>
      </c>
      <c r="M302" s="118"/>
      <c r="N302" s="115"/>
      <c r="O302" s="117"/>
      <c r="P302" s="87"/>
      <c r="Q302" s="87"/>
      <c r="R302" s="87">
        <f t="shared" si="44"/>
        <v>0</v>
      </c>
      <c r="S302" s="113">
        <f t="shared" si="42"/>
        <v>36.913096727263202</v>
      </c>
      <c r="T302" s="69">
        <f t="shared" si="45"/>
        <v>0</v>
      </c>
      <c r="U302" s="70">
        <f t="shared" si="46"/>
        <v>0</v>
      </c>
      <c r="V302" s="70">
        <f t="shared" si="47"/>
        <v>0</v>
      </c>
      <c r="W302" s="71">
        <f t="shared" si="48"/>
        <v>0</v>
      </c>
      <c r="X302" s="49"/>
      <c r="Y302" s="151"/>
      <c r="Z302" s="69"/>
      <c r="AA302" s="70"/>
      <c r="AB302" s="70"/>
      <c r="AC302" s="70" t="str">
        <f t="shared" si="49"/>
        <v>---</v>
      </c>
      <c r="AD302" s="70" t="str">
        <f>IFERROR(P302/#REF!-1,"---")</f>
        <v>---</v>
      </c>
      <c r="AE302" s="70" t="str">
        <f>IFERROR(#REF!/#REF!-1,"---")</f>
        <v>---</v>
      </c>
      <c r="AF302" s="70" t="str">
        <f>IFERROR(Q302/#REF!-1,"---")</f>
        <v>---</v>
      </c>
      <c r="AG302" s="70" t="str">
        <f>IFERROR(#REF!/#REF!-1,"---")</f>
        <v>---</v>
      </c>
      <c r="AH302" s="70" t="str">
        <f>IFERROR(#REF!/AA302-1,"---")</f>
        <v>---</v>
      </c>
      <c r="AI302" s="71" t="str">
        <f t="shared" si="50"/>
        <v>---</v>
      </c>
    </row>
    <row r="303" spans="1:35" ht="30" customHeight="1" x14ac:dyDescent="0.3">
      <c r="A303" s="123">
        <f t="shared" si="43"/>
        <v>299</v>
      </c>
      <c r="B303" s="140">
        <f>INDEX('PEER GROUP'!B:B,MATCH($A303,'PEER GROUP'!$A:$A,0))</f>
        <v>0</v>
      </c>
      <c r="C303" s="83">
        <f>INDEX('PEER GROUP'!C:C,MATCH($A303,'PEER GROUP'!$A:$A,0))</f>
        <v>0</v>
      </c>
      <c r="D303" s="83">
        <f>INDEX('PEER GROUP'!D:D,MATCH($A303,'PEER GROUP'!$A:$A,0))</f>
        <v>0</v>
      </c>
      <c r="E303" s="83">
        <f>INDEX('PEER GROUP'!E:E,MATCH(A303,'PEER GROUP'!$A:$A,0))</f>
        <v>0</v>
      </c>
      <c r="F303" s="84">
        <f>INDEX('PEER GROUP'!F:F,MATCH($A303,'PEER GROUP'!$A:$A,0))</f>
        <v>0</v>
      </c>
      <c r="G303" s="84">
        <f>INDEX('PEER GROUP'!G:G,MATCH($A303,'PEER GROUP'!$A:$A,0))</f>
        <v>0</v>
      </c>
      <c r="H303" s="85"/>
      <c r="I303" s="85"/>
      <c r="J303" s="70">
        <f>INDEX('PEER GROUP'!K:K,MATCH($A303,'PEER GROUP'!$A:$A,0))</f>
        <v>0</v>
      </c>
      <c r="K303" s="70">
        <f>INDEX('PEER GROUP'!L:L,MATCH($A303,'PEER GROUP'!$A:$A,0))</f>
        <v>0</v>
      </c>
      <c r="L303" s="81">
        <f>INDEX('PEER GROUP'!N:N,MATCH($A303,'PEER GROUP'!$A:$A,0))</f>
        <v>0</v>
      </c>
      <c r="M303" s="118"/>
      <c r="N303" s="115"/>
      <c r="O303" s="117"/>
      <c r="P303" s="87"/>
      <c r="Q303" s="87"/>
      <c r="R303" s="87">
        <f t="shared" si="44"/>
        <v>0</v>
      </c>
      <c r="S303" s="113">
        <f t="shared" si="42"/>
        <v>36.913096727263202</v>
      </c>
      <c r="T303" s="69">
        <f t="shared" si="45"/>
        <v>0</v>
      </c>
      <c r="U303" s="70">
        <f t="shared" si="46"/>
        <v>0</v>
      </c>
      <c r="V303" s="70">
        <f t="shared" si="47"/>
        <v>0</v>
      </c>
      <c r="W303" s="71">
        <f t="shared" si="48"/>
        <v>0</v>
      </c>
      <c r="X303" s="49"/>
      <c r="Y303" s="151"/>
      <c r="Z303" s="69"/>
      <c r="AA303" s="70"/>
      <c r="AB303" s="70"/>
      <c r="AC303" s="70" t="str">
        <f t="shared" si="49"/>
        <v>---</v>
      </c>
      <c r="AD303" s="70" t="str">
        <f>IFERROR(P303/#REF!-1,"---")</f>
        <v>---</v>
      </c>
      <c r="AE303" s="70" t="str">
        <f>IFERROR(#REF!/#REF!-1,"---")</f>
        <v>---</v>
      </c>
      <c r="AF303" s="70" t="str">
        <f>IFERROR(Q303/#REF!-1,"---")</f>
        <v>---</v>
      </c>
      <c r="AG303" s="70" t="str">
        <f>IFERROR(#REF!/#REF!-1,"---")</f>
        <v>---</v>
      </c>
      <c r="AH303" s="70" t="str">
        <f>IFERROR(#REF!/AA303-1,"---")</f>
        <v>---</v>
      </c>
      <c r="AI303" s="71" t="str">
        <f t="shared" si="50"/>
        <v>---</v>
      </c>
    </row>
    <row r="304" spans="1:35" ht="30" customHeight="1" x14ac:dyDescent="0.3">
      <c r="A304" s="123">
        <f t="shared" si="43"/>
        <v>300</v>
      </c>
      <c r="B304" s="140">
        <f>INDEX('PEER GROUP'!B:B,MATCH($A304,'PEER GROUP'!$A:$A,0))</f>
        <v>0</v>
      </c>
      <c r="C304" s="83">
        <f>INDEX('PEER GROUP'!C:C,MATCH($A304,'PEER GROUP'!$A:$A,0))</f>
        <v>0</v>
      </c>
      <c r="D304" s="83">
        <f>INDEX('PEER GROUP'!D:D,MATCH($A304,'PEER GROUP'!$A:$A,0))</f>
        <v>0</v>
      </c>
      <c r="E304" s="83">
        <f>INDEX('PEER GROUP'!E:E,MATCH(A304,'PEER GROUP'!$A:$A,0))</f>
        <v>0</v>
      </c>
      <c r="F304" s="84">
        <f>INDEX('PEER GROUP'!F:F,MATCH($A304,'PEER GROUP'!$A:$A,0))</f>
        <v>0</v>
      </c>
      <c r="G304" s="84">
        <f>INDEX('PEER GROUP'!G:G,MATCH($A304,'PEER GROUP'!$A:$A,0))</f>
        <v>0</v>
      </c>
      <c r="H304" s="85"/>
      <c r="I304" s="85"/>
      <c r="J304" s="70">
        <f>INDEX('PEER GROUP'!K:K,MATCH($A304,'PEER GROUP'!$A:$A,0))</f>
        <v>0</v>
      </c>
      <c r="K304" s="70">
        <f>INDEX('PEER GROUP'!L:L,MATCH($A304,'PEER GROUP'!$A:$A,0))</f>
        <v>0</v>
      </c>
      <c r="L304" s="81">
        <f>INDEX('PEER GROUP'!N:N,MATCH($A304,'PEER GROUP'!$A:$A,0))</f>
        <v>0</v>
      </c>
      <c r="M304" s="118"/>
      <c r="N304" s="115"/>
      <c r="O304" s="117"/>
      <c r="P304" s="87"/>
      <c r="Q304" s="87"/>
      <c r="R304" s="87">
        <f t="shared" si="44"/>
        <v>0</v>
      </c>
      <c r="S304" s="113">
        <f t="shared" si="42"/>
        <v>36.913096727263202</v>
      </c>
      <c r="T304" s="69">
        <f t="shared" si="45"/>
        <v>0</v>
      </c>
      <c r="U304" s="70">
        <f t="shared" si="46"/>
        <v>0</v>
      </c>
      <c r="V304" s="70">
        <f t="shared" si="47"/>
        <v>0</v>
      </c>
      <c r="W304" s="71">
        <f t="shared" si="48"/>
        <v>0</v>
      </c>
      <c r="X304" s="49"/>
      <c r="Y304" s="151"/>
      <c r="Z304" s="69"/>
      <c r="AA304" s="70"/>
      <c r="AB304" s="70"/>
      <c r="AC304" s="70" t="str">
        <f t="shared" si="49"/>
        <v>---</v>
      </c>
      <c r="AD304" s="70" t="str">
        <f>IFERROR(P304/#REF!-1,"---")</f>
        <v>---</v>
      </c>
      <c r="AE304" s="70" t="str">
        <f>IFERROR(#REF!/#REF!-1,"---")</f>
        <v>---</v>
      </c>
      <c r="AF304" s="70" t="str">
        <f>IFERROR(Q304/#REF!-1,"---")</f>
        <v>---</v>
      </c>
      <c r="AG304" s="70" t="str">
        <f>IFERROR(#REF!/#REF!-1,"---")</f>
        <v>---</v>
      </c>
      <c r="AH304" s="70" t="str">
        <f>IFERROR(#REF!/AA304-1,"---")</f>
        <v>---</v>
      </c>
      <c r="AI304" s="71" t="str">
        <f t="shared" si="50"/>
        <v>---</v>
      </c>
    </row>
    <row r="305" spans="1:35" ht="30" customHeight="1" x14ac:dyDescent="0.3">
      <c r="A305" s="123">
        <f t="shared" si="43"/>
        <v>301</v>
      </c>
      <c r="B305" s="140">
        <f>INDEX('PEER GROUP'!B:B,MATCH($A305,'PEER GROUP'!$A:$A,0))</f>
        <v>0</v>
      </c>
      <c r="C305" s="83">
        <f>INDEX('PEER GROUP'!C:C,MATCH($A305,'PEER GROUP'!$A:$A,0))</f>
        <v>0</v>
      </c>
      <c r="D305" s="83">
        <f>INDEX('PEER GROUP'!D:D,MATCH($A305,'PEER GROUP'!$A:$A,0))</f>
        <v>0</v>
      </c>
      <c r="E305" s="83">
        <f>INDEX('PEER GROUP'!E:E,MATCH(A305,'PEER GROUP'!$A:$A,0))</f>
        <v>0</v>
      </c>
      <c r="F305" s="84">
        <f>INDEX('PEER GROUP'!F:F,MATCH($A305,'PEER GROUP'!$A:$A,0))</f>
        <v>0</v>
      </c>
      <c r="G305" s="84">
        <f>INDEX('PEER GROUP'!G:G,MATCH($A305,'PEER GROUP'!$A:$A,0))</f>
        <v>0</v>
      </c>
      <c r="H305" s="85"/>
      <c r="I305" s="85"/>
      <c r="J305" s="70">
        <f>INDEX('PEER GROUP'!K:K,MATCH($A305,'PEER GROUP'!$A:$A,0))</f>
        <v>0</v>
      </c>
      <c r="K305" s="70">
        <f>INDEX('PEER GROUP'!L:L,MATCH($A305,'PEER GROUP'!$A:$A,0))</f>
        <v>0</v>
      </c>
      <c r="L305" s="81">
        <f>INDEX('PEER GROUP'!N:N,MATCH($A305,'PEER GROUP'!$A:$A,0))</f>
        <v>0</v>
      </c>
      <c r="M305" s="118"/>
      <c r="N305" s="115"/>
      <c r="O305" s="117"/>
      <c r="P305" s="87"/>
      <c r="Q305" s="87"/>
      <c r="R305" s="87">
        <f t="shared" si="44"/>
        <v>0</v>
      </c>
      <c r="S305" s="113">
        <f t="shared" si="42"/>
        <v>36.913096727263202</v>
      </c>
      <c r="T305" s="69">
        <f t="shared" si="45"/>
        <v>0</v>
      </c>
      <c r="U305" s="70">
        <f t="shared" si="46"/>
        <v>0</v>
      </c>
      <c r="V305" s="70">
        <f t="shared" si="47"/>
        <v>0</v>
      </c>
      <c r="W305" s="71">
        <f t="shared" si="48"/>
        <v>0</v>
      </c>
      <c r="X305" s="49"/>
      <c r="Y305" s="151"/>
      <c r="Z305" s="69"/>
      <c r="AA305" s="70"/>
      <c r="AB305" s="70"/>
      <c r="AC305" s="70" t="str">
        <f t="shared" si="49"/>
        <v>---</v>
      </c>
      <c r="AD305" s="70" t="str">
        <f>IFERROR(P305/#REF!-1,"---")</f>
        <v>---</v>
      </c>
      <c r="AE305" s="70" t="str">
        <f>IFERROR(#REF!/#REF!-1,"---")</f>
        <v>---</v>
      </c>
      <c r="AF305" s="70" t="str">
        <f>IFERROR(Q305/#REF!-1,"---")</f>
        <v>---</v>
      </c>
      <c r="AG305" s="70" t="str">
        <f>IFERROR(#REF!/#REF!-1,"---")</f>
        <v>---</v>
      </c>
      <c r="AH305" s="70" t="str">
        <f>IFERROR(#REF!/AA305-1,"---")</f>
        <v>---</v>
      </c>
      <c r="AI305" s="71" t="str">
        <f t="shared" si="50"/>
        <v>---</v>
      </c>
    </row>
    <row r="306" spans="1:35" ht="30" customHeight="1" x14ac:dyDescent="0.3">
      <c r="A306" s="123">
        <f t="shared" si="43"/>
        <v>302</v>
      </c>
      <c r="B306" s="140">
        <f>INDEX('PEER GROUP'!B:B,MATCH($A306,'PEER GROUP'!$A:$A,0))</f>
        <v>0</v>
      </c>
      <c r="C306" s="83">
        <f>INDEX('PEER GROUP'!C:C,MATCH($A306,'PEER GROUP'!$A:$A,0))</f>
        <v>0</v>
      </c>
      <c r="D306" s="83">
        <f>INDEX('PEER GROUP'!D:D,MATCH($A306,'PEER GROUP'!$A:$A,0))</f>
        <v>0</v>
      </c>
      <c r="E306" s="83">
        <f>INDEX('PEER GROUP'!E:E,MATCH(A306,'PEER GROUP'!$A:$A,0))</f>
        <v>0</v>
      </c>
      <c r="F306" s="84">
        <f>INDEX('PEER GROUP'!F:F,MATCH($A306,'PEER GROUP'!$A:$A,0))</f>
        <v>0</v>
      </c>
      <c r="G306" s="84">
        <f>INDEX('PEER GROUP'!G:G,MATCH($A306,'PEER GROUP'!$A:$A,0))</f>
        <v>0</v>
      </c>
      <c r="H306" s="85"/>
      <c r="I306" s="85"/>
      <c r="J306" s="70">
        <f>INDEX('PEER GROUP'!K:K,MATCH($A306,'PEER GROUP'!$A:$A,0))</f>
        <v>0</v>
      </c>
      <c r="K306" s="70">
        <f>INDEX('PEER GROUP'!L:L,MATCH($A306,'PEER GROUP'!$A:$A,0))</f>
        <v>0</v>
      </c>
      <c r="L306" s="81">
        <f>INDEX('PEER GROUP'!N:N,MATCH($A306,'PEER GROUP'!$A:$A,0))</f>
        <v>0</v>
      </c>
      <c r="M306" s="118"/>
      <c r="N306" s="115"/>
      <c r="O306" s="117"/>
      <c r="P306" s="87"/>
      <c r="Q306" s="87"/>
      <c r="R306" s="87">
        <f t="shared" si="44"/>
        <v>0</v>
      </c>
      <c r="S306" s="113">
        <f t="shared" si="42"/>
        <v>36.913096727263202</v>
      </c>
      <c r="T306" s="69">
        <f t="shared" si="45"/>
        <v>0</v>
      </c>
      <c r="U306" s="70">
        <f t="shared" si="46"/>
        <v>0</v>
      </c>
      <c r="V306" s="70">
        <f t="shared" si="47"/>
        <v>0</v>
      </c>
      <c r="W306" s="71">
        <f t="shared" si="48"/>
        <v>0</v>
      </c>
      <c r="X306" s="49"/>
      <c r="Y306" s="151"/>
      <c r="Z306" s="69"/>
      <c r="AA306" s="70"/>
      <c r="AB306" s="70"/>
      <c r="AC306" s="70" t="str">
        <f t="shared" si="49"/>
        <v>---</v>
      </c>
      <c r="AD306" s="70" t="str">
        <f>IFERROR(P306/#REF!-1,"---")</f>
        <v>---</v>
      </c>
      <c r="AE306" s="70" t="str">
        <f>IFERROR(#REF!/#REF!-1,"---")</f>
        <v>---</v>
      </c>
      <c r="AF306" s="70" t="str">
        <f>IFERROR(Q306/#REF!-1,"---")</f>
        <v>---</v>
      </c>
      <c r="AG306" s="70" t="str">
        <f>IFERROR(#REF!/#REF!-1,"---")</f>
        <v>---</v>
      </c>
      <c r="AH306" s="70" t="str">
        <f>IFERROR(#REF!/AA306-1,"---")</f>
        <v>---</v>
      </c>
      <c r="AI306" s="71" t="str">
        <f t="shared" si="50"/>
        <v>---</v>
      </c>
    </row>
    <row r="307" spans="1:35" ht="30" customHeight="1" x14ac:dyDescent="0.3">
      <c r="A307" s="123">
        <f t="shared" si="43"/>
        <v>303</v>
      </c>
      <c r="B307" s="140">
        <f>INDEX('PEER GROUP'!B:B,MATCH($A307,'PEER GROUP'!$A:$A,0))</f>
        <v>0</v>
      </c>
      <c r="C307" s="83">
        <f>INDEX('PEER GROUP'!C:C,MATCH($A307,'PEER GROUP'!$A:$A,0))</f>
        <v>0</v>
      </c>
      <c r="D307" s="83">
        <f>INDEX('PEER GROUP'!D:D,MATCH($A307,'PEER GROUP'!$A:$A,0))</f>
        <v>0</v>
      </c>
      <c r="E307" s="83">
        <f>INDEX('PEER GROUP'!E:E,MATCH(A307,'PEER GROUP'!$A:$A,0))</f>
        <v>0</v>
      </c>
      <c r="F307" s="84">
        <f>INDEX('PEER GROUP'!F:F,MATCH($A307,'PEER GROUP'!$A:$A,0))</f>
        <v>0</v>
      </c>
      <c r="G307" s="84">
        <f>INDEX('PEER GROUP'!G:G,MATCH($A307,'PEER GROUP'!$A:$A,0))</f>
        <v>0</v>
      </c>
      <c r="H307" s="85"/>
      <c r="I307" s="85"/>
      <c r="J307" s="70">
        <f>INDEX('PEER GROUP'!K:K,MATCH($A307,'PEER GROUP'!$A:$A,0))</f>
        <v>0</v>
      </c>
      <c r="K307" s="70">
        <f>INDEX('PEER GROUP'!L:L,MATCH($A307,'PEER GROUP'!$A:$A,0))</f>
        <v>0</v>
      </c>
      <c r="L307" s="81">
        <f>INDEX('PEER GROUP'!N:N,MATCH($A307,'PEER GROUP'!$A:$A,0))</f>
        <v>0</v>
      </c>
      <c r="M307" s="118"/>
      <c r="N307" s="115"/>
      <c r="O307" s="117"/>
      <c r="P307" s="87"/>
      <c r="Q307" s="87"/>
      <c r="R307" s="87">
        <f t="shared" si="44"/>
        <v>0</v>
      </c>
      <c r="S307" s="113">
        <f t="shared" si="42"/>
        <v>36.913096727263202</v>
      </c>
      <c r="T307" s="69">
        <f t="shared" si="45"/>
        <v>0</v>
      </c>
      <c r="U307" s="70">
        <f t="shared" si="46"/>
        <v>0</v>
      </c>
      <c r="V307" s="70">
        <f t="shared" si="47"/>
        <v>0</v>
      </c>
      <c r="W307" s="71">
        <f t="shared" si="48"/>
        <v>0</v>
      </c>
      <c r="X307" s="49"/>
      <c r="Y307" s="151"/>
      <c r="Z307" s="69"/>
      <c r="AA307" s="70"/>
      <c r="AB307" s="70"/>
      <c r="AC307" s="70" t="str">
        <f t="shared" si="49"/>
        <v>---</v>
      </c>
      <c r="AD307" s="70" t="str">
        <f>IFERROR(P307/#REF!-1,"---")</f>
        <v>---</v>
      </c>
      <c r="AE307" s="70" t="str">
        <f>IFERROR(#REF!/#REF!-1,"---")</f>
        <v>---</v>
      </c>
      <c r="AF307" s="70" t="str">
        <f>IFERROR(Q307/#REF!-1,"---")</f>
        <v>---</v>
      </c>
      <c r="AG307" s="70" t="str">
        <f>IFERROR(#REF!/#REF!-1,"---")</f>
        <v>---</v>
      </c>
      <c r="AH307" s="70" t="str">
        <f>IFERROR(#REF!/AA307-1,"---")</f>
        <v>---</v>
      </c>
      <c r="AI307" s="71" t="str">
        <f t="shared" si="50"/>
        <v>---</v>
      </c>
    </row>
    <row r="308" spans="1:35" ht="30" customHeight="1" x14ac:dyDescent="0.3">
      <c r="A308" s="123">
        <f t="shared" si="43"/>
        <v>304</v>
      </c>
      <c r="B308" s="140">
        <f>INDEX('PEER GROUP'!B:B,MATCH($A308,'PEER GROUP'!$A:$A,0))</f>
        <v>0</v>
      </c>
      <c r="C308" s="83">
        <f>INDEX('PEER GROUP'!C:C,MATCH($A308,'PEER GROUP'!$A:$A,0))</f>
        <v>0</v>
      </c>
      <c r="D308" s="83">
        <f>INDEX('PEER GROUP'!D:D,MATCH($A308,'PEER GROUP'!$A:$A,0))</f>
        <v>0</v>
      </c>
      <c r="E308" s="83">
        <f>INDEX('PEER GROUP'!E:E,MATCH(A308,'PEER GROUP'!$A:$A,0))</f>
        <v>0</v>
      </c>
      <c r="F308" s="84">
        <f>INDEX('PEER GROUP'!F:F,MATCH($A308,'PEER GROUP'!$A:$A,0))</f>
        <v>0</v>
      </c>
      <c r="G308" s="84">
        <f>INDEX('PEER GROUP'!G:G,MATCH($A308,'PEER GROUP'!$A:$A,0))</f>
        <v>0</v>
      </c>
      <c r="H308" s="85"/>
      <c r="I308" s="85"/>
      <c r="J308" s="70">
        <f>INDEX('PEER GROUP'!K:K,MATCH($A308,'PEER GROUP'!$A:$A,0))</f>
        <v>0</v>
      </c>
      <c r="K308" s="70">
        <f>INDEX('PEER GROUP'!L:L,MATCH($A308,'PEER GROUP'!$A:$A,0))</f>
        <v>0</v>
      </c>
      <c r="L308" s="81">
        <f>INDEX('PEER GROUP'!N:N,MATCH($A308,'PEER GROUP'!$A:$A,0))</f>
        <v>0</v>
      </c>
      <c r="M308" s="118"/>
      <c r="N308" s="115"/>
      <c r="O308" s="117"/>
      <c r="P308" s="87"/>
      <c r="Q308" s="87"/>
      <c r="R308" s="87">
        <f t="shared" si="44"/>
        <v>0</v>
      </c>
      <c r="S308" s="113">
        <f t="shared" si="42"/>
        <v>36.913096727263202</v>
      </c>
      <c r="T308" s="69">
        <f t="shared" si="45"/>
        <v>0</v>
      </c>
      <c r="U308" s="70">
        <f t="shared" si="46"/>
        <v>0</v>
      </c>
      <c r="V308" s="70">
        <f t="shared" si="47"/>
        <v>0</v>
      </c>
      <c r="W308" s="71">
        <f t="shared" si="48"/>
        <v>0</v>
      </c>
      <c r="X308" s="49"/>
      <c r="Y308" s="151"/>
      <c r="Z308" s="69"/>
      <c r="AA308" s="70"/>
      <c r="AB308" s="70"/>
      <c r="AC308" s="70" t="str">
        <f t="shared" si="49"/>
        <v>---</v>
      </c>
      <c r="AD308" s="70" t="str">
        <f>IFERROR(P308/#REF!-1,"---")</f>
        <v>---</v>
      </c>
      <c r="AE308" s="70" t="str">
        <f>IFERROR(#REF!/#REF!-1,"---")</f>
        <v>---</v>
      </c>
      <c r="AF308" s="70" t="str">
        <f>IFERROR(Q308/#REF!-1,"---")</f>
        <v>---</v>
      </c>
      <c r="AG308" s="70" t="str">
        <f>IFERROR(#REF!/#REF!-1,"---")</f>
        <v>---</v>
      </c>
      <c r="AH308" s="70" t="str">
        <f>IFERROR(#REF!/AA308-1,"---")</f>
        <v>---</v>
      </c>
      <c r="AI308" s="71" t="str">
        <f t="shared" si="50"/>
        <v>---</v>
      </c>
    </row>
    <row r="309" spans="1:35" ht="30" customHeight="1" x14ac:dyDescent="0.3">
      <c r="A309" s="123">
        <f t="shared" si="43"/>
        <v>305</v>
      </c>
      <c r="B309" s="140">
        <f>INDEX('PEER GROUP'!B:B,MATCH($A309,'PEER GROUP'!$A:$A,0))</f>
        <v>0</v>
      </c>
      <c r="C309" s="83">
        <f>INDEX('PEER GROUP'!C:C,MATCH($A309,'PEER GROUP'!$A:$A,0))</f>
        <v>0</v>
      </c>
      <c r="D309" s="83">
        <f>INDEX('PEER GROUP'!D:D,MATCH($A309,'PEER GROUP'!$A:$A,0))</f>
        <v>0</v>
      </c>
      <c r="E309" s="83">
        <f>INDEX('PEER GROUP'!E:E,MATCH(A309,'PEER GROUP'!$A:$A,0))</f>
        <v>0</v>
      </c>
      <c r="F309" s="84">
        <f>INDEX('PEER GROUP'!F:F,MATCH($A309,'PEER GROUP'!$A:$A,0))</f>
        <v>0</v>
      </c>
      <c r="G309" s="84">
        <f>INDEX('PEER GROUP'!G:G,MATCH($A309,'PEER GROUP'!$A:$A,0))</f>
        <v>0</v>
      </c>
      <c r="H309" s="85"/>
      <c r="I309" s="85"/>
      <c r="J309" s="70">
        <f>INDEX('PEER GROUP'!K:K,MATCH($A309,'PEER GROUP'!$A:$A,0))</f>
        <v>0</v>
      </c>
      <c r="K309" s="70">
        <f>INDEX('PEER GROUP'!L:L,MATCH($A309,'PEER GROUP'!$A:$A,0))</f>
        <v>0</v>
      </c>
      <c r="L309" s="81">
        <f>INDEX('PEER GROUP'!N:N,MATCH($A309,'PEER GROUP'!$A:$A,0))</f>
        <v>0</v>
      </c>
      <c r="M309" s="118"/>
      <c r="N309" s="115"/>
      <c r="O309" s="117"/>
      <c r="P309" s="87"/>
      <c r="Q309" s="87"/>
      <c r="R309" s="87">
        <f t="shared" si="44"/>
        <v>0</v>
      </c>
      <c r="S309" s="113">
        <f t="shared" si="42"/>
        <v>36.913096727263202</v>
      </c>
      <c r="T309" s="69">
        <f t="shared" si="45"/>
        <v>0</v>
      </c>
      <c r="U309" s="70">
        <f t="shared" si="46"/>
        <v>0</v>
      </c>
      <c r="V309" s="70">
        <f t="shared" si="47"/>
        <v>0</v>
      </c>
      <c r="W309" s="71">
        <f t="shared" si="48"/>
        <v>0</v>
      </c>
      <c r="X309" s="49"/>
      <c r="Y309" s="151"/>
      <c r="Z309" s="69"/>
      <c r="AA309" s="70"/>
      <c r="AB309" s="70"/>
      <c r="AC309" s="70" t="str">
        <f t="shared" si="49"/>
        <v>---</v>
      </c>
      <c r="AD309" s="70" t="str">
        <f>IFERROR(P309/#REF!-1,"---")</f>
        <v>---</v>
      </c>
      <c r="AE309" s="70" t="str">
        <f>IFERROR(#REF!/#REF!-1,"---")</f>
        <v>---</v>
      </c>
      <c r="AF309" s="70" t="str">
        <f>IFERROR(Q309/#REF!-1,"---")</f>
        <v>---</v>
      </c>
      <c r="AG309" s="70" t="str">
        <f>IFERROR(#REF!/#REF!-1,"---")</f>
        <v>---</v>
      </c>
      <c r="AH309" s="70" t="str">
        <f>IFERROR(#REF!/AA309-1,"---")</f>
        <v>---</v>
      </c>
      <c r="AI309" s="71" t="str">
        <f t="shared" si="50"/>
        <v>---</v>
      </c>
    </row>
    <row r="310" spans="1:35" ht="30" customHeight="1" x14ac:dyDescent="0.3">
      <c r="A310" s="123">
        <f t="shared" si="43"/>
        <v>306</v>
      </c>
      <c r="B310" s="140">
        <f>INDEX('PEER GROUP'!B:B,MATCH($A310,'PEER GROUP'!$A:$A,0))</f>
        <v>0</v>
      </c>
      <c r="C310" s="83">
        <f>INDEX('PEER GROUP'!C:C,MATCH($A310,'PEER GROUP'!$A:$A,0))</f>
        <v>0</v>
      </c>
      <c r="D310" s="83">
        <f>INDEX('PEER GROUP'!D:D,MATCH($A310,'PEER GROUP'!$A:$A,0))</f>
        <v>0</v>
      </c>
      <c r="E310" s="83">
        <f>INDEX('PEER GROUP'!E:E,MATCH(A310,'PEER GROUP'!$A:$A,0))</f>
        <v>0</v>
      </c>
      <c r="F310" s="84">
        <f>INDEX('PEER GROUP'!F:F,MATCH($A310,'PEER GROUP'!$A:$A,0))</f>
        <v>0</v>
      </c>
      <c r="G310" s="84">
        <f>INDEX('PEER GROUP'!G:G,MATCH($A310,'PEER GROUP'!$A:$A,0))</f>
        <v>0</v>
      </c>
      <c r="H310" s="85"/>
      <c r="I310" s="85"/>
      <c r="J310" s="70">
        <f>INDEX('PEER GROUP'!K:K,MATCH($A310,'PEER GROUP'!$A:$A,0))</f>
        <v>0</v>
      </c>
      <c r="K310" s="70">
        <f>INDEX('PEER GROUP'!L:L,MATCH($A310,'PEER GROUP'!$A:$A,0))</f>
        <v>0</v>
      </c>
      <c r="L310" s="81">
        <f>INDEX('PEER GROUP'!N:N,MATCH($A310,'PEER GROUP'!$A:$A,0))</f>
        <v>0</v>
      </c>
      <c r="M310" s="118"/>
      <c r="N310" s="115"/>
      <c r="O310" s="117"/>
      <c r="P310" s="87"/>
      <c r="Q310" s="87"/>
      <c r="R310" s="87">
        <f t="shared" si="44"/>
        <v>0</v>
      </c>
      <c r="S310" s="113">
        <f t="shared" si="42"/>
        <v>36.913096727263202</v>
      </c>
      <c r="T310" s="69">
        <f t="shared" si="45"/>
        <v>0</v>
      </c>
      <c r="U310" s="70">
        <f t="shared" si="46"/>
        <v>0</v>
      </c>
      <c r="V310" s="70">
        <f t="shared" si="47"/>
        <v>0</v>
      </c>
      <c r="W310" s="71">
        <f t="shared" si="48"/>
        <v>0</v>
      </c>
      <c r="X310" s="49"/>
      <c r="Y310" s="151"/>
      <c r="Z310" s="69"/>
      <c r="AA310" s="70"/>
      <c r="AB310" s="70"/>
      <c r="AC310" s="70" t="str">
        <f t="shared" si="49"/>
        <v>---</v>
      </c>
      <c r="AD310" s="70" t="str">
        <f>IFERROR(P310/#REF!-1,"---")</f>
        <v>---</v>
      </c>
      <c r="AE310" s="70" t="str">
        <f>IFERROR(#REF!/#REF!-1,"---")</f>
        <v>---</v>
      </c>
      <c r="AF310" s="70" t="str">
        <f>IFERROR(Q310/#REF!-1,"---")</f>
        <v>---</v>
      </c>
      <c r="AG310" s="70" t="str">
        <f>IFERROR(#REF!/#REF!-1,"---")</f>
        <v>---</v>
      </c>
      <c r="AH310" s="70" t="str">
        <f>IFERROR(#REF!/AA310-1,"---")</f>
        <v>---</v>
      </c>
      <c r="AI310" s="71" t="str">
        <f t="shared" si="50"/>
        <v>---</v>
      </c>
    </row>
    <row r="311" spans="1:35" ht="30" customHeight="1" x14ac:dyDescent="0.3">
      <c r="A311" s="123">
        <f t="shared" si="43"/>
        <v>307</v>
      </c>
      <c r="B311" s="140">
        <f>INDEX('PEER GROUP'!B:B,MATCH($A311,'PEER GROUP'!$A:$A,0))</f>
        <v>0</v>
      </c>
      <c r="C311" s="83">
        <f>INDEX('PEER GROUP'!C:C,MATCH($A311,'PEER GROUP'!$A:$A,0))</f>
        <v>0</v>
      </c>
      <c r="D311" s="83">
        <f>INDEX('PEER GROUP'!D:D,MATCH($A311,'PEER GROUP'!$A:$A,0))</f>
        <v>0</v>
      </c>
      <c r="E311" s="83">
        <f>INDEX('PEER GROUP'!E:E,MATCH(A311,'PEER GROUP'!$A:$A,0))</f>
        <v>0</v>
      </c>
      <c r="F311" s="84">
        <f>INDEX('PEER GROUP'!F:F,MATCH($A311,'PEER GROUP'!$A:$A,0))</f>
        <v>0</v>
      </c>
      <c r="G311" s="84">
        <f>INDEX('PEER GROUP'!G:G,MATCH($A311,'PEER GROUP'!$A:$A,0))</f>
        <v>0</v>
      </c>
      <c r="H311" s="85"/>
      <c r="I311" s="85"/>
      <c r="J311" s="70">
        <f>INDEX('PEER GROUP'!K:K,MATCH($A311,'PEER GROUP'!$A:$A,0))</f>
        <v>0</v>
      </c>
      <c r="K311" s="70">
        <f>INDEX('PEER GROUP'!L:L,MATCH($A311,'PEER GROUP'!$A:$A,0))</f>
        <v>0</v>
      </c>
      <c r="L311" s="81">
        <f>INDEX('PEER GROUP'!N:N,MATCH($A311,'PEER GROUP'!$A:$A,0))</f>
        <v>0</v>
      </c>
      <c r="M311" s="118"/>
      <c r="N311" s="115"/>
      <c r="O311" s="117"/>
      <c r="P311" s="87"/>
      <c r="Q311" s="87"/>
      <c r="R311" s="87">
        <f t="shared" si="44"/>
        <v>0</v>
      </c>
      <c r="S311" s="113">
        <f t="shared" si="42"/>
        <v>36.913096727263202</v>
      </c>
      <c r="T311" s="69">
        <f t="shared" si="45"/>
        <v>0</v>
      </c>
      <c r="U311" s="70">
        <f t="shared" si="46"/>
        <v>0</v>
      </c>
      <c r="V311" s="70">
        <f t="shared" si="47"/>
        <v>0</v>
      </c>
      <c r="W311" s="71">
        <f t="shared" si="48"/>
        <v>0</v>
      </c>
      <c r="X311" s="49"/>
      <c r="Y311" s="151"/>
      <c r="Z311" s="69"/>
      <c r="AA311" s="70"/>
      <c r="AB311" s="70"/>
      <c r="AC311" s="70" t="str">
        <f t="shared" si="49"/>
        <v>---</v>
      </c>
      <c r="AD311" s="70" t="str">
        <f>IFERROR(P311/#REF!-1,"---")</f>
        <v>---</v>
      </c>
      <c r="AE311" s="70" t="str">
        <f>IFERROR(#REF!/#REF!-1,"---")</f>
        <v>---</v>
      </c>
      <c r="AF311" s="70" t="str">
        <f>IFERROR(Q311/#REF!-1,"---")</f>
        <v>---</v>
      </c>
      <c r="AG311" s="70" t="str">
        <f>IFERROR(#REF!/#REF!-1,"---")</f>
        <v>---</v>
      </c>
      <c r="AH311" s="70" t="str">
        <f>IFERROR(#REF!/AA311-1,"---")</f>
        <v>---</v>
      </c>
      <c r="AI311" s="71" t="str">
        <f t="shared" si="50"/>
        <v>---</v>
      </c>
    </row>
    <row r="312" spans="1:35" ht="30" customHeight="1" x14ac:dyDescent="0.3">
      <c r="A312" s="123">
        <f t="shared" si="43"/>
        <v>308</v>
      </c>
      <c r="B312" s="140">
        <f>INDEX('PEER GROUP'!B:B,MATCH($A312,'PEER GROUP'!$A:$A,0))</f>
        <v>0</v>
      </c>
      <c r="C312" s="83">
        <f>INDEX('PEER GROUP'!C:C,MATCH($A312,'PEER GROUP'!$A:$A,0))</f>
        <v>0</v>
      </c>
      <c r="D312" s="83">
        <f>INDEX('PEER GROUP'!D:D,MATCH($A312,'PEER GROUP'!$A:$A,0))</f>
        <v>0</v>
      </c>
      <c r="E312" s="83">
        <f>INDEX('PEER GROUP'!E:E,MATCH(A312,'PEER GROUP'!$A:$A,0))</f>
        <v>0</v>
      </c>
      <c r="F312" s="84">
        <f>INDEX('PEER GROUP'!F:F,MATCH($A312,'PEER GROUP'!$A:$A,0))</f>
        <v>0</v>
      </c>
      <c r="G312" s="84">
        <f>INDEX('PEER GROUP'!G:G,MATCH($A312,'PEER GROUP'!$A:$A,0))</f>
        <v>0</v>
      </c>
      <c r="H312" s="85"/>
      <c r="I312" s="85"/>
      <c r="J312" s="70">
        <f>INDEX('PEER GROUP'!K:K,MATCH($A312,'PEER GROUP'!$A:$A,0))</f>
        <v>0</v>
      </c>
      <c r="K312" s="70">
        <f>INDEX('PEER GROUP'!L:L,MATCH($A312,'PEER GROUP'!$A:$A,0))</f>
        <v>0</v>
      </c>
      <c r="L312" s="81">
        <f>INDEX('PEER GROUP'!N:N,MATCH($A312,'PEER GROUP'!$A:$A,0))</f>
        <v>0</v>
      </c>
      <c r="M312" s="118"/>
      <c r="N312" s="115"/>
      <c r="O312" s="117"/>
      <c r="P312" s="87"/>
      <c r="Q312" s="87"/>
      <c r="R312" s="87">
        <f t="shared" si="44"/>
        <v>0</v>
      </c>
      <c r="S312" s="113">
        <f t="shared" si="42"/>
        <v>36.913096727263202</v>
      </c>
      <c r="T312" s="69">
        <f t="shared" si="45"/>
        <v>0</v>
      </c>
      <c r="U312" s="70">
        <f t="shared" si="46"/>
        <v>0</v>
      </c>
      <c r="V312" s="70">
        <f t="shared" si="47"/>
        <v>0</v>
      </c>
      <c r="W312" s="71">
        <f t="shared" si="48"/>
        <v>0</v>
      </c>
      <c r="X312" s="49"/>
      <c r="Y312" s="151"/>
      <c r="Z312" s="69"/>
      <c r="AA312" s="70"/>
      <c r="AB312" s="70"/>
      <c r="AC312" s="70" t="str">
        <f t="shared" si="49"/>
        <v>---</v>
      </c>
      <c r="AD312" s="70" t="str">
        <f>IFERROR(P312/#REF!-1,"---")</f>
        <v>---</v>
      </c>
      <c r="AE312" s="70" t="str">
        <f>IFERROR(#REF!/#REF!-1,"---")</f>
        <v>---</v>
      </c>
      <c r="AF312" s="70" t="str">
        <f>IFERROR(Q312/#REF!-1,"---")</f>
        <v>---</v>
      </c>
      <c r="AG312" s="70" t="str">
        <f>IFERROR(#REF!/#REF!-1,"---")</f>
        <v>---</v>
      </c>
      <c r="AH312" s="70" t="str">
        <f>IFERROR(#REF!/AA312-1,"---")</f>
        <v>---</v>
      </c>
      <c r="AI312" s="71" t="str">
        <f t="shared" si="50"/>
        <v>---</v>
      </c>
    </row>
    <row r="313" spans="1:35" ht="30" customHeight="1" x14ac:dyDescent="0.3">
      <c r="A313" s="123">
        <f t="shared" si="43"/>
        <v>309</v>
      </c>
      <c r="B313" s="140">
        <f>INDEX('PEER GROUP'!B:B,MATCH($A313,'PEER GROUP'!$A:$A,0))</f>
        <v>0</v>
      </c>
      <c r="C313" s="83">
        <f>INDEX('PEER GROUP'!C:C,MATCH($A313,'PEER GROUP'!$A:$A,0))</f>
        <v>0</v>
      </c>
      <c r="D313" s="83">
        <f>INDEX('PEER GROUP'!D:D,MATCH($A313,'PEER GROUP'!$A:$A,0))</f>
        <v>0</v>
      </c>
      <c r="E313" s="83">
        <f>INDEX('PEER GROUP'!E:E,MATCH(A313,'PEER GROUP'!$A:$A,0))</f>
        <v>0</v>
      </c>
      <c r="F313" s="84">
        <f>INDEX('PEER GROUP'!F:F,MATCH($A313,'PEER GROUP'!$A:$A,0))</f>
        <v>0</v>
      </c>
      <c r="G313" s="84">
        <f>INDEX('PEER GROUP'!G:G,MATCH($A313,'PEER GROUP'!$A:$A,0))</f>
        <v>0</v>
      </c>
      <c r="H313" s="85"/>
      <c r="I313" s="85"/>
      <c r="J313" s="70">
        <f>INDEX('PEER GROUP'!K:K,MATCH($A313,'PEER GROUP'!$A:$A,0))</f>
        <v>0</v>
      </c>
      <c r="K313" s="70">
        <f>INDEX('PEER GROUP'!L:L,MATCH($A313,'PEER GROUP'!$A:$A,0))</f>
        <v>0</v>
      </c>
      <c r="L313" s="81">
        <f>INDEX('PEER GROUP'!N:N,MATCH($A313,'PEER GROUP'!$A:$A,0))</f>
        <v>0</v>
      </c>
      <c r="M313" s="118"/>
      <c r="N313" s="115"/>
      <c r="O313" s="117"/>
      <c r="P313" s="87"/>
      <c r="Q313" s="87"/>
      <c r="R313" s="87">
        <f t="shared" si="44"/>
        <v>0</v>
      </c>
      <c r="S313" s="113">
        <f t="shared" si="42"/>
        <v>36.913096727263202</v>
      </c>
      <c r="T313" s="69">
        <f t="shared" si="45"/>
        <v>0</v>
      </c>
      <c r="U313" s="70">
        <f t="shared" si="46"/>
        <v>0</v>
      </c>
      <c r="V313" s="70">
        <f t="shared" si="47"/>
        <v>0</v>
      </c>
      <c r="W313" s="71">
        <f t="shared" si="48"/>
        <v>0</v>
      </c>
      <c r="X313" s="49"/>
      <c r="Y313" s="151"/>
      <c r="Z313" s="69"/>
      <c r="AA313" s="70"/>
      <c r="AB313" s="70"/>
      <c r="AC313" s="70" t="str">
        <f t="shared" si="49"/>
        <v>---</v>
      </c>
      <c r="AD313" s="70" t="str">
        <f>IFERROR(P313/#REF!-1,"---")</f>
        <v>---</v>
      </c>
      <c r="AE313" s="70" t="str">
        <f>IFERROR(#REF!/#REF!-1,"---")</f>
        <v>---</v>
      </c>
      <c r="AF313" s="70" t="str">
        <f>IFERROR(Q313/#REF!-1,"---")</f>
        <v>---</v>
      </c>
      <c r="AG313" s="70" t="str">
        <f>IFERROR(#REF!/#REF!-1,"---")</f>
        <v>---</v>
      </c>
      <c r="AH313" s="70" t="str">
        <f>IFERROR(#REF!/AA313-1,"---")</f>
        <v>---</v>
      </c>
      <c r="AI313" s="71" t="str">
        <f t="shared" si="50"/>
        <v>---</v>
      </c>
    </row>
    <row r="314" spans="1:35" ht="30" customHeight="1" x14ac:dyDescent="0.3">
      <c r="A314" s="123">
        <f t="shared" si="43"/>
        <v>310</v>
      </c>
      <c r="B314" s="140">
        <f>INDEX('PEER GROUP'!B:B,MATCH($A314,'PEER GROUP'!$A:$A,0))</f>
        <v>0</v>
      </c>
      <c r="C314" s="83">
        <f>INDEX('PEER GROUP'!C:C,MATCH($A314,'PEER GROUP'!$A:$A,0))</f>
        <v>0</v>
      </c>
      <c r="D314" s="83">
        <f>INDEX('PEER GROUP'!D:D,MATCH($A314,'PEER GROUP'!$A:$A,0))</f>
        <v>0</v>
      </c>
      <c r="E314" s="83">
        <f>INDEX('PEER GROUP'!E:E,MATCH(A314,'PEER GROUP'!$A:$A,0))</f>
        <v>0</v>
      </c>
      <c r="F314" s="84">
        <f>INDEX('PEER GROUP'!F:F,MATCH($A314,'PEER GROUP'!$A:$A,0))</f>
        <v>0</v>
      </c>
      <c r="G314" s="84">
        <f>INDEX('PEER GROUP'!G:G,MATCH($A314,'PEER GROUP'!$A:$A,0))</f>
        <v>0</v>
      </c>
      <c r="H314" s="85"/>
      <c r="I314" s="85"/>
      <c r="J314" s="70">
        <f>INDEX('PEER GROUP'!K:K,MATCH($A314,'PEER GROUP'!$A:$A,0))</f>
        <v>0</v>
      </c>
      <c r="K314" s="70">
        <f>INDEX('PEER GROUP'!L:L,MATCH($A314,'PEER GROUP'!$A:$A,0))</f>
        <v>0</v>
      </c>
      <c r="L314" s="81">
        <f>INDEX('PEER GROUP'!N:N,MATCH($A314,'PEER GROUP'!$A:$A,0))</f>
        <v>0</v>
      </c>
      <c r="M314" s="118"/>
      <c r="N314" s="115"/>
      <c r="O314" s="117"/>
      <c r="P314" s="87"/>
      <c r="Q314" s="87"/>
      <c r="R314" s="87">
        <f t="shared" si="44"/>
        <v>0</v>
      </c>
      <c r="S314" s="113">
        <f t="shared" si="42"/>
        <v>36.913096727263202</v>
      </c>
      <c r="T314" s="69">
        <f t="shared" si="45"/>
        <v>0</v>
      </c>
      <c r="U314" s="70">
        <f t="shared" si="46"/>
        <v>0</v>
      </c>
      <c r="V314" s="70">
        <f t="shared" si="47"/>
        <v>0</v>
      </c>
      <c r="W314" s="71">
        <f t="shared" si="48"/>
        <v>0</v>
      </c>
      <c r="X314" s="49"/>
      <c r="Y314" s="151"/>
      <c r="Z314" s="69"/>
      <c r="AA314" s="70"/>
      <c r="AB314" s="70"/>
      <c r="AC314" s="70" t="str">
        <f t="shared" si="49"/>
        <v>---</v>
      </c>
      <c r="AD314" s="70" t="str">
        <f>IFERROR(P314/#REF!-1,"---")</f>
        <v>---</v>
      </c>
      <c r="AE314" s="70" t="str">
        <f>IFERROR(#REF!/#REF!-1,"---")</f>
        <v>---</v>
      </c>
      <c r="AF314" s="70" t="str">
        <f>IFERROR(Q314/#REF!-1,"---")</f>
        <v>---</v>
      </c>
      <c r="AG314" s="70" t="str">
        <f>IFERROR(#REF!/#REF!-1,"---")</f>
        <v>---</v>
      </c>
      <c r="AH314" s="70" t="str">
        <f>IFERROR(#REF!/AA314-1,"---")</f>
        <v>---</v>
      </c>
      <c r="AI314" s="71" t="str">
        <f t="shared" si="50"/>
        <v>---</v>
      </c>
    </row>
    <row r="315" spans="1:35" ht="30" customHeight="1" x14ac:dyDescent="0.3">
      <c r="A315" s="123">
        <f t="shared" si="43"/>
        <v>311</v>
      </c>
      <c r="B315" s="140">
        <f>INDEX('PEER GROUP'!B:B,MATCH($A315,'PEER GROUP'!$A:$A,0))</f>
        <v>0</v>
      </c>
      <c r="C315" s="83">
        <f>INDEX('PEER GROUP'!C:C,MATCH($A315,'PEER GROUP'!$A:$A,0))</f>
        <v>0</v>
      </c>
      <c r="D315" s="83">
        <f>INDEX('PEER GROUP'!D:D,MATCH($A315,'PEER GROUP'!$A:$A,0))</f>
        <v>0</v>
      </c>
      <c r="E315" s="83">
        <f>INDEX('PEER GROUP'!E:E,MATCH(A315,'PEER GROUP'!$A:$A,0))</f>
        <v>0</v>
      </c>
      <c r="F315" s="84">
        <f>INDEX('PEER GROUP'!F:F,MATCH($A315,'PEER GROUP'!$A:$A,0))</f>
        <v>0</v>
      </c>
      <c r="G315" s="84">
        <f>INDEX('PEER GROUP'!G:G,MATCH($A315,'PEER GROUP'!$A:$A,0))</f>
        <v>0</v>
      </c>
      <c r="H315" s="85"/>
      <c r="I315" s="85"/>
      <c r="J315" s="70">
        <f>INDEX('PEER GROUP'!K:K,MATCH($A315,'PEER GROUP'!$A:$A,0))</f>
        <v>0</v>
      </c>
      <c r="K315" s="70">
        <f>INDEX('PEER GROUP'!L:L,MATCH($A315,'PEER GROUP'!$A:$A,0))</f>
        <v>0</v>
      </c>
      <c r="L315" s="81">
        <f>INDEX('PEER GROUP'!N:N,MATCH($A315,'PEER GROUP'!$A:$A,0))</f>
        <v>0</v>
      </c>
      <c r="M315" s="118"/>
      <c r="N315" s="115"/>
      <c r="O315" s="117"/>
      <c r="P315" s="87"/>
      <c r="Q315" s="87"/>
      <c r="R315" s="87">
        <f t="shared" si="44"/>
        <v>0</v>
      </c>
      <c r="S315" s="113">
        <f t="shared" si="42"/>
        <v>36.913096727263202</v>
      </c>
      <c r="T315" s="69">
        <f t="shared" si="45"/>
        <v>0</v>
      </c>
      <c r="U315" s="70">
        <f t="shared" si="46"/>
        <v>0</v>
      </c>
      <c r="V315" s="70">
        <f t="shared" si="47"/>
        <v>0</v>
      </c>
      <c r="W315" s="71">
        <f t="shared" si="48"/>
        <v>0</v>
      </c>
      <c r="X315" s="49"/>
      <c r="Y315" s="151"/>
      <c r="Z315" s="69"/>
      <c r="AA315" s="70"/>
      <c r="AB315" s="70"/>
      <c r="AC315" s="70" t="str">
        <f t="shared" si="49"/>
        <v>---</v>
      </c>
      <c r="AD315" s="70" t="str">
        <f>IFERROR(P315/#REF!-1,"---")</f>
        <v>---</v>
      </c>
      <c r="AE315" s="70" t="str">
        <f>IFERROR(#REF!/#REF!-1,"---")</f>
        <v>---</v>
      </c>
      <c r="AF315" s="70" t="str">
        <f>IFERROR(Q315/#REF!-1,"---")</f>
        <v>---</v>
      </c>
      <c r="AG315" s="70" t="str">
        <f>IFERROR(#REF!/#REF!-1,"---")</f>
        <v>---</v>
      </c>
      <c r="AH315" s="70" t="str">
        <f>IFERROR(#REF!/AA315-1,"---")</f>
        <v>---</v>
      </c>
      <c r="AI315" s="71" t="str">
        <f t="shared" si="50"/>
        <v>---</v>
      </c>
    </row>
    <row r="316" spans="1:35" ht="30" customHeight="1" x14ac:dyDescent="0.3">
      <c r="A316" s="123">
        <f t="shared" si="43"/>
        <v>312</v>
      </c>
      <c r="B316" s="140">
        <f>INDEX('PEER GROUP'!B:B,MATCH($A316,'PEER GROUP'!$A:$A,0))</f>
        <v>0</v>
      </c>
      <c r="C316" s="83">
        <f>INDEX('PEER GROUP'!C:C,MATCH($A316,'PEER GROUP'!$A:$A,0))</f>
        <v>0</v>
      </c>
      <c r="D316" s="83">
        <f>INDEX('PEER GROUP'!D:D,MATCH($A316,'PEER GROUP'!$A:$A,0))</f>
        <v>0</v>
      </c>
      <c r="E316" s="83">
        <f>INDEX('PEER GROUP'!E:E,MATCH(A316,'PEER GROUP'!$A:$A,0))</f>
        <v>0</v>
      </c>
      <c r="F316" s="84">
        <f>INDEX('PEER GROUP'!F:F,MATCH($A316,'PEER GROUP'!$A:$A,0))</f>
        <v>0</v>
      </c>
      <c r="G316" s="84">
        <f>INDEX('PEER GROUP'!G:G,MATCH($A316,'PEER GROUP'!$A:$A,0))</f>
        <v>0</v>
      </c>
      <c r="H316" s="85"/>
      <c r="I316" s="85"/>
      <c r="J316" s="70">
        <f>INDEX('PEER GROUP'!K:K,MATCH($A316,'PEER GROUP'!$A:$A,0))</f>
        <v>0</v>
      </c>
      <c r="K316" s="70">
        <f>INDEX('PEER GROUP'!L:L,MATCH($A316,'PEER GROUP'!$A:$A,0))</f>
        <v>0</v>
      </c>
      <c r="L316" s="81">
        <f>INDEX('PEER GROUP'!N:N,MATCH($A316,'PEER GROUP'!$A:$A,0))</f>
        <v>0</v>
      </c>
      <c r="M316" s="118"/>
      <c r="N316" s="115"/>
      <c r="O316" s="117"/>
      <c r="P316" s="87"/>
      <c r="Q316" s="87"/>
      <c r="R316" s="87">
        <f t="shared" si="44"/>
        <v>0</v>
      </c>
      <c r="S316" s="113">
        <f t="shared" si="42"/>
        <v>36.913096727263202</v>
      </c>
      <c r="T316" s="69">
        <f t="shared" si="45"/>
        <v>0</v>
      </c>
      <c r="U316" s="70">
        <f t="shared" si="46"/>
        <v>0</v>
      </c>
      <c r="V316" s="70">
        <f t="shared" si="47"/>
        <v>0</v>
      </c>
      <c r="W316" s="71">
        <f t="shared" si="48"/>
        <v>0</v>
      </c>
      <c r="X316" s="49"/>
      <c r="Y316" s="151"/>
      <c r="Z316" s="69"/>
      <c r="AA316" s="70"/>
      <c r="AB316" s="70"/>
      <c r="AC316" s="70" t="str">
        <f t="shared" si="49"/>
        <v>---</v>
      </c>
      <c r="AD316" s="70" t="str">
        <f>IFERROR(P316/#REF!-1,"---")</f>
        <v>---</v>
      </c>
      <c r="AE316" s="70" t="str">
        <f>IFERROR(#REF!/#REF!-1,"---")</f>
        <v>---</v>
      </c>
      <c r="AF316" s="70" t="str">
        <f>IFERROR(Q316/#REF!-1,"---")</f>
        <v>---</v>
      </c>
      <c r="AG316" s="70" t="str">
        <f>IFERROR(#REF!/#REF!-1,"---")</f>
        <v>---</v>
      </c>
      <c r="AH316" s="70" t="str">
        <f>IFERROR(#REF!/AA316-1,"---")</f>
        <v>---</v>
      </c>
      <c r="AI316" s="71" t="str">
        <f t="shared" si="50"/>
        <v>---</v>
      </c>
    </row>
    <row r="317" spans="1:35" ht="30" customHeight="1" x14ac:dyDescent="0.3">
      <c r="A317" s="123">
        <f t="shared" si="43"/>
        <v>313</v>
      </c>
      <c r="B317" s="140">
        <f>INDEX('PEER GROUP'!B:B,MATCH($A317,'PEER GROUP'!$A:$A,0))</f>
        <v>0</v>
      </c>
      <c r="C317" s="83">
        <f>INDEX('PEER GROUP'!C:C,MATCH($A317,'PEER GROUP'!$A:$A,0))</f>
        <v>0</v>
      </c>
      <c r="D317" s="83">
        <f>INDEX('PEER GROUP'!D:D,MATCH($A317,'PEER GROUP'!$A:$A,0))</f>
        <v>0</v>
      </c>
      <c r="E317" s="83">
        <f>INDEX('PEER GROUP'!E:E,MATCH(A317,'PEER GROUP'!$A:$A,0))</f>
        <v>0</v>
      </c>
      <c r="F317" s="84">
        <f>INDEX('PEER GROUP'!F:F,MATCH($A317,'PEER GROUP'!$A:$A,0))</f>
        <v>0</v>
      </c>
      <c r="G317" s="84">
        <f>INDEX('PEER GROUP'!G:G,MATCH($A317,'PEER GROUP'!$A:$A,0))</f>
        <v>0</v>
      </c>
      <c r="H317" s="85"/>
      <c r="I317" s="85"/>
      <c r="J317" s="70">
        <f>INDEX('PEER GROUP'!K:K,MATCH($A317,'PEER GROUP'!$A:$A,0))</f>
        <v>0</v>
      </c>
      <c r="K317" s="70">
        <f>INDEX('PEER GROUP'!L:L,MATCH($A317,'PEER GROUP'!$A:$A,0))</f>
        <v>0</v>
      </c>
      <c r="L317" s="81">
        <f>INDEX('PEER GROUP'!N:N,MATCH($A317,'PEER GROUP'!$A:$A,0))</f>
        <v>0</v>
      </c>
      <c r="M317" s="118"/>
      <c r="N317" s="115"/>
      <c r="O317" s="117"/>
      <c r="P317" s="87"/>
      <c r="Q317" s="87"/>
      <c r="R317" s="87">
        <f t="shared" si="44"/>
        <v>0</v>
      </c>
      <c r="S317" s="113">
        <f t="shared" si="42"/>
        <v>36.913096727263202</v>
      </c>
      <c r="T317" s="69">
        <f t="shared" si="45"/>
        <v>0</v>
      </c>
      <c r="U317" s="70">
        <f t="shared" si="46"/>
        <v>0</v>
      </c>
      <c r="V317" s="70">
        <f t="shared" si="47"/>
        <v>0</v>
      </c>
      <c r="W317" s="71">
        <f t="shared" si="48"/>
        <v>0</v>
      </c>
      <c r="X317" s="49"/>
      <c r="Y317" s="151"/>
      <c r="Z317" s="69"/>
      <c r="AA317" s="70"/>
      <c r="AB317" s="70"/>
      <c r="AC317" s="70" t="str">
        <f t="shared" si="49"/>
        <v>---</v>
      </c>
      <c r="AD317" s="70" t="str">
        <f>IFERROR(P317/#REF!-1,"---")</f>
        <v>---</v>
      </c>
      <c r="AE317" s="70" t="str">
        <f>IFERROR(#REF!/#REF!-1,"---")</f>
        <v>---</v>
      </c>
      <c r="AF317" s="70" t="str">
        <f>IFERROR(Q317/#REF!-1,"---")</f>
        <v>---</v>
      </c>
      <c r="AG317" s="70" t="str">
        <f>IFERROR(#REF!/#REF!-1,"---")</f>
        <v>---</v>
      </c>
      <c r="AH317" s="70" t="str">
        <f>IFERROR(#REF!/AA317-1,"---")</f>
        <v>---</v>
      </c>
      <c r="AI317" s="71" t="str">
        <f t="shared" si="50"/>
        <v>---</v>
      </c>
    </row>
    <row r="318" spans="1:35" ht="30" customHeight="1" x14ac:dyDescent="0.3">
      <c r="A318" s="123">
        <f t="shared" si="43"/>
        <v>314</v>
      </c>
      <c r="B318" s="140">
        <f>INDEX('PEER GROUP'!B:B,MATCH($A318,'PEER GROUP'!$A:$A,0))</f>
        <v>0</v>
      </c>
      <c r="C318" s="83">
        <f>INDEX('PEER GROUP'!C:C,MATCH($A318,'PEER GROUP'!$A:$A,0))</f>
        <v>0</v>
      </c>
      <c r="D318" s="83">
        <f>INDEX('PEER GROUP'!D:D,MATCH($A318,'PEER GROUP'!$A:$A,0))</f>
        <v>0</v>
      </c>
      <c r="E318" s="83">
        <f>INDEX('PEER GROUP'!E:E,MATCH(A318,'PEER GROUP'!$A:$A,0))</f>
        <v>0</v>
      </c>
      <c r="F318" s="84">
        <f>INDEX('PEER GROUP'!F:F,MATCH($A318,'PEER GROUP'!$A:$A,0))</f>
        <v>0</v>
      </c>
      <c r="G318" s="84">
        <f>INDEX('PEER GROUP'!G:G,MATCH($A318,'PEER GROUP'!$A:$A,0))</f>
        <v>0</v>
      </c>
      <c r="H318" s="85"/>
      <c r="I318" s="85"/>
      <c r="J318" s="70">
        <f>INDEX('PEER GROUP'!K:K,MATCH($A318,'PEER GROUP'!$A:$A,0))</f>
        <v>0</v>
      </c>
      <c r="K318" s="70">
        <f>INDEX('PEER GROUP'!L:L,MATCH($A318,'PEER GROUP'!$A:$A,0))</f>
        <v>0</v>
      </c>
      <c r="L318" s="81">
        <f>INDEX('PEER GROUP'!N:N,MATCH($A318,'PEER GROUP'!$A:$A,0))</f>
        <v>0</v>
      </c>
      <c r="M318" s="118"/>
      <c r="N318" s="115"/>
      <c r="O318" s="117"/>
      <c r="P318" s="87"/>
      <c r="Q318" s="87"/>
      <c r="R318" s="87">
        <f t="shared" si="44"/>
        <v>0</v>
      </c>
      <c r="S318" s="113">
        <f t="shared" si="42"/>
        <v>36.913096727263202</v>
      </c>
      <c r="T318" s="69">
        <f t="shared" si="45"/>
        <v>0</v>
      </c>
      <c r="U318" s="70">
        <f t="shared" si="46"/>
        <v>0</v>
      </c>
      <c r="V318" s="70">
        <f t="shared" si="47"/>
        <v>0</v>
      </c>
      <c r="W318" s="71">
        <f t="shared" si="48"/>
        <v>0</v>
      </c>
      <c r="X318" s="49"/>
      <c r="Y318" s="151"/>
      <c r="Z318" s="69"/>
      <c r="AA318" s="70"/>
      <c r="AB318" s="70"/>
      <c r="AC318" s="70" t="str">
        <f t="shared" si="49"/>
        <v>---</v>
      </c>
      <c r="AD318" s="70" t="str">
        <f>IFERROR(P318/#REF!-1,"---")</f>
        <v>---</v>
      </c>
      <c r="AE318" s="70" t="str">
        <f>IFERROR(#REF!/#REF!-1,"---")</f>
        <v>---</v>
      </c>
      <c r="AF318" s="70" t="str">
        <f>IFERROR(Q318/#REF!-1,"---")</f>
        <v>---</v>
      </c>
      <c r="AG318" s="70" t="str">
        <f>IFERROR(#REF!/#REF!-1,"---")</f>
        <v>---</v>
      </c>
      <c r="AH318" s="70" t="str">
        <f>IFERROR(#REF!/AA318-1,"---")</f>
        <v>---</v>
      </c>
      <c r="AI318" s="71" t="str">
        <f t="shared" si="50"/>
        <v>---</v>
      </c>
    </row>
    <row r="319" spans="1:35" ht="30" customHeight="1" x14ac:dyDescent="0.3">
      <c r="A319" s="123">
        <f t="shared" si="43"/>
        <v>315</v>
      </c>
      <c r="B319" s="140">
        <f>INDEX('PEER GROUP'!B:B,MATCH($A319,'PEER GROUP'!$A:$A,0))</f>
        <v>0</v>
      </c>
      <c r="C319" s="83">
        <f>INDEX('PEER GROUP'!C:C,MATCH($A319,'PEER GROUP'!$A:$A,0))</f>
        <v>0</v>
      </c>
      <c r="D319" s="83">
        <f>INDEX('PEER GROUP'!D:D,MATCH($A319,'PEER GROUP'!$A:$A,0))</f>
        <v>0</v>
      </c>
      <c r="E319" s="83">
        <f>INDEX('PEER GROUP'!E:E,MATCH(A319,'PEER GROUP'!$A:$A,0))</f>
        <v>0</v>
      </c>
      <c r="F319" s="84">
        <f>INDEX('PEER GROUP'!F:F,MATCH($A319,'PEER GROUP'!$A:$A,0))</f>
        <v>0</v>
      </c>
      <c r="G319" s="84">
        <f>INDEX('PEER GROUP'!G:G,MATCH($A319,'PEER GROUP'!$A:$A,0))</f>
        <v>0</v>
      </c>
      <c r="H319" s="85"/>
      <c r="I319" s="85"/>
      <c r="J319" s="70">
        <f>INDEX('PEER GROUP'!K:K,MATCH($A319,'PEER GROUP'!$A:$A,0))</f>
        <v>0</v>
      </c>
      <c r="K319" s="70">
        <f>INDEX('PEER GROUP'!L:L,MATCH($A319,'PEER GROUP'!$A:$A,0))</f>
        <v>0</v>
      </c>
      <c r="L319" s="81">
        <f>INDEX('PEER GROUP'!N:N,MATCH($A319,'PEER GROUP'!$A:$A,0))</f>
        <v>0</v>
      </c>
      <c r="M319" s="118"/>
      <c r="N319" s="115"/>
      <c r="O319" s="117"/>
      <c r="P319" s="87"/>
      <c r="Q319" s="87"/>
      <c r="R319" s="87">
        <f t="shared" si="44"/>
        <v>0</v>
      </c>
      <c r="S319" s="113">
        <f t="shared" si="42"/>
        <v>36.913096727263202</v>
      </c>
      <c r="T319" s="69">
        <f t="shared" si="45"/>
        <v>0</v>
      </c>
      <c r="U319" s="70">
        <f t="shared" si="46"/>
        <v>0</v>
      </c>
      <c r="V319" s="70">
        <f t="shared" si="47"/>
        <v>0</v>
      </c>
      <c r="W319" s="71">
        <f t="shared" si="48"/>
        <v>0</v>
      </c>
      <c r="X319" s="49"/>
      <c r="Y319" s="151"/>
      <c r="Z319" s="69"/>
      <c r="AA319" s="70"/>
      <c r="AB319" s="70"/>
      <c r="AC319" s="70" t="str">
        <f t="shared" si="49"/>
        <v>---</v>
      </c>
      <c r="AD319" s="70" t="str">
        <f>IFERROR(P319/#REF!-1,"---")</f>
        <v>---</v>
      </c>
      <c r="AE319" s="70" t="str">
        <f>IFERROR(#REF!/#REF!-1,"---")</f>
        <v>---</v>
      </c>
      <c r="AF319" s="70" t="str">
        <f>IFERROR(Q319/#REF!-1,"---")</f>
        <v>---</v>
      </c>
      <c r="AG319" s="70" t="str">
        <f>IFERROR(#REF!/#REF!-1,"---")</f>
        <v>---</v>
      </c>
      <c r="AH319" s="70" t="str">
        <f>IFERROR(#REF!/AA319-1,"---")</f>
        <v>---</v>
      </c>
      <c r="AI319" s="71" t="str">
        <f t="shared" si="50"/>
        <v>---</v>
      </c>
    </row>
    <row r="320" spans="1:35" ht="30" customHeight="1" x14ac:dyDescent="0.3">
      <c r="A320" s="123">
        <f t="shared" si="43"/>
        <v>316</v>
      </c>
      <c r="B320" s="140">
        <f>INDEX('PEER GROUP'!B:B,MATCH($A320,'PEER GROUP'!$A:$A,0))</f>
        <v>0</v>
      </c>
      <c r="C320" s="83">
        <f>INDEX('PEER GROUP'!C:C,MATCH($A320,'PEER GROUP'!$A:$A,0))</f>
        <v>0</v>
      </c>
      <c r="D320" s="83">
        <f>INDEX('PEER GROUP'!D:D,MATCH($A320,'PEER GROUP'!$A:$A,0))</f>
        <v>0</v>
      </c>
      <c r="E320" s="83">
        <f>INDEX('PEER GROUP'!E:E,MATCH(A320,'PEER GROUP'!$A:$A,0))</f>
        <v>0</v>
      </c>
      <c r="F320" s="84">
        <f>INDEX('PEER GROUP'!F:F,MATCH($A320,'PEER GROUP'!$A:$A,0))</f>
        <v>0</v>
      </c>
      <c r="G320" s="84">
        <f>INDEX('PEER GROUP'!G:G,MATCH($A320,'PEER GROUP'!$A:$A,0))</f>
        <v>0</v>
      </c>
      <c r="H320" s="85"/>
      <c r="I320" s="85"/>
      <c r="J320" s="70">
        <f>INDEX('PEER GROUP'!K:K,MATCH($A320,'PEER GROUP'!$A:$A,0))</f>
        <v>0</v>
      </c>
      <c r="K320" s="70">
        <f>INDEX('PEER GROUP'!L:L,MATCH($A320,'PEER GROUP'!$A:$A,0))</f>
        <v>0</v>
      </c>
      <c r="L320" s="81">
        <f>INDEX('PEER GROUP'!N:N,MATCH($A320,'PEER GROUP'!$A:$A,0))</f>
        <v>0</v>
      </c>
      <c r="M320" s="118"/>
      <c r="N320" s="115"/>
      <c r="O320" s="117"/>
      <c r="P320" s="87"/>
      <c r="Q320" s="87"/>
      <c r="R320" s="87">
        <f t="shared" si="44"/>
        <v>0</v>
      </c>
      <c r="S320" s="113">
        <f t="shared" si="42"/>
        <v>36.913096727263202</v>
      </c>
      <c r="T320" s="69">
        <f t="shared" si="45"/>
        <v>0</v>
      </c>
      <c r="U320" s="70">
        <f t="shared" si="46"/>
        <v>0</v>
      </c>
      <c r="V320" s="70">
        <f t="shared" si="47"/>
        <v>0</v>
      </c>
      <c r="W320" s="71">
        <f t="shared" si="48"/>
        <v>0</v>
      </c>
      <c r="X320" s="49"/>
      <c r="Y320" s="151"/>
      <c r="Z320" s="69"/>
      <c r="AA320" s="70"/>
      <c r="AB320" s="70"/>
      <c r="AC320" s="70" t="str">
        <f t="shared" si="49"/>
        <v>---</v>
      </c>
      <c r="AD320" s="70" t="str">
        <f>IFERROR(P320/#REF!-1,"---")</f>
        <v>---</v>
      </c>
      <c r="AE320" s="70" t="str">
        <f>IFERROR(#REF!/#REF!-1,"---")</f>
        <v>---</v>
      </c>
      <c r="AF320" s="70" t="str">
        <f>IFERROR(Q320/#REF!-1,"---")</f>
        <v>---</v>
      </c>
      <c r="AG320" s="70" t="str">
        <f>IFERROR(#REF!/#REF!-1,"---")</f>
        <v>---</v>
      </c>
      <c r="AH320" s="70" t="str">
        <f>IFERROR(#REF!/AA320-1,"---")</f>
        <v>---</v>
      </c>
      <c r="AI320" s="71" t="str">
        <f t="shared" si="50"/>
        <v>---</v>
      </c>
    </row>
    <row r="321" spans="1:35" ht="30" customHeight="1" x14ac:dyDescent="0.3">
      <c r="A321" s="123">
        <f t="shared" si="43"/>
        <v>317</v>
      </c>
      <c r="B321" s="140">
        <f>INDEX('PEER GROUP'!B:B,MATCH($A321,'PEER GROUP'!$A:$A,0))</f>
        <v>0</v>
      </c>
      <c r="C321" s="83">
        <f>INDEX('PEER GROUP'!C:C,MATCH($A321,'PEER GROUP'!$A:$A,0))</f>
        <v>0</v>
      </c>
      <c r="D321" s="83">
        <f>INDEX('PEER GROUP'!D:D,MATCH($A321,'PEER GROUP'!$A:$A,0))</f>
        <v>0</v>
      </c>
      <c r="E321" s="83">
        <f>INDEX('PEER GROUP'!E:E,MATCH(A321,'PEER GROUP'!$A:$A,0))</f>
        <v>0</v>
      </c>
      <c r="F321" s="84">
        <f>INDEX('PEER GROUP'!F:F,MATCH($A321,'PEER GROUP'!$A:$A,0))</f>
        <v>0</v>
      </c>
      <c r="G321" s="84">
        <f>INDEX('PEER GROUP'!G:G,MATCH($A321,'PEER GROUP'!$A:$A,0))</f>
        <v>0</v>
      </c>
      <c r="H321" s="85"/>
      <c r="I321" s="85"/>
      <c r="J321" s="70">
        <f>INDEX('PEER GROUP'!K:K,MATCH($A321,'PEER GROUP'!$A:$A,0))</f>
        <v>0</v>
      </c>
      <c r="K321" s="70">
        <f>INDEX('PEER GROUP'!L:L,MATCH($A321,'PEER GROUP'!$A:$A,0))</f>
        <v>0</v>
      </c>
      <c r="L321" s="81">
        <f>INDEX('PEER GROUP'!N:N,MATCH($A321,'PEER GROUP'!$A:$A,0))</f>
        <v>0</v>
      </c>
      <c r="M321" s="118"/>
      <c r="N321" s="115"/>
      <c r="O321" s="117"/>
      <c r="P321" s="87"/>
      <c r="Q321" s="87"/>
      <c r="R321" s="87">
        <f t="shared" si="44"/>
        <v>0</v>
      </c>
      <c r="S321" s="113">
        <f t="shared" si="42"/>
        <v>36.913096727263202</v>
      </c>
      <c r="T321" s="69">
        <f t="shared" si="45"/>
        <v>0</v>
      </c>
      <c r="U321" s="70">
        <f t="shared" si="46"/>
        <v>0</v>
      </c>
      <c r="V321" s="70">
        <f t="shared" si="47"/>
        <v>0</v>
      </c>
      <c r="W321" s="71">
        <f t="shared" si="48"/>
        <v>0</v>
      </c>
      <c r="X321" s="49"/>
      <c r="Y321" s="151"/>
      <c r="Z321" s="69"/>
      <c r="AA321" s="70"/>
      <c r="AB321" s="70"/>
      <c r="AC321" s="70" t="str">
        <f t="shared" si="49"/>
        <v>---</v>
      </c>
      <c r="AD321" s="70" t="str">
        <f>IFERROR(P321/#REF!-1,"---")</f>
        <v>---</v>
      </c>
      <c r="AE321" s="70" t="str">
        <f>IFERROR(#REF!/#REF!-1,"---")</f>
        <v>---</v>
      </c>
      <c r="AF321" s="70" t="str">
        <f>IFERROR(Q321/#REF!-1,"---")</f>
        <v>---</v>
      </c>
      <c r="AG321" s="70" t="str">
        <f>IFERROR(#REF!/#REF!-1,"---")</f>
        <v>---</v>
      </c>
      <c r="AH321" s="70" t="str">
        <f>IFERROR(#REF!/AA321-1,"---")</f>
        <v>---</v>
      </c>
      <c r="AI321" s="71" t="str">
        <f t="shared" si="50"/>
        <v>---</v>
      </c>
    </row>
    <row r="322" spans="1:35" ht="30" customHeight="1" x14ac:dyDescent="0.3">
      <c r="A322" s="123">
        <f t="shared" si="43"/>
        <v>318</v>
      </c>
      <c r="B322" s="140">
        <f>INDEX('PEER GROUP'!B:B,MATCH($A322,'PEER GROUP'!$A:$A,0))</f>
        <v>0</v>
      </c>
      <c r="C322" s="83">
        <f>INDEX('PEER GROUP'!C:C,MATCH($A322,'PEER GROUP'!$A:$A,0))</f>
        <v>0</v>
      </c>
      <c r="D322" s="83">
        <f>INDEX('PEER GROUP'!D:D,MATCH($A322,'PEER GROUP'!$A:$A,0))</f>
        <v>0</v>
      </c>
      <c r="E322" s="83">
        <f>INDEX('PEER GROUP'!E:E,MATCH(A322,'PEER GROUP'!$A:$A,0))</f>
        <v>0</v>
      </c>
      <c r="F322" s="84">
        <f>INDEX('PEER GROUP'!F:F,MATCH($A322,'PEER GROUP'!$A:$A,0))</f>
        <v>0</v>
      </c>
      <c r="G322" s="84">
        <f>INDEX('PEER GROUP'!G:G,MATCH($A322,'PEER GROUP'!$A:$A,0))</f>
        <v>0</v>
      </c>
      <c r="H322" s="85"/>
      <c r="I322" s="85"/>
      <c r="J322" s="70">
        <f>INDEX('PEER GROUP'!K:K,MATCH($A322,'PEER GROUP'!$A:$A,0))</f>
        <v>0</v>
      </c>
      <c r="K322" s="70">
        <f>INDEX('PEER GROUP'!L:L,MATCH($A322,'PEER GROUP'!$A:$A,0))</f>
        <v>0</v>
      </c>
      <c r="L322" s="81">
        <f>INDEX('PEER GROUP'!N:N,MATCH($A322,'PEER GROUP'!$A:$A,0))</f>
        <v>0</v>
      </c>
      <c r="M322" s="118"/>
      <c r="N322" s="115"/>
      <c r="O322" s="117"/>
      <c r="P322" s="87"/>
      <c r="Q322" s="87"/>
      <c r="R322" s="87">
        <f t="shared" si="44"/>
        <v>0</v>
      </c>
      <c r="S322" s="113">
        <f t="shared" si="42"/>
        <v>36.913096727263202</v>
      </c>
      <c r="T322" s="69">
        <f t="shared" si="45"/>
        <v>0</v>
      </c>
      <c r="U322" s="70">
        <f t="shared" si="46"/>
        <v>0</v>
      </c>
      <c r="V322" s="70">
        <f t="shared" si="47"/>
        <v>0</v>
      </c>
      <c r="W322" s="71">
        <f t="shared" si="48"/>
        <v>0</v>
      </c>
      <c r="X322" s="49"/>
      <c r="Y322" s="151"/>
      <c r="Z322" s="69"/>
      <c r="AA322" s="70"/>
      <c r="AB322" s="70"/>
      <c r="AC322" s="70" t="str">
        <f t="shared" si="49"/>
        <v>---</v>
      </c>
      <c r="AD322" s="70" t="str">
        <f>IFERROR(P322/#REF!-1,"---")</f>
        <v>---</v>
      </c>
      <c r="AE322" s="70" t="str">
        <f>IFERROR(#REF!/#REF!-1,"---")</f>
        <v>---</v>
      </c>
      <c r="AF322" s="70" t="str">
        <f>IFERROR(Q322/#REF!-1,"---")</f>
        <v>---</v>
      </c>
      <c r="AG322" s="70" t="str">
        <f>IFERROR(#REF!/#REF!-1,"---")</f>
        <v>---</v>
      </c>
      <c r="AH322" s="70" t="str">
        <f>IFERROR(#REF!/AA322-1,"---")</f>
        <v>---</v>
      </c>
      <c r="AI322" s="71" t="str">
        <f t="shared" si="50"/>
        <v>---</v>
      </c>
    </row>
    <row r="323" spans="1:35" ht="30" customHeight="1" x14ac:dyDescent="0.3">
      <c r="A323" s="123">
        <f t="shared" si="43"/>
        <v>319</v>
      </c>
      <c r="B323" s="140">
        <f>INDEX('PEER GROUP'!B:B,MATCH($A323,'PEER GROUP'!$A:$A,0))</f>
        <v>0</v>
      </c>
      <c r="C323" s="83">
        <f>INDEX('PEER GROUP'!C:C,MATCH($A323,'PEER GROUP'!$A:$A,0))</f>
        <v>0</v>
      </c>
      <c r="D323" s="83">
        <f>INDEX('PEER GROUP'!D:D,MATCH($A323,'PEER GROUP'!$A:$A,0))</f>
        <v>0</v>
      </c>
      <c r="E323" s="83">
        <f>INDEX('PEER GROUP'!E:E,MATCH(A323,'PEER GROUP'!$A:$A,0))</f>
        <v>0</v>
      </c>
      <c r="F323" s="84">
        <f>INDEX('PEER GROUP'!F:F,MATCH($A323,'PEER GROUP'!$A:$A,0))</f>
        <v>0</v>
      </c>
      <c r="G323" s="84">
        <f>INDEX('PEER GROUP'!G:G,MATCH($A323,'PEER GROUP'!$A:$A,0))</f>
        <v>0</v>
      </c>
      <c r="H323" s="85"/>
      <c r="I323" s="85"/>
      <c r="J323" s="70">
        <f>INDEX('PEER GROUP'!K:K,MATCH($A323,'PEER GROUP'!$A:$A,0))</f>
        <v>0</v>
      </c>
      <c r="K323" s="70">
        <f>INDEX('PEER GROUP'!L:L,MATCH($A323,'PEER GROUP'!$A:$A,0))</f>
        <v>0</v>
      </c>
      <c r="L323" s="81">
        <f>INDEX('PEER GROUP'!N:N,MATCH($A323,'PEER GROUP'!$A:$A,0))</f>
        <v>0</v>
      </c>
      <c r="M323" s="118"/>
      <c r="N323" s="115"/>
      <c r="O323" s="117"/>
      <c r="P323" s="87"/>
      <c r="Q323" s="87"/>
      <c r="R323" s="87">
        <f t="shared" si="44"/>
        <v>0</v>
      </c>
      <c r="S323" s="113">
        <f t="shared" si="42"/>
        <v>36.913096727263202</v>
      </c>
      <c r="T323" s="69">
        <f t="shared" si="45"/>
        <v>0</v>
      </c>
      <c r="U323" s="70">
        <f t="shared" si="46"/>
        <v>0</v>
      </c>
      <c r="V323" s="70">
        <f t="shared" si="47"/>
        <v>0</v>
      </c>
      <c r="W323" s="71">
        <f t="shared" si="48"/>
        <v>0</v>
      </c>
      <c r="X323" s="49"/>
      <c r="Y323" s="151"/>
      <c r="Z323" s="69"/>
      <c r="AA323" s="70"/>
      <c r="AB323" s="70"/>
      <c r="AC323" s="70" t="str">
        <f t="shared" si="49"/>
        <v>---</v>
      </c>
      <c r="AD323" s="70" t="str">
        <f>IFERROR(P323/#REF!-1,"---")</f>
        <v>---</v>
      </c>
      <c r="AE323" s="70" t="str">
        <f>IFERROR(#REF!/#REF!-1,"---")</f>
        <v>---</v>
      </c>
      <c r="AF323" s="70" t="str">
        <f>IFERROR(Q323/#REF!-1,"---")</f>
        <v>---</v>
      </c>
      <c r="AG323" s="70" t="str">
        <f>IFERROR(#REF!/#REF!-1,"---")</f>
        <v>---</v>
      </c>
      <c r="AH323" s="70" t="str">
        <f>IFERROR(#REF!/AA323-1,"---")</f>
        <v>---</v>
      </c>
      <c r="AI323" s="71" t="str">
        <f t="shared" si="50"/>
        <v>---</v>
      </c>
    </row>
    <row r="324" spans="1:35" ht="30" customHeight="1" x14ac:dyDescent="0.3">
      <c r="A324" s="123">
        <f t="shared" si="43"/>
        <v>320</v>
      </c>
      <c r="B324" s="140">
        <f>INDEX('PEER GROUP'!B:B,MATCH($A324,'PEER GROUP'!$A:$A,0))</f>
        <v>0</v>
      </c>
      <c r="C324" s="83">
        <f>INDEX('PEER GROUP'!C:C,MATCH($A324,'PEER GROUP'!$A:$A,0))</f>
        <v>0</v>
      </c>
      <c r="D324" s="83">
        <f>INDEX('PEER GROUP'!D:D,MATCH($A324,'PEER GROUP'!$A:$A,0))</f>
        <v>0</v>
      </c>
      <c r="E324" s="83">
        <f>INDEX('PEER GROUP'!E:E,MATCH(A324,'PEER GROUP'!$A:$A,0))</f>
        <v>0</v>
      </c>
      <c r="F324" s="84">
        <f>INDEX('PEER GROUP'!F:F,MATCH($A324,'PEER GROUP'!$A:$A,0))</f>
        <v>0</v>
      </c>
      <c r="G324" s="84">
        <f>INDEX('PEER GROUP'!G:G,MATCH($A324,'PEER GROUP'!$A:$A,0))</f>
        <v>0</v>
      </c>
      <c r="H324" s="85"/>
      <c r="I324" s="85"/>
      <c r="J324" s="70">
        <f>INDEX('PEER GROUP'!K:K,MATCH($A324,'PEER GROUP'!$A:$A,0))</f>
        <v>0</v>
      </c>
      <c r="K324" s="70">
        <f>INDEX('PEER GROUP'!L:L,MATCH($A324,'PEER GROUP'!$A:$A,0))</f>
        <v>0</v>
      </c>
      <c r="L324" s="81">
        <f>INDEX('PEER GROUP'!N:N,MATCH($A324,'PEER GROUP'!$A:$A,0))</f>
        <v>0</v>
      </c>
      <c r="M324" s="118"/>
      <c r="N324" s="115"/>
      <c r="O324" s="117"/>
      <c r="P324" s="87"/>
      <c r="Q324" s="87"/>
      <c r="R324" s="87">
        <f t="shared" si="44"/>
        <v>0</v>
      </c>
      <c r="S324" s="113">
        <f t="shared" si="42"/>
        <v>36.913096727263202</v>
      </c>
      <c r="T324" s="69">
        <f t="shared" si="45"/>
        <v>0</v>
      </c>
      <c r="U324" s="70">
        <f t="shared" si="46"/>
        <v>0</v>
      </c>
      <c r="V324" s="70">
        <f t="shared" si="47"/>
        <v>0</v>
      </c>
      <c r="W324" s="71">
        <f t="shared" si="48"/>
        <v>0</v>
      </c>
      <c r="X324" s="49"/>
      <c r="Y324" s="151"/>
      <c r="Z324" s="69"/>
      <c r="AA324" s="70"/>
      <c r="AB324" s="70"/>
      <c r="AC324" s="70" t="str">
        <f t="shared" si="49"/>
        <v>---</v>
      </c>
      <c r="AD324" s="70" t="str">
        <f>IFERROR(P324/#REF!-1,"---")</f>
        <v>---</v>
      </c>
      <c r="AE324" s="70" t="str">
        <f>IFERROR(#REF!/#REF!-1,"---")</f>
        <v>---</v>
      </c>
      <c r="AF324" s="70" t="str">
        <f>IFERROR(Q324/#REF!-1,"---")</f>
        <v>---</v>
      </c>
      <c r="AG324" s="70" t="str">
        <f>IFERROR(#REF!/#REF!-1,"---")</f>
        <v>---</v>
      </c>
      <c r="AH324" s="70" t="str">
        <f>IFERROR(#REF!/AA324-1,"---")</f>
        <v>---</v>
      </c>
      <c r="AI324" s="71" t="str">
        <f t="shared" si="50"/>
        <v>---</v>
      </c>
    </row>
    <row r="325" spans="1:35" ht="30" customHeight="1" x14ac:dyDescent="0.3">
      <c r="A325" s="123">
        <f t="shared" si="43"/>
        <v>321</v>
      </c>
      <c r="B325" s="140">
        <f>INDEX('PEER GROUP'!B:B,MATCH($A325,'PEER GROUP'!$A:$A,0))</f>
        <v>0</v>
      </c>
      <c r="C325" s="83">
        <f>INDEX('PEER GROUP'!C:C,MATCH($A325,'PEER GROUP'!$A:$A,0))</f>
        <v>0</v>
      </c>
      <c r="D325" s="83">
        <f>INDEX('PEER GROUP'!D:D,MATCH($A325,'PEER GROUP'!$A:$A,0))</f>
        <v>0</v>
      </c>
      <c r="E325" s="83">
        <f>INDEX('PEER GROUP'!E:E,MATCH(A325,'PEER GROUP'!$A:$A,0))</f>
        <v>0</v>
      </c>
      <c r="F325" s="84">
        <f>INDEX('PEER GROUP'!F:F,MATCH($A325,'PEER GROUP'!$A:$A,0))</f>
        <v>0</v>
      </c>
      <c r="G325" s="84">
        <f>INDEX('PEER GROUP'!G:G,MATCH($A325,'PEER GROUP'!$A:$A,0))</f>
        <v>0</v>
      </c>
      <c r="H325" s="85"/>
      <c r="I325" s="85"/>
      <c r="J325" s="70">
        <f>INDEX('PEER GROUP'!K:K,MATCH($A325,'PEER GROUP'!$A:$A,0))</f>
        <v>0</v>
      </c>
      <c r="K325" s="70">
        <f>INDEX('PEER GROUP'!L:L,MATCH($A325,'PEER GROUP'!$A:$A,0))</f>
        <v>0</v>
      </c>
      <c r="L325" s="81">
        <f>INDEX('PEER GROUP'!N:N,MATCH($A325,'PEER GROUP'!$A:$A,0))</f>
        <v>0</v>
      </c>
      <c r="M325" s="118"/>
      <c r="N325" s="115"/>
      <c r="O325" s="117"/>
      <c r="P325" s="87"/>
      <c r="Q325" s="87"/>
      <c r="R325" s="87">
        <f t="shared" si="44"/>
        <v>0</v>
      </c>
      <c r="S325" s="113">
        <f t="shared" si="42"/>
        <v>36.913096727263202</v>
      </c>
      <c r="T325" s="69">
        <f t="shared" si="45"/>
        <v>0</v>
      </c>
      <c r="U325" s="70">
        <f t="shared" si="46"/>
        <v>0</v>
      </c>
      <c r="V325" s="70">
        <f t="shared" si="47"/>
        <v>0</v>
      </c>
      <c r="W325" s="71">
        <f t="shared" si="48"/>
        <v>0</v>
      </c>
      <c r="X325" s="49"/>
      <c r="Y325" s="151"/>
      <c r="Z325" s="69"/>
      <c r="AA325" s="70"/>
      <c r="AB325" s="70"/>
      <c r="AC325" s="70" t="str">
        <f t="shared" si="49"/>
        <v>---</v>
      </c>
      <c r="AD325" s="70" t="str">
        <f>IFERROR(P325/#REF!-1,"---")</f>
        <v>---</v>
      </c>
      <c r="AE325" s="70" t="str">
        <f>IFERROR(#REF!/#REF!-1,"---")</f>
        <v>---</v>
      </c>
      <c r="AF325" s="70" t="str">
        <f>IFERROR(Q325/#REF!-1,"---")</f>
        <v>---</v>
      </c>
      <c r="AG325" s="70" t="str">
        <f>IFERROR(#REF!/#REF!-1,"---")</f>
        <v>---</v>
      </c>
      <c r="AH325" s="70" t="str">
        <f>IFERROR(#REF!/AA325-1,"---")</f>
        <v>---</v>
      </c>
      <c r="AI325" s="71" t="str">
        <f t="shared" si="50"/>
        <v>---</v>
      </c>
    </row>
    <row r="326" spans="1:35" ht="30" customHeight="1" x14ac:dyDescent="0.3">
      <c r="A326" s="123">
        <f t="shared" si="43"/>
        <v>322</v>
      </c>
      <c r="B326" s="140">
        <f>INDEX('PEER GROUP'!B:B,MATCH($A326,'PEER GROUP'!$A:$A,0))</f>
        <v>0</v>
      </c>
      <c r="C326" s="83">
        <f>INDEX('PEER GROUP'!C:C,MATCH($A326,'PEER GROUP'!$A:$A,0))</f>
        <v>0</v>
      </c>
      <c r="D326" s="83">
        <f>INDEX('PEER GROUP'!D:D,MATCH($A326,'PEER GROUP'!$A:$A,0))</f>
        <v>0</v>
      </c>
      <c r="E326" s="83">
        <f>INDEX('PEER GROUP'!E:E,MATCH(A326,'PEER GROUP'!$A:$A,0))</f>
        <v>0</v>
      </c>
      <c r="F326" s="84">
        <f>INDEX('PEER GROUP'!F:F,MATCH($A326,'PEER GROUP'!$A:$A,0))</f>
        <v>0</v>
      </c>
      <c r="G326" s="84">
        <f>INDEX('PEER GROUP'!G:G,MATCH($A326,'PEER GROUP'!$A:$A,0))</f>
        <v>0</v>
      </c>
      <c r="H326" s="85"/>
      <c r="I326" s="85"/>
      <c r="J326" s="70">
        <f>INDEX('PEER GROUP'!K:K,MATCH($A326,'PEER GROUP'!$A:$A,0))</f>
        <v>0</v>
      </c>
      <c r="K326" s="70">
        <f>INDEX('PEER GROUP'!L:L,MATCH($A326,'PEER GROUP'!$A:$A,0))</f>
        <v>0</v>
      </c>
      <c r="L326" s="81">
        <f>INDEX('PEER GROUP'!N:N,MATCH($A326,'PEER GROUP'!$A:$A,0))</f>
        <v>0</v>
      </c>
      <c r="M326" s="118"/>
      <c r="N326" s="115"/>
      <c r="O326" s="117"/>
      <c r="P326" s="87"/>
      <c r="Q326" s="87"/>
      <c r="R326" s="87">
        <f t="shared" si="44"/>
        <v>0</v>
      </c>
      <c r="S326" s="113">
        <f t="shared" si="42"/>
        <v>36.913096727263202</v>
      </c>
      <c r="T326" s="69">
        <f t="shared" si="45"/>
        <v>0</v>
      </c>
      <c r="U326" s="70">
        <f t="shared" si="46"/>
        <v>0</v>
      </c>
      <c r="V326" s="70">
        <f t="shared" si="47"/>
        <v>0</v>
      </c>
      <c r="W326" s="71">
        <f t="shared" si="48"/>
        <v>0</v>
      </c>
      <c r="X326" s="49"/>
      <c r="Y326" s="151"/>
      <c r="Z326" s="69"/>
      <c r="AA326" s="70"/>
      <c r="AB326" s="70"/>
      <c r="AC326" s="70" t="str">
        <f t="shared" si="49"/>
        <v>---</v>
      </c>
      <c r="AD326" s="70" t="str">
        <f>IFERROR(P326/#REF!-1,"---")</f>
        <v>---</v>
      </c>
      <c r="AE326" s="70" t="str">
        <f>IFERROR(#REF!/#REF!-1,"---")</f>
        <v>---</v>
      </c>
      <c r="AF326" s="70" t="str">
        <f>IFERROR(Q326/#REF!-1,"---")</f>
        <v>---</v>
      </c>
      <c r="AG326" s="70" t="str">
        <f>IFERROR(#REF!/#REF!-1,"---")</f>
        <v>---</v>
      </c>
      <c r="AH326" s="70" t="str">
        <f>IFERROR(#REF!/AA326-1,"---")</f>
        <v>---</v>
      </c>
      <c r="AI326" s="71" t="str">
        <f t="shared" si="50"/>
        <v>---</v>
      </c>
    </row>
    <row r="327" spans="1:35" ht="30" customHeight="1" x14ac:dyDescent="0.3">
      <c r="A327" s="123">
        <f t="shared" si="43"/>
        <v>323</v>
      </c>
      <c r="B327" s="140">
        <f>INDEX('PEER GROUP'!B:B,MATCH($A327,'PEER GROUP'!$A:$A,0))</f>
        <v>0</v>
      </c>
      <c r="C327" s="83">
        <f>INDEX('PEER GROUP'!C:C,MATCH($A327,'PEER GROUP'!$A:$A,0))</f>
        <v>0</v>
      </c>
      <c r="D327" s="83">
        <f>INDEX('PEER GROUP'!D:D,MATCH($A327,'PEER GROUP'!$A:$A,0))</f>
        <v>0</v>
      </c>
      <c r="E327" s="83">
        <f>INDEX('PEER GROUP'!E:E,MATCH(A327,'PEER GROUP'!$A:$A,0))</f>
        <v>0</v>
      </c>
      <c r="F327" s="84">
        <f>INDEX('PEER GROUP'!F:F,MATCH($A327,'PEER GROUP'!$A:$A,0))</f>
        <v>0</v>
      </c>
      <c r="G327" s="84">
        <f>INDEX('PEER GROUP'!G:G,MATCH($A327,'PEER GROUP'!$A:$A,0))</f>
        <v>0</v>
      </c>
      <c r="H327" s="85"/>
      <c r="I327" s="85"/>
      <c r="J327" s="70">
        <f>INDEX('PEER GROUP'!K:K,MATCH($A327,'PEER GROUP'!$A:$A,0))</f>
        <v>0</v>
      </c>
      <c r="K327" s="70">
        <f>INDEX('PEER GROUP'!L:L,MATCH($A327,'PEER GROUP'!$A:$A,0))</f>
        <v>0</v>
      </c>
      <c r="L327" s="81">
        <f>INDEX('PEER GROUP'!N:N,MATCH($A327,'PEER GROUP'!$A:$A,0))</f>
        <v>0</v>
      </c>
      <c r="M327" s="118"/>
      <c r="N327" s="115"/>
      <c r="O327" s="117"/>
      <c r="P327" s="87"/>
      <c r="Q327" s="87"/>
      <c r="R327" s="87">
        <f t="shared" si="44"/>
        <v>0</v>
      </c>
      <c r="S327" s="113">
        <f t="shared" si="42"/>
        <v>36.913096727263202</v>
      </c>
      <c r="T327" s="69">
        <f t="shared" si="45"/>
        <v>0</v>
      </c>
      <c r="U327" s="70">
        <f t="shared" si="46"/>
        <v>0</v>
      </c>
      <c r="V327" s="70">
        <f t="shared" si="47"/>
        <v>0</v>
      </c>
      <c r="W327" s="71">
        <f t="shared" si="48"/>
        <v>0</v>
      </c>
      <c r="X327" s="49"/>
      <c r="Y327" s="151"/>
      <c r="Z327" s="69"/>
      <c r="AA327" s="70"/>
      <c r="AB327" s="70"/>
      <c r="AC327" s="70" t="str">
        <f t="shared" si="49"/>
        <v>---</v>
      </c>
      <c r="AD327" s="70" t="str">
        <f>IFERROR(P327/#REF!-1,"---")</f>
        <v>---</v>
      </c>
      <c r="AE327" s="70" t="str">
        <f>IFERROR(#REF!/#REF!-1,"---")</f>
        <v>---</v>
      </c>
      <c r="AF327" s="70" t="str">
        <f>IFERROR(Q327/#REF!-1,"---")</f>
        <v>---</v>
      </c>
      <c r="AG327" s="70" t="str">
        <f>IFERROR(#REF!/#REF!-1,"---")</f>
        <v>---</v>
      </c>
      <c r="AH327" s="70" t="str">
        <f>IFERROR(#REF!/AA327-1,"---")</f>
        <v>---</v>
      </c>
      <c r="AI327" s="71" t="str">
        <f t="shared" si="50"/>
        <v>---</v>
      </c>
    </row>
    <row r="328" spans="1:35" ht="30" customHeight="1" x14ac:dyDescent="0.3">
      <c r="A328" s="123">
        <f t="shared" si="43"/>
        <v>324</v>
      </c>
      <c r="B328" s="140">
        <f>INDEX('PEER GROUP'!B:B,MATCH($A328,'PEER GROUP'!$A:$A,0))</f>
        <v>0</v>
      </c>
      <c r="C328" s="83">
        <f>INDEX('PEER GROUP'!C:C,MATCH($A328,'PEER GROUP'!$A:$A,0))</f>
        <v>0</v>
      </c>
      <c r="D328" s="83">
        <f>INDEX('PEER GROUP'!D:D,MATCH($A328,'PEER GROUP'!$A:$A,0))</f>
        <v>0</v>
      </c>
      <c r="E328" s="83">
        <f>INDEX('PEER GROUP'!E:E,MATCH(A328,'PEER GROUP'!$A:$A,0))</f>
        <v>0</v>
      </c>
      <c r="F328" s="84">
        <f>INDEX('PEER GROUP'!F:F,MATCH($A328,'PEER GROUP'!$A:$A,0))</f>
        <v>0</v>
      </c>
      <c r="G328" s="84">
        <f>INDEX('PEER GROUP'!G:G,MATCH($A328,'PEER GROUP'!$A:$A,0))</f>
        <v>0</v>
      </c>
      <c r="H328" s="85"/>
      <c r="I328" s="85"/>
      <c r="J328" s="70">
        <f>INDEX('PEER GROUP'!K:K,MATCH($A328,'PEER GROUP'!$A:$A,0))</f>
        <v>0</v>
      </c>
      <c r="K328" s="70">
        <f>INDEX('PEER GROUP'!L:L,MATCH($A328,'PEER GROUP'!$A:$A,0))</f>
        <v>0</v>
      </c>
      <c r="L328" s="81">
        <f>INDEX('PEER GROUP'!N:N,MATCH($A328,'PEER GROUP'!$A:$A,0))</f>
        <v>0</v>
      </c>
      <c r="M328" s="118"/>
      <c r="N328" s="115"/>
      <c r="O328" s="117"/>
      <c r="P328" s="87"/>
      <c r="Q328" s="87"/>
      <c r="R328" s="87">
        <f t="shared" si="44"/>
        <v>0</v>
      </c>
      <c r="S328" s="113">
        <f t="shared" si="42"/>
        <v>36.913096727263202</v>
      </c>
      <c r="T328" s="69">
        <f t="shared" si="45"/>
        <v>0</v>
      </c>
      <c r="U328" s="70">
        <f t="shared" si="46"/>
        <v>0</v>
      </c>
      <c r="V328" s="70">
        <f t="shared" si="47"/>
        <v>0</v>
      </c>
      <c r="W328" s="71">
        <f t="shared" si="48"/>
        <v>0</v>
      </c>
      <c r="X328" s="49"/>
      <c r="Y328" s="151"/>
      <c r="Z328" s="69"/>
      <c r="AA328" s="70"/>
      <c r="AB328" s="70"/>
      <c r="AC328" s="70" t="str">
        <f t="shared" si="49"/>
        <v>---</v>
      </c>
      <c r="AD328" s="70" t="str">
        <f>IFERROR(P328/#REF!-1,"---")</f>
        <v>---</v>
      </c>
      <c r="AE328" s="70" t="str">
        <f>IFERROR(#REF!/#REF!-1,"---")</f>
        <v>---</v>
      </c>
      <c r="AF328" s="70" t="str">
        <f>IFERROR(Q328/#REF!-1,"---")</f>
        <v>---</v>
      </c>
      <c r="AG328" s="70" t="str">
        <f>IFERROR(#REF!/#REF!-1,"---")</f>
        <v>---</v>
      </c>
      <c r="AH328" s="70" t="str">
        <f>IFERROR(#REF!/AA328-1,"---")</f>
        <v>---</v>
      </c>
      <c r="AI328" s="71" t="str">
        <f t="shared" si="50"/>
        <v>---</v>
      </c>
    </row>
    <row r="329" spans="1:35" ht="30" customHeight="1" x14ac:dyDescent="0.3">
      <c r="A329" s="123">
        <f t="shared" si="43"/>
        <v>325</v>
      </c>
      <c r="B329" s="140">
        <f>INDEX('PEER GROUP'!B:B,MATCH($A329,'PEER GROUP'!$A:$A,0))</f>
        <v>0</v>
      </c>
      <c r="C329" s="83">
        <f>INDEX('PEER GROUP'!C:C,MATCH($A329,'PEER GROUP'!$A:$A,0))</f>
        <v>0</v>
      </c>
      <c r="D329" s="83">
        <f>INDEX('PEER GROUP'!D:D,MATCH($A329,'PEER GROUP'!$A:$A,0))</f>
        <v>0</v>
      </c>
      <c r="E329" s="83">
        <f>INDEX('PEER GROUP'!E:E,MATCH(A329,'PEER GROUP'!$A:$A,0))</f>
        <v>0</v>
      </c>
      <c r="F329" s="84">
        <f>INDEX('PEER GROUP'!F:F,MATCH($A329,'PEER GROUP'!$A:$A,0))</f>
        <v>0</v>
      </c>
      <c r="G329" s="84">
        <f>INDEX('PEER GROUP'!G:G,MATCH($A329,'PEER GROUP'!$A:$A,0))</f>
        <v>0</v>
      </c>
      <c r="H329" s="85"/>
      <c r="I329" s="85"/>
      <c r="J329" s="70">
        <f>INDEX('PEER GROUP'!K:K,MATCH($A329,'PEER GROUP'!$A:$A,0))</f>
        <v>0</v>
      </c>
      <c r="K329" s="70">
        <f>INDEX('PEER GROUP'!L:L,MATCH($A329,'PEER GROUP'!$A:$A,0))</f>
        <v>0</v>
      </c>
      <c r="L329" s="81">
        <f>INDEX('PEER GROUP'!N:N,MATCH($A329,'PEER GROUP'!$A:$A,0))</f>
        <v>0</v>
      </c>
      <c r="M329" s="118"/>
      <c r="N329" s="115"/>
      <c r="O329" s="117"/>
      <c r="P329" s="87"/>
      <c r="Q329" s="87"/>
      <c r="R329" s="87">
        <f t="shared" si="44"/>
        <v>0</v>
      </c>
      <c r="S329" s="113">
        <f t="shared" si="42"/>
        <v>36.913096727263202</v>
      </c>
      <c r="T329" s="69">
        <f t="shared" si="45"/>
        <v>0</v>
      </c>
      <c r="U329" s="70">
        <f t="shared" si="46"/>
        <v>0</v>
      </c>
      <c r="V329" s="70">
        <f t="shared" si="47"/>
        <v>0</v>
      </c>
      <c r="W329" s="71">
        <f t="shared" si="48"/>
        <v>0</v>
      </c>
      <c r="X329" s="49"/>
      <c r="Y329" s="151"/>
      <c r="Z329" s="69"/>
      <c r="AA329" s="70"/>
      <c r="AB329" s="70"/>
      <c r="AC329" s="70" t="str">
        <f t="shared" si="49"/>
        <v>---</v>
      </c>
      <c r="AD329" s="70" t="str">
        <f>IFERROR(P329/#REF!-1,"---")</f>
        <v>---</v>
      </c>
      <c r="AE329" s="70" t="str">
        <f>IFERROR(#REF!/#REF!-1,"---")</f>
        <v>---</v>
      </c>
      <c r="AF329" s="70" t="str">
        <f>IFERROR(Q329/#REF!-1,"---")</f>
        <v>---</v>
      </c>
      <c r="AG329" s="70" t="str">
        <f>IFERROR(#REF!/#REF!-1,"---")</f>
        <v>---</v>
      </c>
      <c r="AH329" s="70" t="str">
        <f>IFERROR(#REF!/AA329-1,"---")</f>
        <v>---</v>
      </c>
      <c r="AI329" s="71" t="str">
        <f t="shared" si="50"/>
        <v>---</v>
      </c>
    </row>
    <row r="330" spans="1:35" ht="30" customHeight="1" x14ac:dyDescent="0.3">
      <c r="A330" s="123">
        <f t="shared" si="43"/>
        <v>326</v>
      </c>
      <c r="B330" s="140">
        <f>INDEX('PEER GROUP'!B:B,MATCH($A330,'PEER GROUP'!$A:$A,0))</f>
        <v>0</v>
      </c>
      <c r="C330" s="83">
        <f>INDEX('PEER GROUP'!C:C,MATCH($A330,'PEER GROUP'!$A:$A,0))</f>
        <v>0</v>
      </c>
      <c r="D330" s="83">
        <f>INDEX('PEER GROUP'!D:D,MATCH($A330,'PEER GROUP'!$A:$A,0))</f>
        <v>0</v>
      </c>
      <c r="E330" s="83">
        <f>INDEX('PEER GROUP'!E:E,MATCH(A330,'PEER GROUP'!$A:$A,0))</f>
        <v>0</v>
      </c>
      <c r="F330" s="84">
        <f>INDEX('PEER GROUP'!F:F,MATCH($A330,'PEER GROUP'!$A:$A,0))</f>
        <v>0</v>
      </c>
      <c r="G330" s="84">
        <f>INDEX('PEER GROUP'!G:G,MATCH($A330,'PEER GROUP'!$A:$A,0))</f>
        <v>0</v>
      </c>
      <c r="H330" s="85"/>
      <c r="I330" s="85"/>
      <c r="J330" s="70">
        <f>INDEX('PEER GROUP'!K:K,MATCH($A330,'PEER GROUP'!$A:$A,0))</f>
        <v>0</v>
      </c>
      <c r="K330" s="70">
        <f>INDEX('PEER GROUP'!L:L,MATCH($A330,'PEER GROUP'!$A:$A,0))</f>
        <v>0</v>
      </c>
      <c r="L330" s="81">
        <f>INDEX('PEER GROUP'!N:N,MATCH($A330,'PEER GROUP'!$A:$A,0))</f>
        <v>0</v>
      </c>
      <c r="M330" s="118"/>
      <c r="N330" s="115"/>
      <c r="O330" s="117"/>
      <c r="P330" s="87"/>
      <c r="Q330" s="87"/>
      <c r="R330" s="87">
        <f t="shared" si="44"/>
        <v>0</v>
      </c>
      <c r="S330" s="113">
        <f t="shared" si="42"/>
        <v>36.913096727263202</v>
      </c>
      <c r="T330" s="69">
        <f t="shared" si="45"/>
        <v>0</v>
      </c>
      <c r="U330" s="70">
        <f t="shared" si="46"/>
        <v>0</v>
      </c>
      <c r="V330" s="70">
        <f t="shared" si="47"/>
        <v>0</v>
      </c>
      <c r="W330" s="71">
        <f t="shared" si="48"/>
        <v>0</v>
      </c>
      <c r="X330" s="49"/>
      <c r="Y330" s="151"/>
      <c r="Z330" s="69"/>
      <c r="AA330" s="70"/>
      <c r="AB330" s="70"/>
      <c r="AC330" s="70" t="str">
        <f t="shared" si="49"/>
        <v>---</v>
      </c>
      <c r="AD330" s="70" t="str">
        <f>IFERROR(P330/#REF!-1,"---")</f>
        <v>---</v>
      </c>
      <c r="AE330" s="70" t="str">
        <f>IFERROR(#REF!/#REF!-1,"---")</f>
        <v>---</v>
      </c>
      <c r="AF330" s="70" t="str">
        <f>IFERROR(Q330/#REF!-1,"---")</f>
        <v>---</v>
      </c>
      <c r="AG330" s="70" t="str">
        <f>IFERROR(#REF!/#REF!-1,"---")</f>
        <v>---</v>
      </c>
      <c r="AH330" s="70" t="str">
        <f>IFERROR(#REF!/AA330-1,"---")</f>
        <v>---</v>
      </c>
      <c r="AI330" s="71" t="str">
        <f t="shared" si="50"/>
        <v>---</v>
      </c>
    </row>
    <row r="331" spans="1:35" ht="30" customHeight="1" x14ac:dyDescent="0.3">
      <c r="A331" s="123">
        <f t="shared" si="43"/>
        <v>327</v>
      </c>
      <c r="B331" s="140">
        <f>INDEX('PEER GROUP'!B:B,MATCH($A331,'PEER GROUP'!$A:$A,0))</f>
        <v>0</v>
      </c>
      <c r="C331" s="83">
        <f>INDEX('PEER GROUP'!C:C,MATCH($A331,'PEER GROUP'!$A:$A,0))</f>
        <v>0</v>
      </c>
      <c r="D331" s="83">
        <f>INDEX('PEER GROUP'!D:D,MATCH($A331,'PEER GROUP'!$A:$A,0))</f>
        <v>0</v>
      </c>
      <c r="E331" s="83">
        <f>INDEX('PEER GROUP'!E:E,MATCH(A331,'PEER GROUP'!$A:$A,0))</f>
        <v>0</v>
      </c>
      <c r="F331" s="84">
        <f>INDEX('PEER GROUP'!F:F,MATCH($A331,'PEER GROUP'!$A:$A,0))</f>
        <v>0</v>
      </c>
      <c r="G331" s="84">
        <f>INDEX('PEER GROUP'!G:G,MATCH($A331,'PEER GROUP'!$A:$A,0))</f>
        <v>0</v>
      </c>
      <c r="H331" s="85"/>
      <c r="I331" s="85"/>
      <c r="J331" s="70">
        <f>INDEX('PEER GROUP'!K:K,MATCH($A331,'PEER GROUP'!$A:$A,0))</f>
        <v>0</v>
      </c>
      <c r="K331" s="70">
        <f>INDEX('PEER GROUP'!L:L,MATCH($A331,'PEER GROUP'!$A:$A,0))</f>
        <v>0</v>
      </c>
      <c r="L331" s="81">
        <f>INDEX('PEER GROUP'!N:N,MATCH($A331,'PEER GROUP'!$A:$A,0))</f>
        <v>0</v>
      </c>
      <c r="M331" s="118"/>
      <c r="N331" s="115"/>
      <c r="O331" s="117"/>
      <c r="P331" s="87"/>
      <c r="Q331" s="87"/>
      <c r="R331" s="87">
        <f t="shared" si="44"/>
        <v>0</v>
      </c>
      <c r="S331" s="113">
        <f t="shared" si="42"/>
        <v>36.913096727263202</v>
      </c>
      <c r="T331" s="69">
        <f t="shared" si="45"/>
        <v>0</v>
      </c>
      <c r="U331" s="70">
        <f t="shared" si="46"/>
        <v>0</v>
      </c>
      <c r="V331" s="70">
        <f t="shared" si="47"/>
        <v>0</v>
      </c>
      <c r="W331" s="71">
        <f t="shared" si="48"/>
        <v>0</v>
      </c>
      <c r="X331" s="49"/>
      <c r="Y331" s="151"/>
      <c r="Z331" s="69"/>
      <c r="AA331" s="70"/>
      <c r="AB331" s="70"/>
      <c r="AC331" s="70" t="str">
        <f t="shared" si="49"/>
        <v>---</v>
      </c>
      <c r="AD331" s="70" t="str">
        <f>IFERROR(P331/#REF!-1,"---")</f>
        <v>---</v>
      </c>
      <c r="AE331" s="70" t="str">
        <f>IFERROR(#REF!/#REF!-1,"---")</f>
        <v>---</v>
      </c>
      <c r="AF331" s="70" t="str">
        <f>IFERROR(Q331/#REF!-1,"---")</f>
        <v>---</v>
      </c>
      <c r="AG331" s="70" t="str">
        <f>IFERROR(#REF!/#REF!-1,"---")</f>
        <v>---</v>
      </c>
      <c r="AH331" s="70" t="str">
        <f>IFERROR(#REF!/AA331-1,"---")</f>
        <v>---</v>
      </c>
      <c r="AI331" s="71" t="str">
        <f t="shared" si="50"/>
        <v>---</v>
      </c>
    </row>
    <row r="332" spans="1:35" ht="30" customHeight="1" x14ac:dyDescent="0.3">
      <c r="A332" s="123">
        <f t="shared" si="43"/>
        <v>328</v>
      </c>
      <c r="B332" s="140">
        <f>INDEX('PEER GROUP'!B:B,MATCH($A332,'PEER GROUP'!$A:$A,0))</f>
        <v>0</v>
      </c>
      <c r="C332" s="83">
        <f>INDEX('PEER GROUP'!C:C,MATCH($A332,'PEER GROUP'!$A:$A,0))</f>
        <v>0</v>
      </c>
      <c r="D332" s="83">
        <f>INDEX('PEER GROUP'!D:D,MATCH($A332,'PEER GROUP'!$A:$A,0))</f>
        <v>0</v>
      </c>
      <c r="E332" s="83">
        <f>INDEX('PEER GROUP'!E:E,MATCH(A332,'PEER GROUP'!$A:$A,0))</f>
        <v>0</v>
      </c>
      <c r="F332" s="84">
        <f>INDEX('PEER GROUP'!F:F,MATCH($A332,'PEER GROUP'!$A:$A,0))</f>
        <v>0</v>
      </c>
      <c r="G332" s="84">
        <f>INDEX('PEER GROUP'!G:G,MATCH($A332,'PEER GROUP'!$A:$A,0))</f>
        <v>0</v>
      </c>
      <c r="H332" s="85"/>
      <c r="I332" s="85"/>
      <c r="J332" s="70">
        <f>INDEX('PEER GROUP'!K:K,MATCH($A332,'PEER GROUP'!$A:$A,0))</f>
        <v>0</v>
      </c>
      <c r="K332" s="70">
        <f>INDEX('PEER GROUP'!L:L,MATCH($A332,'PEER GROUP'!$A:$A,0))</f>
        <v>0</v>
      </c>
      <c r="L332" s="81">
        <f>INDEX('PEER GROUP'!N:N,MATCH($A332,'PEER GROUP'!$A:$A,0))</f>
        <v>0</v>
      </c>
      <c r="M332" s="118"/>
      <c r="N332" s="115"/>
      <c r="O332" s="117"/>
      <c r="P332" s="87"/>
      <c r="Q332" s="87"/>
      <c r="R332" s="87">
        <f t="shared" si="44"/>
        <v>0</v>
      </c>
      <c r="S332" s="113">
        <f t="shared" si="42"/>
        <v>36.913096727263202</v>
      </c>
      <c r="T332" s="69">
        <f t="shared" si="45"/>
        <v>0</v>
      </c>
      <c r="U332" s="70">
        <f t="shared" si="46"/>
        <v>0</v>
      </c>
      <c r="V332" s="70">
        <f t="shared" si="47"/>
        <v>0</v>
      </c>
      <c r="W332" s="71">
        <f t="shared" si="48"/>
        <v>0</v>
      </c>
      <c r="X332" s="49"/>
      <c r="Y332" s="151"/>
      <c r="Z332" s="69"/>
      <c r="AA332" s="70"/>
      <c r="AB332" s="70"/>
      <c r="AC332" s="70" t="str">
        <f t="shared" si="49"/>
        <v>---</v>
      </c>
      <c r="AD332" s="70" t="str">
        <f>IFERROR(P332/#REF!-1,"---")</f>
        <v>---</v>
      </c>
      <c r="AE332" s="70" t="str">
        <f>IFERROR(#REF!/#REF!-1,"---")</f>
        <v>---</v>
      </c>
      <c r="AF332" s="70" t="str">
        <f>IFERROR(Q332/#REF!-1,"---")</f>
        <v>---</v>
      </c>
      <c r="AG332" s="70" t="str">
        <f>IFERROR(#REF!/#REF!-1,"---")</f>
        <v>---</v>
      </c>
      <c r="AH332" s="70" t="str">
        <f>IFERROR(#REF!/AA332-1,"---")</f>
        <v>---</v>
      </c>
      <c r="AI332" s="71" t="str">
        <f t="shared" si="50"/>
        <v>---</v>
      </c>
    </row>
    <row r="333" spans="1:35" ht="30" customHeight="1" x14ac:dyDescent="0.3">
      <c r="A333" s="123">
        <f t="shared" si="43"/>
        <v>329</v>
      </c>
      <c r="B333" s="140">
        <f>INDEX('PEER GROUP'!B:B,MATCH($A333,'PEER GROUP'!$A:$A,0))</f>
        <v>0</v>
      </c>
      <c r="C333" s="83">
        <f>INDEX('PEER GROUP'!C:C,MATCH($A333,'PEER GROUP'!$A:$A,0))</f>
        <v>0</v>
      </c>
      <c r="D333" s="83">
        <f>INDEX('PEER GROUP'!D:D,MATCH($A333,'PEER GROUP'!$A:$A,0))</f>
        <v>0</v>
      </c>
      <c r="E333" s="83">
        <f>INDEX('PEER GROUP'!E:E,MATCH(A333,'PEER GROUP'!$A:$A,0))</f>
        <v>0</v>
      </c>
      <c r="F333" s="84">
        <f>INDEX('PEER GROUP'!F:F,MATCH($A333,'PEER GROUP'!$A:$A,0))</f>
        <v>0</v>
      </c>
      <c r="G333" s="84">
        <f>INDEX('PEER GROUP'!G:G,MATCH($A333,'PEER GROUP'!$A:$A,0))</f>
        <v>0</v>
      </c>
      <c r="H333" s="85"/>
      <c r="I333" s="85"/>
      <c r="J333" s="70">
        <f>INDEX('PEER GROUP'!K:K,MATCH($A333,'PEER GROUP'!$A:$A,0))</f>
        <v>0</v>
      </c>
      <c r="K333" s="70">
        <f>INDEX('PEER GROUP'!L:L,MATCH($A333,'PEER GROUP'!$A:$A,0))</f>
        <v>0</v>
      </c>
      <c r="L333" s="81">
        <f>INDEX('PEER GROUP'!N:N,MATCH($A333,'PEER GROUP'!$A:$A,0))</f>
        <v>0</v>
      </c>
      <c r="M333" s="118"/>
      <c r="N333" s="115"/>
      <c r="O333" s="117"/>
      <c r="P333" s="87"/>
      <c r="Q333" s="87"/>
      <c r="R333" s="87">
        <f t="shared" si="44"/>
        <v>0</v>
      </c>
      <c r="S333" s="113">
        <f t="shared" si="42"/>
        <v>36.913096727263202</v>
      </c>
      <c r="T333" s="69">
        <f t="shared" si="45"/>
        <v>0</v>
      </c>
      <c r="U333" s="70">
        <f t="shared" si="46"/>
        <v>0</v>
      </c>
      <c r="V333" s="70">
        <f t="shared" si="47"/>
        <v>0</v>
      </c>
      <c r="W333" s="71">
        <f t="shared" si="48"/>
        <v>0</v>
      </c>
      <c r="X333" s="49"/>
      <c r="Y333" s="151"/>
      <c r="Z333" s="69"/>
      <c r="AA333" s="70"/>
      <c r="AB333" s="70"/>
      <c r="AC333" s="70" t="str">
        <f t="shared" si="49"/>
        <v>---</v>
      </c>
      <c r="AD333" s="70" t="str">
        <f>IFERROR(P333/#REF!-1,"---")</f>
        <v>---</v>
      </c>
      <c r="AE333" s="70" t="str">
        <f>IFERROR(#REF!/#REF!-1,"---")</f>
        <v>---</v>
      </c>
      <c r="AF333" s="70" t="str">
        <f>IFERROR(Q333/#REF!-1,"---")</f>
        <v>---</v>
      </c>
      <c r="AG333" s="70" t="str">
        <f>IFERROR(#REF!/#REF!-1,"---")</f>
        <v>---</v>
      </c>
      <c r="AH333" s="70" t="str">
        <f>IFERROR(#REF!/AA333-1,"---")</f>
        <v>---</v>
      </c>
      <c r="AI333" s="71" t="str">
        <f t="shared" si="50"/>
        <v>---</v>
      </c>
    </row>
    <row r="334" spans="1:35" ht="30" customHeight="1" x14ac:dyDescent="0.3">
      <c r="A334" s="123">
        <f t="shared" si="43"/>
        <v>330</v>
      </c>
      <c r="B334" s="140">
        <f>INDEX('PEER GROUP'!B:B,MATCH($A334,'PEER GROUP'!$A:$A,0))</f>
        <v>0</v>
      </c>
      <c r="C334" s="83">
        <f>INDEX('PEER GROUP'!C:C,MATCH($A334,'PEER GROUP'!$A:$A,0))</f>
        <v>0</v>
      </c>
      <c r="D334" s="83">
        <f>INDEX('PEER GROUP'!D:D,MATCH($A334,'PEER GROUP'!$A:$A,0))</f>
        <v>0</v>
      </c>
      <c r="E334" s="83">
        <f>INDEX('PEER GROUP'!E:E,MATCH(A334,'PEER GROUP'!$A:$A,0))</f>
        <v>0</v>
      </c>
      <c r="F334" s="84">
        <f>INDEX('PEER GROUP'!F:F,MATCH($A334,'PEER GROUP'!$A:$A,0))</f>
        <v>0</v>
      </c>
      <c r="G334" s="84">
        <f>INDEX('PEER GROUP'!G:G,MATCH($A334,'PEER GROUP'!$A:$A,0))</f>
        <v>0</v>
      </c>
      <c r="H334" s="85"/>
      <c r="I334" s="85"/>
      <c r="J334" s="70">
        <f>INDEX('PEER GROUP'!K:K,MATCH($A334,'PEER GROUP'!$A:$A,0))</f>
        <v>0</v>
      </c>
      <c r="K334" s="70">
        <f>INDEX('PEER GROUP'!L:L,MATCH($A334,'PEER GROUP'!$A:$A,0))</f>
        <v>0</v>
      </c>
      <c r="L334" s="81">
        <f>INDEX('PEER GROUP'!N:N,MATCH($A334,'PEER GROUP'!$A:$A,0))</f>
        <v>0</v>
      </c>
      <c r="M334" s="118"/>
      <c r="N334" s="115"/>
      <c r="O334" s="117"/>
      <c r="P334" s="87"/>
      <c r="Q334" s="87"/>
      <c r="R334" s="87">
        <f t="shared" si="44"/>
        <v>0</v>
      </c>
      <c r="S334" s="113">
        <f t="shared" si="42"/>
        <v>36.913096727263202</v>
      </c>
      <c r="T334" s="69">
        <f t="shared" si="45"/>
        <v>0</v>
      </c>
      <c r="U334" s="70">
        <f t="shared" si="46"/>
        <v>0</v>
      </c>
      <c r="V334" s="70">
        <f t="shared" si="47"/>
        <v>0</v>
      </c>
      <c r="W334" s="71">
        <f t="shared" si="48"/>
        <v>0</v>
      </c>
      <c r="X334" s="49"/>
      <c r="Y334" s="151"/>
      <c r="Z334" s="69"/>
      <c r="AA334" s="70"/>
      <c r="AB334" s="70"/>
      <c r="AC334" s="70" t="str">
        <f t="shared" si="49"/>
        <v>---</v>
      </c>
      <c r="AD334" s="70" t="str">
        <f>IFERROR(P334/#REF!-1,"---")</f>
        <v>---</v>
      </c>
      <c r="AE334" s="70" t="str">
        <f>IFERROR(#REF!/#REF!-1,"---")</f>
        <v>---</v>
      </c>
      <c r="AF334" s="70" t="str">
        <f>IFERROR(Q334/#REF!-1,"---")</f>
        <v>---</v>
      </c>
      <c r="AG334" s="70" t="str">
        <f>IFERROR(#REF!/#REF!-1,"---")</f>
        <v>---</v>
      </c>
      <c r="AH334" s="70" t="str">
        <f>IFERROR(#REF!/AA334-1,"---")</f>
        <v>---</v>
      </c>
      <c r="AI334" s="71" t="str">
        <f t="shared" si="50"/>
        <v>---</v>
      </c>
    </row>
    <row r="335" spans="1:35" ht="30" customHeight="1" x14ac:dyDescent="0.3">
      <c r="A335" s="123">
        <f t="shared" si="43"/>
        <v>331</v>
      </c>
      <c r="B335" s="140">
        <f>INDEX('PEER GROUP'!B:B,MATCH($A335,'PEER GROUP'!$A:$A,0))</f>
        <v>0</v>
      </c>
      <c r="C335" s="83">
        <f>INDEX('PEER GROUP'!C:C,MATCH($A335,'PEER GROUP'!$A:$A,0))</f>
        <v>0</v>
      </c>
      <c r="D335" s="83">
        <f>INDEX('PEER GROUP'!D:D,MATCH($A335,'PEER GROUP'!$A:$A,0))</f>
        <v>0</v>
      </c>
      <c r="E335" s="83">
        <f>INDEX('PEER GROUP'!E:E,MATCH(A335,'PEER GROUP'!$A:$A,0))</f>
        <v>0</v>
      </c>
      <c r="F335" s="84">
        <f>INDEX('PEER GROUP'!F:F,MATCH($A335,'PEER GROUP'!$A:$A,0))</f>
        <v>0</v>
      </c>
      <c r="G335" s="84">
        <f>INDEX('PEER GROUP'!G:G,MATCH($A335,'PEER GROUP'!$A:$A,0))</f>
        <v>0</v>
      </c>
      <c r="H335" s="85"/>
      <c r="I335" s="85"/>
      <c r="J335" s="70">
        <f>INDEX('PEER GROUP'!K:K,MATCH($A335,'PEER GROUP'!$A:$A,0))</f>
        <v>0</v>
      </c>
      <c r="K335" s="70">
        <f>INDEX('PEER GROUP'!L:L,MATCH($A335,'PEER GROUP'!$A:$A,0))</f>
        <v>0</v>
      </c>
      <c r="L335" s="81">
        <f>INDEX('PEER GROUP'!N:N,MATCH($A335,'PEER GROUP'!$A:$A,0))</f>
        <v>0</v>
      </c>
      <c r="M335" s="118"/>
      <c r="N335" s="115"/>
      <c r="O335" s="117"/>
      <c r="P335" s="87"/>
      <c r="Q335" s="87"/>
      <c r="R335" s="87">
        <f t="shared" si="44"/>
        <v>0</v>
      </c>
      <c r="S335" s="113">
        <f t="shared" si="42"/>
        <v>36.913096727263202</v>
      </c>
      <c r="T335" s="69">
        <f t="shared" si="45"/>
        <v>0</v>
      </c>
      <c r="U335" s="70">
        <f t="shared" si="46"/>
        <v>0</v>
      </c>
      <c r="V335" s="70">
        <f t="shared" si="47"/>
        <v>0</v>
      </c>
      <c r="W335" s="71">
        <f t="shared" si="48"/>
        <v>0</v>
      </c>
      <c r="X335" s="49"/>
      <c r="Y335" s="151"/>
      <c r="Z335" s="69"/>
      <c r="AA335" s="70"/>
      <c r="AB335" s="70"/>
      <c r="AC335" s="70" t="str">
        <f t="shared" si="49"/>
        <v>---</v>
      </c>
      <c r="AD335" s="70" t="str">
        <f>IFERROR(P335/#REF!-1,"---")</f>
        <v>---</v>
      </c>
      <c r="AE335" s="70" t="str">
        <f>IFERROR(#REF!/#REF!-1,"---")</f>
        <v>---</v>
      </c>
      <c r="AF335" s="70" t="str">
        <f>IFERROR(Q335/#REF!-1,"---")</f>
        <v>---</v>
      </c>
      <c r="AG335" s="70" t="str">
        <f>IFERROR(#REF!/#REF!-1,"---")</f>
        <v>---</v>
      </c>
      <c r="AH335" s="70" t="str">
        <f>IFERROR(#REF!/AA335-1,"---")</f>
        <v>---</v>
      </c>
      <c r="AI335" s="71" t="str">
        <f t="shared" si="50"/>
        <v>---</v>
      </c>
    </row>
    <row r="336" spans="1:35" ht="30" customHeight="1" x14ac:dyDescent="0.3">
      <c r="A336" s="123">
        <f t="shared" si="43"/>
        <v>332</v>
      </c>
      <c r="B336" s="140">
        <f>INDEX('PEER GROUP'!B:B,MATCH($A336,'PEER GROUP'!$A:$A,0))</f>
        <v>0</v>
      </c>
      <c r="C336" s="83">
        <f>INDEX('PEER GROUP'!C:C,MATCH($A336,'PEER GROUP'!$A:$A,0))</f>
        <v>0</v>
      </c>
      <c r="D336" s="83">
        <f>INDEX('PEER GROUP'!D:D,MATCH($A336,'PEER GROUP'!$A:$A,0))</f>
        <v>0</v>
      </c>
      <c r="E336" s="83">
        <f>INDEX('PEER GROUP'!E:E,MATCH(A336,'PEER GROUP'!$A:$A,0))</f>
        <v>0</v>
      </c>
      <c r="F336" s="84">
        <f>INDEX('PEER GROUP'!F:F,MATCH($A336,'PEER GROUP'!$A:$A,0))</f>
        <v>0</v>
      </c>
      <c r="G336" s="84">
        <f>INDEX('PEER GROUP'!G:G,MATCH($A336,'PEER GROUP'!$A:$A,0))</f>
        <v>0</v>
      </c>
      <c r="H336" s="85"/>
      <c r="I336" s="85"/>
      <c r="J336" s="70">
        <f>INDEX('PEER GROUP'!K:K,MATCH($A336,'PEER GROUP'!$A:$A,0))</f>
        <v>0</v>
      </c>
      <c r="K336" s="70">
        <f>INDEX('PEER GROUP'!L:L,MATCH($A336,'PEER GROUP'!$A:$A,0))</f>
        <v>0</v>
      </c>
      <c r="L336" s="81">
        <f>INDEX('PEER GROUP'!N:N,MATCH($A336,'PEER GROUP'!$A:$A,0))</f>
        <v>0</v>
      </c>
      <c r="M336" s="118"/>
      <c r="N336" s="115"/>
      <c r="O336" s="117"/>
      <c r="P336" s="87"/>
      <c r="Q336" s="87"/>
      <c r="R336" s="87">
        <f t="shared" si="44"/>
        <v>0</v>
      </c>
      <c r="S336" s="113">
        <f t="shared" si="42"/>
        <v>36.913096727263202</v>
      </c>
      <c r="T336" s="69">
        <f t="shared" si="45"/>
        <v>0</v>
      </c>
      <c r="U336" s="70">
        <f t="shared" si="46"/>
        <v>0</v>
      </c>
      <c r="V336" s="70">
        <f t="shared" si="47"/>
        <v>0</v>
      </c>
      <c r="W336" s="71">
        <f t="shared" si="48"/>
        <v>0</v>
      </c>
      <c r="X336" s="49"/>
      <c r="Y336" s="151"/>
      <c r="Z336" s="69"/>
      <c r="AA336" s="70"/>
      <c r="AB336" s="70"/>
      <c r="AC336" s="70" t="str">
        <f t="shared" si="49"/>
        <v>---</v>
      </c>
      <c r="AD336" s="70" t="str">
        <f>IFERROR(P336/#REF!-1,"---")</f>
        <v>---</v>
      </c>
      <c r="AE336" s="70" t="str">
        <f>IFERROR(#REF!/#REF!-1,"---")</f>
        <v>---</v>
      </c>
      <c r="AF336" s="70" t="str">
        <f>IFERROR(Q336/#REF!-1,"---")</f>
        <v>---</v>
      </c>
      <c r="AG336" s="70" t="str">
        <f>IFERROR(#REF!/#REF!-1,"---")</f>
        <v>---</v>
      </c>
      <c r="AH336" s="70" t="str">
        <f>IFERROR(#REF!/AA336-1,"---")</f>
        <v>---</v>
      </c>
      <c r="AI336" s="71" t="str">
        <f t="shared" si="50"/>
        <v>---</v>
      </c>
    </row>
    <row r="337" spans="1:35" ht="30" customHeight="1" x14ac:dyDescent="0.3">
      <c r="A337" s="123">
        <f t="shared" si="43"/>
        <v>333</v>
      </c>
      <c r="B337" s="140">
        <f>INDEX('PEER GROUP'!B:B,MATCH($A337,'PEER GROUP'!$A:$A,0))</f>
        <v>0</v>
      </c>
      <c r="C337" s="83">
        <f>INDEX('PEER GROUP'!C:C,MATCH($A337,'PEER GROUP'!$A:$A,0))</f>
        <v>0</v>
      </c>
      <c r="D337" s="83">
        <f>INDEX('PEER GROUP'!D:D,MATCH($A337,'PEER GROUP'!$A:$A,0))</f>
        <v>0</v>
      </c>
      <c r="E337" s="83">
        <f>INDEX('PEER GROUP'!E:E,MATCH(A337,'PEER GROUP'!$A:$A,0))</f>
        <v>0</v>
      </c>
      <c r="F337" s="84">
        <f>INDEX('PEER GROUP'!F:F,MATCH($A337,'PEER GROUP'!$A:$A,0))</f>
        <v>0</v>
      </c>
      <c r="G337" s="84">
        <f>INDEX('PEER GROUP'!G:G,MATCH($A337,'PEER GROUP'!$A:$A,0))</f>
        <v>0</v>
      </c>
      <c r="H337" s="85"/>
      <c r="I337" s="85"/>
      <c r="J337" s="70">
        <f>INDEX('PEER GROUP'!K:K,MATCH($A337,'PEER GROUP'!$A:$A,0))</f>
        <v>0</v>
      </c>
      <c r="K337" s="70">
        <f>INDEX('PEER GROUP'!L:L,MATCH($A337,'PEER GROUP'!$A:$A,0))</f>
        <v>0</v>
      </c>
      <c r="L337" s="81">
        <f>INDEX('PEER GROUP'!N:N,MATCH($A337,'PEER GROUP'!$A:$A,0))</f>
        <v>0</v>
      </c>
      <c r="M337" s="118"/>
      <c r="N337" s="115"/>
      <c r="O337" s="117"/>
      <c r="P337" s="87"/>
      <c r="Q337" s="87"/>
      <c r="R337" s="87">
        <f t="shared" si="44"/>
        <v>0</v>
      </c>
      <c r="S337" s="113">
        <f t="shared" si="42"/>
        <v>36.913096727263202</v>
      </c>
      <c r="T337" s="69">
        <f t="shared" si="45"/>
        <v>0</v>
      </c>
      <c r="U337" s="70">
        <f t="shared" si="46"/>
        <v>0</v>
      </c>
      <c r="V337" s="70">
        <f t="shared" si="47"/>
        <v>0</v>
      </c>
      <c r="W337" s="71">
        <f t="shared" si="48"/>
        <v>0</v>
      </c>
      <c r="X337" s="49"/>
      <c r="Y337" s="151"/>
      <c r="Z337" s="69"/>
      <c r="AA337" s="70"/>
      <c r="AB337" s="70"/>
      <c r="AC337" s="70" t="str">
        <f t="shared" si="49"/>
        <v>---</v>
      </c>
      <c r="AD337" s="70" t="str">
        <f>IFERROR(P337/#REF!-1,"---")</f>
        <v>---</v>
      </c>
      <c r="AE337" s="70" t="str">
        <f>IFERROR(#REF!/#REF!-1,"---")</f>
        <v>---</v>
      </c>
      <c r="AF337" s="70" t="str">
        <f>IFERROR(Q337/#REF!-1,"---")</f>
        <v>---</v>
      </c>
      <c r="AG337" s="70" t="str">
        <f>IFERROR(#REF!/#REF!-1,"---")</f>
        <v>---</v>
      </c>
      <c r="AH337" s="70" t="str">
        <f>IFERROR(#REF!/AA337-1,"---")</f>
        <v>---</v>
      </c>
      <c r="AI337" s="71" t="str">
        <f t="shared" si="50"/>
        <v>---</v>
      </c>
    </row>
    <row r="338" spans="1:35" ht="30" customHeight="1" x14ac:dyDescent="0.3">
      <c r="A338" s="123">
        <f t="shared" si="43"/>
        <v>334</v>
      </c>
      <c r="B338" s="140">
        <f>INDEX('PEER GROUP'!B:B,MATCH($A338,'PEER GROUP'!$A:$A,0))</f>
        <v>0</v>
      </c>
      <c r="C338" s="83">
        <f>INDEX('PEER GROUP'!C:C,MATCH($A338,'PEER GROUP'!$A:$A,0))</f>
        <v>0</v>
      </c>
      <c r="D338" s="83">
        <f>INDEX('PEER GROUP'!D:D,MATCH($A338,'PEER GROUP'!$A:$A,0))</f>
        <v>0</v>
      </c>
      <c r="E338" s="83">
        <f>INDEX('PEER GROUP'!E:E,MATCH(A338,'PEER GROUP'!$A:$A,0))</f>
        <v>0</v>
      </c>
      <c r="F338" s="84">
        <f>INDEX('PEER GROUP'!F:F,MATCH($A338,'PEER GROUP'!$A:$A,0))</f>
        <v>0</v>
      </c>
      <c r="G338" s="84">
        <f>INDEX('PEER GROUP'!G:G,MATCH($A338,'PEER GROUP'!$A:$A,0))</f>
        <v>0</v>
      </c>
      <c r="H338" s="85"/>
      <c r="I338" s="85"/>
      <c r="J338" s="70">
        <f>INDEX('PEER GROUP'!K:K,MATCH($A338,'PEER GROUP'!$A:$A,0))</f>
        <v>0</v>
      </c>
      <c r="K338" s="70">
        <f>INDEX('PEER GROUP'!L:L,MATCH($A338,'PEER GROUP'!$A:$A,0))</f>
        <v>0</v>
      </c>
      <c r="L338" s="81">
        <f>INDEX('PEER GROUP'!N:N,MATCH($A338,'PEER GROUP'!$A:$A,0))</f>
        <v>0</v>
      </c>
      <c r="M338" s="118"/>
      <c r="N338" s="115"/>
      <c r="O338" s="117"/>
      <c r="P338" s="87"/>
      <c r="Q338" s="87"/>
      <c r="R338" s="87">
        <f t="shared" si="44"/>
        <v>0</v>
      </c>
      <c r="S338" s="113">
        <f t="shared" si="42"/>
        <v>36.913096727263202</v>
      </c>
      <c r="T338" s="69">
        <f t="shared" si="45"/>
        <v>0</v>
      </c>
      <c r="U338" s="70">
        <f t="shared" si="46"/>
        <v>0</v>
      </c>
      <c r="V338" s="70">
        <f t="shared" si="47"/>
        <v>0</v>
      </c>
      <c r="W338" s="71">
        <f t="shared" si="48"/>
        <v>0</v>
      </c>
      <c r="X338" s="49"/>
      <c r="Y338" s="151"/>
      <c r="Z338" s="69"/>
      <c r="AA338" s="70"/>
      <c r="AB338" s="70"/>
      <c r="AC338" s="70" t="str">
        <f t="shared" si="49"/>
        <v>---</v>
      </c>
      <c r="AD338" s="70" t="str">
        <f>IFERROR(P338/#REF!-1,"---")</f>
        <v>---</v>
      </c>
      <c r="AE338" s="70" t="str">
        <f>IFERROR(#REF!/#REF!-1,"---")</f>
        <v>---</v>
      </c>
      <c r="AF338" s="70" t="str">
        <f>IFERROR(Q338/#REF!-1,"---")</f>
        <v>---</v>
      </c>
      <c r="AG338" s="70" t="str">
        <f>IFERROR(#REF!/#REF!-1,"---")</f>
        <v>---</v>
      </c>
      <c r="AH338" s="70" t="str">
        <f>IFERROR(#REF!/AA338-1,"---")</f>
        <v>---</v>
      </c>
      <c r="AI338" s="71" t="str">
        <f t="shared" si="50"/>
        <v>---</v>
      </c>
    </row>
    <row r="339" spans="1:35" ht="30" customHeight="1" x14ac:dyDescent="0.3">
      <c r="A339" s="123">
        <f t="shared" si="43"/>
        <v>335</v>
      </c>
      <c r="B339" s="140">
        <f>INDEX('PEER GROUP'!B:B,MATCH($A339,'PEER GROUP'!$A:$A,0))</f>
        <v>0</v>
      </c>
      <c r="C339" s="83">
        <f>INDEX('PEER GROUP'!C:C,MATCH($A339,'PEER GROUP'!$A:$A,0))</f>
        <v>0</v>
      </c>
      <c r="D339" s="83">
        <f>INDEX('PEER GROUP'!D:D,MATCH($A339,'PEER GROUP'!$A:$A,0))</f>
        <v>0</v>
      </c>
      <c r="E339" s="83">
        <f>INDEX('PEER GROUP'!E:E,MATCH(A339,'PEER GROUP'!$A:$A,0))</f>
        <v>0</v>
      </c>
      <c r="F339" s="84">
        <f>INDEX('PEER GROUP'!F:F,MATCH($A339,'PEER GROUP'!$A:$A,0))</f>
        <v>0</v>
      </c>
      <c r="G339" s="84">
        <f>INDEX('PEER GROUP'!G:G,MATCH($A339,'PEER GROUP'!$A:$A,0))</f>
        <v>0</v>
      </c>
      <c r="H339" s="85"/>
      <c r="I339" s="85"/>
      <c r="J339" s="70">
        <f>INDEX('PEER GROUP'!K:K,MATCH($A339,'PEER GROUP'!$A:$A,0))</f>
        <v>0</v>
      </c>
      <c r="K339" s="70">
        <f>INDEX('PEER GROUP'!L:L,MATCH($A339,'PEER GROUP'!$A:$A,0))</f>
        <v>0</v>
      </c>
      <c r="L339" s="81">
        <f>INDEX('PEER GROUP'!N:N,MATCH($A339,'PEER GROUP'!$A:$A,0))</f>
        <v>0</v>
      </c>
      <c r="M339" s="118"/>
      <c r="N339" s="115"/>
      <c r="O339" s="117"/>
      <c r="P339" s="87"/>
      <c r="Q339" s="87"/>
      <c r="R339" s="87">
        <f t="shared" si="44"/>
        <v>0</v>
      </c>
      <c r="S339" s="113">
        <f t="shared" si="42"/>
        <v>36.913096727263202</v>
      </c>
      <c r="T339" s="69">
        <f t="shared" si="45"/>
        <v>0</v>
      </c>
      <c r="U339" s="70">
        <f t="shared" si="46"/>
        <v>0</v>
      </c>
      <c r="V339" s="70">
        <f t="shared" si="47"/>
        <v>0</v>
      </c>
      <c r="W339" s="71">
        <f t="shared" si="48"/>
        <v>0</v>
      </c>
      <c r="X339" s="49"/>
      <c r="Y339" s="151"/>
      <c r="Z339" s="69"/>
      <c r="AA339" s="70"/>
      <c r="AB339" s="70"/>
      <c r="AC339" s="70" t="str">
        <f t="shared" si="49"/>
        <v>---</v>
      </c>
      <c r="AD339" s="70" t="str">
        <f>IFERROR(P339/#REF!-1,"---")</f>
        <v>---</v>
      </c>
      <c r="AE339" s="70" t="str">
        <f>IFERROR(#REF!/#REF!-1,"---")</f>
        <v>---</v>
      </c>
      <c r="AF339" s="70" t="str">
        <f>IFERROR(Q339/#REF!-1,"---")</f>
        <v>---</v>
      </c>
      <c r="AG339" s="70" t="str">
        <f>IFERROR(#REF!/#REF!-1,"---")</f>
        <v>---</v>
      </c>
      <c r="AH339" s="70" t="str">
        <f>IFERROR(#REF!/AA339-1,"---")</f>
        <v>---</v>
      </c>
      <c r="AI339" s="71" t="str">
        <f t="shared" si="50"/>
        <v>---</v>
      </c>
    </row>
    <row r="340" spans="1:35" ht="30" customHeight="1" x14ac:dyDescent="0.3">
      <c r="A340" s="123">
        <f t="shared" si="43"/>
        <v>336</v>
      </c>
      <c r="B340" s="140">
        <f>INDEX('PEER GROUP'!B:B,MATCH($A340,'PEER GROUP'!$A:$A,0))</f>
        <v>0</v>
      </c>
      <c r="C340" s="83">
        <f>INDEX('PEER GROUP'!C:C,MATCH($A340,'PEER GROUP'!$A:$A,0))</f>
        <v>0</v>
      </c>
      <c r="D340" s="83">
        <f>INDEX('PEER GROUP'!D:D,MATCH($A340,'PEER GROUP'!$A:$A,0))</f>
        <v>0</v>
      </c>
      <c r="E340" s="83">
        <f>INDEX('PEER GROUP'!E:E,MATCH(A340,'PEER GROUP'!$A:$A,0))</f>
        <v>0</v>
      </c>
      <c r="F340" s="84">
        <f>INDEX('PEER GROUP'!F:F,MATCH($A340,'PEER GROUP'!$A:$A,0))</f>
        <v>0</v>
      </c>
      <c r="G340" s="84">
        <f>INDEX('PEER GROUP'!G:G,MATCH($A340,'PEER GROUP'!$A:$A,0))</f>
        <v>0</v>
      </c>
      <c r="H340" s="85"/>
      <c r="I340" s="85"/>
      <c r="J340" s="70">
        <f>INDEX('PEER GROUP'!K:K,MATCH($A340,'PEER GROUP'!$A:$A,0))</f>
        <v>0</v>
      </c>
      <c r="K340" s="70">
        <f>INDEX('PEER GROUP'!L:L,MATCH($A340,'PEER GROUP'!$A:$A,0))</f>
        <v>0</v>
      </c>
      <c r="L340" s="81">
        <f>INDEX('PEER GROUP'!N:N,MATCH($A340,'PEER GROUP'!$A:$A,0))</f>
        <v>0</v>
      </c>
      <c r="M340" s="118"/>
      <c r="N340" s="115"/>
      <c r="O340" s="117"/>
      <c r="P340" s="87"/>
      <c r="Q340" s="87"/>
      <c r="R340" s="87">
        <f t="shared" si="44"/>
        <v>0</v>
      </c>
      <c r="S340" s="113">
        <f t="shared" si="42"/>
        <v>36.913096727263202</v>
      </c>
      <c r="T340" s="69">
        <f t="shared" si="45"/>
        <v>0</v>
      </c>
      <c r="U340" s="70">
        <f t="shared" si="46"/>
        <v>0</v>
      </c>
      <c r="V340" s="70">
        <f t="shared" si="47"/>
        <v>0</v>
      </c>
      <c r="W340" s="71">
        <f t="shared" si="48"/>
        <v>0</v>
      </c>
      <c r="X340" s="49"/>
      <c r="Y340" s="151"/>
      <c r="Z340" s="69"/>
      <c r="AA340" s="70"/>
      <c r="AB340" s="70"/>
      <c r="AC340" s="70" t="str">
        <f t="shared" si="49"/>
        <v>---</v>
      </c>
      <c r="AD340" s="70" t="str">
        <f>IFERROR(P340/#REF!-1,"---")</f>
        <v>---</v>
      </c>
      <c r="AE340" s="70" t="str">
        <f>IFERROR(#REF!/#REF!-1,"---")</f>
        <v>---</v>
      </c>
      <c r="AF340" s="70" t="str">
        <f>IFERROR(Q340/#REF!-1,"---")</f>
        <v>---</v>
      </c>
      <c r="AG340" s="70" t="str">
        <f>IFERROR(#REF!/#REF!-1,"---")</f>
        <v>---</v>
      </c>
      <c r="AH340" s="70" t="str">
        <f>IFERROR(#REF!/AA340-1,"---")</f>
        <v>---</v>
      </c>
      <c r="AI340" s="71" t="str">
        <f t="shared" si="50"/>
        <v>---</v>
      </c>
    </row>
    <row r="341" spans="1:35" ht="30" customHeight="1" x14ac:dyDescent="0.3">
      <c r="A341" s="123">
        <f t="shared" si="43"/>
        <v>337</v>
      </c>
      <c r="B341" s="140">
        <f>INDEX('PEER GROUP'!B:B,MATCH($A341,'PEER GROUP'!$A:$A,0))</f>
        <v>0</v>
      </c>
      <c r="C341" s="83">
        <f>INDEX('PEER GROUP'!C:C,MATCH($A341,'PEER GROUP'!$A:$A,0))</f>
        <v>0</v>
      </c>
      <c r="D341" s="83">
        <f>INDEX('PEER GROUP'!D:D,MATCH($A341,'PEER GROUP'!$A:$A,0))</f>
        <v>0</v>
      </c>
      <c r="E341" s="83">
        <f>INDEX('PEER GROUP'!E:E,MATCH(A341,'PEER GROUP'!$A:$A,0))</f>
        <v>0</v>
      </c>
      <c r="F341" s="84">
        <f>INDEX('PEER GROUP'!F:F,MATCH($A341,'PEER GROUP'!$A:$A,0))</f>
        <v>0</v>
      </c>
      <c r="G341" s="84">
        <f>INDEX('PEER GROUP'!G:G,MATCH($A341,'PEER GROUP'!$A:$A,0))</f>
        <v>0</v>
      </c>
      <c r="H341" s="85"/>
      <c r="I341" s="85"/>
      <c r="J341" s="70">
        <f>INDEX('PEER GROUP'!K:K,MATCH($A341,'PEER GROUP'!$A:$A,0))</f>
        <v>0</v>
      </c>
      <c r="K341" s="70">
        <f>INDEX('PEER GROUP'!L:L,MATCH($A341,'PEER GROUP'!$A:$A,0))</f>
        <v>0</v>
      </c>
      <c r="L341" s="81">
        <f>INDEX('PEER GROUP'!N:N,MATCH($A341,'PEER GROUP'!$A:$A,0))</f>
        <v>0</v>
      </c>
      <c r="M341" s="118"/>
      <c r="N341" s="115"/>
      <c r="O341" s="117"/>
      <c r="P341" s="87"/>
      <c r="Q341" s="87"/>
      <c r="R341" s="87">
        <f t="shared" si="44"/>
        <v>0</v>
      </c>
      <c r="S341" s="113">
        <f t="shared" si="42"/>
        <v>36.913096727263202</v>
      </c>
      <c r="T341" s="69">
        <f t="shared" si="45"/>
        <v>0</v>
      </c>
      <c r="U341" s="70">
        <f t="shared" si="46"/>
        <v>0</v>
      </c>
      <c r="V341" s="70">
        <f t="shared" si="47"/>
        <v>0</v>
      </c>
      <c r="W341" s="71">
        <f t="shared" si="48"/>
        <v>0</v>
      </c>
      <c r="X341" s="49"/>
      <c r="Y341" s="151"/>
      <c r="Z341" s="69"/>
      <c r="AA341" s="70"/>
      <c r="AB341" s="70"/>
      <c r="AC341" s="70" t="str">
        <f t="shared" si="49"/>
        <v>---</v>
      </c>
      <c r="AD341" s="70" t="str">
        <f>IFERROR(P341/#REF!-1,"---")</f>
        <v>---</v>
      </c>
      <c r="AE341" s="70" t="str">
        <f>IFERROR(#REF!/#REF!-1,"---")</f>
        <v>---</v>
      </c>
      <c r="AF341" s="70" t="str">
        <f>IFERROR(Q341/#REF!-1,"---")</f>
        <v>---</v>
      </c>
      <c r="AG341" s="70" t="str">
        <f>IFERROR(#REF!/#REF!-1,"---")</f>
        <v>---</v>
      </c>
      <c r="AH341" s="70" t="str">
        <f>IFERROR(#REF!/AA341-1,"---")</f>
        <v>---</v>
      </c>
      <c r="AI341" s="71" t="str">
        <f t="shared" si="50"/>
        <v>---</v>
      </c>
    </row>
    <row r="342" spans="1:35" ht="30" customHeight="1" x14ac:dyDescent="0.3">
      <c r="A342" s="123">
        <f t="shared" si="43"/>
        <v>338</v>
      </c>
      <c r="B342" s="140">
        <f>INDEX('PEER GROUP'!B:B,MATCH($A342,'PEER GROUP'!$A:$A,0))</f>
        <v>0</v>
      </c>
      <c r="C342" s="83">
        <f>INDEX('PEER GROUP'!C:C,MATCH($A342,'PEER GROUP'!$A:$A,0))</f>
        <v>0</v>
      </c>
      <c r="D342" s="83">
        <f>INDEX('PEER GROUP'!D:D,MATCH($A342,'PEER GROUP'!$A:$A,0))</f>
        <v>0</v>
      </c>
      <c r="E342" s="83">
        <f>INDEX('PEER GROUP'!E:E,MATCH(A342,'PEER GROUP'!$A:$A,0))</f>
        <v>0</v>
      </c>
      <c r="F342" s="84">
        <f>INDEX('PEER GROUP'!F:F,MATCH($A342,'PEER GROUP'!$A:$A,0))</f>
        <v>0</v>
      </c>
      <c r="G342" s="84">
        <f>INDEX('PEER GROUP'!G:G,MATCH($A342,'PEER GROUP'!$A:$A,0))</f>
        <v>0</v>
      </c>
      <c r="H342" s="85"/>
      <c r="I342" s="85"/>
      <c r="J342" s="70">
        <f>INDEX('PEER GROUP'!K:K,MATCH($A342,'PEER GROUP'!$A:$A,0))</f>
        <v>0</v>
      </c>
      <c r="K342" s="70">
        <f>INDEX('PEER GROUP'!L:L,MATCH($A342,'PEER GROUP'!$A:$A,0))</f>
        <v>0</v>
      </c>
      <c r="L342" s="81">
        <f>INDEX('PEER GROUP'!N:N,MATCH($A342,'PEER GROUP'!$A:$A,0))</f>
        <v>0</v>
      </c>
      <c r="M342" s="118"/>
      <c r="N342" s="115"/>
      <c r="O342" s="117"/>
      <c r="P342" s="87"/>
      <c r="Q342" s="87"/>
      <c r="R342" s="87">
        <f t="shared" si="44"/>
        <v>0</v>
      </c>
      <c r="S342" s="113">
        <f t="shared" si="42"/>
        <v>36.913096727263202</v>
      </c>
      <c r="T342" s="69">
        <f t="shared" si="45"/>
        <v>0</v>
      </c>
      <c r="U342" s="70">
        <f t="shared" si="46"/>
        <v>0</v>
      </c>
      <c r="V342" s="70">
        <f t="shared" si="47"/>
        <v>0</v>
      </c>
      <c r="W342" s="71">
        <f t="shared" si="48"/>
        <v>0</v>
      </c>
      <c r="X342" s="49"/>
      <c r="Y342" s="151"/>
      <c r="Z342" s="69"/>
      <c r="AA342" s="70"/>
      <c r="AB342" s="70"/>
      <c r="AC342" s="70" t="str">
        <f t="shared" si="49"/>
        <v>---</v>
      </c>
      <c r="AD342" s="70" t="str">
        <f>IFERROR(P342/#REF!-1,"---")</f>
        <v>---</v>
      </c>
      <c r="AE342" s="70" t="str">
        <f>IFERROR(#REF!/#REF!-1,"---")</f>
        <v>---</v>
      </c>
      <c r="AF342" s="70" t="str">
        <f>IFERROR(Q342/#REF!-1,"---")</f>
        <v>---</v>
      </c>
      <c r="AG342" s="70" t="str">
        <f>IFERROR(#REF!/#REF!-1,"---")</f>
        <v>---</v>
      </c>
      <c r="AH342" s="70" t="str">
        <f>IFERROR(#REF!/AA342-1,"---")</f>
        <v>---</v>
      </c>
      <c r="AI342" s="71" t="str">
        <f t="shared" si="50"/>
        <v>---</v>
      </c>
    </row>
    <row r="343" spans="1:35" ht="30" customHeight="1" x14ac:dyDescent="0.3">
      <c r="A343" s="123">
        <f t="shared" si="43"/>
        <v>339</v>
      </c>
      <c r="B343" s="140">
        <f>INDEX('PEER GROUP'!B:B,MATCH($A343,'PEER GROUP'!$A:$A,0))</f>
        <v>0</v>
      </c>
      <c r="C343" s="83">
        <f>INDEX('PEER GROUP'!C:C,MATCH($A343,'PEER GROUP'!$A:$A,0))</f>
        <v>0</v>
      </c>
      <c r="D343" s="83">
        <f>INDEX('PEER GROUP'!D:D,MATCH($A343,'PEER GROUP'!$A:$A,0))</f>
        <v>0</v>
      </c>
      <c r="E343" s="83">
        <f>INDEX('PEER GROUP'!E:E,MATCH(A343,'PEER GROUP'!$A:$A,0))</f>
        <v>0</v>
      </c>
      <c r="F343" s="84">
        <f>INDEX('PEER GROUP'!F:F,MATCH($A343,'PEER GROUP'!$A:$A,0))</f>
        <v>0</v>
      </c>
      <c r="G343" s="84">
        <f>INDEX('PEER GROUP'!G:G,MATCH($A343,'PEER GROUP'!$A:$A,0))</f>
        <v>0</v>
      </c>
      <c r="H343" s="85"/>
      <c r="I343" s="85"/>
      <c r="J343" s="70">
        <f>INDEX('PEER GROUP'!K:K,MATCH($A343,'PEER GROUP'!$A:$A,0))</f>
        <v>0</v>
      </c>
      <c r="K343" s="70">
        <f>INDEX('PEER GROUP'!L:L,MATCH($A343,'PEER GROUP'!$A:$A,0))</f>
        <v>0</v>
      </c>
      <c r="L343" s="81">
        <f>INDEX('PEER GROUP'!N:N,MATCH($A343,'PEER GROUP'!$A:$A,0))</f>
        <v>0</v>
      </c>
      <c r="M343" s="118"/>
      <c r="N343" s="115"/>
      <c r="O343" s="117"/>
      <c r="P343" s="87"/>
      <c r="Q343" s="87"/>
      <c r="R343" s="87">
        <f t="shared" si="44"/>
        <v>0</v>
      </c>
      <c r="S343" s="113">
        <f t="shared" si="42"/>
        <v>36.913096727263202</v>
      </c>
      <c r="T343" s="69">
        <f t="shared" si="45"/>
        <v>0</v>
      </c>
      <c r="U343" s="70">
        <f t="shared" si="46"/>
        <v>0</v>
      </c>
      <c r="V343" s="70">
        <f t="shared" si="47"/>
        <v>0</v>
      </c>
      <c r="W343" s="71">
        <f t="shared" si="48"/>
        <v>0</v>
      </c>
      <c r="X343" s="49"/>
      <c r="Y343" s="151"/>
      <c r="Z343" s="69"/>
      <c r="AA343" s="70"/>
      <c r="AB343" s="70"/>
      <c r="AC343" s="70" t="str">
        <f t="shared" si="49"/>
        <v>---</v>
      </c>
      <c r="AD343" s="70" t="str">
        <f>IFERROR(P343/#REF!-1,"---")</f>
        <v>---</v>
      </c>
      <c r="AE343" s="70" t="str">
        <f>IFERROR(#REF!/#REF!-1,"---")</f>
        <v>---</v>
      </c>
      <c r="AF343" s="70" t="str">
        <f>IFERROR(Q343/#REF!-1,"---")</f>
        <v>---</v>
      </c>
      <c r="AG343" s="70" t="str">
        <f>IFERROR(#REF!/#REF!-1,"---")</f>
        <v>---</v>
      </c>
      <c r="AH343" s="70" t="str">
        <f>IFERROR(#REF!/AA343-1,"---")</f>
        <v>---</v>
      </c>
      <c r="AI343" s="71" t="str">
        <f t="shared" si="50"/>
        <v>---</v>
      </c>
    </row>
    <row r="344" spans="1:35" ht="30" customHeight="1" x14ac:dyDescent="0.3">
      <c r="A344" s="123">
        <f t="shared" si="43"/>
        <v>340</v>
      </c>
      <c r="B344" s="140">
        <f>INDEX('PEER GROUP'!B:B,MATCH($A344,'PEER GROUP'!$A:$A,0))</f>
        <v>0</v>
      </c>
      <c r="C344" s="83">
        <f>INDEX('PEER GROUP'!C:C,MATCH($A344,'PEER GROUP'!$A:$A,0))</f>
        <v>0</v>
      </c>
      <c r="D344" s="83">
        <f>INDEX('PEER GROUP'!D:D,MATCH($A344,'PEER GROUP'!$A:$A,0))</f>
        <v>0</v>
      </c>
      <c r="E344" s="83">
        <f>INDEX('PEER GROUP'!E:E,MATCH(A344,'PEER GROUP'!$A:$A,0))</f>
        <v>0</v>
      </c>
      <c r="F344" s="84">
        <f>INDEX('PEER GROUP'!F:F,MATCH($A344,'PEER GROUP'!$A:$A,0))</f>
        <v>0</v>
      </c>
      <c r="G344" s="84">
        <f>INDEX('PEER GROUP'!G:G,MATCH($A344,'PEER GROUP'!$A:$A,0))</f>
        <v>0</v>
      </c>
      <c r="H344" s="85"/>
      <c r="I344" s="85"/>
      <c r="J344" s="70">
        <f>INDEX('PEER GROUP'!K:K,MATCH($A344,'PEER GROUP'!$A:$A,0))</f>
        <v>0</v>
      </c>
      <c r="K344" s="70">
        <f>INDEX('PEER GROUP'!L:L,MATCH($A344,'PEER GROUP'!$A:$A,0))</f>
        <v>0</v>
      </c>
      <c r="L344" s="81">
        <f>INDEX('PEER GROUP'!N:N,MATCH($A344,'PEER GROUP'!$A:$A,0))</f>
        <v>0</v>
      </c>
      <c r="M344" s="118"/>
      <c r="N344" s="115"/>
      <c r="O344" s="117"/>
      <c r="P344" s="87"/>
      <c r="Q344" s="87"/>
      <c r="R344" s="87">
        <f t="shared" si="44"/>
        <v>0</v>
      </c>
      <c r="S344" s="113">
        <f t="shared" si="42"/>
        <v>36.913096727263202</v>
      </c>
      <c r="T344" s="69">
        <f t="shared" si="45"/>
        <v>0</v>
      </c>
      <c r="U344" s="70">
        <f t="shared" si="46"/>
        <v>0</v>
      </c>
      <c r="V344" s="70">
        <f t="shared" si="47"/>
        <v>0</v>
      </c>
      <c r="W344" s="71">
        <f t="shared" si="48"/>
        <v>0</v>
      </c>
      <c r="X344" s="49"/>
      <c r="Y344" s="151"/>
      <c r="Z344" s="69"/>
      <c r="AA344" s="70"/>
      <c r="AB344" s="70"/>
      <c r="AC344" s="70" t="str">
        <f t="shared" si="49"/>
        <v>---</v>
      </c>
      <c r="AD344" s="70" t="str">
        <f>IFERROR(P344/#REF!-1,"---")</f>
        <v>---</v>
      </c>
      <c r="AE344" s="70" t="str">
        <f>IFERROR(#REF!/#REF!-1,"---")</f>
        <v>---</v>
      </c>
      <c r="AF344" s="70" t="str">
        <f>IFERROR(Q344/#REF!-1,"---")</f>
        <v>---</v>
      </c>
      <c r="AG344" s="70" t="str">
        <f>IFERROR(#REF!/#REF!-1,"---")</f>
        <v>---</v>
      </c>
      <c r="AH344" s="70" t="str">
        <f>IFERROR(#REF!/AA344-1,"---")</f>
        <v>---</v>
      </c>
      <c r="AI344" s="71" t="str">
        <f t="shared" si="50"/>
        <v>---</v>
      </c>
    </row>
    <row r="345" spans="1:35" ht="30" customHeight="1" x14ac:dyDescent="0.3">
      <c r="A345" s="123">
        <f t="shared" si="43"/>
        <v>341</v>
      </c>
      <c r="B345" s="140">
        <f>INDEX('PEER GROUP'!B:B,MATCH($A345,'PEER GROUP'!$A:$A,0))</f>
        <v>0</v>
      </c>
      <c r="C345" s="83">
        <f>INDEX('PEER GROUP'!C:C,MATCH($A345,'PEER GROUP'!$A:$A,0))</f>
        <v>0</v>
      </c>
      <c r="D345" s="83">
        <f>INDEX('PEER GROUP'!D:D,MATCH($A345,'PEER GROUP'!$A:$A,0))</f>
        <v>0</v>
      </c>
      <c r="E345" s="83">
        <f>INDEX('PEER GROUP'!E:E,MATCH(A345,'PEER GROUP'!$A:$A,0))</f>
        <v>0</v>
      </c>
      <c r="F345" s="84">
        <f>INDEX('PEER GROUP'!F:F,MATCH($A345,'PEER GROUP'!$A:$A,0))</f>
        <v>0</v>
      </c>
      <c r="G345" s="84">
        <f>INDEX('PEER GROUP'!G:G,MATCH($A345,'PEER GROUP'!$A:$A,0))</f>
        <v>0</v>
      </c>
      <c r="H345" s="85"/>
      <c r="I345" s="85"/>
      <c r="J345" s="70">
        <f>INDEX('PEER GROUP'!K:K,MATCH($A345,'PEER GROUP'!$A:$A,0))</f>
        <v>0</v>
      </c>
      <c r="K345" s="70">
        <f>INDEX('PEER GROUP'!L:L,MATCH($A345,'PEER GROUP'!$A:$A,0))</f>
        <v>0</v>
      </c>
      <c r="L345" s="81">
        <f>INDEX('PEER GROUP'!N:N,MATCH($A345,'PEER GROUP'!$A:$A,0))</f>
        <v>0</v>
      </c>
      <c r="M345" s="118"/>
      <c r="N345" s="115"/>
      <c r="O345" s="117"/>
      <c r="P345" s="87"/>
      <c r="Q345" s="87"/>
      <c r="R345" s="87">
        <f t="shared" si="44"/>
        <v>0</v>
      </c>
      <c r="S345" s="113">
        <f t="shared" si="42"/>
        <v>36.913096727263202</v>
      </c>
      <c r="T345" s="69">
        <f t="shared" si="45"/>
        <v>0</v>
      </c>
      <c r="U345" s="70">
        <f t="shared" si="46"/>
        <v>0</v>
      </c>
      <c r="V345" s="70">
        <f t="shared" si="47"/>
        <v>0</v>
      </c>
      <c r="W345" s="71">
        <f t="shared" si="48"/>
        <v>0</v>
      </c>
      <c r="X345" s="49"/>
      <c r="Y345" s="151"/>
      <c r="Z345" s="69"/>
      <c r="AA345" s="70"/>
      <c r="AB345" s="70"/>
      <c r="AC345" s="70" t="str">
        <f t="shared" si="49"/>
        <v>---</v>
      </c>
      <c r="AD345" s="70" t="str">
        <f>IFERROR(P345/#REF!-1,"---")</f>
        <v>---</v>
      </c>
      <c r="AE345" s="70" t="str">
        <f>IFERROR(#REF!/#REF!-1,"---")</f>
        <v>---</v>
      </c>
      <c r="AF345" s="70" t="str">
        <f>IFERROR(Q345/#REF!-1,"---")</f>
        <v>---</v>
      </c>
      <c r="AG345" s="70" t="str">
        <f>IFERROR(#REF!/#REF!-1,"---")</f>
        <v>---</v>
      </c>
      <c r="AH345" s="70" t="str">
        <f>IFERROR(#REF!/AA345-1,"---")</f>
        <v>---</v>
      </c>
      <c r="AI345" s="71" t="str">
        <f t="shared" si="50"/>
        <v>---</v>
      </c>
    </row>
    <row r="346" spans="1:35" ht="30" customHeight="1" x14ac:dyDescent="0.3">
      <c r="A346" s="123">
        <f t="shared" si="43"/>
        <v>342</v>
      </c>
      <c r="B346" s="140">
        <f>INDEX('PEER GROUP'!B:B,MATCH($A346,'PEER GROUP'!$A:$A,0))</f>
        <v>0</v>
      </c>
      <c r="C346" s="83">
        <f>INDEX('PEER GROUP'!C:C,MATCH($A346,'PEER GROUP'!$A:$A,0))</f>
        <v>0</v>
      </c>
      <c r="D346" s="83">
        <f>INDEX('PEER GROUP'!D:D,MATCH($A346,'PEER GROUP'!$A:$A,0))</f>
        <v>0</v>
      </c>
      <c r="E346" s="83">
        <f>INDEX('PEER GROUP'!E:E,MATCH(A346,'PEER GROUP'!$A:$A,0))</f>
        <v>0</v>
      </c>
      <c r="F346" s="84">
        <f>INDEX('PEER GROUP'!F:F,MATCH($A346,'PEER GROUP'!$A:$A,0))</f>
        <v>0</v>
      </c>
      <c r="G346" s="84">
        <f>INDEX('PEER GROUP'!G:G,MATCH($A346,'PEER GROUP'!$A:$A,0))</f>
        <v>0</v>
      </c>
      <c r="H346" s="85"/>
      <c r="I346" s="85"/>
      <c r="J346" s="70">
        <f>INDEX('PEER GROUP'!K:K,MATCH($A346,'PEER GROUP'!$A:$A,0))</f>
        <v>0</v>
      </c>
      <c r="K346" s="70">
        <f>INDEX('PEER GROUP'!L:L,MATCH($A346,'PEER GROUP'!$A:$A,0))</f>
        <v>0</v>
      </c>
      <c r="L346" s="81">
        <f>INDEX('PEER GROUP'!N:N,MATCH($A346,'PEER GROUP'!$A:$A,0))</f>
        <v>0</v>
      </c>
      <c r="M346" s="118"/>
      <c r="N346" s="115"/>
      <c r="O346" s="117"/>
      <c r="P346" s="87"/>
      <c r="Q346" s="87"/>
      <c r="R346" s="87">
        <f t="shared" si="44"/>
        <v>0</v>
      </c>
      <c r="S346" s="113">
        <f t="shared" si="42"/>
        <v>36.913096727263202</v>
      </c>
      <c r="T346" s="69">
        <f t="shared" si="45"/>
        <v>0</v>
      </c>
      <c r="U346" s="70">
        <f t="shared" si="46"/>
        <v>0</v>
      </c>
      <c r="V346" s="70">
        <f t="shared" si="47"/>
        <v>0</v>
      </c>
      <c r="W346" s="71">
        <f t="shared" si="48"/>
        <v>0</v>
      </c>
      <c r="X346" s="49"/>
      <c r="Y346" s="151"/>
      <c r="Z346" s="69"/>
      <c r="AA346" s="70"/>
      <c r="AB346" s="70"/>
      <c r="AC346" s="70" t="str">
        <f t="shared" si="49"/>
        <v>---</v>
      </c>
      <c r="AD346" s="70" t="str">
        <f>IFERROR(P346/#REF!-1,"---")</f>
        <v>---</v>
      </c>
      <c r="AE346" s="70" t="str">
        <f>IFERROR(#REF!/#REF!-1,"---")</f>
        <v>---</v>
      </c>
      <c r="AF346" s="70" t="str">
        <f>IFERROR(Q346/#REF!-1,"---")</f>
        <v>---</v>
      </c>
      <c r="AG346" s="70" t="str">
        <f>IFERROR(#REF!/#REF!-1,"---")</f>
        <v>---</v>
      </c>
      <c r="AH346" s="70" t="str">
        <f>IFERROR(#REF!/AA346-1,"---")</f>
        <v>---</v>
      </c>
      <c r="AI346" s="71" t="str">
        <f t="shared" si="50"/>
        <v>---</v>
      </c>
    </row>
    <row r="347" spans="1:35" ht="30" customHeight="1" x14ac:dyDescent="0.3">
      <c r="A347" s="123">
        <f t="shared" si="43"/>
        <v>343</v>
      </c>
      <c r="B347" s="140">
        <f>INDEX('PEER GROUP'!B:B,MATCH($A347,'PEER GROUP'!$A:$A,0))</f>
        <v>0</v>
      </c>
      <c r="C347" s="83">
        <f>INDEX('PEER GROUP'!C:C,MATCH($A347,'PEER GROUP'!$A:$A,0))</f>
        <v>0</v>
      </c>
      <c r="D347" s="83">
        <f>INDEX('PEER GROUP'!D:D,MATCH($A347,'PEER GROUP'!$A:$A,0))</f>
        <v>0</v>
      </c>
      <c r="E347" s="83">
        <f>INDEX('PEER GROUP'!E:E,MATCH(A347,'PEER GROUP'!$A:$A,0))</f>
        <v>0</v>
      </c>
      <c r="F347" s="84">
        <f>INDEX('PEER GROUP'!F:F,MATCH($A347,'PEER GROUP'!$A:$A,0))</f>
        <v>0</v>
      </c>
      <c r="G347" s="84">
        <f>INDEX('PEER GROUP'!G:G,MATCH($A347,'PEER GROUP'!$A:$A,0))</f>
        <v>0</v>
      </c>
      <c r="H347" s="85"/>
      <c r="I347" s="85"/>
      <c r="J347" s="70">
        <f>INDEX('PEER GROUP'!K:K,MATCH($A347,'PEER GROUP'!$A:$A,0))</f>
        <v>0</v>
      </c>
      <c r="K347" s="70">
        <f>INDEX('PEER GROUP'!L:L,MATCH($A347,'PEER GROUP'!$A:$A,0))</f>
        <v>0</v>
      </c>
      <c r="L347" s="81">
        <f>INDEX('PEER GROUP'!N:N,MATCH($A347,'PEER GROUP'!$A:$A,0))</f>
        <v>0</v>
      </c>
      <c r="M347" s="118"/>
      <c r="N347" s="115"/>
      <c r="O347" s="117"/>
      <c r="P347" s="87"/>
      <c r="Q347" s="87"/>
      <c r="R347" s="87">
        <f t="shared" si="44"/>
        <v>0</v>
      </c>
      <c r="S347" s="113">
        <f t="shared" si="42"/>
        <v>36.913096727263202</v>
      </c>
      <c r="T347" s="69">
        <f t="shared" si="45"/>
        <v>0</v>
      </c>
      <c r="U347" s="70">
        <f t="shared" si="46"/>
        <v>0</v>
      </c>
      <c r="V347" s="70">
        <f t="shared" si="47"/>
        <v>0</v>
      </c>
      <c r="W347" s="71">
        <f t="shared" si="48"/>
        <v>0</v>
      </c>
      <c r="X347" s="49"/>
      <c r="Y347" s="151"/>
      <c r="Z347" s="69"/>
      <c r="AA347" s="70"/>
      <c r="AB347" s="70"/>
      <c r="AC347" s="70" t="str">
        <f t="shared" si="49"/>
        <v>---</v>
      </c>
      <c r="AD347" s="70" t="str">
        <f>IFERROR(P347/#REF!-1,"---")</f>
        <v>---</v>
      </c>
      <c r="AE347" s="70" t="str">
        <f>IFERROR(#REF!/#REF!-1,"---")</f>
        <v>---</v>
      </c>
      <c r="AF347" s="70" t="str">
        <f>IFERROR(Q347/#REF!-1,"---")</f>
        <v>---</v>
      </c>
      <c r="AG347" s="70" t="str">
        <f>IFERROR(#REF!/#REF!-1,"---")</f>
        <v>---</v>
      </c>
      <c r="AH347" s="70" t="str">
        <f>IFERROR(#REF!/AA347-1,"---")</f>
        <v>---</v>
      </c>
      <c r="AI347" s="71" t="str">
        <f t="shared" si="50"/>
        <v>---</v>
      </c>
    </row>
    <row r="348" spans="1:35" ht="30" customHeight="1" x14ac:dyDescent="0.3">
      <c r="A348" s="123">
        <f t="shared" si="43"/>
        <v>344</v>
      </c>
      <c r="B348" s="140">
        <f>INDEX('PEER GROUP'!B:B,MATCH($A348,'PEER GROUP'!$A:$A,0))</f>
        <v>0</v>
      </c>
      <c r="C348" s="83">
        <f>INDEX('PEER GROUP'!C:C,MATCH($A348,'PEER GROUP'!$A:$A,0))</f>
        <v>0</v>
      </c>
      <c r="D348" s="83">
        <f>INDEX('PEER GROUP'!D:D,MATCH($A348,'PEER GROUP'!$A:$A,0))</f>
        <v>0</v>
      </c>
      <c r="E348" s="83">
        <f>INDEX('PEER GROUP'!E:E,MATCH(A348,'PEER GROUP'!$A:$A,0))</f>
        <v>0</v>
      </c>
      <c r="F348" s="84">
        <f>INDEX('PEER GROUP'!F:F,MATCH($A348,'PEER GROUP'!$A:$A,0))</f>
        <v>0</v>
      </c>
      <c r="G348" s="84">
        <f>INDEX('PEER GROUP'!G:G,MATCH($A348,'PEER GROUP'!$A:$A,0))</f>
        <v>0</v>
      </c>
      <c r="H348" s="85"/>
      <c r="I348" s="85"/>
      <c r="J348" s="70">
        <f>INDEX('PEER GROUP'!K:K,MATCH($A348,'PEER GROUP'!$A:$A,0))</f>
        <v>0</v>
      </c>
      <c r="K348" s="70">
        <f>INDEX('PEER GROUP'!L:L,MATCH($A348,'PEER GROUP'!$A:$A,0))</f>
        <v>0</v>
      </c>
      <c r="L348" s="81">
        <f>INDEX('PEER GROUP'!N:N,MATCH($A348,'PEER GROUP'!$A:$A,0))</f>
        <v>0</v>
      </c>
      <c r="M348" s="118"/>
      <c r="N348" s="115"/>
      <c r="O348" s="117"/>
      <c r="P348" s="87"/>
      <c r="Q348" s="87"/>
      <c r="R348" s="87">
        <f t="shared" si="44"/>
        <v>0</v>
      </c>
      <c r="S348" s="113">
        <f t="shared" si="42"/>
        <v>36.913096727263202</v>
      </c>
      <c r="T348" s="69">
        <f t="shared" si="45"/>
        <v>0</v>
      </c>
      <c r="U348" s="70">
        <f t="shared" si="46"/>
        <v>0</v>
      </c>
      <c r="V348" s="70">
        <f t="shared" si="47"/>
        <v>0</v>
      </c>
      <c r="W348" s="71">
        <f t="shared" si="48"/>
        <v>0</v>
      </c>
      <c r="X348" s="49"/>
      <c r="Y348" s="151"/>
      <c r="Z348" s="69"/>
      <c r="AA348" s="70"/>
      <c r="AB348" s="70"/>
      <c r="AC348" s="70" t="str">
        <f t="shared" si="49"/>
        <v>---</v>
      </c>
      <c r="AD348" s="70" t="str">
        <f>IFERROR(P348/#REF!-1,"---")</f>
        <v>---</v>
      </c>
      <c r="AE348" s="70" t="str">
        <f>IFERROR(#REF!/#REF!-1,"---")</f>
        <v>---</v>
      </c>
      <c r="AF348" s="70" t="str">
        <f>IFERROR(Q348/#REF!-1,"---")</f>
        <v>---</v>
      </c>
      <c r="AG348" s="70" t="str">
        <f>IFERROR(#REF!/#REF!-1,"---")</f>
        <v>---</v>
      </c>
      <c r="AH348" s="70" t="str">
        <f>IFERROR(#REF!/AA348-1,"---")</f>
        <v>---</v>
      </c>
      <c r="AI348" s="71" t="str">
        <f t="shared" si="50"/>
        <v>---</v>
      </c>
    </row>
    <row r="349" spans="1:35" ht="30" customHeight="1" x14ac:dyDescent="0.3">
      <c r="A349" s="123">
        <f t="shared" si="43"/>
        <v>345</v>
      </c>
      <c r="B349" s="140">
        <f>INDEX('PEER GROUP'!B:B,MATCH($A349,'PEER GROUP'!$A:$A,0))</f>
        <v>0</v>
      </c>
      <c r="C349" s="83">
        <f>INDEX('PEER GROUP'!C:C,MATCH($A349,'PEER GROUP'!$A:$A,0))</f>
        <v>0</v>
      </c>
      <c r="D349" s="83">
        <f>INDEX('PEER GROUP'!D:D,MATCH($A349,'PEER GROUP'!$A:$A,0))</f>
        <v>0</v>
      </c>
      <c r="E349" s="83">
        <f>INDEX('PEER GROUP'!E:E,MATCH(A349,'PEER GROUP'!$A:$A,0))</f>
        <v>0</v>
      </c>
      <c r="F349" s="84">
        <f>INDEX('PEER GROUP'!F:F,MATCH($A349,'PEER GROUP'!$A:$A,0))</f>
        <v>0</v>
      </c>
      <c r="G349" s="84">
        <f>INDEX('PEER GROUP'!G:G,MATCH($A349,'PEER GROUP'!$A:$A,0))</f>
        <v>0</v>
      </c>
      <c r="H349" s="85"/>
      <c r="I349" s="85"/>
      <c r="J349" s="70">
        <f>INDEX('PEER GROUP'!K:K,MATCH($A349,'PEER GROUP'!$A:$A,0))</f>
        <v>0</v>
      </c>
      <c r="K349" s="70">
        <f>INDEX('PEER GROUP'!L:L,MATCH($A349,'PEER GROUP'!$A:$A,0))</f>
        <v>0</v>
      </c>
      <c r="L349" s="81">
        <f>INDEX('PEER GROUP'!N:N,MATCH($A349,'PEER GROUP'!$A:$A,0))</f>
        <v>0</v>
      </c>
      <c r="M349" s="118"/>
      <c r="N349" s="115"/>
      <c r="O349" s="117"/>
      <c r="P349" s="87"/>
      <c r="Q349" s="87"/>
      <c r="R349" s="87">
        <f t="shared" si="44"/>
        <v>0</v>
      </c>
      <c r="S349" s="113">
        <f t="shared" si="42"/>
        <v>36.913096727263202</v>
      </c>
      <c r="T349" s="69">
        <f t="shared" si="45"/>
        <v>0</v>
      </c>
      <c r="U349" s="70">
        <f t="shared" si="46"/>
        <v>0</v>
      </c>
      <c r="V349" s="70">
        <f t="shared" si="47"/>
        <v>0</v>
      </c>
      <c r="W349" s="71">
        <f t="shared" si="48"/>
        <v>0</v>
      </c>
      <c r="X349" s="49"/>
      <c r="Y349" s="151"/>
      <c r="Z349" s="69"/>
      <c r="AA349" s="70"/>
      <c r="AB349" s="70"/>
      <c r="AC349" s="70" t="str">
        <f t="shared" si="49"/>
        <v>---</v>
      </c>
      <c r="AD349" s="70" t="str">
        <f>IFERROR(P349/#REF!-1,"---")</f>
        <v>---</v>
      </c>
      <c r="AE349" s="70" t="str">
        <f>IFERROR(#REF!/#REF!-1,"---")</f>
        <v>---</v>
      </c>
      <c r="AF349" s="70" t="str">
        <f>IFERROR(Q349/#REF!-1,"---")</f>
        <v>---</v>
      </c>
      <c r="AG349" s="70" t="str">
        <f>IFERROR(#REF!/#REF!-1,"---")</f>
        <v>---</v>
      </c>
      <c r="AH349" s="70" t="str">
        <f>IFERROR(#REF!/AA349-1,"---")</f>
        <v>---</v>
      </c>
      <c r="AI349" s="71" t="str">
        <f t="shared" si="50"/>
        <v>---</v>
      </c>
    </row>
    <row r="350" spans="1:35" ht="30" customHeight="1" x14ac:dyDescent="0.3">
      <c r="A350" s="123">
        <f t="shared" si="43"/>
        <v>346</v>
      </c>
      <c r="B350" s="140">
        <f>INDEX('PEER GROUP'!B:B,MATCH($A350,'PEER GROUP'!$A:$A,0))</f>
        <v>0</v>
      </c>
      <c r="C350" s="83">
        <f>INDEX('PEER GROUP'!C:C,MATCH($A350,'PEER GROUP'!$A:$A,0))</f>
        <v>0</v>
      </c>
      <c r="D350" s="83">
        <f>INDEX('PEER GROUP'!D:D,MATCH($A350,'PEER GROUP'!$A:$A,0))</f>
        <v>0</v>
      </c>
      <c r="E350" s="83">
        <f>INDEX('PEER GROUP'!E:E,MATCH(A350,'PEER GROUP'!$A:$A,0))</f>
        <v>0</v>
      </c>
      <c r="F350" s="84">
        <f>INDEX('PEER GROUP'!F:F,MATCH($A350,'PEER GROUP'!$A:$A,0))</f>
        <v>0</v>
      </c>
      <c r="G350" s="84">
        <f>INDEX('PEER GROUP'!G:G,MATCH($A350,'PEER GROUP'!$A:$A,0))</f>
        <v>0</v>
      </c>
      <c r="H350" s="85"/>
      <c r="I350" s="85"/>
      <c r="J350" s="70">
        <f>INDEX('PEER GROUP'!K:K,MATCH($A350,'PEER GROUP'!$A:$A,0))</f>
        <v>0</v>
      </c>
      <c r="K350" s="70">
        <f>INDEX('PEER GROUP'!L:L,MATCH($A350,'PEER GROUP'!$A:$A,0))</f>
        <v>0</v>
      </c>
      <c r="L350" s="81">
        <f>INDEX('PEER GROUP'!N:N,MATCH($A350,'PEER GROUP'!$A:$A,0))</f>
        <v>0</v>
      </c>
      <c r="M350" s="118"/>
      <c r="N350" s="115"/>
      <c r="O350" s="117"/>
      <c r="P350" s="87"/>
      <c r="Q350" s="87"/>
      <c r="R350" s="87">
        <f t="shared" si="44"/>
        <v>0</v>
      </c>
      <c r="S350" s="113">
        <f t="shared" si="42"/>
        <v>36.913096727263202</v>
      </c>
      <c r="T350" s="69">
        <f t="shared" si="45"/>
        <v>0</v>
      </c>
      <c r="U350" s="70">
        <f t="shared" si="46"/>
        <v>0</v>
      </c>
      <c r="V350" s="70">
        <f t="shared" si="47"/>
        <v>0</v>
      </c>
      <c r="W350" s="71">
        <f t="shared" si="48"/>
        <v>0</v>
      </c>
      <c r="X350" s="49"/>
      <c r="Y350" s="151"/>
      <c r="Z350" s="69"/>
      <c r="AA350" s="70"/>
      <c r="AB350" s="70"/>
      <c r="AC350" s="70" t="str">
        <f t="shared" si="49"/>
        <v>---</v>
      </c>
      <c r="AD350" s="70" t="str">
        <f>IFERROR(P350/#REF!-1,"---")</f>
        <v>---</v>
      </c>
      <c r="AE350" s="70" t="str">
        <f>IFERROR(#REF!/#REF!-1,"---")</f>
        <v>---</v>
      </c>
      <c r="AF350" s="70" t="str">
        <f>IFERROR(Q350/#REF!-1,"---")</f>
        <v>---</v>
      </c>
      <c r="AG350" s="70" t="str">
        <f>IFERROR(#REF!/#REF!-1,"---")</f>
        <v>---</v>
      </c>
      <c r="AH350" s="70" t="str">
        <f>IFERROR(#REF!/AA350-1,"---")</f>
        <v>---</v>
      </c>
      <c r="AI350" s="71" t="str">
        <f t="shared" si="50"/>
        <v>---</v>
      </c>
    </row>
    <row r="351" spans="1:35" ht="30" customHeight="1" x14ac:dyDescent="0.3">
      <c r="A351" s="123">
        <f t="shared" si="43"/>
        <v>347</v>
      </c>
      <c r="B351" s="140">
        <f>INDEX('PEER GROUP'!B:B,MATCH($A351,'PEER GROUP'!$A:$A,0))</f>
        <v>0</v>
      </c>
      <c r="C351" s="83">
        <f>INDEX('PEER GROUP'!C:C,MATCH($A351,'PEER GROUP'!$A:$A,0))</f>
        <v>0</v>
      </c>
      <c r="D351" s="83">
        <f>INDEX('PEER GROUP'!D:D,MATCH($A351,'PEER GROUP'!$A:$A,0))</f>
        <v>0</v>
      </c>
      <c r="E351" s="83">
        <f>INDEX('PEER GROUP'!E:E,MATCH(A351,'PEER GROUP'!$A:$A,0))</f>
        <v>0</v>
      </c>
      <c r="F351" s="84">
        <f>INDEX('PEER GROUP'!F:F,MATCH($A351,'PEER GROUP'!$A:$A,0))</f>
        <v>0</v>
      </c>
      <c r="G351" s="84">
        <f>INDEX('PEER GROUP'!G:G,MATCH($A351,'PEER GROUP'!$A:$A,0))</f>
        <v>0</v>
      </c>
      <c r="H351" s="85"/>
      <c r="I351" s="85"/>
      <c r="J351" s="70">
        <f>INDEX('PEER GROUP'!K:K,MATCH($A351,'PEER GROUP'!$A:$A,0))</f>
        <v>0</v>
      </c>
      <c r="K351" s="70">
        <f>INDEX('PEER GROUP'!L:L,MATCH($A351,'PEER GROUP'!$A:$A,0))</f>
        <v>0</v>
      </c>
      <c r="L351" s="81">
        <f>INDEX('PEER GROUP'!N:N,MATCH($A351,'PEER GROUP'!$A:$A,0))</f>
        <v>0</v>
      </c>
      <c r="M351" s="118"/>
      <c r="N351" s="115"/>
      <c r="O351" s="117"/>
      <c r="P351" s="87"/>
      <c r="Q351" s="87"/>
      <c r="R351" s="87">
        <f t="shared" si="44"/>
        <v>0</v>
      </c>
      <c r="S351" s="113">
        <f t="shared" si="42"/>
        <v>36.913096727263202</v>
      </c>
      <c r="T351" s="69">
        <f t="shared" si="45"/>
        <v>0</v>
      </c>
      <c r="U351" s="70">
        <f t="shared" si="46"/>
        <v>0</v>
      </c>
      <c r="V351" s="70">
        <f t="shared" si="47"/>
        <v>0</v>
      </c>
      <c r="W351" s="71">
        <f t="shared" si="48"/>
        <v>0</v>
      </c>
      <c r="X351" s="49"/>
      <c r="Y351" s="151"/>
      <c r="Z351" s="69"/>
      <c r="AA351" s="70"/>
      <c r="AB351" s="70"/>
      <c r="AC351" s="70" t="str">
        <f t="shared" si="49"/>
        <v>---</v>
      </c>
      <c r="AD351" s="70" t="str">
        <f>IFERROR(P351/#REF!-1,"---")</f>
        <v>---</v>
      </c>
      <c r="AE351" s="70" t="str">
        <f>IFERROR(#REF!/#REF!-1,"---")</f>
        <v>---</v>
      </c>
      <c r="AF351" s="70" t="str">
        <f>IFERROR(Q351/#REF!-1,"---")</f>
        <v>---</v>
      </c>
      <c r="AG351" s="70" t="str">
        <f>IFERROR(#REF!/#REF!-1,"---")</f>
        <v>---</v>
      </c>
      <c r="AH351" s="70" t="str">
        <f>IFERROR(#REF!/AA351-1,"---")</f>
        <v>---</v>
      </c>
      <c r="AI351" s="71" t="str">
        <f t="shared" si="50"/>
        <v>---</v>
      </c>
    </row>
    <row r="352" spans="1:35" ht="30" customHeight="1" x14ac:dyDescent="0.3">
      <c r="A352" s="123">
        <f t="shared" si="43"/>
        <v>348</v>
      </c>
      <c r="B352" s="140">
        <f>INDEX('PEER GROUP'!B:B,MATCH($A352,'PEER GROUP'!$A:$A,0))</f>
        <v>0</v>
      </c>
      <c r="C352" s="83">
        <f>INDEX('PEER GROUP'!C:C,MATCH($A352,'PEER GROUP'!$A:$A,0))</f>
        <v>0</v>
      </c>
      <c r="D352" s="83">
        <f>INDEX('PEER GROUP'!D:D,MATCH($A352,'PEER GROUP'!$A:$A,0))</f>
        <v>0</v>
      </c>
      <c r="E352" s="83">
        <f>INDEX('PEER GROUP'!E:E,MATCH(A352,'PEER GROUP'!$A:$A,0))</f>
        <v>0</v>
      </c>
      <c r="F352" s="84">
        <f>INDEX('PEER GROUP'!F:F,MATCH($A352,'PEER GROUP'!$A:$A,0))</f>
        <v>0</v>
      </c>
      <c r="G352" s="84">
        <f>INDEX('PEER GROUP'!G:G,MATCH($A352,'PEER GROUP'!$A:$A,0))</f>
        <v>0</v>
      </c>
      <c r="H352" s="85"/>
      <c r="I352" s="85"/>
      <c r="J352" s="70">
        <f>INDEX('PEER GROUP'!K:K,MATCH($A352,'PEER GROUP'!$A:$A,0))</f>
        <v>0</v>
      </c>
      <c r="K352" s="70">
        <f>INDEX('PEER GROUP'!L:L,MATCH($A352,'PEER GROUP'!$A:$A,0))</f>
        <v>0</v>
      </c>
      <c r="L352" s="81">
        <f>INDEX('PEER GROUP'!N:N,MATCH($A352,'PEER GROUP'!$A:$A,0))</f>
        <v>0</v>
      </c>
      <c r="M352" s="118"/>
      <c r="N352" s="115"/>
      <c r="O352" s="117"/>
      <c r="P352" s="87"/>
      <c r="Q352" s="87"/>
      <c r="R352" s="87">
        <f t="shared" si="44"/>
        <v>0</v>
      </c>
      <c r="S352" s="113">
        <f t="shared" si="42"/>
        <v>36.913096727263202</v>
      </c>
      <c r="T352" s="69">
        <f t="shared" si="45"/>
        <v>0</v>
      </c>
      <c r="U352" s="70">
        <f t="shared" si="46"/>
        <v>0</v>
      </c>
      <c r="V352" s="70">
        <f t="shared" si="47"/>
        <v>0</v>
      </c>
      <c r="W352" s="71">
        <f t="shared" si="48"/>
        <v>0</v>
      </c>
      <c r="X352" s="49"/>
      <c r="Y352" s="151"/>
      <c r="Z352" s="69"/>
      <c r="AA352" s="70"/>
      <c r="AB352" s="70"/>
      <c r="AC352" s="70" t="str">
        <f t="shared" si="49"/>
        <v>---</v>
      </c>
      <c r="AD352" s="70" t="str">
        <f>IFERROR(P352/#REF!-1,"---")</f>
        <v>---</v>
      </c>
      <c r="AE352" s="70" t="str">
        <f>IFERROR(#REF!/#REF!-1,"---")</f>
        <v>---</v>
      </c>
      <c r="AF352" s="70" t="str">
        <f>IFERROR(Q352/#REF!-1,"---")</f>
        <v>---</v>
      </c>
      <c r="AG352" s="70" t="str">
        <f>IFERROR(#REF!/#REF!-1,"---")</f>
        <v>---</v>
      </c>
      <c r="AH352" s="70" t="str">
        <f>IFERROR(#REF!/AA352-1,"---")</f>
        <v>---</v>
      </c>
      <c r="AI352" s="71" t="str">
        <f t="shared" si="50"/>
        <v>---</v>
      </c>
    </row>
    <row r="353" spans="1:35" ht="30" customHeight="1" x14ac:dyDescent="0.3">
      <c r="A353" s="123">
        <f t="shared" si="43"/>
        <v>349</v>
      </c>
      <c r="B353" s="140">
        <f>INDEX('PEER GROUP'!B:B,MATCH($A353,'PEER GROUP'!$A:$A,0))</f>
        <v>0</v>
      </c>
      <c r="C353" s="83">
        <f>INDEX('PEER GROUP'!C:C,MATCH($A353,'PEER GROUP'!$A:$A,0))</f>
        <v>0</v>
      </c>
      <c r="D353" s="83">
        <f>INDEX('PEER GROUP'!D:D,MATCH($A353,'PEER GROUP'!$A:$A,0))</f>
        <v>0</v>
      </c>
      <c r="E353" s="83">
        <f>INDEX('PEER GROUP'!E:E,MATCH(A353,'PEER GROUP'!$A:$A,0))</f>
        <v>0</v>
      </c>
      <c r="F353" s="84">
        <f>INDEX('PEER GROUP'!F:F,MATCH($A353,'PEER GROUP'!$A:$A,0))</f>
        <v>0</v>
      </c>
      <c r="G353" s="84">
        <f>INDEX('PEER GROUP'!G:G,MATCH($A353,'PEER GROUP'!$A:$A,0))</f>
        <v>0</v>
      </c>
      <c r="H353" s="85"/>
      <c r="I353" s="85"/>
      <c r="J353" s="70">
        <f>INDEX('PEER GROUP'!K:K,MATCH($A353,'PEER GROUP'!$A:$A,0))</f>
        <v>0</v>
      </c>
      <c r="K353" s="70">
        <f>INDEX('PEER GROUP'!L:L,MATCH($A353,'PEER GROUP'!$A:$A,0))</f>
        <v>0</v>
      </c>
      <c r="L353" s="81">
        <f>INDEX('PEER GROUP'!N:N,MATCH($A353,'PEER GROUP'!$A:$A,0))</f>
        <v>0</v>
      </c>
      <c r="M353" s="118"/>
      <c r="N353" s="115"/>
      <c r="O353" s="117"/>
      <c r="P353" s="87"/>
      <c r="Q353" s="87"/>
      <c r="R353" s="87">
        <f t="shared" si="44"/>
        <v>0</v>
      </c>
      <c r="S353" s="113">
        <f t="shared" si="42"/>
        <v>36.913096727263202</v>
      </c>
      <c r="T353" s="69">
        <f t="shared" si="45"/>
        <v>0</v>
      </c>
      <c r="U353" s="70">
        <f t="shared" si="46"/>
        <v>0</v>
      </c>
      <c r="V353" s="70">
        <f t="shared" si="47"/>
        <v>0</v>
      </c>
      <c r="W353" s="71">
        <f t="shared" si="48"/>
        <v>0</v>
      </c>
      <c r="X353" s="49"/>
      <c r="Y353" s="151"/>
      <c r="Z353" s="69"/>
      <c r="AA353" s="70"/>
      <c r="AB353" s="70"/>
      <c r="AC353" s="70" t="str">
        <f t="shared" si="49"/>
        <v>---</v>
      </c>
      <c r="AD353" s="70" t="str">
        <f>IFERROR(P353/#REF!-1,"---")</f>
        <v>---</v>
      </c>
      <c r="AE353" s="70" t="str">
        <f>IFERROR(#REF!/#REF!-1,"---")</f>
        <v>---</v>
      </c>
      <c r="AF353" s="70" t="str">
        <f>IFERROR(Q353/#REF!-1,"---")</f>
        <v>---</v>
      </c>
      <c r="AG353" s="70" t="str">
        <f>IFERROR(#REF!/#REF!-1,"---")</f>
        <v>---</v>
      </c>
      <c r="AH353" s="70" t="str">
        <f>IFERROR(#REF!/AA353-1,"---")</f>
        <v>---</v>
      </c>
      <c r="AI353" s="71" t="str">
        <f t="shared" si="50"/>
        <v>---</v>
      </c>
    </row>
    <row r="354" spans="1:35" ht="30" customHeight="1" x14ac:dyDescent="0.3">
      <c r="A354" s="123">
        <f t="shared" si="43"/>
        <v>350</v>
      </c>
      <c r="B354" s="140">
        <f>INDEX('PEER GROUP'!B:B,MATCH($A354,'PEER GROUP'!$A:$A,0))</f>
        <v>0</v>
      </c>
      <c r="C354" s="83">
        <f>INDEX('PEER GROUP'!C:C,MATCH($A354,'PEER GROUP'!$A:$A,0))</f>
        <v>0</v>
      </c>
      <c r="D354" s="83">
        <f>INDEX('PEER GROUP'!D:D,MATCH($A354,'PEER GROUP'!$A:$A,0))</f>
        <v>0</v>
      </c>
      <c r="E354" s="83">
        <f>INDEX('PEER GROUP'!E:E,MATCH(A354,'PEER GROUP'!$A:$A,0))</f>
        <v>0</v>
      </c>
      <c r="F354" s="84">
        <f>INDEX('PEER GROUP'!F:F,MATCH($A354,'PEER GROUP'!$A:$A,0))</f>
        <v>0</v>
      </c>
      <c r="G354" s="84">
        <f>INDEX('PEER GROUP'!G:G,MATCH($A354,'PEER GROUP'!$A:$A,0))</f>
        <v>0</v>
      </c>
      <c r="H354" s="85"/>
      <c r="I354" s="85"/>
      <c r="J354" s="70">
        <f>INDEX('PEER GROUP'!K:K,MATCH($A354,'PEER GROUP'!$A:$A,0))</f>
        <v>0</v>
      </c>
      <c r="K354" s="70">
        <f>INDEX('PEER GROUP'!L:L,MATCH($A354,'PEER GROUP'!$A:$A,0))</f>
        <v>0</v>
      </c>
      <c r="L354" s="81">
        <f>INDEX('PEER GROUP'!N:N,MATCH($A354,'PEER GROUP'!$A:$A,0))</f>
        <v>0</v>
      </c>
      <c r="M354" s="118"/>
      <c r="N354" s="115"/>
      <c r="O354" s="117"/>
      <c r="P354" s="87"/>
      <c r="Q354" s="87"/>
      <c r="R354" s="87">
        <f t="shared" si="44"/>
        <v>0</v>
      </c>
      <c r="S354" s="113">
        <f t="shared" si="42"/>
        <v>36.913096727263202</v>
      </c>
      <c r="T354" s="69">
        <f t="shared" si="45"/>
        <v>0</v>
      </c>
      <c r="U354" s="70">
        <f t="shared" si="46"/>
        <v>0</v>
      </c>
      <c r="V354" s="70">
        <f t="shared" si="47"/>
        <v>0</v>
      </c>
      <c r="W354" s="71">
        <f t="shared" si="48"/>
        <v>0</v>
      </c>
      <c r="X354" s="49"/>
      <c r="Y354" s="151"/>
      <c r="Z354" s="69"/>
      <c r="AA354" s="70"/>
      <c r="AB354" s="70"/>
      <c r="AC354" s="70" t="str">
        <f t="shared" si="49"/>
        <v>---</v>
      </c>
      <c r="AD354" s="70" t="str">
        <f>IFERROR(P354/#REF!-1,"---")</f>
        <v>---</v>
      </c>
      <c r="AE354" s="70" t="str">
        <f>IFERROR(#REF!/#REF!-1,"---")</f>
        <v>---</v>
      </c>
      <c r="AF354" s="70" t="str">
        <f>IFERROR(Q354/#REF!-1,"---")</f>
        <v>---</v>
      </c>
      <c r="AG354" s="70" t="str">
        <f>IFERROR(#REF!/#REF!-1,"---")</f>
        <v>---</v>
      </c>
      <c r="AH354" s="70" t="str">
        <f>IFERROR(#REF!/AA354-1,"---")</f>
        <v>---</v>
      </c>
      <c r="AI354" s="71" t="str">
        <f t="shared" si="50"/>
        <v>---</v>
      </c>
    </row>
    <row r="355" spans="1:35" ht="30" customHeight="1" x14ac:dyDescent="0.3">
      <c r="A355" s="123">
        <f t="shared" si="43"/>
        <v>351</v>
      </c>
      <c r="B355" s="140">
        <f>INDEX('PEER GROUP'!B:B,MATCH($A355,'PEER GROUP'!$A:$A,0))</f>
        <v>0</v>
      </c>
      <c r="C355" s="83">
        <f>INDEX('PEER GROUP'!C:C,MATCH($A355,'PEER GROUP'!$A:$A,0))</f>
        <v>0</v>
      </c>
      <c r="D355" s="83">
        <f>INDEX('PEER GROUP'!D:D,MATCH($A355,'PEER GROUP'!$A:$A,0))</f>
        <v>0</v>
      </c>
      <c r="E355" s="83">
        <f>INDEX('PEER GROUP'!E:E,MATCH(A355,'PEER GROUP'!$A:$A,0))</f>
        <v>0</v>
      </c>
      <c r="F355" s="84">
        <f>INDEX('PEER GROUP'!F:F,MATCH($A355,'PEER GROUP'!$A:$A,0))</f>
        <v>0</v>
      </c>
      <c r="G355" s="84">
        <f>INDEX('PEER GROUP'!G:G,MATCH($A355,'PEER GROUP'!$A:$A,0))</f>
        <v>0</v>
      </c>
      <c r="H355" s="85"/>
      <c r="I355" s="85"/>
      <c r="J355" s="70">
        <f>INDEX('PEER GROUP'!K:K,MATCH($A355,'PEER GROUP'!$A:$A,0))</f>
        <v>0</v>
      </c>
      <c r="K355" s="70">
        <f>INDEX('PEER GROUP'!L:L,MATCH($A355,'PEER GROUP'!$A:$A,0))</f>
        <v>0</v>
      </c>
      <c r="L355" s="81">
        <f>INDEX('PEER GROUP'!N:N,MATCH($A355,'PEER GROUP'!$A:$A,0))</f>
        <v>0</v>
      </c>
      <c r="M355" s="118"/>
      <c r="N355" s="115"/>
      <c r="O355" s="117"/>
      <c r="P355" s="87"/>
      <c r="Q355" s="87"/>
      <c r="R355" s="87">
        <f t="shared" si="44"/>
        <v>0</v>
      </c>
      <c r="S355" s="113">
        <f t="shared" ref="S355:S418" si="51">IF(DataEffDate&gt;DATE(2022,1,1),
IF(E355&lt;DATE(2022,1,1),
(1+UpdateFactor)^(IF(E355&lt;DataEffDate,1,-1)*YEARFRAC(E355,DATE(2022,1,1),1))+(1+UpdateFactor_TEMP)^(IF(DATE(2022,1,1)&lt;DataEffDate,1,-1)*YEARFRAC(DATE(2022,1,1),DataEffDate,1))-1,
(1+UpdateFactor_TEMP)^(IF(E355&lt;DataEffDate,1,-1)*YEARFRAC(E355,DataEffDate,1))),
(1+UpdateFactor)^(IF(E355&lt;DataEffDate,1,-1)*YEARFRAC(E355,DataEffDate,1)))</f>
        <v>36.913096727263202</v>
      </c>
      <c r="T355" s="69">
        <f t="shared" si="45"/>
        <v>0</v>
      </c>
      <c r="U355" s="70">
        <f t="shared" si="46"/>
        <v>0</v>
      </c>
      <c r="V355" s="70">
        <f t="shared" si="47"/>
        <v>0</v>
      </c>
      <c r="W355" s="71">
        <f t="shared" si="48"/>
        <v>0</v>
      </c>
      <c r="X355" s="49"/>
      <c r="Y355" s="151"/>
      <c r="Z355" s="69"/>
      <c r="AA355" s="70"/>
      <c r="AB355" s="70"/>
      <c r="AC355" s="70" t="str">
        <f t="shared" si="49"/>
        <v>---</v>
      </c>
      <c r="AD355" s="70" t="str">
        <f>IFERROR(P355/#REF!-1,"---")</f>
        <v>---</v>
      </c>
      <c r="AE355" s="70" t="str">
        <f>IFERROR(#REF!/#REF!-1,"---")</f>
        <v>---</v>
      </c>
      <c r="AF355" s="70" t="str">
        <f>IFERROR(Q355/#REF!-1,"---")</f>
        <v>---</v>
      </c>
      <c r="AG355" s="70" t="str">
        <f>IFERROR(#REF!/#REF!-1,"---")</f>
        <v>---</v>
      </c>
      <c r="AH355" s="70" t="str">
        <f>IFERROR(#REF!/AA355-1,"---")</f>
        <v>---</v>
      </c>
      <c r="AI355" s="71" t="str">
        <f t="shared" si="50"/>
        <v>---</v>
      </c>
    </row>
    <row r="356" spans="1:35" ht="30" customHeight="1" x14ac:dyDescent="0.3">
      <c r="A356" s="123">
        <f t="shared" ref="A356:A419" si="52">A355+1</f>
        <v>352</v>
      </c>
      <c r="B356" s="140">
        <f>INDEX('PEER GROUP'!B:B,MATCH($A356,'PEER GROUP'!$A:$A,0))</f>
        <v>0</v>
      </c>
      <c r="C356" s="83">
        <f>INDEX('PEER GROUP'!C:C,MATCH($A356,'PEER GROUP'!$A:$A,0))</f>
        <v>0</v>
      </c>
      <c r="D356" s="83">
        <f>INDEX('PEER GROUP'!D:D,MATCH($A356,'PEER GROUP'!$A:$A,0))</f>
        <v>0</v>
      </c>
      <c r="E356" s="83">
        <f>INDEX('PEER GROUP'!E:E,MATCH(A356,'PEER GROUP'!$A:$A,0))</f>
        <v>0</v>
      </c>
      <c r="F356" s="84">
        <f>INDEX('PEER GROUP'!F:F,MATCH($A356,'PEER GROUP'!$A:$A,0))</f>
        <v>0</v>
      </c>
      <c r="G356" s="84">
        <f>INDEX('PEER GROUP'!G:G,MATCH($A356,'PEER GROUP'!$A:$A,0))</f>
        <v>0</v>
      </c>
      <c r="H356" s="85"/>
      <c r="I356" s="85"/>
      <c r="J356" s="70">
        <f>INDEX('PEER GROUP'!K:K,MATCH($A356,'PEER GROUP'!$A:$A,0))</f>
        <v>0</v>
      </c>
      <c r="K356" s="70">
        <f>INDEX('PEER GROUP'!L:L,MATCH($A356,'PEER GROUP'!$A:$A,0))</f>
        <v>0</v>
      </c>
      <c r="L356" s="81">
        <f>INDEX('PEER GROUP'!N:N,MATCH($A356,'PEER GROUP'!$A:$A,0))</f>
        <v>0</v>
      </c>
      <c r="M356" s="118"/>
      <c r="N356" s="115"/>
      <c r="O356" s="117"/>
      <c r="P356" s="87"/>
      <c r="Q356" s="87"/>
      <c r="R356" s="87">
        <f t="shared" ref="R356:R419" si="53">SUM(O356:Q356)</f>
        <v>0</v>
      </c>
      <c r="S356" s="113">
        <f t="shared" si="51"/>
        <v>36.913096727263202</v>
      </c>
      <c r="T356" s="69">
        <f t="shared" ref="T356:T419" si="54">O356*$S356</f>
        <v>0</v>
      </c>
      <c r="U356" s="70">
        <f t="shared" ref="U356:U419" si="55">P356*$S356</f>
        <v>0</v>
      </c>
      <c r="V356" s="70">
        <f t="shared" ref="V356:V419" si="56">Q356*$S356</f>
        <v>0</v>
      </c>
      <c r="W356" s="71">
        <f t="shared" ref="W356:W419" si="57">SUM(T356:V356)</f>
        <v>0</v>
      </c>
      <c r="X356" s="49"/>
      <c r="Y356" s="151"/>
      <c r="Z356" s="69"/>
      <c r="AA356" s="70"/>
      <c r="AB356" s="70"/>
      <c r="AC356" s="70" t="str">
        <f t="shared" ref="AC356:AC419" si="58">IFERROR(O356/Z356-1,"---")</f>
        <v>---</v>
      </c>
      <c r="AD356" s="70" t="str">
        <f>IFERROR(P356/#REF!-1,"---")</f>
        <v>---</v>
      </c>
      <c r="AE356" s="70" t="str">
        <f>IFERROR(#REF!/#REF!-1,"---")</f>
        <v>---</v>
      </c>
      <c r="AF356" s="70" t="str">
        <f>IFERROR(Q356/#REF!-1,"---")</f>
        <v>---</v>
      </c>
      <c r="AG356" s="70" t="str">
        <f>IFERROR(#REF!/#REF!-1,"---")</f>
        <v>---</v>
      </c>
      <c r="AH356" s="70" t="str">
        <f>IFERROR(#REF!/AA356-1,"---")</f>
        <v>---</v>
      </c>
      <c r="AI356" s="71" t="str">
        <f t="shared" ref="AI356:AI419" si="59">IFERROR(R356/AB356-1,"---")</f>
        <v>---</v>
      </c>
    </row>
    <row r="357" spans="1:35" ht="30" customHeight="1" x14ac:dyDescent="0.3">
      <c r="A357" s="123">
        <f t="shared" si="52"/>
        <v>353</v>
      </c>
      <c r="B357" s="140">
        <f>INDEX('PEER GROUP'!B:B,MATCH($A357,'PEER GROUP'!$A:$A,0))</f>
        <v>0</v>
      </c>
      <c r="C357" s="83">
        <f>INDEX('PEER GROUP'!C:C,MATCH($A357,'PEER GROUP'!$A:$A,0))</f>
        <v>0</v>
      </c>
      <c r="D357" s="83">
        <f>INDEX('PEER GROUP'!D:D,MATCH($A357,'PEER GROUP'!$A:$A,0))</f>
        <v>0</v>
      </c>
      <c r="E357" s="83">
        <f>INDEX('PEER GROUP'!E:E,MATCH(A357,'PEER GROUP'!$A:$A,0))</f>
        <v>0</v>
      </c>
      <c r="F357" s="84">
        <f>INDEX('PEER GROUP'!F:F,MATCH($A357,'PEER GROUP'!$A:$A,0))</f>
        <v>0</v>
      </c>
      <c r="G357" s="84">
        <f>INDEX('PEER GROUP'!G:G,MATCH($A357,'PEER GROUP'!$A:$A,0))</f>
        <v>0</v>
      </c>
      <c r="H357" s="85"/>
      <c r="I357" s="85"/>
      <c r="J357" s="70">
        <f>INDEX('PEER GROUP'!K:K,MATCH($A357,'PEER GROUP'!$A:$A,0))</f>
        <v>0</v>
      </c>
      <c r="K357" s="70">
        <f>INDEX('PEER GROUP'!L:L,MATCH($A357,'PEER GROUP'!$A:$A,0))</f>
        <v>0</v>
      </c>
      <c r="L357" s="81">
        <f>INDEX('PEER GROUP'!N:N,MATCH($A357,'PEER GROUP'!$A:$A,0))</f>
        <v>0</v>
      </c>
      <c r="M357" s="118"/>
      <c r="N357" s="115"/>
      <c r="O357" s="117"/>
      <c r="P357" s="87"/>
      <c r="Q357" s="87"/>
      <c r="R357" s="87">
        <f t="shared" si="53"/>
        <v>0</v>
      </c>
      <c r="S357" s="113">
        <f t="shared" si="51"/>
        <v>36.913096727263202</v>
      </c>
      <c r="T357" s="69">
        <f t="shared" si="54"/>
        <v>0</v>
      </c>
      <c r="U357" s="70">
        <f t="shared" si="55"/>
        <v>0</v>
      </c>
      <c r="V357" s="70">
        <f t="shared" si="56"/>
        <v>0</v>
      </c>
      <c r="W357" s="71">
        <f t="shared" si="57"/>
        <v>0</v>
      </c>
      <c r="X357" s="49"/>
      <c r="Y357" s="151"/>
      <c r="Z357" s="69"/>
      <c r="AA357" s="70"/>
      <c r="AB357" s="70"/>
      <c r="AC357" s="70" t="str">
        <f t="shared" si="58"/>
        <v>---</v>
      </c>
      <c r="AD357" s="70" t="str">
        <f>IFERROR(P357/#REF!-1,"---")</f>
        <v>---</v>
      </c>
      <c r="AE357" s="70" t="str">
        <f>IFERROR(#REF!/#REF!-1,"---")</f>
        <v>---</v>
      </c>
      <c r="AF357" s="70" t="str">
        <f>IFERROR(Q357/#REF!-1,"---")</f>
        <v>---</v>
      </c>
      <c r="AG357" s="70" t="str">
        <f>IFERROR(#REF!/#REF!-1,"---")</f>
        <v>---</v>
      </c>
      <c r="AH357" s="70" t="str">
        <f>IFERROR(#REF!/AA357-1,"---")</f>
        <v>---</v>
      </c>
      <c r="AI357" s="71" t="str">
        <f t="shared" si="59"/>
        <v>---</v>
      </c>
    </row>
    <row r="358" spans="1:35" ht="30" customHeight="1" x14ac:dyDescent="0.3">
      <c r="A358" s="123">
        <f t="shared" si="52"/>
        <v>354</v>
      </c>
      <c r="B358" s="140">
        <f>INDEX('PEER GROUP'!B:B,MATCH($A358,'PEER GROUP'!$A:$A,0))</f>
        <v>0</v>
      </c>
      <c r="C358" s="83">
        <f>INDEX('PEER GROUP'!C:C,MATCH($A358,'PEER GROUP'!$A:$A,0))</f>
        <v>0</v>
      </c>
      <c r="D358" s="83">
        <f>INDEX('PEER GROUP'!D:D,MATCH($A358,'PEER GROUP'!$A:$A,0))</f>
        <v>0</v>
      </c>
      <c r="E358" s="83">
        <f>INDEX('PEER GROUP'!E:E,MATCH(A358,'PEER GROUP'!$A:$A,0))</f>
        <v>0</v>
      </c>
      <c r="F358" s="84">
        <f>INDEX('PEER GROUP'!F:F,MATCH($A358,'PEER GROUP'!$A:$A,0))</f>
        <v>0</v>
      </c>
      <c r="G358" s="84">
        <f>INDEX('PEER GROUP'!G:G,MATCH($A358,'PEER GROUP'!$A:$A,0))</f>
        <v>0</v>
      </c>
      <c r="H358" s="85"/>
      <c r="I358" s="85"/>
      <c r="J358" s="70">
        <f>INDEX('PEER GROUP'!K:K,MATCH($A358,'PEER GROUP'!$A:$A,0))</f>
        <v>0</v>
      </c>
      <c r="K358" s="70">
        <f>INDEX('PEER GROUP'!L:L,MATCH($A358,'PEER GROUP'!$A:$A,0))</f>
        <v>0</v>
      </c>
      <c r="L358" s="81">
        <f>INDEX('PEER GROUP'!N:N,MATCH($A358,'PEER GROUP'!$A:$A,0))</f>
        <v>0</v>
      </c>
      <c r="M358" s="118"/>
      <c r="N358" s="115"/>
      <c r="O358" s="117"/>
      <c r="P358" s="87"/>
      <c r="Q358" s="87"/>
      <c r="R358" s="87">
        <f t="shared" si="53"/>
        <v>0</v>
      </c>
      <c r="S358" s="113">
        <f t="shared" si="51"/>
        <v>36.913096727263202</v>
      </c>
      <c r="T358" s="69">
        <f t="shared" si="54"/>
        <v>0</v>
      </c>
      <c r="U358" s="70">
        <f t="shared" si="55"/>
        <v>0</v>
      </c>
      <c r="V358" s="70">
        <f t="shared" si="56"/>
        <v>0</v>
      </c>
      <c r="W358" s="71">
        <f t="shared" si="57"/>
        <v>0</v>
      </c>
      <c r="X358" s="49"/>
      <c r="Y358" s="151"/>
      <c r="Z358" s="69"/>
      <c r="AA358" s="70"/>
      <c r="AB358" s="70"/>
      <c r="AC358" s="70" t="str">
        <f t="shared" si="58"/>
        <v>---</v>
      </c>
      <c r="AD358" s="70" t="str">
        <f>IFERROR(P358/#REF!-1,"---")</f>
        <v>---</v>
      </c>
      <c r="AE358" s="70" t="str">
        <f>IFERROR(#REF!/#REF!-1,"---")</f>
        <v>---</v>
      </c>
      <c r="AF358" s="70" t="str">
        <f>IFERROR(Q358/#REF!-1,"---")</f>
        <v>---</v>
      </c>
      <c r="AG358" s="70" t="str">
        <f>IFERROR(#REF!/#REF!-1,"---")</f>
        <v>---</v>
      </c>
      <c r="AH358" s="70" t="str">
        <f>IFERROR(#REF!/AA358-1,"---")</f>
        <v>---</v>
      </c>
      <c r="AI358" s="71" t="str">
        <f t="shared" si="59"/>
        <v>---</v>
      </c>
    </row>
    <row r="359" spans="1:35" ht="30" customHeight="1" x14ac:dyDescent="0.3">
      <c r="A359" s="123">
        <f t="shared" si="52"/>
        <v>355</v>
      </c>
      <c r="B359" s="140">
        <f>INDEX('PEER GROUP'!B:B,MATCH($A359,'PEER GROUP'!$A:$A,0))</f>
        <v>0</v>
      </c>
      <c r="C359" s="83">
        <f>INDEX('PEER GROUP'!C:C,MATCH($A359,'PEER GROUP'!$A:$A,0))</f>
        <v>0</v>
      </c>
      <c r="D359" s="83">
        <f>INDEX('PEER GROUP'!D:D,MATCH($A359,'PEER GROUP'!$A:$A,0))</f>
        <v>0</v>
      </c>
      <c r="E359" s="83">
        <f>INDEX('PEER GROUP'!E:E,MATCH(A359,'PEER GROUP'!$A:$A,0))</f>
        <v>0</v>
      </c>
      <c r="F359" s="84">
        <f>INDEX('PEER GROUP'!F:F,MATCH($A359,'PEER GROUP'!$A:$A,0))</f>
        <v>0</v>
      </c>
      <c r="G359" s="84">
        <f>INDEX('PEER GROUP'!G:G,MATCH($A359,'PEER GROUP'!$A:$A,0))</f>
        <v>0</v>
      </c>
      <c r="H359" s="85"/>
      <c r="I359" s="85"/>
      <c r="J359" s="70">
        <f>INDEX('PEER GROUP'!K:K,MATCH($A359,'PEER GROUP'!$A:$A,0))</f>
        <v>0</v>
      </c>
      <c r="K359" s="70">
        <f>INDEX('PEER GROUP'!L:L,MATCH($A359,'PEER GROUP'!$A:$A,0))</f>
        <v>0</v>
      </c>
      <c r="L359" s="81">
        <f>INDEX('PEER GROUP'!N:N,MATCH($A359,'PEER GROUP'!$A:$A,0))</f>
        <v>0</v>
      </c>
      <c r="M359" s="118"/>
      <c r="N359" s="115"/>
      <c r="O359" s="117"/>
      <c r="P359" s="87"/>
      <c r="Q359" s="87"/>
      <c r="R359" s="87">
        <f t="shared" si="53"/>
        <v>0</v>
      </c>
      <c r="S359" s="113">
        <f t="shared" si="51"/>
        <v>36.913096727263202</v>
      </c>
      <c r="T359" s="69">
        <f t="shared" si="54"/>
        <v>0</v>
      </c>
      <c r="U359" s="70">
        <f t="shared" si="55"/>
        <v>0</v>
      </c>
      <c r="V359" s="70">
        <f t="shared" si="56"/>
        <v>0</v>
      </c>
      <c r="W359" s="71">
        <f t="shared" si="57"/>
        <v>0</v>
      </c>
      <c r="X359" s="49"/>
      <c r="Y359" s="151"/>
      <c r="Z359" s="69"/>
      <c r="AA359" s="70"/>
      <c r="AB359" s="70"/>
      <c r="AC359" s="70" t="str">
        <f t="shared" si="58"/>
        <v>---</v>
      </c>
      <c r="AD359" s="70" t="str">
        <f>IFERROR(P359/#REF!-1,"---")</f>
        <v>---</v>
      </c>
      <c r="AE359" s="70" t="str">
        <f>IFERROR(#REF!/#REF!-1,"---")</f>
        <v>---</v>
      </c>
      <c r="AF359" s="70" t="str">
        <f>IFERROR(Q359/#REF!-1,"---")</f>
        <v>---</v>
      </c>
      <c r="AG359" s="70" t="str">
        <f>IFERROR(#REF!/#REF!-1,"---")</f>
        <v>---</v>
      </c>
      <c r="AH359" s="70" t="str">
        <f>IFERROR(#REF!/AA359-1,"---")</f>
        <v>---</v>
      </c>
      <c r="AI359" s="71" t="str">
        <f t="shared" si="59"/>
        <v>---</v>
      </c>
    </row>
    <row r="360" spans="1:35" ht="30" customHeight="1" x14ac:dyDescent="0.3">
      <c r="A360" s="123">
        <f t="shared" si="52"/>
        <v>356</v>
      </c>
      <c r="B360" s="140">
        <f>INDEX('PEER GROUP'!B:B,MATCH($A360,'PEER GROUP'!$A:$A,0))</f>
        <v>0</v>
      </c>
      <c r="C360" s="83">
        <f>INDEX('PEER GROUP'!C:C,MATCH($A360,'PEER GROUP'!$A:$A,0))</f>
        <v>0</v>
      </c>
      <c r="D360" s="83">
        <f>INDEX('PEER GROUP'!D:D,MATCH($A360,'PEER GROUP'!$A:$A,0))</f>
        <v>0</v>
      </c>
      <c r="E360" s="83">
        <f>INDEX('PEER GROUP'!E:E,MATCH(A360,'PEER GROUP'!$A:$A,0))</f>
        <v>0</v>
      </c>
      <c r="F360" s="84">
        <f>INDEX('PEER GROUP'!F:F,MATCH($A360,'PEER GROUP'!$A:$A,0))</f>
        <v>0</v>
      </c>
      <c r="G360" s="84">
        <f>INDEX('PEER GROUP'!G:G,MATCH($A360,'PEER GROUP'!$A:$A,0))</f>
        <v>0</v>
      </c>
      <c r="H360" s="85"/>
      <c r="I360" s="85"/>
      <c r="J360" s="70">
        <f>INDEX('PEER GROUP'!K:K,MATCH($A360,'PEER GROUP'!$A:$A,0))</f>
        <v>0</v>
      </c>
      <c r="K360" s="70">
        <f>INDEX('PEER GROUP'!L:L,MATCH($A360,'PEER GROUP'!$A:$A,0))</f>
        <v>0</v>
      </c>
      <c r="L360" s="81">
        <f>INDEX('PEER GROUP'!N:N,MATCH($A360,'PEER GROUP'!$A:$A,0))</f>
        <v>0</v>
      </c>
      <c r="M360" s="118"/>
      <c r="N360" s="115"/>
      <c r="O360" s="117"/>
      <c r="P360" s="87"/>
      <c r="Q360" s="87"/>
      <c r="R360" s="87">
        <f t="shared" si="53"/>
        <v>0</v>
      </c>
      <c r="S360" s="113">
        <f t="shared" si="51"/>
        <v>36.913096727263202</v>
      </c>
      <c r="T360" s="69">
        <f t="shared" si="54"/>
        <v>0</v>
      </c>
      <c r="U360" s="70">
        <f t="shared" si="55"/>
        <v>0</v>
      </c>
      <c r="V360" s="70">
        <f t="shared" si="56"/>
        <v>0</v>
      </c>
      <c r="W360" s="71">
        <f t="shared" si="57"/>
        <v>0</v>
      </c>
      <c r="X360" s="49"/>
      <c r="Y360" s="151"/>
      <c r="Z360" s="69"/>
      <c r="AA360" s="70"/>
      <c r="AB360" s="70"/>
      <c r="AC360" s="70" t="str">
        <f t="shared" si="58"/>
        <v>---</v>
      </c>
      <c r="AD360" s="70" t="str">
        <f>IFERROR(P360/#REF!-1,"---")</f>
        <v>---</v>
      </c>
      <c r="AE360" s="70" t="str">
        <f>IFERROR(#REF!/#REF!-1,"---")</f>
        <v>---</v>
      </c>
      <c r="AF360" s="70" t="str">
        <f>IFERROR(Q360/#REF!-1,"---")</f>
        <v>---</v>
      </c>
      <c r="AG360" s="70" t="str">
        <f>IFERROR(#REF!/#REF!-1,"---")</f>
        <v>---</v>
      </c>
      <c r="AH360" s="70" t="str">
        <f>IFERROR(#REF!/AA360-1,"---")</f>
        <v>---</v>
      </c>
      <c r="AI360" s="71" t="str">
        <f t="shared" si="59"/>
        <v>---</v>
      </c>
    </row>
    <row r="361" spans="1:35" ht="30" customHeight="1" x14ac:dyDescent="0.3">
      <c r="A361" s="123">
        <f t="shared" si="52"/>
        <v>357</v>
      </c>
      <c r="B361" s="140">
        <f>INDEX('PEER GROUP'!B:B,MATCH($A361,'PEER GROUP'!$A:$A,0))</f>
        <v>0</v>
      </c>
      <c r="C361" s="83">
        <f>INDEX('PEER GROUP'!C:C,MATCH($A361,'PEER GROUP'!$A:$A,0))</f>
        <v>0</v>
      </c>
      <c r="D361" s="83">
        <f>INDEX('PEER GROUP'!D:D,MATCH($A361,'PEER GROUP'!$A:$A,0))</f>
        <v>0</v>
      </c>
      <c r="E361" s="83">
        <f>INDEX('PEER GROUP'!E:E,MATCH(A361,'PEER GROUP'!$A:$A,0))</f>
        <v>0</v>
      </c>
      <c r="F361" s="84">
        <f>INDEX('PEER GROUP'!F:F,MATCH($A361,'PEER GROUP'!$A:$A,0))</f>
        <v>0</v>
      </c>
      <c r="G361" s="84">
        <f>INDEX('PEER GROUP'!G:G,MATCH($A361,'PEER GROUP'!$A:$A,0))</f>
        <v>0</v>
      </c>
      <c r="H361" s="85"/>
      <c r="I361" s="85"/>
      <c r="J361" s="70">
        <f>INDEX('PEER GROUP'!K:K,MATCH($A361,'PEER GROUP'!$A:$A,0))</f>
        <v>0</v>
      </c>
      <c r="K361" s="70">
        <f>INDEX('PEER GROUP'!L:L,MATCH($A361,'PEER GROUP'!$A:$A,0))</f>
        <v>0</v>
      </c>
      <c r="L361" s="81">
        <f>INDEX('PEER GROUP'!N:N,MATCH($A361,'PEER GROUP'!$A:$A,0))</f>
        <v>0</v>
      </c>
      <c r="M361" s="118"/>
      <c r="N361" s="115"/>
      <c r="O361" s="117"/>
      <c r="P361" s="87"/>
      <c r="Q361" s="87"/>
      <c r="R361" s="87">
        <f t="shared" si="53"/>
        <v>0</v>
      </c>
      <c r="S361" s="113">
        <f t="shared" si="51"/>
        <v>36.913096727263202</v>
      </c>
      <c r="T361" s="69">
        <f t="shared" si="54"/>
        <v>0</v>
      </c>
      <c r="U361" s="70">
        <f t="shared" si="55"/>
        <v>0</v>
      </c>
      <c r="V361" s="70">
        <f t="shared" si="56"/>
        <v>0</v>
      </c>
      <c r="W361" s="71">
        <f t="shared" si="57"/>
        <v>0</v>
      </c>
      <c r="X361" s="49"/>
      <c r="Y361" s="151"/>
      <c r="Z361" s="69"/>
      <c r="AA361" s="70"/>
      <c r="AB361" s="70"/>
      <c r="AC361" s="70" t="str">
        <f t="shared" si="58"/>
        <v>---</v>
      </c>
      <c r="AD361" s="70" t="str">
        <f>IFERROR(P361/#REF!-1,"---")</f>
        <v>---</v>
      </c>
      <c r="AE361" s="70" t="str">
        <f>IFERROR(#REF!/#REF!-1,"---")</f>
        <v>---</v>
      </c>
      <c r="AF361" s="70" t="str">
        <f>IFERROR(Q361/#REF!-1,"---")</f>
        <v>---</v>
      </c>
      <c r="AG361" s="70" t="str">
        <f>IFERROR(#REF!/#REF!-1,"---")</f>
        <v>---</v>
      </c>
      <c r="AH361" s="70" t="str">
        <f>IFERROR(#REF!/AA361-1,"---")</f>
        <v>---</v>
      </c>
      <c r="AI361" s="71" t="str">
        <f t="shared" si="59"/>
        <v>---</v>
      </c>
    </row>
    <row r="362" spans="1:35" ht="30" customHeight="1" x14ac:dyDescent="0.3">
      <c r="A362" s="123">
        <f t="shared" si="52"/>
        <v>358</v>
      </c>
      <c r="B362" s="140">
        <f>INDEX('PEER GROUP'!B:B,MATCH($A362,'PEER GROUP'!$A:$A,0))</f>
        <v>0</v>
      </c>
      <c r="C362" s="83">
        <f>INDEX('PEER GROUP'!C:C,MATCH($A362,'PEER GROUP'!$A:$A,0))</f>
        <v>0</v>
      </c>
      <c r="D362" s="83">
        <f>INDEX('PEER GROUP'!D:D,MATCH($A362,'PEER GROUP'!$A:$A,0))</f>
        <v>0</v>
      </c>
      <c r="E362" s="83">
        <f>INDEX('PEER GROUP'!E:E,MATCH(A362,'PEER GROUP'!$A:$A,0))</f>
        <v>0</v>
      </c>
      <c r="F362" s="84">
        <f>INDEX('PEER GROUP'!F:F,MATCH($A362,'PEER GROUP'!$A:$A,0))</f>
        <v>0</v>
      </c>
      <c r="G362" s="84">
        <f>INDEX('PEER GROUP'!G:G,MATCH($A362,'PEER GROUP'!$A:$A,0))</f>
        <v>0</v>
      </c>
      <c r="H362" s="85"/>
      <c r="I362" s="85"/>
      <c r="J362" s="70">
        <f>INDEX('PEER GROUP'!K:K,MATCH($A362,'PEER GROUP'!$A:$A,0))</f>
        <v>0</v>
      </c>
      <c r="K362" s="70">
        <f>INDEX('PEER GROUP'!L:L,MATCH($A362,'PEER GROUP'!$A:$A,0))</f>
        <v>0</v>
      </c>
      <c r="L362" s="81">
        <f>INDEX('PEER GROUP'!N:N,MATCH($A362,'PEER GROUP'!$A:$A,0))</f>
        <v>0</v>
      </c>
      <c r="M362" s="118"/>
      <c r="N362" s="115"/>
      <c r="O362" s="117"/>
      <c r="P362" s="87"/>
      <c r="Q362" s="87"/>
      <c r="R362" s="87">
        <f t="shared" si="53"/>
        <v>0</v>
      </c>
      <c r="S362" s="113">
        <f t="shared" si="51"/>
        <v>36.913096727263202</v>
      </c>
      <c r="T362" s="69">
        <f t="shared" si="54"/>
        <v>0</v>
      </c>
      <c r="U362" s="70">
        <f t="shared" si="55"/>
        <v>0</v>
      </c>
      <c r="V362" s="70">
        <f t="shared" si="56"/>
        <v>0</v>
      </c>
      <c r="W362" s="71">
        <f t="shared" si="57"/>
        <v>0</v>
      </c>
      <c r="X362" s="49"/>
      <c r="Y362" s="151"/>
      <c r="Z362" s="69"/>
      <c r="AA362" s="70"/>
      <c r="AB362" s="70"/>
      <c r="AC362" s="70" t="str">
        <f t="shared" si="58"/>
        <v>---</v>
      </c>
      <c r="AD362" s="70" t="str">
        <f>IFERROR(P362/#REF!-1,"---")</f>
        <v>---</v>
      </c>
      <c r="AE362" s="70" t="str">
        <f>IFERROR(#REF!/#REF!-1,"---")</f>
        <v>---</v>
      </c>
      <c r="AF362" s="70" t="str">
        <f>IFERROR(Q362/#REF!-1,"---")</f>
        <v>---</v>
      </c>
      <c r="AG362" s="70" t="str">
        <f>IFERROR(#REF!/#REF!-1,"---")</f>
        <v>---</v>
      </c>
      <c r="AH362" s="70" t="str">
        <f>IFERROR(#REF!/AA362-1,"---")</f>
        <v>---</v>
      </c>
      <c r="AI362" s="71" t="str">
        <f t="shared" si="59"/>
        <v>---</v>
      </c>
    </row>
    <row r="363" spans="1:35" ht="30" customHeight="1" x14ac:dyDescent="0.3">
      <c r="A363" s="123">
        <f t="shared" si="52"/>
        <v>359</v>
      </c>
      <c r="B363" s="140">
        <f>INDEX('PEER GROUP'!B:B,MATCH($A363,'PEER GROUP'!$A:$A,0))</f>
        <v>0</v>
      </c>
      <c r="C363" s="83">
        <f>INDEX('PEER GROUP'!C:C,MATCH($A363,'PEER GROUP'!$A:$A,0))</f>
        <v>0</v>
      </c>
      <c r="D363" s="83">
        <f>INDEX('PEER GROUP'!D:D,MATCH($A363,'PEER GROUP'!$A:$A,0))</f>
        <v>0</v>
      </c>
      <c r="E363" s="83">
        <f>INDEX('PEER GROUP'!E:E,MATCH(A363,'PEER GROUP'!$A:$A,0))</f>
        <v>0</v>
      </c>
      <c r="F363" s="84">
        <f>INDEX('PEER GROUP'!F:F,MATCH($A363,'PEER GROUP'!$A:$A,0))</f>
        <v>0</v>
      </c>
      <c r="G363" s="84">
        <f>INDEX('PEER GROUP'!G:G,MATCH($A363,'PEER GROUP'!$A:$A,0))</f>
        <v>0</v>
      </c>
      <c r="H363" s="85"/>
      <c r="I363" s="85"/>
      <c r="J363" s="70">
        <f>INDEX('PEER GROUP'!K:K,MATCH($A363,'PEER GROUP'!$A:$A,0))</f>
        <v>0</v>
      </c>
      <c r="K363" s="70">
        <f>INDEX('PEER GROUP'!L:L,MATCH($A363,'PEER GROUP'!$A:$A,0))</f>
        <v>0</v>
      </c>
      <c r="L363" s="81">
        <f>INDEX('PEER GROUP'!N:N,MATCH($A363,'PEER GROUP'!$A:$A,0))</f>
        <v>0</v>
      </c>
      <c r="M363" s="118"/>
      <c r="N363" s="115"/>
      <c r="O363" s="117"/>
      <c r="P363" s="87"/>
      <c r="Q363" s="87"/>
      <c r="R363" s="87">
        <f t="shared" si="53"/>
        <v>0</v>
      </c>
      <c r="S363" s="113">
        <f t="shared" si="51"/>
        <v>36.913096727263202</v>
      </c>
      <c r="T363" s="69">
        <f t="shared" si="54"/>
        <v>0</v>
      </c>
      <c r="U363" s="70">
        <f t="shared" si="55"/>
        <v>0</v>
      </c>
      <c r="V363" s="70">
        <f t="shared" si="56"/>
        <v>0</v>
      </c>
      <c r="W363" s="71">
        <f t="shared" si="57"/>
        <v>0</v>
      </c>
      <c r="X363" s="49"/>
      <c r="Y363" s="151"/>
      <c r="Z363" s="69"/>
      <c r="AA363" s="70"/>
      <c r="AB363" s="70"/>
      <c r="AC363" s="70" t="str">
        <f t="shared" si="58"/>
        <v>---</v>
      </c>
      <c r="AD363" s="70" t="str">
        <f>IFERROR(P363/#REF!-1,"---")</f>
        <v>---</v>
      </c>
      <c r="AE363" s="70" t="str">
        <f>IFERROR(#REF!/#REF!-1,"---")</f>
        <v>---</v>
      </c>
      <c r="AF363" s="70" t="str">
        <f>IFERROR(Q363/#REF!-1,"---")</f>
        <v>---</v>
      </c>
      <c r="AG363" s="70" t="str">
        <f>IFERROR(#REF!/#REF!-1,"---")</f>
        <v>---</v>
      </c>
      <c r="AH363" s="70" t="str">
        <f>IFERROR(#REF!/AA363-1,"---")</f>
        <v>---</v>
      </c>
      <c r="AI363" s="71" t="str">
        <f t="shared" si="59"/>
        <v>---</v>
      </c>
    </row>
    <row r="364" spans="1:35" ht="30" customHeight="1" x14ac:dyDescent="0.3">
      <c r="A364" s="123">
        <f t="shared" si="52"/>
        <v>360</v>
      </c>
      <c r="B364" s="140">
        <f>INDEX('PEER GROUP'!B:B,MATCH($A364,'PEER GROUP'!$A:$A,0))</f>
        <v>0</v>
      </c>
      <c r="C364" s="83">
        <f>INDEX('PEER GROUP'!C:C,MATCH($A364,'PEER GROUP'!$A:$A,0))</f>
        <v>0</v>
      </c>
      <c r="D364" s="83">
        <f>INDEX('PEER GROUP'!D:D,MATCH($A364,'PEER GROUP'!$A:$A,0))</f>
        <v>0</v>
      </c>
      <c r="E364" s="83">
        <f>INDEX('PEER GROUP'!E:E,MATCH(A364,'PEER GROUP'!$A:$A,0))</f>
        <v>0</v>
      </c>
      <c r="F364" s="84">
        <f>INDEX('PEER GROUP'!F:F,MATCH($A364,'PEER GROUP'!$A:$A,0))</f>
        <v>0</v>
      </c>
      <c r="G364" s="84">
        <f>INDEX('PEER GROUP'!G:G,MATCH($A364,'PEER GROUP'!$A:$A,0))</f>
        <v>0</v>
      </c>
      <c r="H364" s="85"/>
      <c r="I364" s="85"/>
      <c r="J364" s="70">
        <f>INDEX('PEER GROUP'!K:K,MATCH($A364,'PEER GROUP'!$A:$A,0))</f>
        <v>0</v>
      </c>
      <c r="K364" s="70">
        <f>INDEX('PEER GROUP'!L:L,MATCH($A364,'PEER GROUP'!$A:$A,0))</f>
        <v>0</v>
      </c>
      <c r="L364" s="81">
        <f>INDEX('PEER GROUP'!N:N,MATCH($A364,'PEER GROUP'!$A:$A,0))</f>
        <v>0</v>
      </c>
      <c r="M364" s="118"/>
      <c r="N364" s="115"/>
      <c r="O364" s="117"/>
      <c r="P364" s="87"/>
      <c r="Q364" s="87"/>
      <c r="R364" s="87">
        <f t="shared" si="53"/>
        <v>0</v>
      </c>
      <c r="S364" s="113">
        <f t="shared" si="51"/>
        <v>36.913096727263202</v>
      </c>
      <c r="T364" s="69">
        <f t="shared" si="54"/>
        <v>0</v>
      </c>
      <c r="U364" s="70">
        <f t="shared" si="55"/>
        <v>0</v>
      </c>
      <c r="V364" s="70">
        <f t="shared" si="56"/>
        <v>0</v>
      </c>
      <c r="W364" s="71">
        <f t="shared" si="57"/>
        <v>0</v>
      </c>
      <c r="X364" s="49"/>
      <c r="Y364" s="151"/>
      <c r="Z364" s="69"/>
      <c r="AA364" s="70"/>
      <c r="AB364" s="70"/>
      <c r="AC364" s="70" t="str">
        <f t="shared" si="58"/>
        <v>---</v>
      </c>
      <c r="AD364" s="70" t="str">
        <f>IFERROR(P364/#REF!-1,"---")</f>
        <v>---</v>
      </c>
      <c r="AE364" s="70" t="str">
        <f>IFERROR(#REF!/#REF!-1,"---")</f>
        <v>---</v>
      </c>
      <c r="AF364" s="70" t="str">
        <f>IFERROR(Q364/#REF!-1,"---")</f>
        <v>---</v>
      </c>
      <c r="AG364" s="70" t="str">
        <f>IFERROR(#REF!/#REF!-1,"---")</f>
        <v>---</v>
      </c>
      <c r="AH364" s="70" t="str">
        <f>IFERROR(#REF!/AA364-1,"---")</f>
        <v>---</v>
      </c>
      <c r="AI364" s="71" t="str">
        <f t="shared" si="59"/>
        <v>---</v>
      </c>
    </row>
    <row r="365" spans="1:35" ht="30" customHeight="1" x14ac:dyDescent="0.3">
      <c r="A365" s="123">
        <f t="shared" si="52"/>
        <v>361</v>
      </c>
      <c r="B365" s="140">
        <f>INDEX('PEER GROUP'!B:B,MATCH($A365,'PEER GROUP'!$A:$A,0))</f>
        <v>0</v>
      </c>
      <c r="C365" s="83">
        <f>INDEX('PEER GROUP'!C:C,MATCH($A365,'PEER GROUP'!$A:$A,0))</f>
        <v>0</v>
      </c>
      <c r="D365" s="83">
        <f>INDEX('PEER GROUP'!D:D,MATCH($A365,'PEER GROUP'!$A:$A,0))</f>
        <v>0</v>
      </c>
      <c r="E365" s="83">
        <f>INDEX('PEER GROUP'!E:E,MATCH(A365,'PEER GROUP'!$A:$A,0))</f>
        <v>0</v>
      </c>
      <c r="F365" s="84">
        <f>INDEX('PEER GROUP'!F:F,MATCH($A365,'PEER GROUP'!$A:$A,0))</f>
        <v>0</v>
      </c>
      <c r="G365" s="84">
        <f>INDEX('PEER GROUP'!G:G,MATCH($A365,'PEER GROUP'!$A:$A,0))</f>
        <v>0</v>
      </c>
      <c r="H365" s="85"/>
      <c r="I365" s="85"/>
      <c r="J365" s="70">
        <f>INDEX('PEER GROUP'!K:K,MATCH($A365,'PEER GROUP'!$A:$A,0))</f>
        <v>0</v>
      </c>
      <c r="K365" s="70">
        <f>INDEX('PEER GROUP'!L:L,MATCH($A365,'PEER GROUP'!$A:$A,0))</f>
        <v>0</v>
      </c>
      <c r="L365" s="81">
        <f>INDEX('PEER GROUP'!N:N,MATCH($A365,'PEER GROUP'!$A:$A,0))</f>
        <v>0</v>
      </c>
      <c r="M365" s="118"/>
      <c r="N365" s="115"/>
      <c r="O365" s="117"/>
      <c r="P365" s="87"/>
      <c r="Q365" s="87"/>
      <c r="R365" s="87">
        <f t="shared" si="53"/>
        <v>0</v>
      </c>
      <c r="S365" s="113">
        <f t="shared" si="51"/>
        <v>36.913096727263202</v>
      </c>
      <c r="T365" s="69">
        <f t="shared" si="54"/>
        <v>0</v>
      </c>
      <c r="U365" s="70">
        <f t="shared" si="55"/>
        <v>0</v>
      </c>
      <c r="V365" s="70">
        <f t="shared" si="56"/>
        <v>0</v>
      </c>
      <c r="W365" s="71">
        <f t="shared" si="57"/>
        <v>0</v>
      </c>
      <c r="X365" s="49"/>
      <c r="Y365" s="151"/>
      <c r="Z365" s="69"/>
      <c r="AA365" s="70"/>
      <c r="AB365" s="70"/>
      <c r="AC365" s="70" t="str">
        <f t="shared" si="58"/>
        <v>---</v>
      </c>
      <c r="AD365" s="70" t="str">
        <f>IFERROR(P365/#REF!-1,"---")</f>
        <v>---</v>
      </c>
      <c r="AE365" s="70" t="str">
        <f>IFERROR(#REF!/#REF!-1,"---")</f>
        <v>---</v>
      </c>
      <c r="AF365" s="70" t="str">
        <f>IFERROR(Q365/#REF!-1,"---")</f>
        <v>---</v>
      </c>
      <c r="AG365" s="70" t="str">
        <f>IFERROR(#REF!/#REF!-1,"---")</f>
        <v>---</v>
      </c>
      <c r="AH365" s="70" t="str">
        <f>IFERROR(#REF!/AA365-1,"---")</f>
        <v>---</v>
      </c>
      <c r="AI365" s="71" t="str">
        <f t="shared" si="59"/>
        <v>---</v>
      </c>
    </row>
    <row r="366" spans="1:35" ht="30" customHeight="1" x14ac:dyDescent="0.3">
      <c r="A366" s="123">
        <f t="shared" si="52"/>
        <v>362</v>
      </c>
      <c r="B366" s="140">
        <f>INDEX('PEER GROUP'!B:B,MATCH($A366,'PEER GROUP'!$A:$A,0))</f>
        <v>0</v>
      </c>
      <c r="C366" s="83">
        <f>INDEX('PEER GROUP'!C:C,MATCH($A366,'PEER GROUP'!$A:$A,0))</f>
        <v>0</v>
      </c>
      <c r="D366" s="83">
        <f>INDEX('PEER GROUP'!D:D,MATCH($A366,'PEER GROUP'!$A:$A,0))</f>
        <v>0</v>
      </c>
      <c r="E366" s="83">
        <f>INDEX('PEER GROUP'!E:E,MATCH(A366,'PEER GROUP'!$A:$A,0))</f>
        <v>0</v>
      </c>
      <c r="F366" s="84">
        <f>INDEX('PEER GROUP'!F:F,MATCH($A366,'PEER GROUP'!$A:$A,0))</f>
        <v>0</v>
      </c>
      <c r="G366" s="84">
        <f>INDEX('PEER GROUP'!G:G,MATCH($A366,'PEER GROUP'!$A:$A,0))</f>
        <v>0</v>
      </c>
      <c r="H366" s="85"/>
      <c r="I366" s="85"/>
      <c r="J366" s="70">
        <f>INDEX('PEER GROUP'!K:K,MATCH($A366,'PEER GROUP'!$A:$A,0))</f>
        <v>0</v>
      </c>
      <c r="K366" s="70">
        <f>INDEX('PEER GROUP'!L:L,MATCH($A366,'PEER GROUP'!$A:$A,0))</f>
        <v>0</v>
      </c>
      <c r="L366" s="81">
        <f>INDEX('PEER GROUP'!N:N,MATCH($A366,'PEER GROUP'!$A:$A,0))</f>
        <v>0</v>
      </c>
      <c r="M366" s="118"/>
      <c r="N366" s="115"/>
      <c r="O366" s="117"/>
      <c r="P366" s="87"/>
      <c r="Q366" s="87"/>
      <c r="R366" s="87">
        <f t="shared" si="53"/>
        <v>0</v>
      </c>
      <c r="S366" s="113">
        <f t="shared" si="51"/>
        <v>36.913096727263202</v>
      </c>
      <c r="T366" s="69">
        <f t="shared" si="54"/>
        <v>0</v>
      </c>
      <c r="U366" s="70">
        <f t="shared" si="55"/>
        <v>0</v>
      </c>
      <c r="V366" s="70">
        <f t="shared" si="56"/>
        <v>0</v>
      </c>
      <c r="W366" s="71">
        <f t="shared" si="57"/>
        <v>0</v>
      </c>
      <c r="X366" s="49"/>
      <c r="Y366" s="151"/>
      <c r="Z366" s="69"/>
      <c r="AA366" s="70"/>
      <c r="AB366" s="70"/>
      <c r="AC366" s="70" t="str">
        <f t="shared" si="58"/>
        <v>---</v>
      </c>
      <c r="AD366" s="70" t="str">
        <f>IFERROR(P366/#REF!-1,"---")</f>
        <v>---</v>
      </c>
      <c r="AE366" s="70" t="str">
        <f>IFERROR(#REF!/#REF!-1,"---")</f>
        <v>---</v>
      </c>
      <c r="AF366" s="70" t="str">
        <f>IFERROR(Q366/#REF!-1,"---")</f>
        <v>---</v>
      </c>
      <c r="AG366" s="70" t="str">
        <f>IFERROR(#REF!/#REF!-1,"---")</f>
        <v>---</v>
      </c>
      <c r="AH366" s="70" t="str">
        <f>IFERROR(#REF!/AA366-1,"---")</f>
        <v>---</v>
      </c>
      <c r="AI366" s="71" t="str">
        <f t="shared" si="59"/>
        <v>---</v>
      </c>
    </row>
    <row r="367" spans="1:35" ht="30" customHeight="1" x14ac:dyDescent="0.3">
      <c r="A367" s="123">
        <f t="shared" si="52"/>
        <v>363</v>
      </c>
      <c r="B367" s="140">
        <f>INDEX('PEER GROUP'!B:B,MATCH($A367,'PEER GROUP'!$A:$A,0))</f>
        <v>0</v>
      </c>
      <c r="C367" s="83">
        <f>INDEX('PEER GROUP'!C:C,MATCH($A367,'PEER GROUP'!$A:$A,0))</f>
        <v>0</v>
      </c>
      <c r="D367" s="83">
        <f>INDEX('PEER GROUP'!D:D,MATCH($A367,'PEER GROUP'!$A:$A,0))</f>
        <v>0</v>
      </c>
      <c r="E367" s="83">
        <f>INDEX('PEER GROUP'!E:E,MATCH(A367,'PEER GROUP'!$A:$A,0))</f>
        <v>0</v>
      </c>
      <c r="F367" s="84">
        <f>INDEX('PEER GROUP'!F:F,MATCH($A367,'PEER GROUP'!$A:$A,0))</f>
        <v>0</v>
      </c>
      <c r="G367" s="84">
        <f>INDEX('PEER GROUP'!G:G,MATCH($A367,'PEER GROUP'!$A:$A,0))</f>
        <v>0</v>
      </c>
      <c r="H367" s="85"/>
      <c r="I367" s="85"/>
      <c r="J367" s="70">
        <f>INDEX('PEER GROUP'!K:K,MATCH($A367,'PEER GROUP'!$A:$A,0))</f>
        <v>0</v>
      </c>
      <c r="K367" s="70">
        <f>INDEX('PEER GROUP'!L:L,MATCH($A367,'PEER GROUP'!$A:$A,0))</f>
        <v>0</v>
      </c>
      <c r="L367" s="81">
        <f>INDEX('PEER GROUP'!N:N,MATCH($A367,'PEER GROUP'!$A:$A,0))</f>
        <v>0</v>
      </c>
      <c r="M367" s="118"/>
      <c r="N367" s="115"/>
      <c r="O367" s="117"/>
      <c r="P367" s="87"/>
      <c r="Q367" s="87"/>
      <c r="R367" s="87">
        <f t="shared" si="53"/>
        <v>0</v>
      </c>
      <c r="S367" s="113">
        <f t="shared" si="51"/>
        <v>36.913096727263202</v>
      </c>
      <c r="T367" s="69">
        <f t="shared" si="54"/>
        <v>0</v>
      </c>
      <c r="U367" s="70">
        <f t="shared" si="55"/>
        <v>0</v>
      </c>
      <c r="V367" s="70">
        <f t="shared" si="56"/>
        <v>0</v>
      </c>
      <c r="W367" s="71">
        <f t="shared" si="57"/>
        <v>0</v>
      </c>
      <c r="X367" s="49"/>
      <c r="Y367" s="151"/>
      <c r="Z367" s="69"/>
      <c r="AA367" s="70"/>
      <c r="AB367" s="70"/>
      <c r="AC367" s="70" t="str">
        <f t="shared" si="58"/>
        <v>---</v>
      </c>
      <c r="AD367" s="70" t="str">
        <f>IFERROR(P367/#REF!-1,"---")</f>
        <v>---</v>
      </c>
      <c r="AE367" s="70" t="str">
        <f>IFERROR(#REF!/#REF!-1,"---")</f>
        <v>---</v>
      </c>
      <c r="AF367" s="70" t="str">
        <f>IFERROR(Q367/#REF!-1,"---")</f>
        <v>---</v>
      </c>
      <c r="AG367" s="70" t="str">
        <f>IFERROR(#REF!/#REF!-1,"---")</f>
        <v>---</v>
      </c>
      <c r="AH367" s="70" t="str">
        <f>IFERROR(#REF!/AA367-1,"---")</f>
        <v>---</v>
      </c>
      <c r="AI367" s="71" t="str">
        <f t="shared" si="59"/>
        <v>---</v>
      </c>
    </row>
    <row r="368" spans="1:35" ht="30" customHeight="1" x14ac:dyDescent="0.3">
      <c r="A368" s="123">
        <f t="shared" si="52"/>
        <v>364</v>
      </c>
      <c r="B368" s="140">
        <f>INDEX('PEER GROUP'!B:B,MATCH($A368,'PEER GROUP'!$A:$A,0))</f>
        <v>0</v>
      </c>
      <c r="C368" s="83">
        <f>INDEX('PEER GROUP'!C:C,MATCH($A368,'PEER GROUP'!$A:$A,0))</f>
        <v>0</v>
      </c>
      <c r="D368" s="83">
        <f>INDEX('PEER GROUP'!D:D,MATCH($A368,'PEER GROUP'!$A:$A,0))</f>
        <v>0</v>
      </c>
      <c r="E368" s="83">
        <f>INDEX('PEER GROUP'!E:E,MATCH(A368,'PEER GROUP'!$A:$A,0))</f>
        <v>0</v>
      </c>
      <c r="F368" s="84">
        <f>INDEX('PEER GROUP'!F:F,MATCH($A368,'PEER GROUP'!$A:$A,0))</f>
        <v>0</v>
      </c>
      <c r="G368" s="84">
        <f>INDEX('PEER GROUP'!G:G,MATCH($A368,'PEER GROUP'!$A:$A,0))</f>
        <v>0</v>
      </c>
      <c r="H368" s="85"/>
      <c r="I368" s="85"/>
      <c r="J368" s="70">
        <f>INDEX('PEER GROUP'!K:K,MATCH($A368,'PEER GROUP'!$A:$A,0))</f>
        <v>0</v>
      </c>
      <c r="K368" s="70">
        <f>INDEX('PEER GROUP'!L:L,MATCH($A368,'PEER GROUP'!$A:$A,0))</f>
        <v>0</v>
      </c>
      <c r="L368" s="81">
        <f>INDEX('PEER GROUP'!N:N,MATCH($A368,'PEER GROUP'!$A:$A,0))</f>
        <v>0</v>
      </c>
      <c r="M368" s="118"/>
      <c r="N368" s="115"/>
      <c r="O368" s="117"/>
      <c r="P368" s="87"/>
      <c r="Q368" s="87"/>
      <c r="R368" s="87">
        <f t="shared" si="53"/>
        <v>0</v>
      </c>
      <c r="S368" s="113">
        <f t="shared" si="51"/>
        <v>36.913096727263202</v>
      </c>
      <c r="T368" s="69">
        <f t="shared" si="54"/>
        <v>0</v>
      </c>
      <c r="U368" s="70">
        <f t="shared" si="55"/>
        <v>0</v>
      </c>
      <c r="V368" s="70">
        <f t="shared" si="56"/>
        <v>0</v>
      </c>
      <c r="W368" s="71">
        <f t="shared" si="57"/>
        <v>0</v>
      </c>
      <c r="X368" s="49"/>
      <c r="Y368" s="151"/>
      <c r="Z368" s="69"/>
      <c r="AA368" s="70"/>
      <c r="AB368" s="70"/>
      <c r="AC368" s="70" t="str">
        <f t="shared" si="58"/>
        <v>---</v>
      </c>
      <c r="AD368" s="70" t="str">
        <f>IFERROR(P368/#REF!-1,"---")</f>
        <v>---</v>
      </c>
      <c r="AE368" s="70" t="str">
        <f>IFERROR(#REF!/#REF!-1,"---")</f>
        <v>---</v>
      </c>
      <c r="AF368" s="70" t="str">
        <f>IFERROR(Q368/#REF!-1,"---")</f>
        <v>---</v>
      </c>
      <c r="AG368" s="70" t="str">
        <f>IFERROR(#REF!/#REF!-1,"---")</f>
        <v>---</v>
      </c>
      <c r="AH368" s="70" t="str">
        <f>IFERROR(#REF!/AA368-1,"---")</f>
        <v>---</v>
      </c>
      <c r="AI368" s="71" t="str">
        <f t="shared" si="59"/>
        <v>---</v>
      </c>
    </row>
    <row r="369" spans="1:35" ht="30" customHeight="1" x14ac:dyDescent="0.3">
      <c r="A369" s="123">
        <f t="shared" si="52"/>
        <v>365</v>
      </c>
      <c r="B369" s="140">
        <f>INDEX('PEER GROUP'!B:B,MATCH($A369,'PEER GROUP'!$A:$A,0))</f>
        <v>0</v>
      </c>
      <c r="C369" s="83">
        <f>INDEX('PEER GROUP'!C:C,MATCH($A369,'PEER GROUP'!$A:$A,0))</f>
        <v>0</v>
      </c>
      <c r="D369" s="83">
        <f>INDEX('PEER GROUP'!D:D,MATCH($A369,'PEER GROUP'!$A:$A,0))</f>
        <v>0</v>
      </c>
      <c r="E369" s="83">
        <f>INDEX('PEER GROUP'!E:E,MATCH(A369,'PEER GROUP'!$A:$A,0))</f>
        <v>0</v>
      </c>
      <c r="F369" s="84">
        <f>INDEX('PEER GROUP'!F:F,MATCH($A369,'PEER GROUP'!$A:$A,0))</f>
        <v>0</v>
      </c>
      <c r="G369" s="84">
        <f>INDEX('PEER GROUP'!G:G,MATCH($A369,'PEER GROUP'!$A:$A,0))</f>
        <v>0</v>
      </c>
      <c r="H369" s="85"/>
      <c r="I369" s="85"/>
      <c r="J369" s="70">
        <f>INDEX('PEER GROUP'!K:K,MATCH($A369,'PEER GROUP'!$A:$A,0))</f>
        <v>0</v>
      </c>
      <c r="K369" s="70">
        <f>INDEX('PEER GROUP'!L:L,MATCH($A369,'PEER GROUP'!$A:$A,0))</f>
        <v>0</v>
      </c>
      <c r="L369" s="81">
        <f>INDEX('PEER GROUP'!N:N,MATCH($A369,'PEER GROUP'!$A:$A,0))</f>
        <v>0</v>
      </c>
      <c r="M369" s="118"/>
      <c r="N369" s="115"/>
      <c r="O369" s="117"/>
      <c r="P369" s="87"/>
      <c r="Q369" s="87"/>
      <c r="R369" s="87">
        <f t="shared" si="53"/>
        <v>0</v>
      </c>
      <c r="S369" s="113">
        <f t="shared" si="51"/>
        <v>36.913096727263202</v>
      </c>
      <c r="T369" s="69">
        <f t="shared" si="54"/>
        <v>0</v>
      </c>
      <c r="U369" s="70">
        <f t="shared" si="55"/>
        <v>0</v>
      </c>
      <c r="V369" s="70">
        <f t="shared" si="56"/>
        <v>0</v>
      </c>
      <c r="W369" s="71">
        <f t="shared" si="57"/>
        <v>0</v>
      </c>
      <c r="X369" s="49"/>
      <c r="Y369" s="151"/>
      <c r="Z369" s="69"/>
      <c r="AA369" s="70"/>
      <c r="AB369" s="70"/>
      <c r="AC369" s="70" t="str">
        <f t="shared" si="58"/>
        <v>---</v>
      </c>
      <c r="AD369" s="70" t="str">
        <f>IFERROR(P369/#REF!-1,"---")</f>
        <v>---</v>
      </c>
      <c r="AE369" s="70" t="str">
        <f>IFERROR(#REF!/#REF!-1,"---")</f>
        <v>---</v>
      </c>
      <c r="AF369" s="70" t="str">
        <f>IFERROR(Q369/#REF!-1,"---")</f>
        <v>---</v>
      </c>
      <c r="AG369" s="70" t="str">
        <f>IFERROR(#REF!/#REF!-1,"---")</f>
        <v>---</v>
      </c>
      <c r="AH369" s="70" t="str">
        <f>IFERROR(#REF!/AA369-1,"---")</f>
        <v>---</v>
      </c>
      <c r="AI369" s="71" t="str">
        <f t="shared" si="59"/>
        <v>---</v>
      </c>
    </row>
    <row r="370" spans="1:35" ht="30" customHeight="1" x14ac:dyDescent="0.3">
      <c r="A370" s="123">
        <f t="shared" si="52"/>
        <v>366</v>
      </c>
      <c r="B370" s="140">
        <f>INDEX('PEER GROUP'!B:B,MATCH($A370,'PEER GROUP'!$A:$A,0))</f>
        <v>0</v>
      </c>
      <c r="C370" s="83">
        <f>INDEX('PEER GROUP'!C:C,MATCH($A370,'PEER GROUP'!$A:$A,0))</f>
        <v>0</v>
      </c>
      <c r="D370" s="83">
        <f>INDEX('PEER GROUP'!D:D,MATCH($A370,'PEER GROUP'!$A:$A,0))</f>
        <v>0</v>
      </c>
      <c r="E370" s="83">
        <f>INDEX('PEER GROUP'!E:E,MATCH(A370,'PEER GROUP'!$A:$A,0))</f>
        <v>0</v>
      </c>
      <c r="F370" s="84">
        <f>INDEX('PEER GROUP'!F:F,MATCH($A370,'PEER GROUP'!$A:$A,0))</f>
        <v>0</v>
      </c>
      <c r="G370" s="84">
        <f>INDEX('PEER GROUP'!G:G,MATCH($A370,'PEER GROUP'!$A:$A,0))</f>
        <v>0</v>
      </c>
      <c r="H370" s="85"/>
      <c r="I370" s="85"/>
      <c r="J370" s="70">
        <f>INDEX('PEER GROUP'!K:K,MATCH($A370,'PEER GROUP'!$A:$A,0))</f>
        <v>0</v>
      </c>
      <c r="K370" s="70">
        <f>INDEX('PEER GROUP'!L:L,MATCH($A370,'PEER GROUP'!$A:$A,0))</f>
        <v>0</v>
      </c>
      <c r="L370" s="81">
        <f>INDEX('PEER GROUP'!N:N,MATCH($A370,'PEER GROUP'!$A:$A,0))</f>
        <v>0</v>
      </c>
      <c r="M370" s="118"/>
      <c r="N370" s="115"/>
      <c r="O370" s="117"/>
      <c r="P370" s="87"/>
      <c r="Q370" s="87"/>
      <c r="R370" s="87">
        <f t="shared" si="53"/>
        <v>0</v>
      </c>
      <c r="S370" s="113">
        <f t="shared" si="51"/>
        <v>36.913096727263202</v>
      </c>
      <c r="T370" s="69">
        <f t="shared" si="54"/>
        <v>0</v>
      </c>
      <c r="U370" s="70">
        <f t="shared" si="55"/>
        <v>0</v>
      </c>
      <c r="V370" s="70">
        <f t="shared" si="56"/>
        <v>0</v>
      </c>
      <c r="W370" s="71">
        <f t="shared" si="57"/>
        <v>0</v>
      </c>
      <c r="X370" s="49"/>
      <c r="Y370" s="151"/>
      <c r="Z370" s="69"/>
      <c r="AA370" s="70"/>
      <c r="AB370" s="70"/>
      <c r="AC370" s="70" t="str">
        <f t="shared" si="58"/>
        <v>---</v>
      </c>
      <c r="AD370" s="70" t="str">
        <f>IFERROR(P370/#REF!-1,"---")</f>
        <v>---</v>
      </c>
      <c r="AE370" s="70" t="str">
        <f>IFERROR(#REF!/#REF!-1,"---")</f>
        <v>---</v>
      </c>
      <c r="AF370" s="70" t="str">
        <f>IFERROR(Q370/#REF!-1,"---")</f>
        <v>---</v>
      </c>
      <c r="AG370" s="70" t="str">
        <f>IFERROR(#REF!/#REF!-1,"---")</f>
        <v>---</v>
      </c>
      <c r="AH370" s="70" t="str">
        <f>IFERROR(#REF!/AA370-1,"---")</f>
        <v>---</v>
      </c>
      <c r="AI370" s="71" t="str">
        <f t="shared" si="59"/>
        <v>---</v>
      </c>
    </row>
    <row r="371" spans="1:35" ht="30" customHeight="1" x14ac:dyDescent="0.3">
      <c r="A371" s="123">
        <f t="shared" si="52"/>
        <v>367</v>
      </c>
      <c r="B371" s="140">
        <f>INDEX('PEER GROUP'!B:B,MATCH($A371,'PEER GROUP'!$A:$A,0))</f>
        <v>0</v>
      </c>
      <c r="C371" s="83">
        <f>INDEX('PEER GROUP'!C:C,MATCH($A371,'PEER GROUP'!$A:$A,0))</f>
        <v>0</v>
      </c>
      <c r="D371" s="83">
        <f>INDEX('PEER GROUP'!D:D,MATCH($A371,'PEER GROUP'!$A:$A,0))</f>
        <v>0</v>
      </c>
      <c r="E371" s="83">
        <f>INDEX('PEER GROUP'!E:E,MATCH(A371,'PEER GROUP'!$A:$A,0))</f>
        <v>0</v>
      </c>
      <c r="F371" s="84">
        <f>INDEX('PEER GROUP'!F:F,MATCH($A371,'PEER GROUP'!$A:$A,0))</f>
        <v>0</v>
      </c>
      <c r="G371" s="84">
        <f>INDEX('PEER GROUP'!G:G,MATCH($A371,'PEER GROUP'!$A:$A,0))</f>
        <v>0</v>
      </c>
      <c r="H371" s="85"/>
      <c r="I371" s="85"/>
      <c r="J371" s="70">
        <f>INDEX('PEER GROUP'!K:K,MATCH($A371,'PEER GROUP'!$A:$A,0))</f>
        <v>0</v>
      </c>
      <c r="K371" s="70">
        <f>INDEX('PEER GROUP'!L:L,MATCH($A371,'PEER GROUP'!$A:$A,0))</f>
        <v>0</v>
      </c>
      <c r="L371" s="81">
        <f>INDEX('PEER GROUP'!N:N,MATCH($A371,'PEER GROUP'!$A:$A,0))</f>
        <v>0</v>
      </c>
      <c r="M371" s="118"/>
      <c r="N371" s="115"/>
      <c r="O371" s="117"/>
      <c r="P371" s="87"/>
      <c r="Q371" s="87"/>
      <c r="R371" s="87">
        <f t="shared" si="53"/>
        <v>0</v>
      </c>
      <c r="S371" s="113">
        <f t="shared" si="51"/>
        <v>36.913096727263202</v>
      </c>
      <c r="T371" s="69">
        <f t="shared" si="54"/>
        <v>0</v>
      </c>
      <c r="U371" s="70">
        <f t="shared" si="55"/>
        <v>0</v>
      </c>
      <c r="V371" s="70">
        <f t="shared" si="56"/>
        <v>0</v>
      </c>
      <c r="W371" s="71">
        <f t="shared" si="57"/>
        <v>0</v>
      </c>
      <c r="X371" s="49"/>
      <c r="Y371" s="151"/>
      <c r="Z371" s="69"/>
      <c r="AA371" s="70"/>
      <c r="AB371" s="70"/>
      <c r="AC371" s="70" t="str">
        <f t="shared" si="58"/>
        <v>---</v>
      </c>
      <c r="AD371" s="70" t="str">
        <f>IFERROR(P371/#REF!-1,"---")</f>
        <v>---</v>
      </c>
      <c r="AE371" s="70" t="str">
        <f>IFERROR(#REF!/#REF!-1,"---")</f>
        <v>---</v>
      </c>
      <c r="AF371" s="70" t="str">
        <f>IFERROR(Q371/#REF!-1,"---")</f>
        <v>---</v>
      </c>
      <c r="AG371" s="70" t="str">
        <f>IFERROR(#REF!/#REF!-1,"---")</f>
        <v>---</v>
      </c>
      <c r="AH371" s="70" t="str">
        <f>IFERROR(#REF!/AA371-1,"---")</f>
        <v>---</v>
      </c>
      <c r="AI371" s="71" t="str">
        <f t="shared" si="59"/>
        <v>---</v>
      </c>
    </row>
    <row r="372" spans="1:35" ht="30" customHeight="1" x14ac:dyDescent="0.3">
      <c r="A372" s="123">
        <f t="shared" si="52"/>
        <v>368</v>
      </c>
      <c r="B372" s="140">
        <f>INDEX('PEER GROUP'!B:B,MATCH($A372,'PEER GROUP'!$A:$A,0))</f>
        <v>0</v>
      </c>
      <c r="C372" s="83">
        <f>INDEX('PEER GROUP'!C:C,MATCH($A372,'PEER GROUP'!$A:$A,0))</f>
        <v>0</v>
      </c>
      <c r="D372" s="83">
        <f>INDEX('PEER GROUP'!D:D,MATCH($A372,'PEER GROUP'!$A:$A,0))</f>
        <v>0</v>
      </c>
      <c r="E372" s="83">
        <f>INDEX('PEER GROUP'!E:E,MATCH(A372,'PEER GROUP'!$A:$A,0))</f>
        <v>0</v>
      </c>
      <c r="F372" s="84">
        <f>INDEX('PEER GROUP'!F:F,MATCH($A372,'PEER GROUP'!$A:$A,0))</f>
        <v>0</v>
      </c>
      <c r="G372" s="84">
        <f>INDEX('PEER GROUP'!G:G,MATCH($A372,'PEER GROUP'!$A:$A,0))</f>
        <v>0</v>
      </c>
      <c r="H372" s="85"/>
      <c r="I372" s="85"/>
      <c r="J372" s="70">
        <f>INDEX('PEER GROUP'!K:K,MATCH($A372,'PEER GROUP'!$A:$A,0))</f>
        <v>0</v>
      </c>
      <c r="K372" s="70">
        <f>INDEX('PEER GROUP'!L:L,MATCH($A372,'PEER GROUP'!$A:$A,0))</f>
        <v>0</v>
      </c>
      <c r="L372" s="81">
        <f>INDEX('PEER GROUP'!N:N,MATCH($A372,'PEER GROUP'!$A:$A,0))</f>
        <v>0</v>
      </c>
      <c r="M372" s="118"/>
      <c r="N372" s="115"/>
      <c r="O372" s="117"/>
      <c r="P372" s="87"/>
      <c r="Q372" s="87"/>
      <c r="R372" s="87">
        <f t="shared" si="53"/>
        <v>0</v>
      </c>
      <c r="S372" s="113">
        <f t="shared" si="51"/>
        <v>36.913096727263202</v>
      </c>
      <c r="T372" s="69">
        <f t="shared" si="54"/>
        <v>0</v>
      </c>
      <c r="U372" s="70">
        <f t="shared" si="55"/>
        <v>0</v>
      </c>
      <c r="V372" s="70">
        <f t="shared" si="56"/>
        <v>0</v>
      </c>
      <c r="W372" s="71">
        <f t="shared" si="57"/>
        <v>0</v>
      </c>
      <c r="X372" s="49"/>
      <c r="Y372" s="151"/>
      <c r="Z372" s="69"/>
      <c r="AA372" s="70"/>
      <c r="AB372" s="70"/>
      <c r="AC372" s="70" t="str">
        <f t="shared" si="58"/>
        <v>---</v>
      </c>
      <c r="AD372" s="70" t="str">
        <f>IFERROR(P372/#REF!-1,"---")</f>
        <v>---</v>
      </c>
      <c r="AE372" s="70" t="str">
        <f>IFERROR(#REF!/#REF!-1,"---")</f>
        <v>---</v>
      </c>
      <c r="AF372" s="70" t="str">
        <f>IFERROR(Q372/#REF!-1,"---")</f>
        <v>---</v>
      </c>
      <c r="AG372" s="70" t="str">
        <f>IFERROR(#REF!/#REF!-1,"---")</f>
        <v>---</v>
      </c>
      <c r="AH372" s="70" t="str">
        <f>IFERROR(#REF!/AA372-1,"---")</f>
        <v>---</v>
      </c>
      <c r="AI372" s="71" t="str">
        <f t="shared" si="59"/>
        <v>---</v>
      </c>
    </row>
    <row r="373" spans="1:35" ht="30" customHeight="1" x14ac:dyDescent="0.3">
      <c r="A373" s="123">
        <f t="shared" si="52"/>
        <v>369</v>
      </c>
      <c r="B373" s="140">
        <f>INDEX('PEER GROUP'!B:B,MATCH($A373,'PEER GROUP'!$A:$A,0))</f>
        <v>0</v>
      </c>
      <c r="C373" s="83">
        <f>INDEX('PEER GROUP'!C:C,MATCH($A373,'PEER GROUP'!$A:$A,0))</f>
        <v>0</v>
      </c>
      <c r="D373" s="83">
        <f>INDEX('PEER GROUP'!D:D,MATCH($A373,'PEER GROUP'!$A:$A,0))</f>
        <v>0</v>
      </c>
      <c r="E373" s="83">
        <f>INDEX('PEER GROUP'!E:E,MATCH(A373,'PEER GROUP'!$A:$A,0))</f>
        <v>0</v>
      </c>
      <c r="F373" s="84">
        <f>INDEX('PEER GROUP'!F:F,MATCH($A373,'PEER GROUP'!$A:$A,0))</f>
        <v>0</v>
      </c>
      <c r="G373" s="84">
        <f>INDEX('PEER GROUP'!G:G,MATCH($A373,'PEER GROUP'!$A:$A,0))</f>
        <v>0</v>
      </c>
      <c r="H373" s="85"/>
      <c r="I373" s="85"/>
      <c r="J373" s="70">
        <f>INDEX('PEER GROUP'!K:K,MATCH($A373,'PEER GROUP'!$A:$A,0))</f>
        <v>0</v>
      </c>
      <c r="K373" s="70">
        <f>INDEX('PEER GROUP'!L:L,MATCH($A373,'PEER GROUP'!$A:$A,0))</f>
        <v>0</v>
      </c>
      <c r="L373" s="81">
        <f>INDEX('PEER GROUP'!N:N,MATCH($A373,'PEER GROUP'!$A:$A,0))</f>
        <v>0</v>
      </c>
      <c r="M373" s="118"/>
      <c r="N373" s="115"/>
      <c r="O373" s="117"/>
      <c r="P373" s="87"/>
      <c r="Q373" s="87"/>
      <c r="R373" s="87">
        <f t="shared" si="53"/>
        <v>0</v>
      </c>
      <c r="S373" s="113">
        <f t="shared" si="51"/>
        <v>36.913096727263202</v>
      </c>
      <c r="T373" s="69">
        <f t="shared" si="54"/>
        <v>0</v>
      </c>
      <c r="U373" s="70">
        <f t="shared" si="55"/>
        <v>0</v>
      </c>
      <c r="V373" s="70">
        <f t="shared" si="56"/>
        <v>0</v>
      </c>
      <c r="W373" s="71">
        <f t="shared" si="57"/>
        <v>0</v>
      </c>
      <c r="X373" s="49"/>
      <c r="Y373" s="151"/>
      <c r="Z373" s="69"/>
      <c r="AA373" s="70"/>
      <c r="AB373" s="70"/>
      <c r="AC373" s="70" t="str">
        <f t="shared" si="58"/>
        <v>---</v>
      </c>
      <c r="AD373" s="70" t="str">
        <f>IFERROR(P373/#REF!-1,"---")</f>
        <v>---</v>
      </c>
      <c r="AE373" s="70" t="str">
        <f>IFERROR(#REF!/#REF!-1,"---")</f>
        <v>---</v>
      </c>
      <c r="AF373" s="70" t="str">
        <f>IFERROR(Q373/#REF!-1,"---")</f>
        <v>---</v>
      </c>
      <c r="AG373" s="70" t="str">
        <f>IFERROR(#REF!/#REF!-1,"---")</f>
        <v>---</v>
      </c>
      <c r="AH373" s="70" t="str">
        <f>IFERROR(#REF!/AA373-1,"---")</f>
        <v>---</v>
      </c>
      <c r="AI373" s="71" t="str">
        <f t="shared" si="59"/>
        <v>---</v>
      </c>
    </row>
    <row r="374" spans="1:35" ht="30" customHeight="1" x14ac:dyDescent="0.3">
      <c r="A374" s="123">
        <f t="shared" si="52"/>
        <v>370</v>
      </c>
      <c r="B374" s="140">
        <f>INDEX('PEER GROUP'!B:B,MATCH($A374,'PEER GROUP'!$A:$A,0))</f>
        <v>0</v>
      </c>
      <c r="C374" s="83">
        <f>INDEX('PEER GROUP'!C:C,MATCH($A374,'PEER GROUP'!$A:$A,0))</f>
        <v>0</v>
      </c>
      <c r="D374" s="83">
        <f>INDEX('PEER GROUP'!D:D,MATCH($A374,'PEER GROUP'!$A:$A,0))</f>
        <v>0</v>
      </c>
      <c r="E374" s="83">
        <f>INDEX('PEER GROUP'!E:E,MATCH(A374,'PEER GROUP'!$A:$A,0))</f>
        <v>0</v>
      </c>
      <c r="F374" s="84">
        <f>INDEX('PEER GROUP'!F:F,MATCH($A374,'PEER GROUP'!$A:$A,0))</f>
        <v>0</v>
      </c>
      <c r="G374" s="84">
        <f>INDEX('PEER GROUP'!G:G,MATCH($A374,'PEER GROUP'!$A:$A,0))</f>
        <v>0</v>
      </c>
      <c r="H374" s="85"/>
      <c r="I374" s="85"/>
      <c r="J374" s="70">
        <f>INDEX('PEER GROUP'!K:K,MATCH($A374,'PEER GROUP'!$A:$A,0))</f>
        <v>0</v>
      </c>
      <c r="K374" s="70">
        <f>INDEX('PEER GROUP'!L:L,MATCH($A374,'PEER GROUP'!$A:$A,0))</f>
        <v>0</v>
      </c>
      <c r="L374" s="81">
        <f>INDEX('PEER GROUP'!N:N,MATCH($A374,'PEER GROUP'!$A:$A,0))</f>
        <v>0</v>
      </c>
      <c r="M374" s="118"/>
      <c r="N374" s="115"/>
      <c r="O374" s="117"/>
      <c r="P374" s="87"/>
      <c r="Q374" s="87"/>
      <c r="R374" s="87">
        <f t="shared" si="53"/>
        <v>0</v>
      </c>
      <c r="S374" s="113">
        <f t="shared" si="51"/>
        <v>36.913096727263202</v>
      </c>
      <c r="T374" s="69">
        <f t="shared" si="54"/>
        <v>0</v>
      </c>
      <c r="U374" s="70">
        <f t="shared" si="55"/>
        <v>0</v>
      </c>
      <c r="V374" s="70">
        <f t="shared" si="56"/>
        <v>0</v>
      </c>
      <c r="W374" s="71">
        <f t="shared" si="57"/>
        <v>0</v>
      </c>
      <c r="X374" s="49"/>
      <c r="Y374" s="151"/>
      <c r="Z374" s="69"/>
      <c r="AA374" s="70"/>
      <c r="AB374" s="70"/>
      <c r="AC374" s="70" t="str">
        <f t="shared" si="58"/>
        <v>---</v>
      </c>
      <c r="AD374" s="70" t="str">
        <f>IFERROR(P374/#REF!-1,"---")</f>
        <v>---</v>
      </c>
      <c r="AE374" s="70" t="str">
        <f>IFERROR(#REF!/#REF!-1,"---")</f>
        <v>---</v>
      </c>
      <c r="AF374" s="70" t="str">
        <f>IFERROR(Q374/#REF!-1,"---")</f>
        <v>---</v>
      </c>
      <c r="AG374" s="70" t="str">
        <f>IFERROR(#REF!/#REF!-1,"---")</f>
        <v>---</v>
      </c>
      <c r="AH374" s="70" t="str">
        <f>IFERROR(#REF!/AA374-1,"---")</f>
        <v>---</v>
      </c>
      <c r="AI374" s="71" t="str">
        <f t="shared" si="59"/>
        <v>---</v>
      </c>
    </row>
    <row r="375" spans="1:35" ht="30" customHeight="1" x14ac:dyDescent="0.3">
      <c r="A375" s="123">
        <f t="shared" si="52"/>
        <v>371</v>
      </c>
      <c r="B375" s="140">
        <f>INDEX('PEER GROUP'!B:B,MATCH($A375,'PEER GROUP'!$A:$A,0))</f>
        <v>0</v>
      </c>
      <c r="C375" s="83">
        <f>INDEX('PEER GROUP'!C:C,MATCH($A375,'PEER GROUP'!$A:$A,0))</f>
        <v>0</v>
      </c>
      <c r="D375" s="83">
        <f>INDEX('PEER GROUP'!D:D,MATCH($A375,'PEER GROUP'!$A:$A,0))</f>
        <v>0</v>
      </c>
      <c r="E375" s="83">
        <f>INDEX('PEER GROUP'!E:E,MATCH(A375,'PEER GROUP'!$A:$A,0))</f>
        <v>0</v>
      </c>
      <c r="F375" s="84">
        <f>INDEX('PEER GROUP'!F:F,MATCH($A375,'PEER GROUP'!$A:$A,0))</f>
        <v>0</v>
      </c>
      <c r="G375" s="84">
        <f>INDEX('PEER GROUP'!G:G,MATCH($A375,'PEER GROUP'!$A:$A,0))</f>
        <v>0</v>
      </c>
      <c r="H375" s="85"/>
      <c r="I375" s="85"/>
      <c r="J375" s="70">
        <f>INDEX('PEER GROUP'!K:K,MATCH($A375,'PEER GROUP'!$A:$A,0))</f>
        <v>0</v>
      </c>
      <c r="K375" s="70">
        <f>INDEX('PEER GROUP'!L:L,MATCH($A375,'PEER GROUP'!$A:$A,0))</f>
        <v>0</v>
      </c>
      <c r="L375" s="81">
        <f>INDEX('PEER GROUP'!N:N,MATCH($A375,'PEER GROUP'!$A:$A,0))</f>
        <v>0</v>
      </c>
      <c r="M375" s="118"/>
      <c r="N375" s="115"/>
      <c r="O375" s="117"/>
      <c r="P375" s="87"/>
      <c r="Q375" s="87"/>
      <c r="R375" s="87">
        <f t="shared" si="53"/>
        <v>0</v>
      </c>
      <c r="S375" s="113">
        <f t="shared" si="51"/>
        <v>36.913096727263202</v>
      </c>
      <c r="T375" s="69">
        <f t="shared" si="54"/>
        <v>0</v>
      </c>
      <c r="U375" s="70">
        <f t="shared" si="55"/>
        <v>0</v>
      </c>
      <c r="V375" s="70">
        <f t="shared" si="56"/>
        <v>0</v>
      </c>
      <c r="W375" s="71">
        <f t="shared" si="57"/>
        <v>0</v>
      </c>
      <c r="X375" s="49"/>
      <c r="Y375" s="151"/>
      <c r="Z375" s="69"/>
      <c r="AA375" s="70"/>
      <c r="AB375" s="70"/>
      <c r="AC375" s="70" t="str">
        <f t="shared" si="58"/>
        <v>---</v>
      </c>
      <c r="AD375" s="70" t="str">
        <f>IFERROR(P375/#REF!-1,"---")</f>
        <v>---</v>
      </c>
      <c r="AE375" s="70" t="str">
        <f>IFERROR(#REF!/#REF!-1,"---")</f>
        <v>---</v>
      </c>
      <c r="AF375" s="70" t="str">
        <f>IFERROR(Q375/#REF!-1,"---")</f>
        <v>---</v>
      </c>
      <c r="AG375" s="70" t="str">
        <f>IFERROR(#REF!/#REF!-1,"---")</f>
        <v>---</v>
      </c>
      <c r="AH375" s="70" t="str">
        <f>IFERROR(#REF!/AA375-1,"---")</f>
        <v>---</v>
      </c>
      <c r="AI375" s="71" t="str">
        <f t="shared" si="59"/>
        <v>---</v>
      </c>
    </row>
    <row r="376" spans="1:35" ht="30" customHeight="1" x14ac:dyDescent="0.3">
      <c r="A376" s="123">
        <f t="shared" si="52"/>
        <v>372</v>
      </c>
      <c r="B376" s="140">
        <f>INDEX('PEER GROUP'!B:B,MATCH($A376,'PEER GROUP'!$A:$A,0))</f>
        <v>0</v>
      </c>
      <c r="C376" s="83">
        <f>INDEX('PEER GROUP'!C:C,MATCH($A376,'PEER GROUP'!$A:$A,0))</f>
        <v>0</v>
      </c>
      <c r="D376" s="83">
        <f>INDEX('PEER GROUP'!D:D,MATCH($A376,'PEER GROUP'!$A:$A,0))</f>
        <v>0</v>
      </c>
      <c r="E376" s="83">
        <f>INDEX('PEER GROUP'!E:E,MATCH(A376,'PEER GROUP'!$A:$A,0))</f>
        <v>0</v>
      </c>
      <c r="F376" s="84">
        <f>INDEX('PEER GROUP'!F:F,MATCH($A376,'PEER GROUP'!$A:$A,0))</f>
        <v>0</v>
      </c>
      <c r="G376" s="84">
        <f>INDEX('PEER GROUP'!G:G,MATCH($A376,'PEER GROUP'!$A:$A,0))</f>
        <v>0</v>
      </c>
      <c r="H376" s="85"/>
      <c r="I376" s="85"/>
      <c r="J376" s="70">
        <f>INDEX('PEER GROUP'!K:K,MATCH($A376,'PEER GROUP'!$A:$A,0))</f>
        <v>0</v>
      </c>
      <c r="K376" s="70">
        <f>INDEX('PEER GROUP'!L:L,MATCH($A376,'PEER GROUP'!$A:$A,0))</f>
        <v>0</v>
      </c>
      <c r="L376" s="81">
        <f>INDEX('PEER GROUP'!N:N,MATCH($A376,'PEER GROUP'!$A:$A,0))</f>
        <v>0</v>
      </c>
      <c r="M376" s="118"/>
      <c r="N376" s="115"/>
      <c r="O376" s="117"/>
      <c r="P376" s="87"/>
      <c r="Q376" s="87"/>
      <c r="R376" s="87">
        <f t="shared" si="53"/>
        <v>0</v>
      </c>
      <c r="S376" s="113">
        <f t="shared" si="51"/>
        <v>36.913096727263202</v>
      </c>
      <c r="T376" s="69">
        <f t="shared" si="54"/>
        <v>0</v>
      </c>
      <c r="U376" s="70">
        <f t="shared" si="55"/>
        <v>0</v>
      </c>
      <c r="V376" s="70">
        <f t="shared" si="56"/>
        <v>0</v>
      </c>
      <c r="W376" s="71">
        <f t="shared" si="57"/>
        <v>0</v>
      </c>
      <c r="X376" s="49"/>
      <c r="Y376" s="151"/>
      <c r="Z376" s="69"/>
      <c r="AA376" s="70"/>
      <c r="AB376" s="70"/>
      <c r="AC376" s="70" t="str">
        <f t="shared" si="58"/>
        <v>---</v>
      </c>
      <c r="AD376" s="70" t="str">
        <f>IFERROR(P376/#REF!-1,"---")</f>
        <v>---</v>
      </c>
      <c r="AE376" s="70" t="str">
        <f>IFERROR(#REF!/#REF!-1,"---")</f>
        <v>---</v>
      </c>
      <c r="AF376" s="70" t="str">
        <f>IFERROR(Q376/#REF!-1,"---")</f>
        <v>---</v>
      </c>
      <c r="AG376" s="70" t="str">
        <f>IFERROR(#REF!/#REF!-1,"---")</f>
        <v>---</v>
      </c>
      <c r="AH376" s="70" t="str">
        <f>IFERROR(#REF!/AA376-1,"---")</f>
        <v>---</v>
      </c>
      <c r="AI376" s="71" t="str">
        <f t="shared" si="59"/>
        <v>---</v>
      </c>
    </row>
    <row r="377" spans="1:35" ht="30" customHeight="1" x14ac:dyDescent="0.3">
      <c r="A377" s="123">
        <f t="shared" si="52"/>
        <v>373</v>
      </c>
      <c r="B377" s="140">
        <f>INDEX('PEER GROUP'!B:B,MATCH($A377,'PEER GROUP'!$A:$A,0))</f>
        <v>0</v>
      </c>
      <c r="C377" s="83">
        <f>INDEX('PEER GROUP'!C:C,MATCH($A377,'PEER GROUP'!$A:$A,0))</f>
        <v>0</v>
      </c>
      <c r="D377" s="83">
        <f>INDEX('PEER GROUP'!D:D,MATCH($A377,'PEER GROUP'!$A:$A,0))</f>
        <v>0</v>
      </c>
      <c r="E377" s="83">
        <f>INDEX('PEER GROUP'!E:E,MATCH(A377,'PEER GROUP'!$A:$A,0))</f>
        <v>0</v>
      </c>
      <c r="F377" s="84">
        <f>INDEX('PEER GROUP'!F:F,MATCH($A377,'PEER GROUP'!$A:$A,0))</f>
        <v>0</v>
      </c>
      <c r="G377" s="84">
        <f>INDEX('PEER GROUP'!G:G,MATCH($A377,'PEER GROUP'!$A:$A,0))</f>
        <v>0</v>
      </c>
      <c r="H377" s="85"/>
      <c r="I377" s="85"/>
      <c r="J377" s="70">
        <f>INDEX('PEER GROUP'!K:K,MATCH($A377,'PEER GROUP'!$A:$A,0))</f>
        <v>0</v>
      </c>
      <c r="K377" s="70">
        <f>INDEX('PEER GROUP'!L:L,MATCH($A377,'PEER GROUP'!$A:$A,0))</f>
        <v>0</v>
      </c>
      <c r="L377" s="81">
        <f>INDEX('PEER GROUP'!N:N,MATCH($A377,'PEER GROUP'!$A:$A,0))</f>
        <v>0</v>
      </c>
      <c r="M377" s="118"/>
      <c r="N377" s="115"/>
      <c r="O377" s="117"/>
      <c r="P377" s="87"/>
      <c r="Q377" s="87"/>
      <c r="R377" s="87">
        <f t="shared" si="53"/>
        <v>0</v>
      </c>
      <c r="S377" s="113">
        <f t="shared" si="51"/>
        <v>36.913096727263202</v>
      </c>
      <c r="T377" s="69">
        <f t="shared" si="54"/>
        <v>0</v>
      </c>
      <c r="U377" s="70">
        <f t="shared" si="55"/>
        <v>0</v>
      </c>
      <c r="V377" s="70">
        <f t="shared" si="56"/>
        <v>0</v>
      </c>
      <c r="W377" s="71">
        <f t="shared" si="57"/>
        <v>0</v>
      </c>
      <c r="X377" s="49"/>
      <c r="Y377" s="151"/>
      <c r="Z377" s="69"/>
      <c r="AA377" s="70"/>
      <c r="AB377" s="70"/>
      <c r="AC377" s="70" t="str">
        <f t="shared" si="58"/>
        <v>---</v>
      </c>
      <c r="AD377" s="70" t="str">
        <f>IFERROR(P377/#REF!-1,"---")</f>
        <v>---</v>
      </c>
      <c r="AE377" s="70" t="str">
        <f>IFERROR(#REF!/#REF!-1,"---")</f>
        <v>---</v>
      </c>
      <c r="AF377" s="70" t="str">
        <f>IFERROR(Q377/#REF!-1,"---")</f>
        <v>---</v>
      </c>
      <c r="AG377" s="70" t="str">
        <f>IFERROR(#REF!/#REF!-1,"---")</f>
        <v>---</v>
      </c>
      <c r="AH377" s="70" t="str">
        <f>IFERROR(#REF!/AA377-1,"---")</f>
        <v>---</v>
      </c>
      <c r="AI377" s="71" t="str">
        <f t="shared" si="59"/>
        <v>---</v>
      </c>
    </row>
    <row r="378" spans="1:35" ht="30" customHeight="1" x14ac:dyDescent="0.3">
      <c r="A378" s="123">
        <f t="shared" si="52"/>
        <v>374</v>
      </c>
      <c r="B378" s="140">
        <f>INDEX('PEER GROUP'!B:B,MATCH($A378,'PEER GROUP'!$A:$A,0))</f>
        <v>0</v>
      </c>
      <c r="C378" s="83">
        <f>INDEX('PEER GROUP'!C:C,MATCH($A378,'PEER GROUP'!$A:$A,0))</f>
        <v>0</v>
      </c>
      <c r="D378" s="83">
        <f>INDEX('PEER GROUP'!D:D,MATCH($A378,'PEER GROUP'!$A:$A,0))</f>
        <v>0</v>
      </c>
      <c r="E378" s="83">
        <f>INDEX('PEER GROUP'!E:E,MATCH(A378,'PEER GROUP'!$A:$A,0))</f>
        <v>0</v>
      </c>
      <c r="F378" s="84">
        <f>INDEX('PEER GROUP'!F:F,MATCH($A378,'PEER GROUP'!$A:$A,0))</f>
        <v>0</v>
      </c>
      <c r="G378" s="84">
        <f>INDEX('PEER GROUP'!G:G,MATCH($A378,'PEER GROUP'!$A:$A,0))</f>
        <v>0</v>
      </c>
      <c r="H378" s="85"/>
      <c r="I378" s="85"/>
      <c r="J378" s="70">
        <f>INDEX('PEER GROUP'!K:K,MATCH($A378,'PEER GROUP'!$A:$A,0))</f>
        <v>0</v>
      </c>
      <c r="K378" s="70">
        <f>INDEX('PEER GROUP'!L:L,MATCH($A378,'PEER GROUP'!$A:$A,0))</f>
        <v>0</v>
      </c>
      <c r="L378" s="81">
        <f>INDEX('PEER GROUP'!N:N,MATCH($A378,'PEER GROUP'!$A:$A,0))</f>
        <v>0</v>
      </c>
      <c r="M378" s="118"/>
      <c r="N378" s="115"/>
      <c r="O378" s="117"/>
      <c r="P378" s="87"/>
      <c r="Q378" s="87"/>
      <c r="R378" s="87">
        <f t="shared" si="53"/>
        <v>0</v>
      </c>
      <c r="S378" s="113">
        <f t="shared" si="51"/>
        <v>36.913096727263202</v>
      </c>
      <c r="T378" s="69">
        <f t="shared" si="54"/>
        <v>0</v>
      </c>
      <c r="U378" s="70">
        <f t="shared" si="55"/>
        <v>0</v>
      </c>
      <c r="V378" s="70">
        <f t="shared" si="56"/>
        <v>0</v>
      </c>
      <c r="W378" s="71">
        <f t="shared" si="57"/>
        <v>0</v>
      </c>
      <c r="X378" s="49"/>
      <c r="Y378" s="151"/>
      <c r="Z378" s="69"/>
      <c r="AA378" s="70"/>
      <c r="AB378" s="70"/>
      <c r="AC378" s="70" t="str">
        <f t="shared" si="58"/>
        <v>---</v>
      </c>
      <c r="AD378" s="70" t="str">
        <f>IFERROR(P378/#REF!-1,"---")</f>
        <v>---</v>
      </c>
      <c r="AE378" s="70" t="str">
        <f>IFERROR(#REF!/#REF!-1,"---")</f>
        <v>---</v>
      </c>
      <c r="AF378" s="70" t="str">
        <f>IFERROR(Q378/#REF!-1,"---")</f>
        <v>---</v>
      </c>
      <c r="AG378" s="70" t="str">
        <f>IFERROR(#REF!/#REF!-1,"---")</f>
        <v>---</v>
      </c>
      <c r="AH378" s="70" t="str">
        <f>IFERROR(#REF!/AA378-1,"---")</f>
        <v>---</v>
      </c>
      <c r="AI378" s="71" t="str">
        <f t="shared" si="59"/>
        <v>---</v>
      </c>
    </row>
    <row r="379" spans="1:35" ht="30" customHeight="1" x14ac:dyDescent="0.3">
      <c r="A379" s="123">
        <f t="shared" si="52"/>
        <v>375</v>
      </c>
      <c r="B379" s="140">
        <f>INDEX('PEER GROUP'!B:B,MATCH($A379,'PEER GROUP'!$A:$A,0))</f>
        <v>0</v>
      </c>
      <c r="C379" s="83">
        <f>INDEX('PEER GROUP'!C:C,MATCH($A379,'PEER GROUP'!$A:$A,0))</f>
        <v>0</v>
      </c>
      <c r="D379" s="83">
        <f>INDEX('PEER GROUP'!D:D,MATCH($A379,'PEER GROUP'!$A:$A,0))</f>
        <v>0</v>
      </c>
      <c r="E379" s="83">
        <f>INDEX('PEER GROUP'!E:E,MATCH(A379,'PEER GROUP'!$A:$A,0))</f>
        <v>0</v>
      </c>
      <c r="F379" s="84">
        <f>INDEX('PEER GROUP'!F:F,MATCH($A379,'PEER GROUP'!$A:$A,0))</f>
        <v>0</v>
      </c>
      <c r="G379" s="84">
        <f>INDEX('PEER GROUP'!G:G,MATCH($A379,'PEER GROUP'!$A:$A,0))</f>
        <v>0</v>
      </c>
      <c r="H379" s="85"/>
      <c r="I379" s="85"/>
      <c r="J379" s="70">
        <f>INDEX('PEER GROUP'!K:K,MATCH($A379,'PEER GROUP'!$A:$A,0))</f>
        <v>0</v>
      </c>
      <c r="K379" s="70">
        <f>INDEX('PEER GROUP'!L:L,MATCH($A379,'PEER GROUP'!$A:$A,0))</f>
        <v>0</v>
      </c>
      <c r="L379" s="81">
        <f>INDEX('PEER GROUP'!N:N,MATCH($A379,'PEER GROUP'!$A:$A,0))</f>
        <v>0</v>
      </c>
      <c r="M379" s="118"/>
      <c r="N379" s="115"/>
      <c r="O379" s="117"/>
      <c r="P379" s="87"/>
      <c r="Q379" s="87"/>
      <c r="R379" s="87">
        <f t="shared" si="53"/>
        <v>0</v>
      </c>
      <c r="S379" s="113">
        <f t="shared" si="51"/>
        <v>36.913096727263202</v>
      </c>
      <c r="T379" s="69">
        <f t="shared" si="54"/>
        <v>0</v>
      </c>
      <c r="U379" s="70">
        <f t="shared" si="55"/>
        <v>0</v>
      </c>
      <c r="V379" s="70">
        <f t="shared" si="56"/>
        <v>0</v>
      </c>
      <c r="W379" s="71">
        <f t="shared" si="57"/>
        <v>0</v>
      </c>
      <c r="X379" s="49"/>
      <c r="Y379" s="151"/>
      <c r="Z379" s="69"/>
      <c r="AA379" s="70"/>
      <c r="AB379" s="70"/>
      <c r="AC379" s="70" t="str">
        <f t="shared" si="58"/>
        <v>---</v>
      </c>
      <c r="AD379" s="70" t="str">
        <f>IFERROR(P379/#REF!-1,"---")</f>
        <v>---</v>
      </c>
      <c r="AE379" s="70" t="str">
        <f>IFERROR(#REF!/#REF!-1,"---")</f>
        <v>---</v>
      </c>
      <c r="AF379" s="70" t="str">
        <f>IFERROR(Q379/#REF!-1,"---")</f>
        <v>---</v>
      </c>
      <c r="AG379" s="70" t="str">
        <f>IFERROR(#REF!/#REF!-1,"---")</f>
        <v>---</v>
      </c>
      <c r="AH379" s="70" t="str">
        <f>IFERROR(#REF!/AA379-1,"---")</f>
        <v>---</v>
      </c>
      <c r="AI379" s="71" t="str">
        <f t="shared" si="59"/>
        <v>---</v>
      </c>
    </row>
    <row r="380" spans="1:35" ht="30" customHeight="1" x14ac:dyDescent="0.3">
      <c r="A380" s="123">
        <f t="shared" si="52"/>
        <v>376</v>
      </c>
      <c r="B380" s="140">
        <f>INDEX('PEER GROUP'!B:B,MATCH($A380,'PEER GROUP'!$A:$A,0))</f>
        <v>0</v>
      </c>
      <c r="C380" s="83">
        <f>INDEX('PEER GROUP'!C:C,MATCH($A380,'PEER GROUP'!$A:$A,0))</f>
        <v>0</v>
      </c>
      <c r="D380" s="83">
        <f>INDEX('PEER GROUP'!D:D,MATCH($A380,'PEER GROUP'!$A:$A,0))</f>
        <v>0</v>
      </c>
      <c r="E380" s="83">
        <f>INDEX('PEER GROUP'!E:E,MATCH(A380,'PEER GROUP'!$A:$A,0))</f>
        <v>0</v>
      </c>
      <c r="F380" s="84">
        <f>INDEX('PEER GROUP'!F:F,MATCH($A380,'PEER GROUP'!$A:$A,0))</f>
        <v>0</v>
      </c>
      <c r="G380" s="84">
        <f>INDEX('PEER GROUP'!G:G,MATCH($A380,'PEER GROUP'!$A:$A,0))</f>
        <v>0</v>
      </c>
      <c r="H380" s="85"/>
      <c r="I380" s="85"/>
      <c r="J380" s="70">
        <f>INDEX('PEER GROUP'!K:K,MATCH($A380,'PEER GROUP'!$A:$A,0))</f>
        <v>0</v>
      </c>
      <c r="K380" s="70">
        <f>INDEX('PEER GROUP'!L:L,MATCH($A380,'PEER GROUP'!$A:$A,0))</f>
        <v>0</v>
      </c>
      <c r="L380" s="81">
        <f>INDEX('PEER GROUP'!N:N,MATCH($A380,'PEER GROUP'!$A:$A,0))</f>
        <v>0</v>
      </c>
      <c r="M380" s="118"/>
      <c r="N380" s="115"/>
      <c r="O380" s="117"/>
      <c r="P380" s="87"/>
      <c r="Q380" s="87"/>
      <c r="R380" s="87">
        <f t="shared" si="53"/>
        <v>0</v>
      </c>
      <c r="S380" s="113">
        <f t="shared" si="51"/>
        <v>36.913096727263202</v>
      </c>
      <c r="T380" s="69">
        <f t="shared" si="54"/>
        <v>0</v>
      </c>
      <c r="U380" s="70">
        <f t="shared" si="55"/>
        <v>0</v>
      </c>
      <c r="V380" s="70">
        <f t="shared" si="56"/>
        <v>0</v>
      </c>
      <c r="W380" s="71">
        <f t="shared" si="57"/>
        <v>0</v>
      </c>
      <c r="X380" s="49"/>
      <c r="Y380" s="151"/>
      <c r="Z380" s="69"/>
      <c r="AA380" s="70"/>
      <c r="AB380" s="70"/>
      <c r="AC380" s="70" t="str">
        <f t="shared" si="58"/>
        <v>---</v>
      </c>
      <c r="AD380" s="70" t="str">
        <f>IFERROR(P380/#REF!-1,"---")</f>
        <v>---</v>
      </c>
      <c r="AE380" s="70" t="str">
        <f>IFERROR(#REF!/#REF!-1,"---")</f>
        <v>---</v>
      </c>
      <c r="AF380" s="70" t="str">
        <f>IFERROR(Q380/#REF!-1,"---")</f>
        <v>---</v>
      </c>
      <c r="AG380" s="70" t="str">
        <f>IFERROR(#REF!/#REF!-1,"---")</f>
        <v>---</v>
      </c>
      <c r="AH380" s="70" t="str">
        <f>IFERROR(#REF!/AA380-1,"---")</f>
        <v>---</v>
      </c>
      <c r="AI380" s="71" t="str">
        <f t="shared" si="59"/>
        <v>---</v>
      </c>
    </row>
    <row r="381" spans="1:35" ht="30" customHeight="1" x14ac:dyDescent="0.3">
      <c r="A381" s="123">
        <f t="shared" si="52"/>
        <v>377</v>
      </c>
      <c r="B381" s="140">
        <f>INDEX('PEER GROUP'!B:B,MATCH($A381,'PEER GROUP'!$A:$A,0))</f>
        <v>0</v>
      </c>
      <c r="C381" s="83">
        <f>INDEX('PEER GROUP'!C:C,MATCH($A381,'PEER GROUP'!$A:$A,0))</f>
        <v>0</v>
      </c>
      <c r="D381" s="83">
        <f>INDEX('PEER GROUP'!D:D,MATCH($A381,'PEER GROUP'!$A:$A,0))</f>
        <v>0</v>
      </c>
      <c r="E381" s="83">
        <f>INDEX('PEER GROUP'!E:E,MATCH(A381,'PEER GROUP'!$A:$A,0))</f>
        <v>0</v>
      </c>
      <c r="F381" s="84">
        <f>INDEX('PEER GROUP'!F:F,MATCH($A381,'PEER GROUP'!$A:$A,0))</f>
        <v>0</v>
      </c>
      <c r="G381" s="84">
        <f>INDEX('PEER GROUP'!G:G,MATCH($A381,'PEER GROUP'!$A:$A,0))</f>
        <v>0</v>
      </c>
      <c r="H381" s="85"/>
      <c r="I381" s="85"/>
      <c r="J381" s="70">
        <f>INDEX('PEER GROUP'!K:K,MATCH($A381,'PEER GROUP'!$A:$A,0))</f>
        <v>0</v>
      </c>
      <c r="K381" s="70">
        <f>INDEX('PEER GROUP'!L:L,MATCH($A381,'PEER GROUP'!$A:$A,0))</f>
        <v>0</v>
      </c>
      <c r="L381" s="81">
        <f>INDEX('PEER GROUP'!N:N,MATCH($A381,'PEER GROUP'!$A:$A,0))</f>
        <v>0</v>
      </c>
      <c r="M381" s="118"/>
      <c r="N381" s="115"/>
      <c r="O381" s="117"/>
      <c r="P381" s="87"/>
      <c r="Q381" s="87"/>
      <c r="R381" s="87">
        <f t="shared" si="53"/>
        <v>0</v>
      </c>
      <c r="S381" s="113">
        <f t="shared" si="51"/>
        <v>36.913096727263202</v>
      </c>
      <c r="T381" s="69">
        <f t="shared" si="54"/>
        <v>0</v>
      </c>
      <c r="U381" s="70">
        <f t="shared" si="55"/>
        <v>0</v>
      </c>
      <c r="V381" s="70">
        <f t="shared" si="56"/>
        <v>0</v>
      </c>
      <c r="W381" s="71">
        <f t="shared" si="57"/>
        <v>0</v>
      </c>
      <c r="X381" s="49"/>
      <c r="Y381" s="151"/>
      <c r="Z381" s="69"/>
      <c r="AA381" s="70"/>
      <c r="AB381" s="70"/>
      <c r="AC381" s="70" t="str">
        <f t="shared" si="58"/>
        <v>---</v>
      </c>
      <c r="AD381" s="70" t="str">
        <f>IFERROR(P381/#REF!-1,"---")</f>
        <v>---</v>
      </c>
      <c r="AE381" s="70" t="str">
        <f>IFERROR(#REF!/#REF!-1,"---")</f>
        <v>---</v>
      </c>
      <c r="AF381" s="70" t="str">
        <f>IFERROR(Q381/#REF!-1,"---")</f>
        <v>---</v>
      </c>
      <c r="AG381" s="70" t="str">
        <f>IFERROR(#REF!/#REF!-1,"---")</f>
        <v>---</v>
      </c>
      <c r="AH381" s="70" t="str">
        <f>IFERROR(#REF!/AA381-1,"---")</f>
        <v>---</v>
      </c>
      <c r="AI381" s="71" t="str">
        <f t="shared" si="59"/>
        <v>---</v>
      </c>
    </row>
    <row r="382" spans="1:35" ht="30" customHeight="1" x14ac:dyDescent="0.3">
      <c r="A382" s="123">
        <f t="shared" si="52"/>
        <v>378</v>
      </c>
      <c r="B382" s="140">
        <f>INDEX('PEER GROUP'!B:B,MATCH($A382,'PEER GROUP'!$A:$A,0))</f>
        <v>0</v>
      </c>
      <c r="C382" s="83">
        <f>INDEX('PEER GROUP'!C:C,MATCH($A382,'PEER GROUP'!$A:$A,0))</f>
        <v>0</v>
      </c>
      <c r="D382" s="83">
        <f>INDEX('PEER GROUP'!D:D,MATCH($A382,'PEER GROUP'!$A:$A,0))</f>
        <v>0</v>
      </c>
      <c r="E382" s="83">
        <f>INDEX('PEER GROUP'!E:E,MATCH(A382,'PEER GROUP'!$A:$A,0))</f>
        <v>0</v>
      </c>
      <c r="F382" s="84">
        <f>INDEX('PEER GROUP'!F:F,MATCH($A382,'PEER GROUP'!$A:$A,0))</f>
        <v>0</v>
      </c>
      <c r="G382" s="84">
        <f>INDEX('PEER GROUP'!G:G,MATCH($A382,'PEER GROUP'!$A:$A,0))</f>
        <v>0</v>
      </c>
      <c r="H382" s="85"/>
      <c r="I382" s="85"/>
      <c r="J382" s="70">
        <f>INDEX('PEER GROUP'!K:K,MATCH($A382,'PEER GROUP'!$A:$A,0))</f>
        <v>0</v>
      </c>
      <c r="K382" s="70">
        <f>INDEX('PEER GROUP'!L:L,MATCH($A382,'PEER GROUP'!$A:$A,0))</f>
        <v>0</v>
      </c>
      <c r="L382" s="81">
        <f>INDEX('PEER GROUP'!N:N,MATCH($A382,'PEER GROUP'!$A:$A,0))</f>
        <v>0</v>
      </c>
      <c r="M382" s="118"/>
      <c r="N382" s="115"/>
      <c r="O382" s="117"/>
      <c r="P382" s="87"/>
      <c r="Q382" s="87"/>
      <c r="R382" s="87">
        <f t="shared" si="53"/>
        <v>0</v>
      </c>
      <c r="S382" s="113">
        <f t="shared" si="51"/>
        <v>36.913096727263202</v>
      </c>
      <c r="T382" s="69">
        <f t="shared" si="54"/>
        <v>0</v>
      </c>
      <c r="U382" s="70">
        <f t="shared" si="55"/>
        <v>0</v>
      </c>
      <c r="V382" s="70">
        <f t="shared" si="56"/>
        <v>0</v>
      </c>
      <c r="W382" s="71">
        <f t="shared" si="57"/>
        <v>0</v>
      </c>
      <c r="X382" s="49"/>
      <c r="Y382" s="151"/>
      <c r="Z382" s="69"/>
      <c r="AA382" s="70"/>
      <c r="AB382" s="70"/>
      <c r="AC382" s="70" t="str">
        <f t="shared" si="58"/>
        <v>---</v>
      </c>
      <c r="AD382" s="70" t="str">
        <f>IFERROR(P382/#REF!-1,"---")</f>
        <v>---</v>
      </c>
      <c r="AE382" s="70" t="str">
        <f>IFERROR(#REF!/#REF!-1,"---")</f>
        <v>---</v>
      </c>
      <c r="AF382" s="70" t="str">
        <f>IFERROR(Q382/#REF!-1,"---")</f>
        <v>---</v>
      </c>
      <c r="AG382" s="70" t="str">
        <f>IFERROR(#REF!/#REF!-1,"---")</f>
        <v>---</v>
      </c>
      <c r="AH382" s="70" t="str">
        <f>IFERROR(#REF!/AA382-1,"---")</f>
        <v>---</v>
      </c>
      <c r="AI382" s="71" t="str">
        <f t="shared" si="59"/>
        <v>---</v>
      </c>
    </row>
    <row r="383" spans="1:35" ht="30" customHeight="1" x14ac:dyDescent="0.3">
      <c r="A383" s="123">
        <f t="shared" si="52"/>
        <v>379</v>
      </c>
      <c r="B383" s="140">
        <f>INDEX('PEER GROUP'!B:B,MATCH($A383,'PEER GROUP'!$A:$A,0))</f>
        <v>0</v>
      </c>
      <c r="C383" s="83">
        <f>INDEX('PEER GROUP'!C:C,MATCH($A383,'PEER GROUP'!$A:$A,0))</f>
        <v>0</v>
      </c>
      <c r="D383" s="83">
        <f>INDEX('PEER GROUP'!D:D,MATCH($A383,'PEER GROUP'!$A:$A,0))</f>
        <v>0</v>
      </c>
      <c r="E383" s="83">
        <f>INDEX('PEER GROUP'!E:E,MATCH(A383,'PEER GROUP'!$A:$A,0))</f>
        <v>0</v>
      </c>
      <c r="F383" s="84">
        <f>INDEX('PEER GROUP'!F:F,MATCH($A383,'PEER GROUP'!$A:$A,0))</f>
        <v>0</v>
      </c>
      <c r="G383" s="84">
        <f>INDEX('PEER GROUP'!G:G,MATCH($A383,'PEER GROUP'!$A:$A,0))</f>
        <v>0</v>
      </c>
      <c r="H383" s="85"/>
      <c r="I383" s="85"/>
      <c r="J383" s="70">
        <f>INDEX('PEER GROUP'!K:K,MATCH($A383,'PEER GROUP'!$A:$A,0))</f>
        <v>0</v>
      </c>
      <c r="K383" s="70">
        <f>INDEX('PEER GROUP'!L:L,MATCH($A383,'PEER GROUP'!$A:$A,0))</f>
        <v>0</v>
      </c>
      <c r="L383" s="81">
        <f>INDEX('PEER GROUP'!N:N,MATCH($A383,'PEER GROUP'!$A:$A,0))</f>
        <v>0</v>
      </c>
      <c r="M383" s="118"/>
      <c r="N383" s="115"/>
      <c r="O383" s="117"/>
      <c r="P383" s="87"/>
      <c r="Q383" s="87"/>
      <c r="R383" s="87">
        <f t="shared" si="53"/>
        <v>0</v>
      </c>
      <c r="S383" s="113">
        <f t="shared" si="51"/>
        <v>36.913096727263202</v>
      </c>
      <c r="T383" s="69">
        <f t="shared" si="54"/>
        <v>0</v>
      </c>
      <c r="U383" s="70">
        <f t="shared" si="55"/>
        <v>0</v>
      </c>
      <c r="V383" s="70">
        <f t="shared" si="56"/>
        <v>0</v>
      </c>
      <c r="W383" s="71">
        <f t="shared" si="57"/>
        <v>0</v>
      </c>
      <c r="X383" s="49"/>
      <c r="Y383" s="151"/>
      <c r="Z383" s="69"/>
      <c r="AA383" s="70"/>
      <c r="AB383" s="70"/>
      <c r="AC383" s="70" t="str">
        <f t="shared" si="58"/>
        <v>---</v>
      </c>
      <c r="AD383" s="70" t="str">
        <f>IFERROR(P383/#REF!-1,"---")</f>
        <v>---</v>
      </c>
      <c r="AE383" s="70" t="str">
        <f>IFERROR(#REF!/#REF!-1,"---")</f>
        <v>---</v>
      </c>
      <c r="AF383" s="70" t="str">
        <f>IFERROR(Q383/#REF!-1,"---")</f>
        <v>---</v>
      </c>
      <c r="AG383" s="70" t="str">
        <f>IFERROR(#REF!/#REF!-1,"---")</f>
        <v>---</v>
      </c>
      <c r="AH383" s="70" t="str">
        <f>IFERROR(#REF!/AA383-1,"---")</f>
        <v>---</v>
      </c>
      <c r="AI383" s="71" t="str">
        <f t="shared" si="59"/>
        <v>---</v>
      </c>
    </row>
    <row r="384" spans="1:35" ht="30" customHeight="1" x14ac:dyDescent="0.3">
      <c r="A384" s="123">
        <f t="shared" si="52"/>
        <v>380</v>
      </c>
      <c r="B384" s="140">
        <f>INDEX('PEER GROUP'!B:B,MATCH($A384,'PEER GROUP'!$A:$A,0))</f>
        <v>0</v>
      </c>
      <c r="C384" s="83">
        <f>INDEX('PEER GROUP'!C:C,MATCH($A384,'PEER GROUP'!$A:$A,0))</f>
        <v>0</v>
      </c>
      <c r="D384" s="83">
        <f>INDEX('PEER GROUP'!D:D,MATCH($A384,'PEER GROUP'!$A:$A,0))</f>
        <v>0</v>
      </c>
      <c r="E384" s="83">
        <f>INDEX('PEER GROUP'!E:E,MATCH(A384,'PEER GROUP'!$A:$A,0))</f>
        <v>0</v>
      </c>
      <c r="F384" s="84">
        <f>INDEX('PEER GROUP'!F:F,MATCH($A384,'PEER GROUP'!$A:$A,0))</f>
        <v>0</v>
      </c>
      <c r="G384" s="84">
        <f>INDEX('PEER GROUP'!G:G,MATCH($A384,'PEER GROUP'!$A:$A,0))</f>
        <v>0</v>
      </c>
      <c r="H384" s="85"/>
      <c r="I384" s="85"/>
      <c r="J384" s="70">
        <f>INDEX('PEER GROUP'!K:K,MATCH($A384,'PEER GROUP'!$A:$A,0))</f>
        <v>0</v>
      </c>
      <c r="K384" s="70">
        <f>INDEX('PEER GROUP'!L:L,MATCH($A384,'PEER GROUP'!$A:$A,0))</f>
        <v>0</v>
      </c>
      <c r="L384" s="81">
        <f>INDEX('PEER GROUP'!N:N,MATCH($A384,'PEER GROUP'!$A:$A,0))</f>
        <v>0</v>
      </c>
      <c r="M384" s="118"/>
      <c r="N384" s="115"/>
      <c r="O384" s="117"/>
      <c r="P384" s="87"/>
      <c r="Q384" s="87"/>
      <c r="R384" s="87">
        <f t="shared" si="53"/>
        <v>0</v>
      </c>
      <c r="S384" s="113">
        <f t="shared" si="51"/>
        <v>36.913096727263202</v>
      </c>
      <c r="T384" s="69">
        <f t="shared" si="54"/>
        <v>0</v>
      </c>
      <c r="U384" s="70">
        <f t="shared" si="55"/>
        <v>0</v>
      </c>
      <c r="V384" s="70">
        <f t="shared" si="56"/>
        <v>0</v>
      </c>
      <c r="W384" s="71">
        <f t="shared" si="57"/>
        <v>0</v>
      </c>
      <c r="X384" s="49"/>
      <c r="Y384" s="151"/>
      <c r="Z384" s="69"/>
      <c r="AA384" s="70"/>
      <c r="AB384" s="70"/>
      <c r="AC384" s="70" t="str">
        <f t="shared" si="58"/>
        <v>---</v>
      </c>
      <c r="AD384" s="70" t="str">
        <f>IFERROR(P384/#REF!-1,"---")</f>
        <v>---</v>
      </c>
      <c r="AE384" s="70" t="str">
        <f>IFERROR(#REF!/#REF!-1,"---")</f>
        <v>---</v>
      </c>
      <c r="AF384" s="70" t="str">
        <f>IFERROR(Q384/#REF!-1,"---")</f>
        <v>---</v>
      </c>
      <c r="AG384" s="70" t="str">
        <f>IFERROR(#REF!/#REF!-1,"---")</f>
        <v>---</v>
      </c>
      <c r="AH384" s="70" t="str">
        <f>IFERROR(#REF!/AA384-1,"---")</f>
        <v>---</v>
      </c>
      <c r="AI384" s="71" t="str">
        <f t="shared" si="59"/>
        <v>---</v>
      </c>
    </row>
    <row r="385" spans="1:35" ht="30" customHeight="1" x14ac:dyDescent="0.3">
      <c r="A385" s="123">
        <f t="shared" si="52"/>
        <v>381</v>
      </c>
      <c r="B385" s="140">
        <f>INDEX('PEER GROUP'!B:B,MATCH($A385,'PEER GROUP'!$A:$A,0))</f>
        <v>0</v>
      </c>
      <c r="C385" s="83">
        <f>INDEX('PEER GROUP'!C:C,MATCH($A385,'PEER GROUP'!$A:$A,0))</f>
        <v>0</v>
      </c>
      <c r="D385" s="83">
        <f>INDEX('PEER GROUP'!D:D,MATCH($A385,'PEER GROUP'!$A:$A,0))</f>
        <v>0</v>
      </c>
      <c r="E385" s="83">
        <f>INDEX('PEER GROUP'!E:E,MATCH(A385,'PEER GROUP'!$A:$A,0))</f>
        <v>0</v>
      </c>
      <c r="F385" s="84">
        <f>INDEX('PEER GROUP'!F:F,MATCH($A385,'PEER GROUP'!$A:$A,0))</f>
        <v>0</v>
      </c>
      <c r="G385" s="84">
        <f>INDEX('PEER GROUP'!G:G,MATCH($A385,'PEER GROUP'!$A:$A,0))</f>
        <v>0</v>
      </c>
      <c r="H385" s="85"/>
      <c r="I385" s="85"/>
      <c r="J385" s="70">
        <f>INDEX('PEER GROUP'!K:K,MATCH($A385,'PEER GROUP'!$A:$A,0))</f>
        <v>0</v>
      </c>
      <c r="K385" s="70">
        <f>INDEX('PEER GROUP'!L:L,MATCH($A385,'PEER GROUP'!$A:$A,0))</f>
        <v>0</v>
      </c>
      <c r="L385" s="81">
        <f>INDEX('PEER GROUP'!N:N,MATCH($A385,'PEER GROUP'!$A:$A,0))</f>
        <v>0</v>
      </c>
      <c r="M385" s="118"/>
      <c r="N385" s="115"/>
      <c r="O385" s="117"/>
      <c r="P385" s="87"/>
      <c r="Q385" s="87"/>
      <c r="R385" s="87">
        <f t="shared" si="53"/>
        <v>0</v>
      </c>
      <c r="S385" s="113">
        <f t="shared" si="51"/>
        <v>36.913096727263202</v>
      </c>
      <c r="T385" s="69">
        <f t="shared" si="54"/>
        <v>0</v>
      </c>
      <c r="U385" s="70">
        <f t="shared" si="55"/>
        <v>0</v>
      </c>
      <c r="V385" s="70">
        <f t="shared" si="56"/>
        <v>0</v>
      </c>
      <c r="W385" s="71">
        <f t="shared" si="57"/>
        <v>0</v>
      </c>
      <c r="X385" s="49"/>
      <c r="Y385" s="151"/>
      <c r="Z385" s="69"/>
      <c r="AA385" s="70"/>
      <c r="AB385" s="70"/>
      <c r="AC385" s="70" t="str">
        <f t="shared" si="58"/>
        <v>---</v>
      </c>
      <c r="AD385" s="70" t="str">
        <f>IFERROR(P385/#REF!-1,"---")</f>
        <v>---</v>
      </c>
      <c r="AE385" s="70" t="str">
        <f>IFERROR(#REF!/#REF!-1,"---")</f>
        <v>---</v>
      </c>
      <c r="AF385" s="70" t="str">
        <f>IFERROR(Q385/#REF!-1,"---")</f>
        <v>---</v>
      </c>
      <c r="AG385" s="70" t="str">
        <f>IFERROR(#REF!/#REF!-1,"---")</f>
        <v>---</v>
      </c>
      <c r="AH385" s="70" t="str">
        <f>IFERROR(#REF!/AA385-1,"---")</f>
        <v>---</v>
      </c>
      <c r="AI385" s="71" t="str">
        <f t="shared" si="59"/>
        <v>---</v>
      </c>
    </row>
    <row r="386" spans="1:35" ht="30" customHeight="1" x14ac:dyDescent="0.3">
      <c r="A386" s="123">
        <f t="shared" si="52"/>
        <v>382</v>
      </c>
      <c r="B386" s="140">
        <f>INDEX('PEER GROUP'!B:B,MATCH($A386,'PEER GROUP'!$A:$A,0))</f>
        <v>0</v>
      </c>
      <c r="C386" s="83">
        <f>INDEX('PEER GROUP'!C:C,MATCH($A386,'PEER GROUP'!$A:$A,0))</f>
        <v>0</v>
      </c>
      <c r="D386" s="83">
        <f>INDEX('PEER GROUP'!D:D,MATCH($A386,'PEER GROUP'!$A:$A,0))</f>
        <v>0</v>
      </c>
      <c r="E386" s="83">
        <f>INDEX('PEER GROUP'!E:E,MATCH(A386,'PEER GROUP'!$A:$A,0))</f>
        <v>0</v>
      </c>
      <c r="F386" s="84">
        <f>INDEX('PEER GROUP'!F:F,MATCH($A386,'PEER GROUP'!$A:$A,0))</f>
        <v>0</v>
      </c>
      <c r="G386" s="84">
        <f>INDEX('PEER GROUP'!G:G,MATCH($A386,'PEER GROUP'!$A:$A,0))</f>
        <v>0</v>
      </c>
      <c r="H386" s="85"/>
      <c r="I386" s="85"/>
      <c r="J386" s="70">
        <f>INDEX('PEER GROUP'!K:K,MATCH($A386,'PEER GROUP'!$A:$A,0))</f>
        <v>0</v>
      </c>
      <c r="K386" s="70">
        <f>INDEX('PEER GROUP'!L:L,MATCH($A386,'PEER GROUP'!$A:$A,0))</f>
        <v>0</v>
      </c>
      <c r="L386" s="81">
        <f>INDEX('PEER GROUP'!N:N,MATCH($A386,'PEER GROUP'!$A:$A,0))</f>
        <v>0</v>
      </c>
      <c r="M386" s="118"/>
      <c r="N386" s="115"/>
      <c r="O386" s="117"/>
      <c r="P386" s="87"/>
      <c r="Q386" s="87"/>
      <c r="R386" s="87">
        <f t="shared" si="53"/>
        <v>0</v>
      </c>
      <c r="S386" s="113">
        <f t="shared" si="51"/>
        <v>36.913096727263202</v>
      </c>
      <c r="T386" s="69">
        <f t="shared" si="54"/>
        <v>0</v>
      </c>
      <c r="U386" s="70">
        <f t="shared" si="55"/>
        <v>0</v>
      </c>
      <c r="V386" s="70">
        <f t="shared" si="56"/>
        <v>0</v>
      </c>
      <c r="W386" s="71">
        <f t="shared" si="57"/>
        <v>0</v>
      </c>
      <c r="X386" s="49"/>
      <c r="Y386" s="151"/>
      <c r="Z386" s="69"/>
      <c r="AA386" s="70"/>
      <c r="AB386" s="70"/>
      <c r="AC386" s="70" t="str">
        <f t="shared" si="58"/>
        <v>---</v>
      </c>
      <c r="AD386" s="70" t="str">
        <f>IFERROR(P386/#REF!-1,"---")</f>
        <v>---</v>
      </c>
      <c r="AE386" s="70" t="str">
        <f>IFERROR(#REF!/#REF!-1,"---")</f>
        <v>---</v>
      </c>
      <c r="AF386" s="70" t="str">
        <f>IFERROR(Q386/#REF!-1,"---")</f>
        <v>---</v>
      </c>
      <c r="AG386" s="70" t="str">
        <f>IFERROR(#REF!/#REF!-1,"---")</f>
        <v>---</v>
      </c>
      <c r="AH386" s="70" t="str">
        <f>IFERROR(#REF!/AA386-1,"---")</f>
        <v>---</v>
      </c>
      <c r="AI386" s="71" t="str">
        <f t="shared" si="59"/>
        <v>---</v>
      </c>
    </row>
    <row r="387" spans="1:35" ht="30" customHeight="1" x14ac:dyDescent="0.3">
      <c r="A387" s="123">
        <f t="shared" si="52"/>
        <v>383</v>
      </c>
      <c r="B387" s="140">
        <f>INDEX('PEER GROUP'!B:B,MATCH($A387,'PEER GROUP'!$A:$A,0))</f>
        <v>0</v>
      </c>
      <c r="C387" s="83">
        <f>INDEX('PEER GROUP'!C:C,MATCH($A387,'PEER GROUP'!$A:$A,0))</f>
        <v>0</v>
      </c>
      <c r="D387" s="83">
        <f>INDEX('PEER GROUP'!D:D,MATCH($A387,'PEER GROUP'!$A:$A,0))</f>
        <v>0</v>
      </c>
      <c r="E387" s="83">
        <f>INDEX('PEER GROUP'!E:E,MATCH(A387,'PEER GROUP'!$A:$A,0))</f>
        <v>0</v>
      </c>
      <c r="F387" s="84">
        <f>INDEX('PEER GROUP'!F:F,MATCH($A387,'PEER GROUP'!$A:$A,0))</f>
        <v>0</v>
      </c>
      <c r="G387" s="84">
        <f>INDEX('PEER GROUP'!G:G,MATCH($A387,'PEER GROUP'!$A:$A,0))</f>
        <v>0</v>
      </c>
      <c r="H387" s="85"/>
      <c r="I387" s="85"/>
      <c r="J387" s="70">
        <f>INDEX('PEER GROUP'!K:K,MATCH($A387,'PEER GROUP'!$A:$A,0))</f>
        <v>0</v>
      </c>
      <c r="K387" s="70">
        <f>INDEX('PEER GROUP'!L:L,MATCH($A387,'PEER GROUP'!$A:$A,0))</f>
        <v>0</v>
      </c>
      <c r="L387" s="81">
        <f>INDEX('PEER GROUP'!N:N,MATCH($A387,'PEER GROUP'!$A:$A,0))</f>
        <v>0</v>
      </c>
      <c r="M387" s="118"/>
      <c r="N387" s="115"/>
      <c r="O387" s="117"/>
      <c r="P387" s="87"/>
      <c r="Q387" s="87"/>
      <c r="R387" s="87">
        <f t="shared" si="53"/>
        <v>0</v>
      </c>
      <c r="S387" s="113">
        <f t="shared" si="51"/>
        <v>36.913096727263202</v>
      </c>
      <c r="T387" s="69">
        <f t="shared" si="54"/>
        <v>0</v>
      </c>
      <c r="U387" s="70">
        <f t="shared" si="55"/>
        <v>0</v>
      </c>
      <c r="V387" s="70">
        <f t="shared" si="56"/>
        <v>0</v>
      </c>
      <c r="W387" s="71">
        <f t="shared" si="57"/>
        <v>0</v>
      </c>
      <c r="X387" s="49"/>
      <c r="Y387" s="151"/>
      <c r="Z387" s="69"/>
      <c r="AA387" s="70"/>
      <c r="AB387" s="70"/>
      <c r="AC387" s="70" t="str">
        <f t="shared" si="58"/>
        <v>---</v>
      </c>
      <c r="AD387" s="70" t="str">
        <f>IFERROR(P387/#REF!-1,"---")</f>
        <v>---</v>
      </c>
      <c r="AE387" s="70" t="str">
        <f>IFERROR(#REF!/#REF!-1,"---")</f>
        <v>---</v>
      </c>
      <c r="AF387" s="70" t="str">
        <f>IFERROR(Q387/#REF!-1,"---")</f>
        <v>---</v>
      </c>
      <c r="AG387" s="70" t="str">
        <f>IFERROR(#REF!/#REF!-1,"---")</f>
        <v>---</v>
      </c>
      <c r="AH387" s="70" t="str">
        <f>IFERROR(#REF!/AA387-1,"---")</f>
        <v>---</v>
      </c>
      <c r="AI387" s="71" t="str">
        <f t="shared" si="59"/>
        <v>---</v>
      </c>
    </row>
    <row r="388" spans="1:35" ht="30" customHeight="1" x14ac:dyDescent="0.3">
      <c r="A388" s="123">
        <f t="shared" si="52"/>
        <v>384</v>
      </c>
      <c r="B388" s="140">
        <f>INDEX('PEER GROUP'!B:B,MATCH($A388,'PEER GROUP'!$A:$A,0))</f>
        <v>0</v>
      </c>
      <c r="C388" s="83">
        <f>INDEX('PEER GROUP'!C:C,MATCH($A388,'PEER GROUP'!$A:$A,0))</f>
        <v>0</v>
      </c>
      <c r="D388" s="83">
        <f>INDEX('PEER GROUP'!D:D,MATCH($A388,'PEER GROUP'!$A:$A,0))</f>
        <v>0</v>
      </c>
      <c r="E388" s="83">
        <f>INDEX('PEER GROUP'!E:E,MATCH(A388,'PEER GROUP'!$A:$A,0))</f>
        <v>0</v>
      </c>
      <c r="F388" s="84">
        <f>INDEX('PEER GROUP'!F:F,MATCH($A388,'PEER GROUP'!$A:$A,0))</f>
        <v>0</v>
      </c>
      <c r="G388" s="84">
        <f>INDEX('PEER GROUP'!G:G,MATCH($A388,'PEER GROUP'!$A:$A,0))</f>
        <v>0</v>
      </c>
      <c r="H388" s="85"/>
      <c r="I388" s="85"/>
      <c r="J388" s="70">
        <f>INDEX('PEER GROUP'!K:K,MATCH($A388,'PEER GROUP'!$A:$A,0))</f>
        <v>0</v>
      </c>
      <c r="K388" s="70">
        <f>INDEX('PEER GROUP'!L:L,MATCH($A388,'PEER GROUP'!$A:$A,0))</f>
        <v>0</v>
      </c>
      <c r="L388" s="81">
        <f>INDEX('PEER GROUP'!N:N,MATCH($A388,'PEER GROUP'!$A:$A,0))</f>
        <v>0</v>
      </c>
      <c r="M388" s="118"/>
      <c r="N388" s="115"/>
      <c r="O388" s="117"/>
      <c r="P388" s="87"/>
      <c r="Q388" s="87"/>
      <c r="R388" s="87">
        <f t="shared" si="53"/>
        <v>0</v>
      </c>
      <c r="S388" s="113">
        <f t="shared" si="51"/>
        <v>36.913096727263202</v>
      </c>
      <c r="T388" s="69">
        <f t="shared" si="54"/>
        <v>0</v>
      </c>
      <c r="U388" s="70">
        <f t="shared" si="55"/>
        <v>0</v>
      </c>
      <c r="V388" s="70">
        <f t="shared" si="56"/>
        <v>0</v>
      </c>
      <c r="W388" s="71">
        <f t="shared" si="57"/>
        <v>0</v>
      </c>
      <c r="X388" s="49"/>
      <c r="Y388" s="151"/>
      <c r="Z388" s="69"/>
      <c r="AA388" s="70"/>
      <c r="AB388" s="70"/>
      <c r="AC388" s="70" t="str">
        <f t="shared" si="58"/>
        <v>---</v>
      </c>
      <c r="AD388" s="70" t="str">
        <f>IFERROR(P388/#REF!-1,"---")</f>
        <v>---</v>
      </c>
      <c r="AE388" s="70" t="str">
        <f>IFERROR(#REF!/#REF!-1,"---")</f>
        <v>---</v>
      </c>
      <c r="AF388" s="70" t="str">
        <f>IFERROR(Q388/#REF!-1,"---")</f>
        <v>---</v>
      </c>
      <c r="AG388" s="70" t="str">
        <f>IFERROR(#REF!/#REF!-1,"---")</f>
        <v>---</v>
      </c>
      <c r="AH388" s="70" t="str">
        <f>IFERROR(#REF!/AA388-1,"---")</f>
        <v>---</v>
      </c>
      <c r="AI388" s="71" t="str">
        <f t="shared" si="59"/>
        <v>---</v>
      </c>
    </row>
    <row r="389" spans="1:35" ht="30" customHeight="1" x14ac:dyDescent="0.3">
      <c r="A389" s="123">
        <f t="shared" si="52"/>
        <v>385</v>
      </c>
      <c r="B389" s="140">
        <f>INDEX('PEER GROUP'!B:B,MATCH($A389,'PEER GROUP'!$A:$A,0))</f>
        <v>0</v>
      </c>
      <c r="C389" s="83">
        <f>INDEX('PEER GROUP'!C:C,MATCH($A389,'PEER GROUP'!$A:$A,0))</f>
        <v>0</v>
      </c>
      <c r="D389" s="83">
        <f>INDEX('PEER GROUP'!D:D,MATCH($A389,'PEER GROUP'!$A:$A,0))</f>
        <v>0</v>
      </c>
      <c r="E389" s="83">
        <f>INDEX('PEER GROUP'!E:E,MATCH(A389,'PEER GROUP'!$A:$A,0))</f>
        <v>0</v>
      </c>
      <c r="F389" s="84">
        <f>INDEX('PEER GROUP'!F:F,MATCH($A389,'PEER GROUP'!$A:$A,0))</f>
        <v>0</v>
      </c>
      <c r="G389" s="84">
        <f>INDEX('PEER GROUP'!G:G,MATCH($A389,'PEER GROUP'!$A:$A,0))</f>
        <v>0</v>
      </c>
      <c r="H389" s="85"/>
      <c r="I389" s="85"/>
      <c r="J389" s="70">
        <f>INDEX('PEER GROUP'!K:K,MATCH($A389,'PEER GROUP'!$A:$A,0))</f>
        <v>0</v>
      </c>
      <c r="K389" s="70">
        <f>INDEX('PEER GROUP'!L:L,MATCH($A389,'PEER GROUP'!$A:$A,0))</f>
        <v>0</v>
      </c>
      <c r="L389" s="81">
        <f>INDEX('PEER GROUP'!N:N,MATCH($A389,'PEER GROUP'!$A:$A,0))</f>
        <v>0</v>
      </c>
      <c r="M389" s="118"/>
      <c r="N389" s="115"/>
      <c r="O389" s="117"/>
      <c r="P389" s="87"/>
      <c r="Q389" s="87"/>
      <c r="R389" s="87">
        <f t="shared" si="53"/>
        <v>0</v>
      </c>
      <c r="S389" s="113">
        <f t="shared" si="51"/>
        <v>36.913096727263202</v>
      </c>
      <c r="T389" s="69">
        <f t="shared" si="54"/>
        <v>0</v>
      </c>
      <c r="U389" s="70">
        <f t="shared" si="55"/>
        <v>0</v>
      </c>
      <c r="V389" s="70">
        <f t="shared" si="56"/>
        <v>0</v>
      </c>
      <c r="W389" s="71">
        <f t="shared" si="57"/>
        <v>0</v>
      </c>
      <c r="X389" s="49"/>
      <c r="Y389" s="151"/>
      <c r="Z389" s="69"/>
      <c r="AA389" s="70"/>
      <c r="AB389" s="70"/>
      <c r="AC389" s="70" t="str">
        <f t="shared" si="58"/>
        <v>---</v>
      </c>
      <c r="AD389" s="70" t="str">
        <f>IFERROR(P389/#REF!-1,"---")</f>
        <v>---</v>
      </c>
      <c r="AE389" s="70" t="str">
        <f>IFERROR(#REF!/#REF!-1,"---")</f>
        <v>---</v>
      </c>
      <c r="AF389" s="70" t="str">
        <f>IFERROR(Q389/#REF!-1,"---")</f>
        <v>---</v>
      </c>
      <c r="AG389" s="70" t="str">
        <f>IFERROR(#REF!/#REF!-1,"---")</f>
        <v>---</v>
      </c>
      <c r="AH389" s="70" t="str">
        <f>IFERROR(#REF!/AA389-1,"---")</f>
        <v>---</v>
      </c>
      <c r="AI389" s="71" t="str">
        <f t="shared" si="59"/>
        <v>---</v>
      </c>
    </row>
    <row r="390" spans="1:35" ht="30" customHeight="1" x14ac:dyDescent="0.3">
      <c r="A390" s="123">
        <f t="shared" si="52"/>
        <v>386</v>
      </c>
      <c r="B390" s="140">
        <f>INDEX('PEER GROUP'!B:B,MATCH($A390,'PEER GROUP'!$A:$A,0))</f>
        <v>0</v>
      </c>
      <c r="C390" s="83">
        <f>INDEX('PEER GROUP'!C:C,MATCH($A390,'PEER GROUP'!$A:$A,0))</f>
        <v>0</v>
      </c>
      <c r="D390" s="83">
        <f>INDEX('PEER GROUP'!D:D,MATCH($A390,'PEER GROUP'!$A:$A,0))</f>
        <v>0</v>
      </c>
      <c r="E390" s="83">
        <f>INDEX('PEER GROUP'!E:E,MATCH(A390,'PEER GROUP'!$A:$A,0))</f>
        <v>0</v>
      </c>
      <c r="F390" s="84">
        <f>INDEX('PEER GROUP'!F:F,MATCH($A390,'PEER GROUP'!$A:$A,0))</f>
        <v>0</v>
      </c>
      <c r="G390" s="84">
        <f>INDEX('PEER GROUP'!G:G,MATCH($A390,'PEER GROUP'!$A:$A,0))</f>
        <v>0</v>
      </c>
      <c r="H390" s="85"/>
      <c r="I390" s="85"/>
      <c r="J390" s="70">
        <f>INDEX('PEER GROUP'!K:K,MATCH($A390,'PEER GROUP'!$A:$A,0))</f>
        <v>0</v>
      </c>
      <c r="K390" s="70">
        <f>INDEX('PEER GROUP'!L:L,MATCH($A390,'PEER GROUP'!$A:$A,0))</f>
        <v>0</v>
      </c>
      <c r="L390" s="81">
        <f>INDEX('PEER GROUP'!N:N,MATCH($A390,'PEER GROUP'!$A:$A,0))</f>
        <v>0</v>
      </c>
      <c r="M390" s="118"/>
      <c r="N390" s="115"/>
      <c r="O390" s="117"/>
      <c r="P390" s="87"/>
      <c r="Q390" s="87"/>
      <c r="R390" s="87">
        <f t="shared" si="53"/>
        <v>0</v>
      </c>
      <c r="S390" s="113">
        <f t="shared" si="51"/>
        <v>36.913096727263202</v>
      </c>
      <c r="T390" s="69">
        <f t="shared" si="54"/>
        <v>0</v>
      </c>
      <c r="U390" s="70">
        <f t="shared" si="55"/>
        <v>0</v>
      </c>
      <c r="V390" s="70">
        <f t="shared" si="56"/>
        <v>0</v>
      </c>
      <c r="W390" s="71">
        <f t="shared" si="57"/>
        <v>0</v>
      </c>
      <c r="X390" s="49"/>
      <c r="Y390" s="151"/>
      <c r="Z390" s="69"/>
      <c r="AA390" s="70"/>
      <c r="AB390" s="70"/>
      <c r="AC390" s="70" t="str">
        <f t="shared" si="58"/>
        <v>---</v>
      </c>
      <c r="AD390" s="70" t="str">
        <f>IFERROR(P390/#REF!-1,"---")</f>
        <v>---</v>
      </c>
      <c r="AE390" s="70" t="str">
        <f>IFERROR(#REF!/#REF!-1,"---")</f>
        <v>---</v>
      </c>
      <c r="AF390" s="70" t="str">
        <f>IFERROR(Q390/#REF!-1,"---")</f>
        <v>---</v>
      </c>
      <c r="AG390" s="70" t="str">
        <f>IFERROR(#REF!/#REF!-1,"---")</f>
        <v>---</v>
      </c>
      <c r="AH390" s="70" t="str">
        <f>IFERROR(#REF!/AA390-1,"---")</f>
        <v>---</v>
      </c>
      <c r="AI390" s="71" t="str">
        <f t="shared" si="59"/>
        <v>---</v>
      </c>
    </row>
    <row r="391" spans="1:35" ht="30" customHeight="1" x14ac:dyDescent="0.3">
      <c r="A391" s="123">
        <f t="shared" si="52"/>
        <v>387</v>
      </c>
      <c r="B391" s="140">
        <f>INDEX('PEER GROUP'!B:B,MATCH($A391,'PEER GROUP'!$A:$A,0))</f>
        <v>0</v>
      </c>
      <c r="C391" s="83">
        <f>INDEX('PEER GROUP'!C:C,MATCH($A391,'PEER GROUP'!$A:$A,0))</f>
        <v>0</v>
      </c>
      <c r="D391" s="83">
        <f>INDEX('PEER GROUP'!D:D,MATCH($A391,'PEER GROUP'!$A:$A,0))</f>
        <v>0</v>
      </c>
      <c r="E391" s="83">
        <f>INDEX('PEER GROUP'!E:E,MATCH(A391,'PEER GROUP'!$A:$A,0))</f>
        <v>0</v>
      </c>
      <c r="F391" s="84">
        <f>INDEX('PEER GROUP'!F:F,MATCH($A391,'PEER GROUP'!$A:$A,0))</f>
        <v>0</v>
      </c>
      <c r="G391" s="84">
        <f>INDEX('PEER GROUP'!G:G,MATCH($A391,'PEER GROUP'!$A:$A,0))</f>
        <v>0</v>
      </c>
      <c r="H391" s="85"/>
      <c r="I391" s="85"/>
      <c r="J391" s="70">
        <f>INDEX('PEER GROUP'!K:K,MATCH($A391,'PEER GROUP'!$A:$A,0))</f>
        <v>0</v>
      </c>
      <c r="K391" s="70">
        <f>INDEX('PEER GROUP'!L:L,MATCH($A391,'PEER GROUP'!$A:$A,0))</f>
        <v>0</v>
      </c>
      <c r="L391" s="81">
        <f>INDEX('PEER GROUP'!N:N,MATCH($A391,'PEER GROUP'!$A:$A,0))</f>
        <v>0</v>
      </c>
      <c r="M391" s="118"/>
      <c r="N391" s="115"/>
      <c r="O391" s="117"/>
      <c r="P391" s="87"/>
      <c r="Q391" s="87"/>
      <c r="R391" s="87">
        <f t="shared" si="53"/>
        <v>0</v>
      </c>
      <c r="S391" s="113">
        <f t="shared" si="51"/>
        <v>36.913096727263202</v>
      </c>
      <c r="T391" s="69">
        <f t="shared" si="54"/>
        <v>0</v>
      </c>
      <c r="U391" s="70">
        <f t="shared" si="55"/>
        <v>0</v>
      </c>
      <c r="V391" s="70">
        <f t="shared" si="56"/>
        <v>0</v>
      </c>
      <c r="W391" s="71">
        <f t="shared" si="57"/>
        <v>0</v>
      </c>
      <c r="X391" s="49"/>
      <c r="Y391" s="151"/>
      <c r="Z391" s="69"/>
      <c r="AA391" s="70"/>
      <c r="AB391" s="70"/>
      <c r="AC391" s="70" t="str">
        <f t="shared" si="58"/>
        <v>---</v>
      </c>
      <c r="AD391" s="70" t="str">
        <f>IFERROR(P391/#REF!-1,"---")</f>
        <v>---</v>
      </c>
      <c r="AE391" s="70" t="str">
        <f>IFERROR(#REF!/#REF!-1,"---")</f>
        <v>---</v>
      </c>
      <c r="AF391" s="70" t="str">
        <f>IFERROR(Q391/#REF!-1,"---")</f>
        <v>---</v>
      </c>
      <c r="AG391" s="70" t="str">
        <f>IFERROR(#REF!/#REF!-1,"---")</f>
        <v>---</v>
      </c>
      <c r="AH391" s="70" t="str">
        <f>IFERROR(#REF!/AA391-1,"---")</f>
        <v>---</v>
      </c>
      <c r="AI391" s="71" t="str">
        <f t="shared" si="59"/>
        <v>---</v>
      </c>
    </row>
    <row r="392" spans="1:35" ht="30" customHeight="1" x14ac:dyDescent="0.3">
      <c r="A392" s="123">
        <f t="shared" si="52"/>
        <v>388</v>
      </c>
      <c r="B392" s="140">
        <f>INDEX('PEER GROUP'!B:B,MATCH($A392,'PEER GROUP'!$A:$A,0))</f>
        <v>0</v>
      </c>
      <c r="C392" s="83">
        <f>INDEX('PEER GROUP'!C:C,MATCH($A392,'PEER GROUP'!$A:$A,0))</f>
        <v>0</v>
      </c>
      <c r="D392" s="83">
        <f>INDEX('PEER GROUP'!D:D,MATCH($A392,'PEER GROUP'!$A:$A,0))</f>
        <v>0</v>
      </c>
      <c r="E392" s="83">
        <f>INDEX('PEER GROUP'!E:E,MATCH(A392,'PEER GROUP'!$A:$A,0))</f>
        <v>0</v>
      </c>
      <c r="F392" s="84">
        <f>INDEX('PEER GROUP'!F:F,MATCH($A392,'PEER GROUP'!$A:$A,0))</f>
        <v>0</v>
      </c>
      <c r="G392" s="84">
        <f>INDEX('PEER GROUP'!G:G,MATCH($A392,'PEER GROUP'!$A:$A,0))</f>
        <v>0</v>
      </c>
      <c r="H392" s="85"/>
      <c r="I392" s="85"/>
      <c r="J392" s="70">
        <f>INDEX('PEER GROUP'!K:K,MATCH($A392,'PEER GROUP'!$A:$A,0))</f>
        <v>0</v>
      </c>
      <c r="K392" s="70">
        <f>INDEX('PEER GROUP'!L:L,MATCH($A392,'PEER GROUP'!$A:$A,0))</f>
        <v>0</v>
      </c>
      <c r="L392" s="81">
        <f>INDEX('PEER GROUP'!N:N,MATCH($A392,'PEER GROUP'!$A:$A,0))</f>
        <v>0</v>
      </c>
      <c r="M392" s="118"/>
      <c r="N392" s="115"/>
      <c r="O392" s="117"/>
      <c r="P392" s="87"/>
      <c r="Q392" s="87"/>
      <c r="R392" s="87">
        <f t="shared" si="53"/>
        <v>0</v>
      </c>
      <c r="S392" s="113">
        <f t="shared" si="51"/>
        <v>36.913096727263202</v>
      </c>
      <c r="T392" s="69">
        <f t="shared" si="54"/>
        <v>0</v>
      </c>
      <c r="U392" s="70">
        <f t="shared" si="55"/>
        <v>0</v>
      </c>
      <c r="V392" s="70">
        <f t="shared" si="56"/>
        <v>0</v>
      </c>
      <c r="W392" s="71">
        <f t="shared" si="57"/>
        <v>0</v>
      </c>
      <c r="X392" s="49"/>
      <c r="Y392" s="151"/>
      <c r="Z392" s="69"/>
      <c r="AA392" s="70"/>
      <c r="AB392" s="70"/>
      <c r="AC392" s="70" t="str">
        <f t="shared" si="58"/>
        <v>---</v>
      </c>
      <c r="AD392" s="70" t="str">
        <f>IFERROR(P392/#REF!-1,"---")</f>
        <v>---</v>
      </c>
      <c r="AE392" s="70" t="str">
        <f>IFERROR(#REF!/#REF!-1,"---")</f>
        <v>---</v>
      </c>
      <c r="AF392" s="70" t="str">
        <f>IFERROR(Q392/#REF!-1,"---")</f>
        <v>---</v>
      </c>
      <c r="AG392" s="70" t="str">
        <f>IFERROR(#REF!/#REF!-1,"---")</f>
        <v>---</v>
      </c>
      <c r="AH392" s="70" t="str">
        <f>IFERROR(#REF!/AA392-1,"---")</f>
        <v>---</v>
      </c>
      <c r="AI392" s="71" t="str">
        <f t="shared" si="59"/>
        <v>---</v>
      </c>
    </row>
    <row r="393" spans="1:35" ht="30" customHeight="1" x14ac:dyDescent="0.3">
      <c r="A393" s="123">
        <f t="shared" si="52"/>
        <v>389</v>
      </c>
      <c r="B393" s="140">
        <f>INDEX('PEER GROUP'!B:B,MATCH($A393,'PEER GROUP'!$A:$A,0))</f>
        <v>0</v>
      </c>
      <c r="C393" s="83">
        <f>INDEX('PEER GROUP'!C:C,MATCH($A393,'PEER GROUP'!$A:$A,0))</f>
        <v>0</v>
      </c>
      <c r="D393" s="83">
        <f>INDEX('PEER GROUP'!D:D,MATCH($A393,'PEER GROUP'!$A:$A,0))</f>
        <v>0</v>
      </c>
      <c r="E393" s="83">
        <f>INDEX('PEER GROUP'!E:E,MATCH(A393,'PEER GROUP'!$A:$A,0))</f>
        <v>0</v>
      </c>
      <c r="F393" s="84">
        <f>INDEX('PEER GROUP'!F:F,MATCH($A393,'PEER GROUP'!$A:$A,0))</f>
        <v>0</v>
      </c>
      <c r="G393" s="84">
        <f>INDEX('PEER GROUP'!G:G,MATCH($A393,'PEER GROUP'!$A:$A,0))</f>
        <v>0</v>
      </c>
      <c r="H393" s="85"/>
      <c r="I393" s="85"/>
      <c r="J393" s="70">
        <f>INDEX('PEER GROUP'!K:K,MATCH($A393,'PEER GROUP'!$A:$A,0))</f>
        <v>0</v>
      </c>
      <c r="K393" s="70">
        <f>INDEX('PEER GROUP'!L:L,MATCH($A393,'PEER GROUP'!$A:$A,0))</f>
        <v>0</v>
      </c>
      <c r="L393" s="81">
        <f>INDEX('PEER GROUP'!N:N,MATCH($A393,'PEER GROUP'!$A:$A,0))</f>
        <v>0</v>
      </c>
      <c r="M393" s="118"/>
      <c r="N393" s="115"/>
      <c r="O393" s="117"/>
      <c r="P393" s="87"/>
      <c r="Q393" s="87"/>
      <c r="R393" s="87">
        <f t="shared" si="53"/>
        <v>0</v>
      </c>
      <c r="S393" s="113">
        <f t="shared" si="51"/>
        <v>36.913096727263202</v>
      </c>
      <c r="T393" s="69">
        <f t="shared" si="54"/>
        <v>0</v>
      </c>
      <c r="U393" s="70">
        <f t="shared" si="55"/>
        <v>0</v>
      </c>
      <c r="V393" s="70">
        <f t="shared" si="56"/>
        <v>0</v>
      </c>
      <c r="W393" s="71">
        <f t="shared" si="57"/>
        <v>0</v>
      </c>
      <c r="X393" s="49"/>
      <c r="Y393" s="151"/>
      <c r="Z393" s="69"/>
      <c r="AA393" s="70"/>
      <c r="AB393" s="70"/>
      <c r="AC393" s="70" t="str">
        <f t="shared" si="58"/>
        <v>---</v>
      </c>
      <c r="AD393" s="70" t="str">
        <f>IFERROR(P393/#REF!-1,"---")</f>
        <v>---</v>
      </c>
      <c r="AE393" s="70" t="str">
        <f>IFERROR(#REF!/#REF!-1,"---")</f>
        <v>---</v>
      </c>
      <c r="AF393" s="70" t="str">
        <f>IFERROR(Q393/#REF!-1,"---")</f>
        <v>---</v>
      </c>
      <c r="AG393" s="70" t="str">
        <f>IFERROR(#REF!/#REF!-1,"---")</f>
        <v>---</v>
      </c>
      <c r="AH393" s="70" t="str">
        <f>IFERROR(#REF!/AA393-1,"---")</f>
        <v>---</v>
      </c>
      <c r="AI393" s="71" t="str">
        <f t="shared" si="59"/>
        <v>---</v>
      </c>
    </row>
    <row r="394" spans="1:35" ht="30" customHeight="1" x14ac:dyDescent="0.3">
      <c r="A394" s="123">
        <f t="shared" si="52"/>
        <v>390</v>
      </c>
      <c r="B394" s="140">
        <f>INDEX('PEER GROUP'!B:B,MATCH($A394,'PEER GROUP'!$A:$A,0))</f>
        <v>0</v>
      </c>
      <c r="C394" s="83">
        <f>INDEX('PEER GROUP'!C:C,MATCH($A394,'PEER GROUP'!$A:$A,0))</f>
        <v>0</v>
      </c>
      <c r="D394" s="83">
        <f>INDEX('PEER GROUP'!D:D,MATCH($A394,'PEER GROUP'!$A:$A,0))</f>
        <v>0</v>
      </c>
      <c r="E394" s="83">
        <f>INDEX('PEER GROUP'!E:E,MATCH(A394,'PEER GROUP'!$A:$A,0))</f>
        <v>0</v>
      </c>
      <c r="F394" s="84">
        <f>INDEX('PEER GROUP'!F:F,MATCH($A394,'PEER GROUP'!$A:$A,0))</f>
        <v>0</v>
      </c>
      <c r="G394" s="84">
        <f>INDEX('PEER GROUP'!G:G,MATCH($A394,'PEER GROUP'!$A:$A,0))</f>
        <v>0</v>
      </c>
      <c r="H394" s="85"/>
      <c r="I394" s="85"/>
      <c r="J394" s="70">
        <f>INDEX('PEER GROUP'!K:K,MATCH($A394,'PEER GROUP'!$A:$A,0))</f>
        <v>0</v>
      </c>
      <c r="K394" s="70">
        <f>INDEX('PEER GROUP'!L:L,MATCH($A394,'PEER GROUP'!$A:$A,0))</f>
        <v>0</v>
      </c>
      <c r="L394" s="81">
        <f>INDEX('PEER GROUP'!N:N,MATCH($A394,'PEER GROUP'!$A:$A,0))</f>
        <v>0</v>
      </c>
      <c r="M394" s="118"/>
      <c r="N394" s="115"/>
      <c r="O394" s="117"/>
      <c r="P394" s="87"/>
      <c r="Q394" s="87"/>
      <c r="R394" s="87">
        <f t="shared" si="53"/>
        <v>0</v>
      </c>
      <c r="S394" s="113">
        <f t="shared" si="51"/>
        <v>36.913096727263202</v>
      </c>
      <c r="T394" s="69">
        <f t="shared" si="54"/>
        <v>0</v>
      </c>
      <c r="U394" s="70">
        <f t="shared" si="55"/>
        <v>0</v>
      </c>
      <c r="V394" s="70">
        <f t="shared" si="56"/>
        <v>0</v>
      </c>
      <c r="W394" s="71">
        <f t="shared" si="57"/>
        <v>0</v>
      </c>
      <c r="X394" s="49"/>
      <c r="Y394" s="151"/>
      <c r="Z394" s="69"/>
      <c r="AA394" s="70"/>
      <c r="AB394" s="70"/>
      <c r="AC394" s="70" t="str">
        <f t="shared" si="58"/>
        <v>---</v>
      </c>
      <c r="AD394" s="70" t="str">
        <f>IFERROR(P394/#REF!-1,"---")</f>
        <v>---</v>
      </c>
      <c r="AE394" s="70" t="str">
        <f>IFERROR(#REF!/#REF!-1,"---")</f>
        <v>---</v>
      </c>
      <c r="AF394" s="70" t="str">
        <f>IFERROR(Q394/#REF!-1,"---")</f>
        <v>---</v>
      </c>
      <c r="AG394" s="70" t="str">
        <f>IFERROR(#REF!/#REF!-1,"---")</f>
        <v>---</v>
      </c>
      <c r="AH394" s="70" t="str">
        <f>IFERROR(#REF!/AA394-1,"---")</f>
        <v>---</v>
      </c>
      <c r="AI394" s="71" t="str">
        <f t="shared" si="59"/>
        <v>---</v>
      </c>
    </row>
    <row r="395" spans="1:35" ht="30" customHeight="1" x14ac:dyDescent="0.3">
      <c r="A395" s="123">
        <f t="shared" si="52"/>
        <v>391</v>
      </c>
      <c r="B395" s="140">
        <f>INDEX('PEER GROUP'!B:B,MATCH($A395,'PEER GROUP'!$A:$A,0))</f>
        <v>0</v>
      </c>
      <c r="C395" s="83">
        <f>INDEX('PEER GROUP'!C:C,MATCH($A395,'PEER GROUP'!$A:$A,0))</f>
        <v>0</v>
      </c>
      <c r="D395" s="83">
        <f>INDEX('PEER GROUP'!D:D,MATCH($A395,'PEER GROUP'!$A:$A,0))</f>
        <v>0</v>
      </c>
      <c r="E395" s="83">
        <f>INDEX('PEER GROUP'!E:E,MATCH(A395,'PEER GROUP'!$A:$A,0))</f>
        <v>0</v>
      </c>
      <c r="F395" s="84">
        <f>INDEX('PEER GROUP'!F:F,MATCH($A395,'PEER GROUP'!$A:$A,0))</f>
        <v>0</v>
      </c>
      <c r="G395" s="84">
        <f>INDEX('PEER GROUP'!G:G,MATCH($A395,'PEER GROUP'!$A:$A,0))</f>
        <v>0</v>
      </c>
      <c r="H395" s="85"/>
      <c r="I395" s="85"/>
      <c r="J395" s="70">
        <f>INDEX('PEER GROUP'!K:K,MATCH($A395,'PEER GROUP'!$A:$A,0))</f>
        <v>0</v>
      </c>
      <c r="K395" s="70">
        <f>INDEX('PEER GROUP'!L:L,MATCH($A395,'PEER GROUP'!$A:$A,0))</f>
        <v>0</v>
      </c>
      <c r="L395" s="81">
        <f>INDEX('PEER GROUP'!N:N,MATCH($A395,'PEER GROUP'!$A:$A,0))</f>
        <v>0</v>
      </c>
      <c r="M395" s="118"/>
      <c r="N395" s="115"/>
      <c r="O395" s="117"/>
      <c r="P395" s="87"/>
      <c r="Q395" s="87"/>
      <c r="R395" s="87">
        <f t="shared" si="53"/>
        <v>0</v>
      </c>
      <c r="S395" s="113">
        <f t="shared" si="51"/>
        <v>36.913096727263202</v>
      </c>
      <c r="T395" s="69">
        <f t="shared" si="54"/>
        <v>0</v>
      </c>
      <c r="U395" s="70">
        <f t="shared" si="55"/>
        <v>0</v>
      </c>
      <c r="V395" s="70">
        <f t="shared" si="56"/>
        <v>0</v>
      </c>
      <c r="W395" s="71">
        <f t="shared" si="57"/>
        <v>0</v>
      </c>
      <c r="X395" s="49"/>
      <c r="Y395" s="151"/>
      <c r="Z395" s="69"/>
      <c r="AA395" s="70"/>
      <c r="AB395" s="70"/>
      <c r="AC395" s="70" t="str">
        <f t="shared" si="58"/>
        <v>---</v>
      </c>
      <c r="AD395" s="70" t="str">
        <f>IFERROR(P395/#REF!-1,"---")</f>
        <v>---</v>
      </c>
      <c r="AE395" s="70" t="str">
        <f>IFERROR(#REF!/#REF!-1,"---")</f>
        <v>---</v>
      </c>
      <c r="AF395" s="70" t="str">
        <f>IFERROR(Q395/#REF!-1,"---")</f>
        <v>---</v>
      </c>
      <c r="AG395" s="70" t="str">
        <f>IFERROR(#REF!/#REF!-1,"---")</f>
        <v>---</v>
      </c>
      <c r="AH395" s="70" t="str">
        <f>IFERROR(#REF!/AA395-1,"---")</f>
        <v>---</v>
      </c>
      <c r="AI395" s="71" t="str">
        <f t="shared" si="59"/>
        <v>---</v>
      </c>
    </row>
    <row r="396" spans="1:35" ht="30" customHeight="1" x14ac:dyDescent="0.3">
      <c r="A396" s="123">
        <f t="shared" si="52"/>
        <v>392</v>
      </c>
      <c r="B396" s="140">
        <f>INDEX('PEER GROUP'!B:B,MATCH($A396,'PEER GROUP'!$A:$A,0))</f>
        <v>0</v>
      </c>
      <c r="C396" s="83">
        <f>INDEX('PEER GROUP'!C:C,MATCH($A396,'PEER GROUP'!$A:$A,0))</f>
        <v>0</v>
      </c>
      <c r="D396" s="83">
        <f>INDEX('PEER GROUP'!D:D,MATCH($A396,'PEER GROUP'!$A:$A,0))</f>
        <v>0</v>
      </c>
      <c r="E396" s="83">
        <f>INDEX('PEER GROUP'!E:E,MATCH(A396,'PEER GROUP'!$A:$A,0))</f>
        <v>0</v>
      </c>
      <c r="F396" s="84">
        <f>INDEX('PEER GROUP'!F:F,MATCH($A396,'PEER GROUP'!$A:$A,0))</f>
        <v>0</v>
      </c>
      <c r="G396" s="84">
        <f>INDEX('PEER GROUP'!G:G,MATCH($A396,'PEER GROUP'!$A:$A,0))</f>
        <v>0</v>
      </c>
      <c r="H396" s="85"/>
      <c r="I396" s="85"/>
      <c r="J396" s="70">
        <f>INDEX('PEER GROUP'!K:K,MATCH($A396,'PEER GROUP'!$A:$A,0))</f>
        <v>0</v>
      </c>
      <c r="K396" s="70">
        <f>INDEX('PEER GROUP'!L:L,MATCH($A396,'PEER GROUP'!$A:$A,0))</f>
        <v>0</v>
      </c>
      <c r="L396" s="81">
        <f>INDEX('PEER GROUP'!N:N,MATCH($A396,'PEER GROUP'!$A:$A,0))</f>
        <v>0</v>
      </c>
      <c r="M396" s="118"/>
      <c r="N396" s="115"/>
      <c r="O396" s="117"/>
      <c r="P396" s="87"/>
      <c r="Q396" s="87"/>
      <c r="R396" s="87">
        <f t="shared" si="53"/>
        <v>0</v>
      </c>
      <c r="S396" s="113">
        <f t="shared" si="51"/>
        <v>36.913096727263202</v>
      </c>
      <c r="T396" s="69">
        <f t="shared" si="54"/>
        <v>0</v>
      </c>
      <c r="U396" s="70">
        <f t="shared" si="55"/>
        <v>0</v>
      </c>
      <c r="V396" s="70">
        <f t="shared" si="56"/>
        <v>0</v>
      </c>
      <c r="W396" s="71">
        <f t="shared" si="57"/>
        <v>0</v>
      </c>
      <c r="X396" s="49"/>
      <c r="Y396" s="151"/>
      <c r="Z396" s="69"/>
      <c r="AA396" s="70"/>
      <c r="AB396" s="70"/>
      <c r="AC396" s="70" t="str">
        <f t="shared" si="58"/>
        <v>---</v>
      </c>
      <c r="AD396" s="70" t="str">
        <f>IFERROR(P396/#REF!-1,"---")</f>
        <v>---</v>
      </c>
      <c r="AE396" s="70" t="str">
        <f>IFERROR(#REF!/#REF!-1,"---")</f>
        <v>---</v>
      </c>
      <c r="AF396" s="70" t="str">
        <f>IFERROR(Q396/#REF!-1,"---")</f>
        <v>---</v>
      </c>
      <c r="AG396" s="70" t="str">
        <f>IFERROR(#REF!/#REF!-1,"---")</f>
        <v>---</v>
      </c>
      <c r="AH396" s="70" t="str">
        <f>IFERROR(#REF!/AA396-1,"---")</f>
        <v>---</v>
      </c>
      <c r="AI396" s="71" t="str">
        <f t="shared" si="59"/>
        <v>---</v>
      </c>
    </row>
    <row r="397" spans="1:35" ht="30" customHeight="1" x14ac:dyDescent="0.3">
      <c r="A397" s="123">
        <f t="shared" si="52"/>
        <v>393</v>
      </c>
      <c r="B397" s="140">
        <f>INDEX('PEER GROUP'!B:B,MATCH($A397,'PEER GROUP'!$A:$A,0))</f>
        <v>0</v>
      </c>
      <c r="C397" s="83">
        <f>INDEX('PEER GROUP'!C:C,MATCH($A397,'PEER GROUP'!$A:$A,0))</f>
        <v>0</v>
      </c>
      <c r="D397" s="83">
        <f>INDEX('PEER GROUP'!D:D,MATCH($A397,'PEER GROUP'!$A:$A,0))</f>
        <v>0</v>
      </c>
      <c r="E397" s="83">
        <f>INDEX('PEER GROUP'!E:E,MATCH(A397,'PEER GROUP'!$A:$A,0))</f>
        <v>0</v>
      </c>
      <c r="F397" s="84">
        <f>INDEX('PEER GROUP'!F:F,MATCH($A397,'PEER GROUP'!$A:$A,0))</f>
        <v>0</v>
      </c>
      <c r="G397" s="84">
        <f>INDEX('PEER GROUP'!G:G,MATCH($A397,'PEER GROUP'!$A:$A,0))</f>
        <v>0</v>
      </c>
      <c r="H397" s="85"/>
      <c r="I397" s="85"/>
      <c r="J397" s="70">
        <f>INDEX('PEER GROUP'!K:K,MATCH($A397,'PEER GROUP'!$A:$A,0))</f>
        <v>0</v>
      </c>
      <c r="K397" s="70">
        <f>INDEX('PEER GROUP'!L:L,MATCH($A397,'PEER GROUP'!$A:$A,0))</f>
        <v>0</v>
      </c>
      <c r="L397" s="81">
        <f>INDEX('PEER GROUP'!N:N,MATCH($A397,'PEER GROUP'!$A:$A,0))</f>
        <v>0</v>
      </c>
      <c r="M397" s="118"/>
      <c r="N397" s="115"/>
      <c r="O397" s="117"/>
      <c r="P397" s="87"/>
      <c r="Q397" s="87"/>
      <c r="R397" s="87">
        <f t="shared" si="53"/>
        <v>0</v>
      </c>
      <c r="S397" s="113">
        <f t="shared" si="51"/>
        <v>36.913096727263202</v>
      </c>
      <c r="T397" s="69">
        <f t="shared" si="54"/>
        <v>0</v>
      </c>
      <c r="U397" s="70">
        <f t="shared" si="55"/>
        <v>0</v>
      </c>
      <c r="V397" s="70">
        <f t="shared" si="56"/>
        <v>0</v>
      </c>
      <c r="W397" s="71">
        <f t="shared" si="57"/>
        <v>0</v>
      </c>
      <c r="X397" s="49"/>
      <c r="Y397" s="151"/>
      <c r="Z397" s="69"/>
      <c r="AA397" s="70"/>
      <c r="AB397" s="70"/>
      <c r="AC397" s="70" t="str">
        <f t="shared" si="58"/>
        <v>---</v>
      </c>
      <c r="AD397" s="70" t="str">
        <f>IFERROR(P397/#REF!-1,"---")</f>
        <v>---</v>
      </c>
      <c r="AE397" s="70" t="str">
        <f>IFERROR(#REF!/#REF!-1,"---")</f>
        <v>---</v>
      </c>
      <c r="AF397" s="70" t="str">
        <f>IFERROR(Q397/#REF!-1,"---")</f>
        <v>---</v>
      </c>
      <c r="AG397" s="70" t="str">
        <f>IFERROR(#REF!/#REF!-1,"---")</f>
        <v>---</v>
      </c>
      <c r="AH397" s="70" t="str">
        <f>IFERROR(#REF!/AA397-1,"---")</f>
        <v>---</v>
      </c>
      <c r="AI397" s="71" t="str">
        <f t="shared" si="59"/>
        <v>---</v>
      </c>
    </row>
    <row r="398" spans="1:35" ht="30" customHeight="1" x14ac:dyDescent="0.3">
      <c r="A398" s="123">
        <f t="shared" si="52"/>
        <v>394</v>
      </c>
      <c r="B398" s="140">
        <f>INDEX('PEER GROUP'!B:B,MATCH($A398,'PEER GROUP'!$A:$A,0))</f>
        <v>0</v>
      </c>
      <c r="C398" s="83">
        <f>INDEX('PEER GROUP'!C:C,MATCH($A398,'PEER GROUP'!$A:$A,0))</f>
        <v>0</v>
      </c>
      <c r="D398" s="83">
        <f>INDEX('PEER GROUP'!D:D,MATCH($A398,'PEER GROUP'!$A:$A,0))</f>
        <v>0</v>
      </c>
      <c r="E398" s="83">
        <f>INDEX('PEER GROUP'!E:E,MATCH(A398,'PEER GROUP'!$A:$A,0))</f>
        <v>0</v>
      </c>
      <c r="F398" s="84">
        <f>INDEX('PEER GROUP'!F:F,MATCH($A398,'PEER GROUP'!$A:$A,0))</f>
        <v>0</v>
      </c>
      <c r="G398" s="84">
        <f>INDEX('PEER GROUP'!G:G,MATCH($A398,'PEER GROUP'!$A:$A,0))</f>
        <v>0</v>
      </c>
      <c r="H398" s="85"/>
      <c r="I398" s="85"/>
      <c r="J398" s="70">
        <f>INDEX('PEER GROUP'!K:K,MATCH($A398,'PEER GROUP'!$A:$A,0))</f>
        <v>0</v>
      </c>
      <c r="K398" s="70">
        <f>INDEX('PEER GROUP'!L:L,MATCH($A398,'PEER GROUP'!$A:$A,0))</f>
        <v>0</v>
      </c>
      <c r="L398" s="81">
        <f>INDEX('PEER GROUP'!N:N,MATCH($A398,'PEER GROUP'!$A:$A,0))</f>
        <v>0</v>
      </c>
      <c r="M398" s="118"/>
      <c r="N398" s="115"/>
      <c r="O398" s="117"/>
      <c r="P398" s="87"/>
      <c r="Q398" s="87"/>
      <c r="R398" s="87">
        <f t="shared" si="53"/>
        <v>0</v>
      </c>
      <c r="S398" s="113">
        <f t="shared" si="51"/>
        <v>36.913096727263202</v>
      </c>
      <c r="T398" s="69">
        <f t="shared" si="54"/>
        <v>0</v>
      </c>
      <c r="U398" s="70">
        <f t="shared" si="55"/>
        <v>0</v>
      </c>
      <c r="V398" s="70">
        <f t="shared" si="56"/>
        <v>0</v>
      </c>
      <c r="W398" s="71">
        <f t="shared" si="57"/>
        <v>0</v>
      </c>
      <c r="X398" s="49"/>
      <c r="Y398" s="151"/>
      <c r="Z398" s="69"/>
      <c r="AA398" s="70"/>
      <c r="AB398" s="70"/>
      <c r="AC398" s="70" t="str">
        <f t="shared" si="58"/>
        <v>---</v>
      </c>
      <c r="AD398" s="70" t="str">
        <f>IFERROR(P398/#REF!-1,"---")</f>
        <v>---</v>
      </c>
      <c r="AE398" s="70" t="str">
        <f>IFERROR(#REF!/#REF!-1,"---")</f>
        <v>---</v>
      </c>
      <c r="AF398" s="70" t="str">
        <f>IFERROR(Q398/#REF!-1,"---")</f>
        <v>---</v>
      </c>
      <c r="AG398" s="70" t="str">
        <f>IFERROR(#REF!/#REF!-1,"---")</f>
        <v>---</v>
      </c>
      <c r="AH398" s="70" t="str">
        <f>IFERROR(#REF!/AA398-1,"---")</f>
        <v>---</v>
      </c>
      <c r="AI398" s="71" t="str">
        <f t="shared" si="59"/>
        <v>---</v>
      </c>
    </row>
    <row r="399" spans="1:35" ht="30" customHeight="1" x14ac:dyDescent="0.3">
      <c r="A399" s="123">
        <f t="shared" si="52"/>
        <v>395</v>
      </c>
      <c r="B399" s="140">
        <f>INDEX('PEER GROUP'!B:B,MATCH($A399,'PEER GROUP'!$A:$A,0))</f>
        <v>0</v>
      </c>
      <c r="C399" s="83">
        <f>INDEX('PEER GROUP'!C:C,MATCH($A399,'PEER GROUP'!$A:$A,0))</f>
        <v>0</v>
      </c>
      <c r="D399" s="83">
        <f>INDEX('PEER GROUP'!D:D,MATCH($A399,'PEER GROUP'!$A:$A,0))</f>
        <v>0</v>
      </c>
      <c r="E399" s="83">
        <f>INDEX('PEER GROUP'!E:E,MATCH(A399,'PEER GROUP'!$A:$A,0))</f>
        <v>0</v>
      </c>
      <c r="F399" s="84">
        <f>INDEX('PEER GROUP'!F:F,MATCH($A399,'PEER GROUP'!$A:$A,0))</f>
        <v>0</v>
      </c>
      <c r="G399" s="84">
        <f>INDEX('PEER GROUP'!G:G,MATCH($A399,'PEER GROUP'!$A:$A,0))</f>
        <v>0</v>
      </c>
      <c r="H399" s="85"/>
      <c r="I399" s="85"/>
      <c r="J399" s="70">
        <f>INDEX('PEER GROUP'!K:K,MATCH($A399,'PEER GROUP'!$A:$A,0))</f>
        <v>0</v>
      </c>
      <c r="K399" s="70">
        <f>INDEX('PEER GROUP'!L:L,MATCH($A399,'PEER GROUP'!$A:$A,0))</f>
        <v>0</v>
      </c>
      <c r="L399" s="81">
        <f>INDEX('PEER GROUP'!N:N,MATCH($A399,'PEER GROUP'!$A:$A,0))</f>
        <v>0</v>
      </c>
      <c r="M399" s="118"/>
      <c r="N399" s="115"/>
      <c r="O399" s="117"/>
      <c r="P399" s="87"/>
      <c r="Q399" s="87"/>
      <c r="R399" s="87">
        <f t="shared" si="53"/>
        <v>0</v>
      </c>
      <c r="S399" s="113">
        <f t="shared" si="51"/>
        <v>36.913096727263202</v>
      </c>
      <c r="T399" s="69">
        <f t="shared" si="54"/>
        <v>0</v>
      </c>
      <c r="U399" s="70">
        <f t="shared" si="55"/>
        <v>0</v>
      </c>
      <c r="V399" s="70">
        <f t="shared" si="56"/>
        <v>0</v>
      </c>
      <c r="W399" s="71">
        <f t="shared" si="57"/>
        <v>0</v>
      </c>
      <c r="X399" s="49"/>
      <c r="Y399" s="151"/>
      <c r="Z399" s="69"/>
      <c r="AA399" s="70"/>
      <c r="AB399" s="70"/>
      <c r="AC399" s="70" t="str">
        <f t="shared" si="58"/>
        <v>---</v>
      </c>
      <c r="AD399" s="70" t="str">
        <f>IFERROR(P399/#REF!-1,"---")</f>
        <v>---</v>
      </c>
      <c r="AE399" s="70" t="str">
        <f>IFERROR(#REF!/#REF!-1,"---")</f>
        <v>---</v>
      </c>
      <c r="AF399" s="70" t="str">
        <f>IFERROR(Q399/#REF!-1,"---")</f>
        <v>---</v>
      </c>
      <c r="AG399" s="70" t="str">
        <f>IFERROR(#REF!/#REF!-1,"---")</f>
        <v>---</v>
      </c>
      <c r="AH399" s="70" t="str">
        <f>IFERROR(#REF!/AA399-1,"---")</f>
        <v>---</v>
      </c>
      <c r="AI399" s="71" t="str">
        <f t="shared" si="59"/>
        <v>---</v>
      </c>
    </row>
    <row r="400" spans="1:35" ht="30" customHeight="1" x14ac:dyDescent="0.3">
      <c r="A400" s="123">
        <f t="shared" si="52"/>
        <v>396</v>
      </c>
      <c r="B400" s="140">
        <f>INDEX('PEER GROUP'!B:B,MATCH($A400,'PEER GROUP'!$A:$A,0))</f>
        <v>0</v>
      </c>
      <c r="C400" s="83">
        <f>INDEX('PEER GROUP'!C:C,MATCH($A400,'PEER GROUP'!$A:$A,0))</f>
        <v>0</v>
      </c>
      <c r="D400" s="83">
        <f>INDEX('PEER GROUP'!D:D,MATCH($A400,'PEER GROUP'!$A:$A,0))</f>
        <v>0</v>
      </c>
      <c r="E400" s="83">
        <f>INDEX('PEER GROUP'!E:E,MATCH(A400,'PEER GROUP'!$A:$A,0))</f>
        <v>0</v>
      </c>
      <c r="F400" s="84">
        <f>INDEX('PEER GROUP'!F:F,MATCH($A400,'PEER GROUP'!$A:$A,0))</f>
        <v>0</v>
      </c>
      <c r="G400" s="84">
        <f>INDEX('PEER GROUP'!G:G,MATCH($A400,'PEER GROUP'!$A:$A,0))</f>
        <v>0</v>
      </c>
      <c r="H400" s="85"/>
      <c r="I400" s="85"/>
      <c r="J400" s="70">
        <f>INDEX('PEER GROUP'!K:K,MATCH($A400,'PEER GROUP'!$A:$A,0))</f>
        <v>0</v>
      </c>
      <c r="K400" s="70">
        <f>INDEX('PEER GROUP'!L:L,MATCH($A400,'PEER GROUP'!$A:$A,0))</f>
        <v>0</v>
      </c>
      <c r="L400" s="81">
        <f>INDEX('PEER GROUP'!N:N,MATCH($A400,'PEER GROUP'!$A:$A,0))</f>
        <v>0</v>
      </c>
      <c r="M400" s="118"/>
      <c r="N400" s="115"/>
      <c r="O400" s="117"/>
      <c r="P400" s="87"/>
      <c r="Q400" s="87"/>
      <c r="R400" s="87">
        <f t="shared" si="53"/>
        <v>0</v>
      </c>
      <c r="S400" s="113">
        <f t="shared" si="51"/>
        <v>36.913096727263202</v>
      </c>
      <c r="T400" s="69">
        <f t="shared" si="54"/>
        <v>0</v>
      </c>
      <c r="U400" s="70">
        <f t="shared" si="55"/>
        <v>0</v>
      </c>
      <c r="V400" s="70">
        <f t="shared" si="56"/>
        <v>0</v>
      </c>
      <c r="W400" s="71">
        <f t="shared" si="57"/>
        <v>0</v>
      </c>
      <c r="X400" s="49"/>
      <c r="Y400" s="151"/>
      <c r="Z400" s="69"/>
      <c r="AA400" s="70"/>
      <c r="AB400" s="70"/>
      <c r="AC400" s="70" t="str">
        <f t="shared" si="58"/>
        <v>---</v>
      </c>
      <c r="AD400" s="70" t="str">
        <f>IFERROR(P400/#REF!-1,"---")</f>
        <v>---</v>
      </c>
      <c r="AE400" s="70" t="str">
        <f>IFERROR(#REF!/#REF!-1,"---")</f>
        <v>---</v>
      </c>
      <c r="AF400" s="70" t="str">
        <f>IFERROR(Q400/#REF!-1,"---")</f>
        <v>---</v>
      </c>
      <c r="AG400" s="70" t="str">
        <f>IFERROR(#REF!/#REF!-1,"---")</f>
        <v>---</v>
      </c>
      <c r="AH400" s="70" t="str">
        <f>IFERROR(#REF!/AA400-1,"---")</f>
        <v>---</v>
      </c>
      <c r="AI400" s="71" t="str">
        <f t="shared" si="59"/>
        <v>---</v>
      </c>
    </row>
    <row r="401" spans="1:35" ht="30" customHeight="1" x14ac:dyDescent="0.3">
      <c r="A401" s="123">
        <f t="shared" si="52"/>
        <v>397</v>
      </c>
      <c r="B401" s="140">
        <f>INDEX('PEER GROUP'!B:B,MATCH($A401,'PEER GROUP'!$A:$A,0))</f>
        <v>0</v>
      </c>
      <c r="C401" s="83">
        <f>INDEX('PEER GROUP'!C:C,MATCH($A401,'PEER GROUP'!$A:$A,0))</f>
        <v>0</v>
      </c>
      <c r="D401" s="83">
        <f>INDEX('PEER GROUP'!D:D,MATCH($A401,'PEER GROUP'!$A:$A,0))</f>
        <v>0</v>
      </c>
      <c r="E401" s="83">
        <f>INDEX('PEER GROUP'!E:E,MATCH(A401,'PEER GROUP'!$A:$A,0))</f>
        <v>0</v>
      </c>
      <c r="F401" s="84">
        <f>INDEX('PEER GROUP'!F:F,MATCH($A401,'PEER GROUP'!$A:$A,0))</f>
        <v>0</v>
      </c>
      <c r="G401" s="84">
        <f>INDEX('PEER GROUP'!G:G,MATCH($A401,'PEER GROUP'!$A:$A,0))</f>
        <v>0</v>
      </c>
      <c r="H401" s="85"/>
      <c r="I401" s="85"/>
      <c r="J401" s="70">
        <f>INDEX('PEER GROUP'!K:K,MATCH($A401,'PEER GROUP'!$A:$A,0))</f>
        <v>0</v>
      </c>
      <c r="K401" s="70">
        <f>INDEX('PEER GROUP'!L:L,MATCH($A401,'PEER GROUP'!$A:$A,0))</f>
        <v>0</v>
      </c>
      <c r="L401" s="81">
        <f>INDEX('PEER GROUP'!N:N,MATCH($A401,'PEER GROUP'!$A:$A,0))</f>
        <v>0</v>
      </c>
      <c r="M401" s="118"/>
      <c r="N401" s="115"/>
      <c r="O401" s="117"/>
      <c r="P401" s="87"/>
      <c r="Q401" s="87"/>
      <c r="R401" s="87">
        <f t="shared" si="53"/>
        <v>0</v>
      </c>
      <c r="S401" s="113">
        <f t="shared" si="51"/>
        <v>36.913096727263202</v>
      </c>
      <c r="T401" s="69">
        <f t="shared" si="54"/>
        <v>0</v>
      </c>
      <c r="U401" s="70">
        <f t="shared" si="55"/>
        <v>0</v>
      </c>
      <c r="V401" s="70">
        <f t="shared" si="56"/>
        <v>0</v>
      </c>
      <c r="W401" s="71">
        <f t="shared" si="57"/>
        <v>0</v>
      </c>
      <c r="X401" s="49"/>
      <c r="Y401" s="151"/>
      <c r="Z401" s="69"/>
      <c r="AA401" s="70"/>
      <c r="AB401" s="70"/>
      <c r="AC401" s="70" t="str">
        <f t="shared" si="58"/>
        <v>---</v>
      </c>
      <c r="AD401" s="70" t="str">
        <f>IFERROR(P401/#REF!-1,"---")</f>
        <v>---</v>
      </c>
      <c r="AE401" s="70" t="str">
        <f>IFERROR(#REF!/#REF!-1,"---")</f>
        <v>---</v>
      </c>
      <c r="AF401" s="70" t="str">
        <f>IFERROR(Q401/#REF!-1,"---")</f>
        <v>---</v>
      </c>
      <c r="AG401" s="70" t="str">
        <f>IFERROR(#REF!/#REF!-1,"---")</f>
        <v>---</v>
      </c>
      <c r="AH401" s="70" t="str">
        <f>IFERROR(#REF!/AA401-1,"---")</f>
        <v>---</v>
      </c>
      <c r="AI401" s="71" t="str">
        <f t="shared" si="59"/>
        <v>---</v>
      </c>
    </row>
    <row r="402" spans="1:35" ht="30" customHeight="1" x14ac:dyDescent="0.3">
      <c r="A402" s="123">
        <f t="shared" si="52"/>
        <v>398</v>
      </c>
      <c r="B402" s="140">
        <f>INDEX('PEER GROUP'!B:B,MATCH($A402,'PEER GROUP'!$A:$A,0))</f>
        <v>0</v>
      </c>
      <c r="C402" s="83">
        <f>INDEX('PEER GROUP'!C:C,MATCH($A402,'PEER GROUP'!$A:$A,0))</f>
        <v>0</v>
      </c>
      <c r="D402" s="83">
        <f>INDEX('PEER GROUP'!D:D,MATCH($A402,'PEER GROUP'!$A:$A,0))</f>
        <v>0</v>
      </c>
      <c r="E402" s="83">
        <f>INDEX('PEER GROUP'!E:E,MATCH(A402,'PEER GROUP'!$A:$A,0))</f>
        <v>0</v>
      </c>
      <c r="F402" s="84">
        <f>INDEX('PEER GROUP'!F:F,MATCH($A402,'PEER GROUP'!$A:$A,0))</f>
        <v>0</v>
      </c>
      <c r="G402" s="84">
        <f>INDEX('PEER GROUP'!G:G,MATCH($A402,'PEER GROUP'!$A:$A,0))</f>
        <v>0</v>
      </c>
      <c r="H402" s="85"/>
      <c r="I402" s="85"/>
      <c r="J402" s="70">
        <f>INDEX('PEER GROUP'!K:K,MATCH($A402,'PEER GROUP'!$A:$A,0))</f>
        <v>0</v>
      </c>
      <c r="K402" s="70">
        <f>INDEX('PEER GROUP'!L:L,MATCH($A402,'PEER GROUP'!$A:$A,0))</f>
        <v>0</v>
      </c>
      <c r="L402" s="81">
        <f>INDEX('PEER GROUP'!N:N,MATCH($A402,'PEER GROUP'!$A:$A,0))</f>
        <v>0</v>
      </c>
      <c r="M402" s="118"/>
      <c r="N402" s="115"/>
      <c r="O402" s="117"/>
      <c r="P402" s="87"/>
      <c r="Q402" s="87"/>
      <c r="R402" s="87">
        <f t="shared" si="53"/>
        <v>0</v>
      </c>
      <c r="S402" s="113">
        <f t="shared" si="51"/>
        <v>36.913096727263202</v>
      </c>
      <c r="T402" s="69">
        <f t="shared" si="54"/>
        <v>0</v>
      </c>
      <c r="U402" s="70">
        <f t="shared" si="55"/>
        <v>0</v>
      </c>
      <c r="V402" s="70">
        <f t="shared" si="56"/>
        <v>0</v>
      </c>
      <c r="W402" s="71">
        <f t="shared" si="57"/>
        <v>0</v>
      </c>
      <c r="X402" s="49"/>
      <c r="Y402" s="151"/>
      <c r="Z402" s="69"/>
      <c r="AA402" s="70"/>
      <c r="AB402" s="70"/>
      <c r="AC402" s="70" t="str">
        <f t="shared" si="58"/>
        <v>---</v>
      </c>
      <c r="AD402" s="70" t="str">
        <f>IFERROR(P402/#REF!-1,"---")</f>
        <v>---</v>
      </c>
      <c r="AE402" s="70" t="str">
        <f>IFERROR(#REF!/#REF!-1,"---")</f>
        <v>---</v>
      </c>
      <c r="AF402" s="70" t="str">
        <f>IFERROR(Q402/#REF!-1,"---")</f>
        <v>---</v>
      </c>
      <c r="AG402" s="70" t="str">
        <f>IFERROR(#REF!/#REF!-1,"---")</f>
        <v>---</v>
      </c>
      <c r="AH402" s="70" t="str">
        <f>IFERROR(#REF!/AA402-1,"---")</f>
        <v>---</v>
      </c>
      <c r="AI402" s="71" t="str">
        <f t="shared" si="59"/>
        <v>---</v>
      </c>
    </row>
    <row r="403" spans="1:35" ht="30" customHeight="1" x14ac:dyDescent="0.3">
      <c r="A403" s="123">
        <f t="shared" si="52"/>
        <v>399</v>
      </c>
      <c r="B403" s="140">
        <f>INDEX('PEER GROUP'!B:B,MATCH($A403,'PEER GROUP'!$A:$A,0))</f>
        <v>0</v>
      </c>
      <c r="C403" s="83">
        <f>INDEX('PEER GROUP'!C:C,MATCH($A403,'PEER GROUP'!$A:$A,0))</f>
        <v>0</v>
      </c>
      <c r="D403" s="83">
        <f>INDEX('PEER GROUP'!D:D,MATCH($A403,'PEER GROUP'!$A:$A,0))</f>
        <v>0</v>
      </c>
      <c r="E403" s="83">
        <f>INDEX('PEER GROUP'!E:E,MATCH(A403,'PEER GROUP'!$A:$A,0))</f>
        <v>0</v>
      </c>
      <c r="F403" s="84">
        <f>INDEX('PEER GROUP'!F:F,MATCH($A403,'PEER GROUP'!$A:$A,0))</f>
        <v>0</v>
      </c>
      <c r="G403" s="84">
        <f>INDEX('PEER GROUP'!G:G,MATCH($A403,'PEER GROUP'!$A:$A,0))</f>
        <v>0</v>
      </c>
      <c r="H403" s="85"/>
      <c r="I403" s="85"/>
      <c r="J403" s="70">
        <f>INDEX('PEER GROUP'!K:K,MATCH($A403,'PEER GROUP'!$A:$A,0))</f>
        <v>0</v>
      </c>
      <c r="K403" s="70">
        <f>INDEX('PEER GROUP'!L:L,MATCH($A403,'PEER GROUP'!$A:$A,0))</f>
        <v>0</v>
      </c>
      <c r="L403" s="81">
        <f>INDEX('PEER GROUP'!N:N,MATCH($A403,'PEER GROUP'!$A:$A,0))</f>
        <v>0</v>
      </c>
      <c r="M403" s="118"/>
      <c r="N403" s="115"/>
      <c r="O403" s="117"/>
      <c r="P403" s="87"/>
      <c r="Q403" s="87"/>
      <c r="R403" s="87">
        <f t="shared" si="53"/>
        <v>0</v>
      </c>
      <c r="S403" s="113">
        <f t="shared" si="51"/>
        <v>36.913096727263202</v>
      </c>
      <c r="T403" s="69">
        <f t="shared" si="54"/>
        <v>0</v>
      </c>
      <c r="U403" s="70">
        <f t="shared" si="55"/>
        <v>0</v>
      </c>
      <c r="V403" s="70">
        <f t="shared" si="56"/>
        <v>0</v>
      </c>
      <c r="W403" s="71">
        <f t="shared" si="57"/>
        <v>0</v>
      </c>
      <c r="X403" s="49"/>
      <c r="Y403" s="151"/>
      <c r="Z403" s="69"/>
      <c r="AA403" s="70"/>
      <c r="AB403" s="70"/>
      <c r="AC403" s="70" t="str">
        <f t="shared" si="58"/>
        <v>---</v>
      </c>
      <c r="AD403" s="70" t="str">
        <f>IFERROR(P403/#REF!-1,"---")</f>
        <v>---</v>
      </c>
      <c r="AE403" s="70" t="str">
        <f>IFERROR(#REF!/#REF!-1,"---")</f>
        <v>---</v>
      </c>
      <c r="AF403" s="70" t="str">
        <f>IFERROR(Q403/#REF!-1,"---")</f>
        <v>---</v>
      </c>
      <c r="AG403" s="70" t="str">
        <f>IFERROR(#REF!/#REF!-1,"---")</f>
        <v>---</v>
      </c>
      <c r="AH403" s="70" t="str">
        <f>IFERROR(#REF!/AA403-1,"---")</f>
        <v>---</v>
      </c>
      <c r="AI403" s="71" t="str">
        <f t="shared" si="59"/>
        <v>---</v>
      </c>
    </row>
    <row r="404" spans="1:35" ht="30" customHeight="1" x14ac:dyDescent="0.3">
      <c r="A404" s="123">
        <f t="shared" si="52"/>
        <v>400</v>
      </c>
      <c r="B404" s="140">
        <f>INDEX('PEER GROUP'!B:B,MATCH($A404,'PEER GROUP'!$A:$A,0))</f>
        <v>0</v>
      </c>
      <c r="C404" s="83">
        <f>INDEX('PEER GROUP'!C:C,MATCH($A404,'PEER GROUP'!$A:$A,0))</f>
        <v>0</v>
      </c>
      <c r="D404" s="83">
        <f>INDEX('PEER GROUP'!D:D,MATCH($A404,'PEER GROUP'!$A:$A,0))</f>
        <v>0</v>
      </c>
      <c r="E404" s="83">
        <f>INDEX('PEER GROUP'!E:E,MATCH(A404,'PEER GROUP'!$A:$A,0))</f>
        <v>0</v>
      </c>
      <c r="F404" s="84">
        <f>INDEX('PEER GROUP'!F:F,MATCH($A404,'PEER GROUP'!$A:$A,0))</f>
        <v>0</v>
      </c>
      <c r="G404" s="84">
        <f>INDEX('PEER GROUP'!G:G,MATCH($A404,'PEER GROUP'!$A:$A,0))</f>
        <v>0</v>
      </c>
      <c r="H404" s="85"/>
      <c r="I404" s="85"/>
      <c r="J404" s="70">
        <f>INDEX('PEER GROUP'!K:K,MATCH($A404,'PEER GROUP'!$A:$A,0))</f>
        <v>0</v>
      </c>
      <c r="K404" s="70">
        <f>INDEX('PEER GROUP'!L:L,MATCH($A404,'PEER GROUP'!$A:$A,0))</f>
        <v>0</v>
      </c>
      <c r="L404" s="81">
        <f>INDEX('PEER GROUP'!N:N,MATCH($A404,'PEER GROUP'!$A:$A,0))</f>
        <v>0</v>
      </c>
      <c r="M404" s="118"/>
      <c r="N404" s="115"/>
      <c r="O404" s="117"/>
      <c r="P404" s="87"/>
      <c r="Q404" s="87"/>
      <c r="R404" s="87">
        <f t="shared" si="53"/>
        <v>0</v>
      </c>
      <c r="S404" s="113">
        <f t="shared" si="51"/>
        <v>36.913096727263202</v>
      </c>
      <c r="T404" s="69">
        <f t="shared" si="54"/>
        <v>0</v>
      </c>
      <c r="U404" s="70">
        <f t="shared" si="55"/>
        <v>0</v>
      </c>
      <c r="V404" s="70">
        <f t="shared" si="56"/>
        <v>0</v>
      </c>
      <c r="W404" s="71">
        <f t="shared" si="57"/>
        <v>0</v>
      </c>
      <c r="X404" s="49"/>
      <c r="Y404" s="151"/>
      <c r="Z404" s="69"/>
      <c r="AA404" s="70"/>
      <c r="AB404" s="70"/>
      <c r="AC404" s="70" t="str">
        <f t="shared" si="58"/>
        <v>---</v>
      </c>
      <c r="AD404" s="70" t="str">
        <f>IFERROR(P404/#REF!-1,"---")</f>
        <v>---</v>
      </c>
      <c r="AE404" s="70" t="str">
        <f>IFERROR(#REF!/#REF!-1,"---")</f>
        <v>---</v>
      </c>
      <c r="AF404" s="70" t="str">
        <f>IFERROR(Q404/#REF!-1,"---")</f>
        <v>---</v>
      </c>
      <c r="AG404" s="70" t="str">
        <f>IFERROR(#REF!/#REF!-1,"---")</f>
        <v>---</v>
      </c>
      <c r="AH404" s="70" t="str">
        <f>IFERROR(#REF!/AA404-1,"---")</f>
        <v>---</v>
      </c>
      <c r="AI404" s="71" t="str">
        <f t="shared" si="59"/>
        <v>---</v>
      </c>
    </row>
    <row r="405" spans="1:35" ht="30" customHeight="1" x14ac:dyDescent="0.3">
      <c r="A405" s="123">
        <f t="shared" si="52"/>
        <v>401</v>
      </c>
      <c r="B405" s="140">
        <f>INDEX('PEER GROUP'!B:B,MATCH($A405,'PEER GROUP'!$A:$A,0))</f>
        <v>0</v>
      </c>
      <c r="C405" s="83">
        <f>INDEX('PEER GROUP'!C:C,MATCH($A405,'PEER GROUP'!$A:$A,0))</f>
        <v>0</v>
      </c>
      <c r="D405" s="83">
        <f>INDEX('PEER GROUP'!D:D,MATCH($A405,'PEER GROUP'!$A:$A,0))</f>
        <v>0</v>
      </c>
      <c r="E405" s="83">
        <f>INDEX('PEER GROUP'!E:E,MATCH(A405,'PEER GROUP'!$A:$A,0))</f>
        <v>0</v>
      </c>
      <c r="F405" s="84">
        <f>INDEX('PEER GROUP'!F:F,MATCH($A405,'PEER GROUP'!$A:$A,0))</f>
        <v>0</v>
      </c>
      <c r="G405" s="84">
        <f>INDEX('PEER GROUP'!G:G,MATCH($A405,'PEER GROUP'!$A:$A,0))</f>
        <v>0</v>
      </c>
      <c r="H405" s="85"/>
      <c r="I405" s="85"/>
      <c r="J405" s="70">
        <f>INDEX('PEER GROUP'!K:K,MATCH($A405,'PEER GROUP'!$A:$A,0))</f>
        <v>0</v>
      </c>
      <c r="K405" s="70">
        <f>INDEX('PEER GROUP'!L:L,MATCH($A405,'PEER GROUP'!$A:$A,0))</f>
        <v>0</v>
      </c>
      <c r="L405" s="81">
        <f>INDEX('PEER GROUP'!N:N,MATCH($A405,'PEER GROUP'!$A:$A,0))</f>
        <v>0</v>
      </c>
      <c r="M405" s="118"/>
      <c r="N405" s="115"/>
      <c r="O405" s="117"/>
      <c r="P405" s="87"/>
      <c r="Q405" s="87"/>
      <c r="R405" s="87">
        <f t="shared" si="53"/>
        <v>0</v>
      </c>
      <c r="S405" s="113">
        <f t="shared" si="51"/>
        <v>36.913096727263202</v>
      </c>
      <c r="T405" s="69">
        <f t="shared" si="54"/>
        <v>0</v>
      </c>
      <c r="U405" s="70">
        <f t="shared" si="55"/>
        <v>0</v>
      </c>
      <c r="V405" s="70">
        <f t="shared" si="56"/>
        <v>0</v>
      </c>
      <c r="W405" s="71">
        <f t="shared" si="57"/>
        <v>0</v>
      </c>
      <c r="X405" s="49"/>
      <c r="Y405" s="151"/>
      <c r="Z405" s="69"/>
      <c r="AA405" s="70"/>
      <c r="AB405" s="70"/>
      <c r="AC405" s="70" t="str">
        <f t="shared" si="58"/>
        <v>---</v>
      </c>
      <c r="AD405" s="70" t="str">
        <f>IFERROR(P405/#REF!-1,"---")</f>
        <v>---</v>
      </c>
      <c r="AE405" s="70" t="str">
        <f>IFERROR(#REF!/#REF!-1,"---")</f>
        <v>---</v>
      </c>
      <c r="AF405" s="70" t="str">
        <f>IFERROR(Q405/#REF!-1,"---")</f>
        <v>---</v>
      </c>
      <c r="AG405" s="70" t="str">
        <f>IFERROR(#REF!/#REF!-1,"---")</f>
        <v>---</v>
      </c>
      <c r="AH405" s="70" t="str">
        <f>IFERROR(#REF!/AA405-1,"---")</f>
        <v>---</v>
      </c>
      <c r="AI405" s="71" t="str">
        <f t="shared" si="59"/>
        <v>---</v>
      </c>
    </row>
    <row r="406" spans="1:35" ht="30" customHeight="1" x14ac:dyDescent="0.3">
      <c r="A406" s="123">
        <f t="shared" si="52"/>
        <v>402</v>
      </c>
      <c r="B406" s="140">
        <f>INDEX('PEER GROUP'!B:B,MATCH($A406,'PEER GROUP'!$A:$A,0))</f>
        <v>0</v>
      </c>
      <c r="C406" s="83">
        <f>INDEX('PEER GROUP'!C:C,MATCH($A406,'PEER GROUP'!$A:$A,0))</f>
        <v>0</v>
      </c>
      <c r="D406" s="83">
        <f>INDEX('PEER GROUP'!D:D,MATCH($A406,'PEER GROUP'!$A:$A,0))</f>
        <v>0</v>
      </c>
      <c r="E406" s="83">
        <f>INDEX('PEER GROUP'!E:E,MATCH(A406,'PEER GROUP'!$A:$A,0))</f>
        <v>0</v>
      </c>
      <c r="F406" s="84">
        <f>INDEX('PEER GROUP'!F:F,MATCH($A406,'PEER GROUP'!$A:$A,0))</f>
        <v>0</v>
      </c>
      <c r="G406" s="84">
        <f>INDEX('PEER GROUP'!G:G,MATCH($A406,'PEER GROUP'!$A:$A,0))</f>
        <v>0</v>
      </c>
      <c r="H406" s="85"/>
      <c r="I406" s="85"/>
      <c r="J406" s="70">
        <f>INDEX('PEER GROUP'!K:K,MATCH($A406,'PEER GROUP'!$A:$A,0))</f>
        <v>0</v>
      </c>
      <c r="K406" s="70">
        <f>INDEX('PEER GROUP'!L:L,MATCH($A406,'PEER GROUP'!$A:$A,0))</f>
        <v>0</v>
      </c>
      <c r="L406" s="81">
        <f>INDEX('PEER GROUP'!N:N,MATCH($A406,'PEER GROUP'!$A:$A,0))</f>
        <v>0</v>
      </c>
      <c r="M406" s="118"/>
      <c r="N406" s="115"/>
      <c r="O406" s="117"/>
      <c r="P406" s="87"/>
      <c r="Q406" s="87"/>
      <c r="R406" s="87">
        <f t="shared" si="53"/>
        <v>0</v>
      </c>
      <c r="S406" s="113">
        <f t="shared" si="51"/>
        <v>36.913096727263202</v>
      </c>
      <c r="T406" s="69">
        <f t="shared" si="54"/>
        <v>0</v>
      </c>
      <c r="U406" s="70">
        <f t="shared" si="55"/>
        <v>0</v>
      </c>
      <c r="V406" s="70">
        <f t="shared" si="56"/>
        <v>0</v>
      </c>
      <c r="W406" s="71">
        <f t="shared" si="57"/>
        <v>0</v>
      </c>
      <c r="X406" s="49"/>
      <c r="Y406" s="151"/>
      <c r="Z406" s="69"/>
      <c r="AA406" s="70"/>
      <c r="AB406" s="70"/>
      <c r="AC406" s="70" t="str">
        <f t="shared" si="58"/>
        <v>---</v>
      </c>
      <c r="AD406" s="70" t="str">
        <f>IFERROR(P406/#REF!-1,"---")</f>
        <v>---</v>
      </c>
      <c r="AE406" s="70" t="str">
        <f>IFERROR(#REF!/#REF!-1,"---")</f>
        <v>---</v>
      </c>
      <c r="AF406" s="70" t="str">
        <f>IFERROR(Q406/#REF!-1,"---")</f>
        <v>---</v>
      </c>
      <c r="AG406" s="70" t="str">
        <f>IFERROR(#REF!/#REF!-1,"---")</f>
        <v>---</v>
      </c>
      <c r="AH406" s="70" t="str">
        <f>IFERROR(#REF!/AA406-1,"---")</f>
        <v>---</v>
      </c>
      <c r="AI406" s="71" t="str">
        <f t="shared" si="59"/>
        <v>---</v>
      </c>
    </row>
    <row r="407" spans="1:35" ht="30" customHeight="1" x14ac:dyDescent="0.3">
      <c r="A407" s="123">
        <f t="shared" si="52"/>
        <v>403</v>
      </c>
      <c r="B407" s="140">
        <f>INDEX('PEER GROUP'!B:B,MATCH($A407,'PEER GROUP'!$A:$A,0))</f>
        <v>0</v>
      </c>
      <c r="C407" s="83">
        <f>INDEX('PEER GROUP'!C:C,MATCH($A407,'PEER GROUP'!$A:$A,0))</f>
        <v>0</v>
      </c>
      <c r="D407" s="83">
        <f>INDEX('PEER GROUP'!D:D,MATCH($A407,'PEER GROUP'!$A:$A,0))</f>
        <v>0</v>
      </c>
      <c r="E407" s="83">
        <f>INDEX('PEER GROUP'!E:E,MATCH(A407,'PEER GROUP'!$A:$A,0))</f>
        <v>0</v>
      </c>
      <c r="F407" s="84">
        <f>INDEX('PEER GROUP'!F:F,MATCH($A407,'PEER GROUP'!$A:$A,0))</f>
        <v>0</v>
      </c>
      <c r="G407" s="84">
        <f>INDEX('PEER GROUP'!G:G,MATCH($A407,'PEER GROUP'!$A:$A,0))</f>
        <v>0</v>
      </c>
      <c r="H407" s="85"/>
      <c r="I407" s="85"/>
      <c r="J407" s="70">
        <f>INDEX('PEER GROUP'!K:K,MATCH($A407,'PEER GROUP'!$A:$A,0))</f>
        <v>0</v>
      </c>
      <c r="K407" s="70">
        <f>INDEX('PEER GROUP'!L:L,MATCH($A407,'PEER GROUP'!$A:$A,0))</f>
        <v>0</v>
      </c>
      <c r="L407" s="81">
        <f>INDEX('PEER GROUP'!N:N,MATCH($A407,'PEER GROUP'!$A:$A,0))</f>
        <v>0</v>
      </c>
      <c r="M407" s="118"/>
      <c r="N407" s="115"/>
      <c r="O407" s="117"/>
      <c r="P407" s="87"/>
      <c r="Q407" s="87"/>
      <c r="R407" s="87">
        <f t="shared" si="53"/>
        <v>0</v>
      </c>
      <c r="S407" s="113">
        <f t="shared" si="51"/>
        <v>36.913096727263202</v>
      </c>
      <c r="T407" s="69">
        <f t="shared" si="54"/>
        <v>0</v>
      </c>
      <c r="U407" s="70">
        <f t="shared" si="55"/>
        <v>0</v>
      </c>
      <c r="V407" s="70">
        <f t="shared" si="56"/>
        <v>0</v>
      </c>
      <c r="W407" s="71">
        <f t="shared" si="57"/>
        <v>0</v>
      </c>
      <c r="X407" s="49"/>
      <c r="Y407" s="151"/>
      <c r="Z407" s="69"/>
      <c r="AA407" s="70"/>
      <c r="AB407" s="70"/>
      <c r="AC407" s="70" t="str">
        <f t="shared" si="58"/>
        <v>---</v>
      </c>
      <c r="AD407" s="70" t="str">
        <f>IFERROR(P407/#REF!-1,"---")</f>
        <v>---</v>
      </c>
      <c r="AE407" s="70" t="str">
        <f>IFERROR(#REF!/#REF!-1,"---")</f>
        <v>---</v>
      </c>
      <c r="AF407" s="70" t="str">
        <f>IFERROR(Q407/#REF!-1,"---")</f>
        <v>---</v>
      </c>
      <c r="AG407" s="70" t="str">
        <f>IFERROR(#REF!/#REF!-1,"---")</f>
        <v>---</v>
      </c>
      <c r="AH407" s="70" t="str">
        <f>IFERROR(#REF!/AA407-1,"---")</f>
        <v>---</v>
      </c>
      <c r="AI407" s="71" t="str">
        <f t="shared" si="59"/>
        <v>---</v>
      </c>
    </row>
    <row r="408" spans="1:35" ht="30" customHeight="1" x14ac:dyDescent="0.3">
      <c r="A408" s="123">
        <f t="shared" si="52"/>
        <v>404</v>
      </c>
      <c r="B408" s="140">
        <f>INDEX('PEER GROUP'!B:B,MATCH($A408,'PEER GROUP'!$A:$A,0))</f>
        <v>0</v>
      </c>
      <c r="C408" s="83">
        <f>INDEX('PEER GROUP'!C:C,MATCH($A408,'PEER GROUP'!$A:$A,0))</f>
        <v>0</v>
      </c>
      <c r="D408" s="83">
        <f>INDEX('PEER GROUP'!D:D,MATCH($A408,'PEER GROUP'!$A:$A,0))</f>
        <v>0</v>
      </c>
      <c r="E408" s="83">
        <f>INDEX('PEER GROUP'!E:E,MATCH(A408,'PEER GROUP'!$A:$A,0))</f>
        <v>0</v>
      </c>
      <c r="F408" s="84">
        <f>INDEX('PEER GROUP'!F:F,MATCH($A408,'PEER GROUP'!$A:$A,0))</f>
        <v>0</v>
      </c>
      <c r="G408" s="84">
        <f>INDEX('PEER GROUP'!G:G,MATCH($A408,'PEER GROUP'!$A:$A,0))</f>
        <v>0</v>
      </c>
      <c r="H408" s="85"/>
      <c r="I408" s="85"/>
      <c r="J408" s="70">
        <f>INDEX('PEER GROUP'!K:K,MATCH($A408,'PEER GROUP'!$A:$A,0))</f>
        <v>0</v>
      </c>
      <c r="K408" s="70">
        <f>INDEX('PEER GROUP'!L:L,MATCH($A408,'PEER GROUP'!$A:$A,0))</f>
        <v>0</v>
      </c>
      <c r="L408" s="81">
        <f>INDEX('PEER GROUP'!N:N,MATCH($A408,'PEER GROUP'!$A:$A,0))</f>
        <v>0</v>
      </c>
      <c r="M408" s="118"/>
      <c r="N408" s="115"/>
      <c r="O408" s="117"/>
      <c r="P408" s="87"/>
      <c r="Q408" s="87"/>
      <c r="R408" s="87">
        <f t="shared" si="53"/>
        <v>0</v>
      </c>
      <c r="S408" s="113">
        <f t="shared" si="51"/>
        <v>36.913096727263202</v>
      </c>
      <c r="T408" s="69">
        <f t="shared" si="54"/>
        <v>0</v>
      </c>
      <c r="U408" s="70">
        <f t="shared" si="55"/>
        <v>0</v>
      </c>
      <c r="V408" s="70">
        <f t="shared" si="56"/>
        <v>0</v>
      </c>
      <c r="W408" s="71">
        <f t="shared" si="57"/>
        <v>0</v>
      </c>
      <c r="X408" s="49"/>
      <c r="Y408" s="151"/>
      <c r="Z408" s="69"/>
      <c r="AA408" s="70"/>
      <c r="AB408" s="70"/>
      <c r="AC408" s="70" t="str">
        <f t="shared" si="58"/>
        <v>---</v>
      </c>
      <c r="AD408" s="70" t="str">
        <f>IFERROR(P408/#REF!-1,"---")</f>
        <v>---</v>
      </c>
      <c r="AE408" s="70" t="str">
        <f>IFERROR(#REF!/#REF!-1,"---")</f>
        <v>---</v>
      </c>
      <c r="AF408" s="70" t="str">
        <f>IFERROR(Q408/#REF!-1,"---")</f>
        <v>---</v>
      </c>
      <c r="AG408" s="70" t="str">
        <f>IFERROR(#REF!/#REF!-1,"---")</f>
        <v>---</v>
      </c>
      <c r="AH408" s="70" t="str">
        <f>IFERROR(#REF!/AA408-1,"---")</f>
        <v>---</v>
      </c>
      <c r="AI408" s="71" t="str">
        <f t="shared" si="59"/>
        <v>---</v>
      </c>
    </row>
    <row r="409" spans="1:35" ht="30" customHeight="1" x14ac:dyDescent="0.3">
      <c r="A409" s="123">
        <f t="shared" si="52"/>
        <v>405</v>
      </c>
      <c r="B409" s="140">
        <f>INDEX('PEER GROUP'!B:B,MATCH($A409,'PEER GROUP'!$A:$A,0))</f>
        <v>0</v>
      </c>
      <c r="C409" s="83">
        <f>INDEX('PEER GROUP'!C:C,MATCH($A409,'PEER GROUP'!$A:$A,0))</f>
        <v>0</v>
      </c>
      <c r="D409" s="83">
        <f>INDEX('PEER GROUP'!D:D,MATCH($A409,'PEER GROUP'!$A:$A,0))</f>
        <v>0</v>
      </c>
      <c r="E409" s="83">
        <f>INDEX('PEER GROUP'!E:E,MATCH(A409,'PEER GROUP'!$A:$A,0))</f>
        <v>0</v>
      </c>
      <c r="F409" s="84">
        <f>INDEX('PEER GROUP'!F:F,MATCH($A409,'PEER GROUP'!$A:$A,0))</f>
        <v>0</v>
      </c>
      <c r="G409" s="84">
        <f>INDEX('PEER GROUP'!G:G,MATCH($A409,'PEER GROUP'!$A:$A,0))</f>
        <v>0</v>
      </c>
      <c r="H409" s="85"/>
      <c r="I409" s="85"/>
      <c r="J409" s="70">
        <f>INDEX('PEER GROUP'!K:K,MATCH($A409,'PEER GROUP'!$A:$A,0))</f>
        <v>0</v>
      </c>
      <c r="K409" s="70">
        <f>INDEX('PEER GROUP'!L:L,MATCH($A409,'PEER GROUP'!$A:$A,0))</f>
        <v>0</v>
      </c>
      <c r="L409" s="81">
        <f>INDEX('PEER GROUP'!N:N,MATCH($A409,'PEER GROUP'!$A:$A,0))</f>
        <v>0</v>
      </c>
      <c r="M409" s="118"/>
      <c r="N409" s="115"/>
      <c r="O409" s="117"/>
      <c r="P409" s="87"/>
      <c r="Q409" s="87"/>
      <c r="R409" s="87">
        <f t="shared" si="53"/>
        <v>0</v>
      </c>
      <c r="S409" s="113">
        <f t="shared" si="51"/>
        <v>36.913096727263202</v>
      </c>
      <c r="T409" s="69">
        <f t="shared" si="54"/>
        <v>0</v>
      </c>
      <c r="U409" s="70">
        <f t="shared" si="55"/>
        <v>0</v>
      </c>
      <c r="V409" s="70">
        <f t="shared" si="56"/>
        <v>0</v>
      </c>
      <c r="W409" s="71">
        <f t="shared" si="57"/>
        <v>0</v>
      </c>
      <c r="X409" s="49"/>
      <c r="Y409" s="151"/>
      <c r="Z409" s="69"/>
      <c r="AA409" s="70"/>
      <c r="AB409" s="70"/>
      <c r="AC409" s="70" t="str">
        <f t="shared" si="58"/>
        <v>---</v>
      </c>
      <c r="AD409" s="70" t="str">
        <f>IFERROR(P409/#REF!-1,"---")</f>
        <v>---</v>
      </c>
      <c r="AE409" s="70" t="str">
        <f>IFERROR(#REF!/#REF!-1,"---")</f>
        <v>---</v>
      </c>
      <c r="AF409" s="70" t="str">
        <f>IFERROR(Q409/#REF!-1,"---")</f>
        <v>---</v>
      </c>
      <c r="AG409" s="70" t="str">
        <f>IFERROR(#REF!/#REF!-1,"---")</f>
        <v>---</v>
      </c>
      <c r="AH409" s="70" t="str">
        <f>IFERROR(#REF!/AA409-1,"---")</f>
        <v>---</v>
      </c>
      <c r="AI409" s="71" t="str">
        <f t="shared" si="59"/>
        <v>---</v>
      </c>
    </row>
    <row r="410" spans="1:35" ht="30" customHeight="1" x14ac:dyDescent="0.3">
      <c r="A410" s="123">
        <f t="shared" si="52"/>
        <v>406</v>
      </c>
      <c r="B410" s="140">
        <f>INDEX('PEER GROUP'!B:B,MATCH($A410,'PEER GROUP'!$A:$A,0))</f>
        <v>0</v>
      </c>
      <c r="C410" s="83">
        <f>INDEX('PEER GROUP'!C:C,MATCH($A410,'PEER GROUP'!$A:$A,0))</f>
        <v>0</v>
      </c>
      <c r="D410" s="83">
        <f>INDEX('PEER GROUP'!D:D,MATCH($A410,'PEER GROUP'!$A:$A,0))</f>
        <v>0</v>
      </c>
      <c r="E410" s="83">
        <f>INDEX('PEER GROUP'!E:E,MATCH(A410,'PEER GROUP'!$A:$A,0))</f>
        <v>0</v>
      </c>
      <c r="F410" s="84">
        <f>INDEX('PEER GROUP'!F:F,MATCH($A410,'PEER GROUP'!$A:$A,0))</f>
        <v>0</v>
      </c>
      <c r="G410" s="84">
        <f>INDEX('PEER GROUP'!G:G,MATCH($A410,'PEER GROUP'!$A:$A,0))</f>
        <v>0</v>
      </c>
      <c r="H410" s="85"/>
      <c r="I410" s="85"/>
      <c r="J410" s="70">
        <f>INDEX('PEER GROUP'!K:K,MATCH($A410,'PEER GROUP'!$A:$A,0))</f>
        <v>0</v>
      </c>
      <c r="K410" s="70">
        <f>INDEX('PEER GROUP'!L:L,MATCH($A410,'PEER GROUP'!$A:$A,0))</f>
        <v>0</v>
      </c>
      <c r="L410" s="81">
        <f>INDEX('PEER GROUP'!N:N,MATCH($A410,'PEER GROUP'!$A:$A,0))</f>
        <v>0</v>
      </c>
      <c r="M410" s="118"/>
      <c r="N410" s="115"/>
      <c r="O410" s="117"/>
      <c r="P410" s="87"/>
      <c r="Q410" s="87"/>
      <c r="R410" s="87">
        <f t="shared" si="53"/>
        <v>0</v>
      </c>
      <c r="S410" s="113">
        <f t="shared" si="51"/>
        <v>36.913096727263202</v>
      </c>
      <c r="T410" s="69">
        <f t="shared" si="54"/>
        <v>0</v>
      </c>
      <c r="U410" s="70">
        <f t="shared" si="55"/>
        <v>0</v>
      </c>
      <c r="V410" s="70">
        <f t="shared" si="56"/>
        <v>0</v>
      </c>
      <c r="W410" s="71">
        <f t="shared" si="57"/>
        <v>0</v>
      </c>
      <c r="X410" s="49"/>
      <c r="Y410" s="151"/>
      <c r="Z410" s="69"/>
      <c r="AA410" s="70"/>
      <c r="AB410" s="70"/>
      <c r="AC410" s="70" t="str">
        <f t="shared" si="58"/>
        <v>---</v>
      </c>
      <c r="AD410" s="70" t="str">
        <f>IFERROR(P410/#REF!-1,"---")</f>
        <v>---</v>
      </c>
      <c r="AE410" s="70" t="str">
        <f>IFERROR(#REF!/#REF!-1,"---")</f>
        <v>---</v>
      </c>
      <c r="AF410" s="70" t="str">
        <f>IFERROR(Q410/#REF!-1,"---")</f>
        <v>---</v>
      </c>
      <c r="AG410" s="70" t="str">
        <f>IFERROR(#REF!/#REF!-1,"---")</f>
        <v>---</v>
      </c>
      <c r="AH410" s="70" t="str">
        <f>IFERROR(#REF!/AA410-1,"---")</f>
        <v>---</v>
      </c>
      <c r="AI410" s="71" t="str">
        <f t="shared" si="59"/>
        <v>---</v>
      </c>
    </row>
    <row r="411" spans="1:35" ht="30" customHeight="1" x14ac:dyDescent="0.3">
      <c r="A411" s="123">
        <f t="shared" si="52"/>
        <v>407</v>
      </c>
      <c r="B411" s="140">
        <f>INDEX('PEER GROUP'!B:B,MATCH($A411,'PEER GROUP'!$A:$A,0))</f>
        <v>0</v>
      </c>
      <c r="C411" s="83">
        <f>INDEX('PEER GROUP'!C:C,MATCH($A411,'PEER GROUP'!$A:$A,0))</f>
        <v>0</v>
      </c>
      <c r="D411" s="83">
        <f>INDEX('PEER GROUP'!D:D,MATCH($A411,'PEER GROUP'!$A:$A,0))</f>
        <v>0</v>
      </c>
      <c r="E411" s="83">
        <f>INDEX('PEER GROUP'!E:E,MATCH(A411,'PEER GROUP'!$A:$A,0))</f>
        <v>0</v>
      </c>
      <c r="F411" s="84">
        <f>INDEX('PEER GROUP'!F:F,MATCH($A411,'PEER GROUP'!$A:$A,0))</f>
        <v>0</v>
      </c>
      <c r="G411" s="84">
        <f>INDEX('PEER GROUP'!G:G,MATCH($A411,'PEER GROUP'!$A:$A,0))</f>
        <v>0</v>
      </c>
      <c r="H411" s="85"/>
      <c r="I411" s="85"/>
      <c r="J411" s="70">
        <f>INDEX('PEER GROUP'!K:K,MATCH($A411,'PEER GROUP'!$A:$A,0))</f>
        <v>0</v>
      </c>
      <c r="K411" s="70">
        <f>INDEX('PEER GROUP'!L:L,MATCH($A411,'PEER GROUP'!$A:$A,0))</f>
        <v>0</v>
      </c>
      <c r="L411" s="81">
        <f>INDEX('PEER GROUP'!N:N,MATCH($A411,'PEER GROUP'!$A:$A,0))</f>
        <v>0</v>
      </c>
      <c r="M411" s="118"/>
      <c r="N411" s="115"/>
      <c r="O411" s="117"/>
      <c r="P411" s="87"/>
      <c r="Q411" s="87"/>
      <c r="R411" s="87">
        <f t="shared" si="53"/>
        <v>0</v>
      </c>
      <c r="S411" s="113">
        <f t="shared" si="51"/>
        <v>36.913096727263202</v>
      </c>
      <c r="T411" s="69">
        <f t="shared" si="54"/>
        <v>0</v>
      </c>
      <c r="U411" s="70">
        <f t="shared" si="55"/>
        <v>0</v>
      </c>
      <c r="V411" s="70">
        <f t="shared" si="56"/>
        <v>0</v>
      </c>
      <c r="W411" s="71">
        <f t="shared" si="57"/>
        <v>0</v>
      </c>
      <c r="X411" s="49"/>
      <c r="Y411" s="151"/>
      <c r="Z411" s="69"/>
      <c r="AA411" s="70"/>
      <c r="AB411" s="70"/>
      <c r="AC411" s="70" t="str">
        <f t="shared" si="58"/>
        <v>---</v>
      </c>
      <c r="AD411" s="70" t="str">
        <f>IFERROR(P411/#REF!-1,"---")</f>
        <v>---</v>
      </c>
      <c r="AE411" s="70" t="str">
        <f>IFERROR(#REF!/#REF!-1,"---")</f>
        <v>---</v>
      </c>
      <c r="AF411" s="70" t="str">
        <f>IFERROR(Q411/#REF!-1,"---")</f>
        <v>---</v>
      </c>
      <c r="AG411" s="70" t="str">
        <f>IFERROR(#REF!/#REF!-1,"---")</f>
        <v>---</v>
      </c>
      <c r="AH411" s="70" t="str">
        <f>IFERROR(#REF!/AA411-1,"---")</f>
        <v>---</v>
      </c>
      <c r="AI411" s="71" t="str">
        <f t="shared" si="59"/>
        <v>---</v>
      </c>
    </row>
    <row r="412" spans="1:35" ht="30" customHeight="1" x14ac:dyDescent="0.3">
      <c r="A412" s="123">
        <f t="shared" si="52"/>
        <v>408</v>
      </c>
      <c r="B412" s="140">
        <f>INDEX('PEER GROUP'!B:B,MATCH($A412,'PEER GROUP'!$A:$A,0))</f>
        <v>0</v>
      </c>
      <c r="C412" s="83">
        <f>INDEX('PEER GROUP'!C:C,MATCH($A412,'PEER GROUP'!$A:$A,0))</f>
        <v>0</v>
      </c>
      <c r="D412" s="83">
        <f>INDEX('PEER GROUP'!D:D,MATCH($A412,'PEER GROUP'!$A:$A,0))</f>
        <v>0</v>
      </c>
      <c r="E412" s="83">
        <f>INDEX('PEER GROUP'!E:E,MATCH(A412,'PEER GROUP'!$A:$A,0))</f>
        <v>0</v>
      </c>
      <c r="F412" s="84">
        <f>INDEX('PEER GROUP'!F:F,MATCH($A412,'PEER GROUP'!$A:$A,0))</f>
        <v>0</v>
      </c>
      <c r="G412" s="84">
        <f>INDEX('PEER GROUP'!G:G,MATCH($A412,'PEER GROUP'!$A:$A,0))</f>
        <v>0</v>
      </c>
      <c r="H412" s="85"/>
      <c r="I412" s="85"/>
      <c r="J412" s="70">
        <f>INDEX('PEER GROUP'!K:K,MATCH($A412,'PEER GROUP'!$A:$A,0))</f>
        <v>0</v>
      </c>
      <c r="K412" s="70">
        <f>INDEX('PEER GROUP'!L:L,MATCH($A412,'PEER GROUP'!$A:$A,0))</f>
        <v>0</v>
      </c>
      <c r="L412" s="81">
        <f>INDEX('PEER GROUP'!N:N,MATCH($A412,'PEER GROUP'!$A:$A,0))</f>
        <v>0</v>
      </c>
      <c r="M412" s="118"/>
      <c r="N412" s="115"/>
      <c r="O412" s="117"/>
      <c r="P412" s="87"/>
      <c r="Q412" s="87"/>
      <c r="R412" s="87">
        <f t="shared" si="53"/>
        <v>0</v>
      </c>
      <c r="S412" s="113">
        <f t="shared" si="51"/>
        <v>36.913096727263202</v>
      </c>
      <c r="T412" s="69">
        <f t="shared" si="54"/>
        <v>0</v>
      </c>
      <c r="U412" s="70">
        <f t="shared" si="55"/>
        <v>0</v>
      </c>
      <c r="V412" s="70">
        <f t="shared" si="56"/>
        <v>0</v>
      </c>
      <c r="W412" s="71">
        <f t="shared" si="57"/>
        <v>0</v>
      </c>
      <c r="X412" s="49"/>
      <c r="Y412" s="151"/>
      <c r="Z412" s="69"/>
      <c r="AA412" s="70"/>
      <c r="AB412" s="70"/>
      <c r="AC412" s="70" t="str">
        <f t="shared" si="58"/>
        <v>---</v>
      </c>
      <c r="AD412" s="70" t="str">
        <f>IFERROR(P412/#REF!-1,"---")</f>
        <v>---</v>
      </c>
      <c r="AE412" s="70" t="str">
        <f>IFERROR(#REF!/#REF!-1,"---")</f>
        <v>---</v>
      </c>
      <c r="AF412" s="70" t="str">
        <f>IFERROR(Q412/#REF!-1,"---")</f>
        <v>---</v>
      </c>
      <c r="AG412" s="70" t="str">
        <f>IFERROR(#REF!/#REF!-1,"---")</f>
        <v>---</v>
      </c>
      <c r="AH412" s="70" t="str">
        <f>IFERROR(#REF!/AA412-1,"---")</f>
        <v>---</v>
      </c>
      <c r="AI412" s="71" t="str">
        <f t="shared" si="59"/>
        <v>---</v>
      </c>
    </row>
    <row r="413" spans="1:35" ht="30" customHeight="1" x14ac:dyDescent="0.3">
      <c r="A413" s="123">
        <f t="shared" si="52"/>
        <v>409</v>
      </c>
      <c r="B413" s="140">
        <f>INDEX('PEER GROUP'!B:B,MATCH($A413,'PEER GROUP'!$A:$A,0))</f>
        <v>0</v>
      </c>
      <c r="C413" s="83">
        <f>INDEX('PEER GROUP'!C:C,MATCH($A413,'PEER GROUP'!$A:$A,0))</f>
        <v>0</v>
      </c>
      <c r="D413" s="83">
        <f>INDEX('PEER GROUP'!D:D,MATCH($A413,'PEER GROUP'!$A:$A,0))</f>
        <v>0</v>
      </c>
      <c r="E413" s="83">
        <f>INDEX('PEER GROUP'!E:E,MATCH(A413,'PEER GROUP'!$A:$A,0))</f>
        <v>0</v>
      </c>
      <c r="F413" s="84">
        <f>INDEX('PEER GROUP'!F:F,MATCH($A413,'PEER GROUP'!$A:$A,0))</f>
        <v>0</v>
      </c>
      <c r="G413" s="84">
        <f>INDEX('PEER GROUP'!G:G,MATCH($A413,'PEER GROUP'!$A:$A,0))</f>
        <v>0</v>
      </c>
      <c r="H413" s="85"/>
      <c r="I413" s="85"/>
      <c r="J413" s="70">
        <f>INDEX('PEER GROUP'!K:K,MATCH($A413,'PEER GROUP'!$A:$A,0))</f>
        <v>0</v>
      </c>
      <c r="K413" s="70">
        <f>INDEX('PEER GROUP'!L:L,MATCH($A413,'PEER GROUP'!$A:$A,0))</f>
        <v>0</v>
      </c>
      <c r="L413" s="81">
        <f>INDEX('PEER GROUP'!N:N,MATCH($A413,'PEER GROUP'!$A:$A,0))</f>
        <v>0</v>
      </c>
      <c r="M413" s="118"/>
      <c r="N413" s="115"/>
      <c r="O413" s="117"/>
      <c r="P413" s="87"/>
      <c r="Q413" s="87"/>
      <c r="R413" s="87">
        <f t="shared" si="53"/>
        <v>0</v>
      </c>
      <c r="S413" s="113">
        <f t="shared" si="51"/>
        <v>36.913096727263202</v>
      </c>
      <c r="T413" s="69">
        <f t="shared" si="54"/>
        <v>0</v>
      </c>
      <c r="U413" s="70">
        <f t="shared" si="55"/>
        <v>0</v>
      </c>
      <c r="V413" s="70">
        <f t="shared" si="56"/>
        <v>0</v>
      </c>
      <c r="W413" s="71">
        <f t="shared" si="57"/>
        <v>0</v>
      </c>
      <c r="X413" s="49"/>
      <c r="Y413" s="151"/>
      <c r="Z413" s="69"/>
      <c r="AA413" s="70"/>
      <c r="AB413" s="70"/>
      <c r="AC413" s="70" t="str">
        <f t="shared" si="58"/>
        <v>---</v>
      </c>
      <c r="AD413" s="70" t="str">
        <f>IFERROR(P413/#REF!-1,"---")</f>
        <v>---</v>
      </c>
      <c r="AE413" s="70" t="str">
        <f>IFERROR(#REF!/#REF!-1,"---")</f>
        <v>---</v>
      </c>
      <c r="AF413" s="70" t="str">
        <f>IFERROR(Q413/#REF!-1,"---")</f>
        <v>---</v>
      </c>
      <c r="AG413" s="70" t="str">
        <f>IFERROR(#REF!/#REF!-1,"---")</f>
        <v>---</v>
      </c>
      <c r="AH413" s="70" t="str">
        <f>IFERROR(#REF!/AA413-1,"---")</f>
        <v>---</v>
      </c>
      <c r="AI413" s="71" t="str">
        <f t="shared" si="59"/>
        <v>---</v>
      </c>
    </row>
    <row r="414" spans="1:35" ht="30" customHeight="1" x14ac:dyDescent="0.3">
      <c r="A414" s="123">
        <f t="shared" si="52"/>
        <v>410</v>
      </c>
      <c r="B414" s="140">
        <f>INDEX('PEER GROUP'!B:B,MATCH($A414,'PEER GROUP'!$A:$A,0))</f>
        <v>0</v>
      </c>
      <c r="C414" s="83">
        <f>INDEX('PEER GROUP'!C:C,MATCH($A414,'PEER GROUP'!$A:$A,0))</f>
        <v>0</v>
      </c>
      <c r="D414" s="83">
        <f>INDEX('PEER GROUP'!D:D,MATCH($A414,'PEER GROUP'!$A:$A,0))</f>
        <v>0</v>
      </c>
      <c r="E414" s="83">
        <f>INDEX('PEER GROUP'!E:E,MATCH(A414,'PEER GROUP'!$A:$A,0))</f>
        <v>0</v>
      </c>
      <c r="F414" s="84">
        <f>INDEX('PEER GROUP'!F:F,MATCH($A414,'PEER GROUP'!$A:$A,0))</f>
        <v>0</v>
      </c>
      <c r="G414" s="84">
        <f>INDEX('PEER GROUP'!G:G,MATCH($A414,'PEER GROUP'!$A:$A,0))</f>
        <v>0</v>
      </c>
      <c r="H414" s="85"/>
      <c r="I414" s="85"/>
      <c r="J414" s="70">
        <f>INDEX('PEER GROUP'!K:K,MATCH($A414,'PEER GROUP'!$A:$A,0))</f>
        <v>0</v>
      </c>
      <c r="K414" s="70">
        <f>INDEX('PEER GROUP'!L:L,MATCH($A414,'PEER GROUP'!$A:$A,0))</f>
        <v>0</v>
      </c>
      <c r="L414" s="81">
        <f>INDEX('PEER GROUP'!N:N,MATCH($A414,'PEER GROUP'!$A:$A,0))</f>
        <v>0</v>
      </c>
      <c r="M414" s="118"/>
      <c r="N414" s="115"/>
      <c r="O414" s="117"/>
      <c r="P414" s="87"/>
      <c r="Q414" s="87"/>
      <c r="R414" s="87">
        <f t="shared" si="53"/>
        <v>0</v>
      </c>
      <c r="S414" s="113">
        <f t="shared" si="51"/>
        <v>36.913096727263202</v>
      </c>
      <c r="T414" s="69">
        <f t="shared" si="54"/>
        <v>0</v>
      </c>
      <c r="U414" s="70">
        <f t="shared" si="55"/>
        <v>0</v>
      </c>
      <c r="V414" s="70">
        <f t="shared" si="56"/>
        <v>0</v>
      </c>
      <c r="W414" s="71">
        <f t="shared" si="57"/>
        <v>0</v>
      </c>
      <c r="X414" s="49"/>
      <c r="Y414" s="151"/>
      <c r="Z414" s="69"/>
      <c r="AA414" s="70"/>
      <c r="AB414" s="70"/>
      <c r="AC414" s="70" t="str">
        <f t="shared" si="58"/>
        <v>---</v>
      </c>
      <c r="AD414" s="70" t="str">
        <f>IFERROR(P414/#REF!-1,"---")</f>
        <v>---</v>
      </c>
      <c r="AE414" s="70" t="str">
        <f>IFERROR(#REF!/#REF!-1,"---")</f>
        <v>---</v>
      </c>
      <c r="AF414" s="70" t="str">
        <f>IFERROR(Q414/#REF!-1,"---")</f>
        <v>---</v>
      </c>
      <c r="AG414" s="70" t="str">
        <f>IFERROR(#REF!/#REF!-1,"---")</f>
        <v>---</v>
      </c>
      <c r="AH414" s="70" t="str">
        <f>IFERROR(#REF!/AA414-1,"---")</f>
        <v>---</v>
      </c>
      <c r="AI414" s="71" t="str">
        <f t="shared" si="59"/>
        <v>---</v>
      </c>
    </row>
    <row r="415" spans="1:35" ht="30" customHeight="1" x14ac:dyDescent="0.3">
      <c r="A415" s="123">
        <f t="shared" si="52"/>
        <v>411</v>
      </c>
      <c r="B415" s="140">
        <f>INDEX('PEER GROUP'!B:B,MATCH($A415,'PEER GROUP'!$A:$A,0))</f>
        <v>0</v>
      </c>
      <c r="C415" s="83">
        <f>INDEX('PEER GROUP'!C:C,MATCH($A415,'PEER GROUP'!$A:$A,0))</f>
        <v>0</v>
      </c>
      <c r="D415" s="83">
        <f>INDEX('PEER GROUP'!D:D,MATCH($A415,'PEER GROUP'!$A:$A,0))</f>
        <v>0</v>
      </c>
      <c r="E415" s="83">
        <f>INDEX('PEER GROUP'!E:E,MATCH(A415,'PEER GROUP'!$A:$A,0))</f>
        <v>0</v>
      </c>
      <c r="F415" s="84">
        <f>INDEX('PEER GROUP'!F:F,MATCH($A415,'PEER GROUP'!$A:$A,0))</f>
        <v>0</v>
      </c>
      <c r="G415" s="84">
        <f>INDEX('PEER GROUP'!G:G,MATCH($A415,'PEER GROUP'!$A:$A,0))</f>
        <v>0</v>
      </c>
      <c r="H415" s="85"/>
      <c r="I415" s="85"/>
      <c r="J415" s="70">
        <f>INDEX('PEER GROUP'!K:K,MATCH($A415,'PEER GROUP'!$A:$A,0))</f>
        <v>0</v>
      </c>
      <c r="K415" s="70">
        <f>INDEX('PEER GROUP'!L:L,MATCH($A415,'PEER GROUP'!$A:$A,0))</f>
        <v>0</v>
      </c>
      <c r="L415" s="81">
        <f>INDEX('PEER GROUP'!N:N,MATCH($A415,'PEER GROUP'!$A:$A,0))</f>
        <v>0</v>
      </c>
      <c r="M415" s="118"/>
      <c r="N415" s="115"/>
      <c r="O415" s="117"/>
      <c r="P415" s="87"/>
      <c r="Q415" s="87"/>
      <c r="R415" s="87">
        <f t="shared" si="53"/>
        <v>0</v>
      </c>
      <c r="S415" s="113">
        <f t="shared" si="51"/>
        <v>36.913096727263202</v>
      </c>
      <c r="T415" s="69">
        <f t="shared" si="54"/>
        <v>0</v>
      </c>
      <c r="U415" s="70">
        <f t="shared" si="55"/>
        <v>0</v>
      </c>
      <c r="V415" s="70">
        <f t="shared" si="56"/>
        <v>0</v>
      </c>
      <c r="W415" s="71">
        <f t="shared" si="57"/>
        <v>0</v>
      </c>
      <c r="X415" s="49"/>
      <c r="Y415" s="151"/>
      <c r="Z415" s="69"/>
      <c r="AA415" s="70"/>
      <c r="AB415" s="70"/>
      <c r="AC415" s="70" t="str">
        <f t="shared" si="58"/>
        <v>---</v>
      </c>
      <c r="AD415" s="70" t="str">
        <f>IFERROR(P415/#REF!-1,"---")</f>
        <v>---</v>
      </c>
      <c r="AE415" s="70" t="str">
        <f>IFERROR(#REF!/#REF!-1,"---")</f>
        <v>---</v>
      </c>
      <c r="AF415" s="70" t="str">
        <f>IFERROR(Q415/#REF!-1,"---")</f>
        <v>---</v>
      </c>
      <c r="AG415" s="70" t="str">
        <f>IFERROR(#REF!/#REF!-1,"---")</f>
        <v>---</v>
      </c>
      <c r="AH415" s="70" t="str">
        <f>IFERROR(#REF!/AA415-1,"---")</f>
        <v>---</v>
      </c>
      <c r="AI415" s="71" t="str">
        <f t="shared" si="59"/>
        <v>---</v>
      </c>
    </row>
    <row r="416" spans="1:35" ht="30" customHeight="1" x14ac:dyDescent="0.3">
      <c r="A416" s="123">
        <f t="shared" si="52"/>
        <v>412</v>
      </c>
      <c r="B416" s="140">
        <f>INDEX('PEER GROUP'!B:B,MATCH($A416,'PEER GROUP'!$A:$A,0))</f>
        <v>0</v>
      </c>
      <c r="C416" s="83">
        <f>INDEX('PEER GROUP'!C:C,MATCH($A416,'PEER GROUP'!$A:$A,0))</f>
        <v>0</v>
      </c>
      <c r="D416" s="83">
        <f>INDEX('PEER GROUP'!D:D,MATCH($A416,'PEER GROUP'!$A:$A,0))</f>
        <v>0</v>
      </c>
      <c r="E416" s="83">
        <f>INDEX('PEER GROUP'!E:E,MATCH(A416,'PEER GROUP'!$A:$A,0))</f>
        <v>0</v>
      </c>
      <c r="F416" s="84">
        <f>INDEX('PEER GROUP'!F:F,MATCH($A416,'PEER GROUP'!$A:$A,0))</f>
        <v>0</v>
      </c>
      <c r="G416" s="84">
        <f>INDEX('PEER GROUP'!G:G,MATCH($A416,'PEER GROUP'!$A:$A,0))</f>
        <v>0</v>
      </c>
      <c r="H416" s="85"/>
      <c r="I416" s="85"/>
      <c r="J416" s="70">
        <f>INDEX('PEER GROUP'!K:K,MATCH($A416,'PEER GROUP'!$A:$A,0))</f>
        <v>0</v>
      </c>
      <c r="K416" s="70">
        <f>INDEX('PEER GROUP'!L:L,MATCH($A416,'PEER GROUP'!$A:$A,0))</f>
        <v>0</v>
      </c>
      <c r="L416" s="81">
        <f>INDEX('PEER GROUP'!N:N,MATCH($A416,'PEER GROUP'!$A:$A,0))</f>
        <v>0</v>
      </c>
      <c r="M416" s="118"/>
      <c r="N416" s="115"/>
      <c r="O416" s="117"/>
      <c r="P416" s="87"/>
      <c r="Q416" s="87"/>
      <c r="R416" s="87">
        <f t="shared" si="53"/>
        <v>0</v>
      </c>
      <c r="S416" s="113">
        <f t="shared" si="51"/>
        <v>36.913096727263202</v>
      </c>
      <c r="T416" s="69">
        <f t="shared" si="54"/>
        <v>0</v>
      </c>
      <c r="U416" s="70">
        <f t="shared" si="55"/>
        <v>0</v>
      </c>
      <c r="V416" s="70">
        <f t="shared" si="56"/>
        <v>0</v>
      </c>
      <c r="W416" s="71">
        <f t="shared" si="57"/>
        <v>0</v>
      </c>
      <c r="X416" s="49"/>
      <c r="Y416" s="151"/>
      <c r="Z416" s="69"/>
      <c r="AA416" s="70"/>
      <c r="AB416" s="70"/>
      <c r="AC416" s="70" t="str">
        <f t="shared" si="58"/>
        <v>---</v>
      </c>
      <c r="AD416" s="70" t="str">
        <f>IFERROR(P416/#REF!-1,"---")</f>
        <v>---</v>
      </c>
      <c r="AE416" s="70" t="str">
        <f>IFERROR(#REF!/#REF!-1,"---")</f>
        <v>---</v>
      </c>
      <c r="AF416" s="70" t="str">
        <f>IFERROR(Q416/#REF!-1,"---")</f>
        <v>---</v>
      </c>
      <c r="AG416" s="70" t="str">
        <f>IFERROR(#REF!/#REF!-1,"---")</f>
        <v>---</v>
      </c>
      <c r="AH416" s="70" t="str">
        <f>IFERROR(#REF!/AA416-1,"---")</f>
        <v>---</v>
      </c>
      <c r="AI416" s="71" t="str">
        <f t="shared" si="59"/>
        <v>---</v>
      </c>
    </row>
    <row r="417" spans="1:35" ht="30" customHeight="1" x14ac:dyDescent="0.3">
      <c r="A417" s="123">
        <f t="shared" si="52"/>
        <v>413</v>
      </c>
      <c r="B417" s="140">
        <f>INDEX('PEER GROUP'!B:B,MATCH($A417,'PEER GROUP'!$A:$A,0))</f>
        <v>0</v>
      </c>
      <c r="C417" s="83">
        <f>INDEX('PEER GROUP'!C:C,MATCH($A417,'PEER GROUP'!$A:$A,0))</f>
        <v>0</v>
      </c>
      <c r="D417" s="83">
        <f>INDEX('PEER GROUP'!D:D,MATCH($A417,'PEER GROUP'!$A:$A,0))</f>
        <v>0</v>
      </c>
      <c r="E417" s="83">
        <f>INDEX('PEER GROUP'!E:E,MATCH(A417,'PEER GROUP'!$A:$A,0))</f>
        <v>0</v>
      </c>
      <c r="F417" s="84">
        <f>INDEX('PEER GROUP'!F:F,MATCH($A417,'PEER GROUP'!$A:$A,0))</f>
        <v>0</v>
      </c>
      <c r="G417" s="84">
        <f>INDEX('PEER GROUP'!G:G,MATCH($A417,'PEER GROUP'!$A:$A,0))</f>
        <v>0</v>
      </c>
      <c r="H417" s="85"/>
      <c r="I417" s="85"/>
      <c r="J417" s="70">
        <f>INDEX('PEER GROUP'!K:K,MATCH($A417,'PEER GROUP'!$A:$A,0))</f>
        <v>0</v>
      </c>
      <c r="K417" s="70">
        <f>INDEX('PEER GROUP'!L:L,MATCH($A417,'PEER GROUP'!$A:$A,0))</f>
        <v>0</v>
      </c>
      <c r="L417" s="81">
        <f>INDEX('PEER GROUP'!N:N,MATCH($A417,'PEER GROUP'!$A:$A,0))</f>
        <v>0</v>
      </c>
      <c r="M417" s="118"/>
      <c r="N417" s="115"/>
      <c r="O417" s="117"/>
      <c r="P417" s="87"/>
      <c r="Q417" s="87"/>
      <c r="R417" s="87">
        <f t="shared" si="53"/>
        <v>0</v>
      </c>
      <c r="S417" s="113">
        <f t="shared" si="51"/>
        <v>36.913096727263202</v>
      </c>
      <c r="T417" s="69">
        <f t="shared" si="54"/>
        <v>0</v>
      </c>
      <c r="U417" s="70">
        <f t="shared" si="55"/>
        <v>0</v>
      </c>
      <c r="V417" s="70">
        <f t="shared" si="56"/>
        <v>0</v>
      </c>
      <c r="W417" s="71">
        <f t="shared" si="57"/>
        <v>0</v>
      </c>
      <c r="X417" s="49"/>
      <c r="Y417" s="151"/>
      <c r="Z417" s="69"/>
      <c r="AA417" s="70"/>
      <c r="AB417" s="70"/>
      <c r="AC417" s="70" t="str">
        <f t="shared" si="58"/>
        <v>---</v>
      </c>
      <c r="AD417" s="70" t="str">
        <f>IFERROR(P417/#REF!-1,"---")</f>
        <v>---</v>
      </c>
      <c r="AE417" s="70" t="str">
        <f>IFERROR(#REF!/#REF!-1,"---")</f>
        <v>---</v>
      </c>
      <c r="AF417" s="70" t="str">
        <f>IFERROR(Q417/#REF!-1,"---")</f>
        <v>---</v>
      </c>
      <c r="AG417" s="70" t="str">
        <f>IFERROR(#REF!/#REF!-1,"---")</f>
        <v>---</v>
      </c>
      <c r="AH417" s="70" t="str">
        <f>IFERROR(#REF!/AA417-1,"---")</f>
        <v>---</v>
      </c>
      <c r="AI417" s="71" t="str">
        <f t="shared" si="59"/>
        <v>---</v>
      </c>
    </row>
    <row r="418" spans="1:35" ht="30" customHeight="1" x14ac:dyDescent="0.3">
      <c r="A418" s="123">
        <f t="shared" si="52"/>
        <v>414</v>
      </c>
      <c r="B418" s="140">
        <f>INDEX('PEER GROUP'!B:B,MATCH($A418,'PEER GROUP'!$A:$A,0))</f>
        <v>0</v>
      </c>
      <c r="C418" s="83">
        <f>INDEX('PEER GROUP'!C:C,MATCH($A418,'PEER GROUP'!$A:$A,0))</f>
        <v>0</v>
      </c>
      <c r="D418" s="83">
        <f>INDEX('PEER GROUP'!D:D,MATCH($A418,'PEER GROUP'!$A:$A,0))</f>
        <v>0</v>
      </c>
      <c r="E418" s="83">
        <f>INDEX('PEER GROUP'!E:E,MATCH(A418,'PEER GROUP'!$A:$A,0))</f>
        <v>0</v>
      </c>
      <c r="F418" s="84">
        <f>INDEX('PEER GROUP'!F:F,MATCH($A418,'PEER GROUP'!$A:$A,0))</f>
        <v>0</v>
      </c>
      <c r="G418" s="84">
        <f>INDEX('PEER GROUP'!G:G,MATCH($A418,'PEER GROUP'!$A:$A,0))</f>
        <v>0</v>
      </c>
      <c r="H418" s="85"/>
      <c r="I418" s="85"/>
      <c r="J418" s="70">
        <f>INDEX('PEER GROUP'!K:K,MATCH($A418,'PEER GROUP'!$A:$A,0))</f>
        <v>0</v>
      </c>
      <c r="K418" s="70">
        <f>INDEX('PEER GROUP'!L:L,MATCH($A418,'PEER GROUP'!$A:$A,0))</f>
        <v>0</v>
      </c>
      <c r="L418" s="81">
        <f>INDEX('PEER GROUP'!N:N,MATCH($A418,'PEER GROUP'!$A:$A,0))</f>
        <v>0</v>
      </c>
      <c r="M418" s="118"/>
      <c r="N418" s="115"/>
      <c r="O418" s="117"/>
      <c r="P418" s="87"/>
      <c r="Q418" s="87"/>
      <c r="R418" s="87">
        <f t="shared" si="53"/>
        <v>0</v>
      </c>
      <c r="S418" s="113">
        <f t="shared" si="51"/>
        <v>36.913096727263202</v>
      </c>
      <c r="T418" s="69">
        <f t="shared" si="54"/>
        <v>0</v>
      </c>
      <c r="U418" s="70">
        <f t="shared" si="55"/>
        <v>0</v>
      </c>
      <c r="V418" s="70">
        <f t="shared" si="56"/>
        <v>0</v>
      </c>
      <c r="W418" s="71">
        <f t="shared" si="57"/>
        <v>0</v>
      </c>
      <c r="X418" s="49"/>
      <c r="Y418" s="151"/>
      <c r="Z418" s="69"/>
      <c r="AA418" s="70"/>
      <c r="AB418" s="70"/>
      <c r="AC418" s="70" t="str">
        <f t="shared" si="58"/>
        <v>---</v>
      </c>
      <c r="AD418" s="70" t="str">
        <f>IFERROR(P418/#REF!-1,"---")</f>
        <v>---</v>
      </c>
      <c r="AE418" s="70" t="str">
        <f>IFERROR(#REF!/#REF!-1,"---")</f>
        <v>---</v>
      </c>
      <c r="AF418" s="70" t="str">
        <f>IFERROR(Q418/#REF!-1,"---")</f>
        <v>---</v>
      </c>
      <c r="AG418" s="70" t="str">
        <f>IFERROR(#REF!/#REF!-1,"---")</f>
        <v>---</v>
      </c>
      <c r="AH418" s="70" t="str">
        <f>IFERROR(#REF!/AA418-1,"---")</f>
        <v>---</v>
      </c>
      <c r="AI418" s="71" t="str">
        <f t="shared" si="59"/>
        <v>---</v>
      </c>
    </row>
    <row r="419" spans="1:35" ht="30" customHeight="1" x14ac:dyDescent="0.3">
      <c r="A419" s="123">
        <f t="shared" si="52"/>
        <v>415</v>
      </c>
      <c r="B419" s="140">
        <f>INDEX('PEER GROUP'!B:B,MATCH($A419,'PEER GROUP'!$A:$A,0))</f>
        <v>0</v>
      </c>
      <c r="C419" s="83">
        <f>INDEX('PEER GROUP'!C:C,MATCH($A419,'PEER GROUP'!$A:$A,0))</f>
        <v>0</v>
      </c>
      <c r="D419" s="83">
        <f>INDEX('PEER GROUP'!D:D,MATCH($A419,'PEER GROUP'!$A:$A,0))</f>
        <v>0</v>
      </c>
      <c r="E419" s="83">
        <f>INDEX('PEER GROUP'!E:E,MATCH(A419,'PEER GROUP'!$A:$A,0))</f>
        <v>0</v>
      </c>
      <c r="F419" s="84">
        <f>INDEX('PEER GROUP'!F:F,MATCH($A419,'PEER GROUP'!$A:$A,0))</f>
        <v>0</v>
      </c>
      <c r="G419" s="84">
        <f>INDEX('PEER GROUP'!G:G,MATCH($A419,'PEER GROUP'!$A:$A,0))</f>
        <v>0</v>
      </c>
      <c r="H419" s="85"/>
      <c r="I419" s="85"/>
      <c r="J419" s="70">
        <f>INDEX('PEER GROUP'!K:K,MATCH($A419,'PEER GROUP'!$A:$A,0))</f>
        <v>0</v>
      </c>
      <c r="K419" s="70">
        <f>INDEX('PEER GROUP'!L:L,MATCH($A419,'PEER GROUP'!$A:$A,0))</f>
        <v>0</v>
      </c>
      <c r="L419" s="81">
        <f>INDEX('PEER GROUP'!N:N,MATCH($A419,'PEER GROUP'!$A:$A,0))</f>
        <v>0</v>
      </c>
      <c r="M419" s="118"/>
      <c r="N419" s="115"/>
      <c r="O419" s="117"/>
      <c r="P419" s="87"/>
      <c r="Q419" s="87"/>
      <c r="R419" s="87">
        <f t="shared" si="53"/>
        <v>0</v>
      </c>
      <c r="S419" s="113">
        <f t="shared" ref="S419:S482" si="60">IF(DataEffDate&gt;DATE(2022,1,1),
IF(E419&lt;DATE(2022,1,1),
(1+UpdateFactor)^(IF(E419&lt;DataEffDate,1,-1)*YEARFRAC(E419,DATE(2022,1,1),1))+(1+UpdateFactor_TEMP)^(IF(DATE(2022,1,1)&lt;DataEffDate,1,-1)*YEARFRAC(DATE(2022,1,1),DataEffDate,1))-1,
(1+UpdateFactor_TEMP)^(IF(E419&lt;DataEffDate,1,-1)*YEARFRAC(E419,DataEffDate,1))),
(1+UpdateFactor)^(IF(E419&lt;DataEffDate,1,-1)*YEARFRAC(E419,DataEffDate,1)))</f>
        <v>36.913096727263202</v>
      </c>
      <c r="T419" s="69">
        <f t="shared" si="54"/>
        <v>0</v>
      </c>
      <c r="U419" s="70">
        <f t="shared" si="55"/>
        <v>0</v>
      </c>
      <c r="V419" s="70">
        <f t="shared" si="56"/>
        <v>0</v>
      </c>
      <c r="W419" s="71">
        <f t="shared" si="57"/>
        <v>0</v>
      </c>
      <c r="X419" s="49"/>
      <c r="Y419" s="151"/>
      <c r="Z419" s="69"/>
      <c r="AA419" s="70"/>
      <c r="AB419" s="70"/>
      <c r="AC419" s="70" t="str">
        <f t="shared" si="58"/>
        <v>---</v>
      </c>
      <c r="AD419" s="70" t="str">
        <f>IFERROR(P419/#REF!-1,"---")</f>
        <v>---</v>
      </c>
      <c r="AE419" s="70" t="str">
        <f>IFERROR(#REF!/#REF!-1,"---")</f>
        <v>---</v>
      </c>
      <c r="AF419" s="70" t="str">
        <f>IFERROR(Q419/#REF!-1,"---")</f>
        <v>---</v>
      </c>
      <c r="AG419" s="70" t="str">
        <f>IFERROR(#REF!/#REF!-1,"---")</f>
        <v>---</v>
      </c>
      <c r="AH419" s="70" t="str">
        <f>IFERROR(#REF!/AA419-1,"---")</f>
        <v>---</v>
      </c>
      <c r="AI419" s="71" t="str">
        <f t="shared" si="59"/>
        <v>---</v>
      </c>
    </row>
    <row r="420" spans="1:35" ht="30" customHeight="1" x14ac:dyDescent="0.3">
      <c r="A420" s="123">
        <f t="shared" ref="A420:A483" si="61">A419+1</f>
        <v>416</v>
      </c>
      <c r="B420" s="140">
        <f>INDEX('PEER GROUP'!B:B,MATCH($A420,'PEER GROUP'!$A:$A,0))</f>
        <v>0</v>
      </c>
      <c r="C420" s="83">
        <f>INDEX('PEER GROUP'!C:C,MATCH($A420,'PEER GROUP'!$A:$A,0))</f>
        <v>0</v>
      </c>
      <c r="D420" s="83">
        <f>INDEX('PEER GROUP'!D:D,MATCH($A420,'PEER GROUP'!$A:$A,0))</f>
        <v>0</v>
      </c>
      <c r="E420" s="83">
        <f>INDEX('PEER GROUP'!E:E,MATCH(A420,'PEER GROUP'!$A:$A,0))</f>
        <v>0</v>
      </c>
      <c r="F420" s="84">
        <f>INDEX('PEER GROUP'!F:F,MATCH($A420,'PEER GROUP'!$A:$A,0))</f>
        <v>0</v>
      </c>
      <c r="G420" s="84">
        <f>INDEX('PEER GROUP'!G:G,MATCH($A420,'PEER GROUP'!$A:$A,0))</f>
        <v>0</v>
      </c>
      <c r="H420" s="85"/>
      <c r="I420" s="85"/>
      <c r="J420" s="70">
        <f>INDEX('PEER GROUP'!K:K,MATCH($A420,'PEER GROUP'!$A:$A,0))</f>
        <v>0</v>
      </c>
      <c r="K420" s="70">
        <f>INDEX('PEER GROUP'!L:L,MATCH($A420,'PEER GROUP'!$A:$A,0))</f>
        <v>0</v>
      </c>
      <c r="L420" s="81">
        <f>INDEX('PEER GROUP'!N:N,MATCH($A420,'PEER GROUP'!$A:$A,0))</f>
        <v>0</v>
      </c>
      <c r="M420" s="118"/>
      <c r="N420" s="115"/>
      <c r="O420" s="117"/>
      <c r="P420" s="87"/>
      <c r="Q420" s="87"/>
      <c r="R420" s="87">
        <f t="shared" ref="R420:R483" si="62">SUM(O420:Q420)</f>
        <v>0</v>
      </c>
      <c r="S420" s="113">
        <f t="shared" si="60"/>
        <v>36.913096727263202</v>
      </c>
      <c r="T420" s="69">
        <f t="shared" ref="T420:T483" si="63">O420*$S420</f>
        <v>0</v>
      </c>
      <c r="U420" s="70">
        <f t="shared" ref="U420:U483" si="64">P420*$S420</f>
        <v>0</v>
      </c>
      <c r="V420" s="70">
        <f t="shared" ref="V420:V483" si="65">Q420*$S420</f>
        <v>0</v>
      </c>
      <c r="W420" s="71">
        <f t="shared" ref="W420:W483" si="66">SUM(T420:V420)</f>
        <v>0</v>
      </c>
      <c r="X420" s="49"/>
      <c r="Y420" s="151"/>
      <c r="Z420" s="69"/>
      <c r="AA420" s="70"/>
      <c r="AB420" s="70"/>
      <c r="AC420" s="70" t="str">
        <f t="shared" ref="AC420:AC483" si="67">IFERROR(O420/Z420-1,"---")</f>
        <v>---</v>
      </c>
      <c r="AD420" s="70" t="str">
        <f>IFERROR(P420/#REF!-1,"---")</f>
        <v>---</v>
      </c>
      <c r="AE420" s="70" t="str">
        <f>IFERROR(#REF!/#REF!-1,"---")</f>
        <v>---</v>
      </c>
      <c r="AF420" s="70" t="str">
        <f>IFERROR(Q420/#REF!-1,"---")</f>
        <v>---</v>
      </c>
      <c r="AG420" s="70" t="str">
        <f>IFERROR(#REF!/#REF!-1,"---")</f>
        <v>---</v>
      </c>
      <c r="AH420" s="70" t="str">
        <f>IFERROR(#REF!/AA420-1,"---")</f>
        <v>---</v>
      </c>
      <c r="AI420" s="71" t="str">
        <f t="shared" ref="AI420:AI483" si="68">IFERROR(R420/AB420-1,"---")</f>
        <v>---</v>
      </c>
    </row>
    <row r="421" spans="1:35" ht="30" customHeight="1" x14ac:dyDescent="0.3">
      <c r="A421" s="123">
        <f t="shared" si="61"/>
        <v>417</v>
      </c>
      <c r="B421" s="140">
        <f>INDEX('PEER GROUP'!B:B,MATCH($A421,'PEER GROUP'!$A:$A,0))</f>
        <v>0</v>
      </c>
      <c r="C421" s="83">
        <f>INDEX('PEER GROUP'!C:C,MATCH($A421,'PEER GROUP'!$A:$A,0))</f>
        <v>0</v>
      </c>
      <c r="D421" s="83">
        <f>INDEX('PEER GROUP'!D:D,MATCH($A421,'PEER GROUP'!$A:$A,0))</f>
        <v>0</v>
      </c>
      <c r="E421" s="83">
        <f>INDEX('PEER GROUP'!E:E,MATCH(A421,'PEER GROUP'!$A:$A,0))</f>
        <v>0</v>
      </c>
      <c r="F421" s="84">
        <f>INDEX('PEER GROUP'!F:F,MATCH($A421,'PEER GROUP'!$A:$A,0))</f>
        <v>0</v>
      </c>
      <c r="G421" s="84">
        <f>INDEX('PEER GROUP'!G:G,MATCH($A421,'PEER GROUP'!$A:$A,0))</f>
        <v>0</v>
      </c>
      <c r="H421" s="85"/>
      <c r="I421" s="85"/>
      <c r="J421" s="70">
        <f>INDEX('PEER GROUP'!K:K,MATCH($A421,'PEER GROUP'!$A:$A,0))</f>
        <v>0</v>
      </c>
      <c r="K421" s="70">
        <f>INDEX('PEER GROUP'!L:L,MATCH($A421,'PEER GROUP'!$A:$A,0))</f>
        <v>0</v>
      </c>
      <c r="L421" s="81">
        <f>INDEX('PEER GROUP'!N:N,MATCH($A421,'PEER GROUP'!$A:$A,0))</f>
        <v>0</v>
      </c>
      <c r="M421" s="118"/>
      <c r="N421" s="115"/>
      <c r="O421" s="117"/>
      <c r="P421" s="87"/>
      <c r="Q421" s="87"/>
      <c r="R421" s="87">
        <f t="shared" si="62"/>
        <v>0</v>
      </c>
      <c r="S421" s="113">
        <f t="shared" si="60"/>
        <v>36.913096727263202</v>
      </c>
      <c r="T421" s="69">
        <f t="shared" si="63"/>
        <v>0</v>
      </c>
      <c r="U421" s="70">
        <f t="shared" si="64"/>
        <v>0</v>
      </c>
      <c r="V421" s="70">
        <f t="shared" si="65"/>
        <v>0</v>
      </c>
      <c r="W421" s="71">
        <f t="shared" si="66"/>
        <v>0</v>
      </c>
      <c r="X421" s="49"/>
      <c r="Y421" s="151"/>
      <c r="Z421" s="69"/>
      <c r="AA421" s="70"/>
      <c r="AB421" s="70"/>
      <c r="AC421" s="70" t="str">
        <f t="shared" si="67"/>
        <v>---</v>
      </c>
      <c r="AD421" s="70" t="str">
        <f>IFERROR(P421/#REF!-1,"---")</f>
        <v>---</v>
      </c>
      <c r="AE421" s="70" t="str">
        <f>IFERROR(#REF!/#REF!-1,"---")</f>
        <v>---</v>
      </c>
      <c r="AF421" s="70" t="str">
        <f>IFERROR(Q421/#REF!-1,"---")</f>
        <v>---</v>
      </c>
      <c r="AG421" s="70" t="str">
        <f>IFERROR(#REF!/#REF!-1,"---")</f>
        <v>---</v>
      </c>
      <c r="AH421" s="70" t="str">
        <f>IFERROR(#REF!/AA421-1,"---")</f>
        <v>---</v>
      </c>
      <c r="AI421" s="71" t="str">
        <f t="shared" si="68"/>
        <v>---</v>
      </c>
    </row>
    <row r="422" spans="1:35" ht="30" customHeight="1" x14ac:dyDescent="0.3">
      <c r="A422" s="123">
        <f t="shared" si="61"/>
        <v>418</v>
      </c>
      <c r="B422" s="140">
        <f>INDEX('PEER GROUP'!B:B,MATCH($A422,'PEER GROUP'!$A:$A,0))</f>
        <v>0</v>
      </c>
      <c r="C422" s="83">
        <f>INDEX('PEER GROUP'!C:C,MATCH($A422,'PEER GROUP'!$A:$A,0))</f>
        <v>0</v>
      </c>
      <c r="D422" s="83">
        <f>INDEX('PEER GROUP'!D:D,MATCH($A422,'PEER GROUP'!$A:$A,0))</f>
        <v>0</v>
      </c>
      <c r="E422" s="83">
        <f>INDEX('PEER GROUP'!E:E,MATCH(A422,'PEER GROUP'!$A:$A,0))</f>
        <v>0</v>
      </c>
      <c r="F422" s="84">
        <f>INDEX('PEER GROUP'!F:F,MATCH($A422,'PEER GROUP'!$A:$A,0))</f>
        <v>0</v>
      </c>
      <c r="G422" s="84">
        <f>INDEX('PEER GROUP'!G:G,MATCH($A422,'PEER GROUP'!$A:$A,0))</f>
        <v>0</v>
      </c>
      <c r="H422" s="85"/>
      <c r="I422" s="85"/>
      <c r="J422" s="70">
        <f>INDEX('PEER GROUP'!K:K,MATCH($A422,'PEER GROUP'!$A:$A,0))</f>
        <v>0</v>
      </c>
      <c r="K422" s="70">
        <f>INDEX('PEER GROUP'!L:L,MATCH($A422,'PEER GROUP'!$A:$A,0))</f>
        <v>0</v>
      </c>
      <c r="L422" s="81">
        <f>INDEX('PEER GROUP'!N:N,MATCH($A422,'PEER GROUP'!$A:$A,0))</f>
        <v>0</v>
      </c>
      <c r="M422" s="118"/>
      <c r="N422" s="115"/>
      <c r="O422" s="117"/>
      <c r="P422" s="87"/>
      <c r="Q422" s="87"/>
      <c r="R422" s="87">
        <f t="shared" si="62"/>
        <v>0</v>
      </c>
      <c r="S422" s="113">
        <f t="shared" si="60"/>
        <v>36.913096727263202</v>
      </c>
      <c r="T422" s="69">
        <f t="shared" si="63"/>
        <v>0</v>
      </c>
      <c r="U422" s="70">
        <f t="shared" si="64"/>
        <v>0</v>
      </c>
      <c r="V422" s="70">
        <f t="shared" si="65"/>
        <v>0</v>
      </c>
      <c r="W422" s="71">
        <f t="shared" si="66"/>
        <v>0</v>
      </c>
      <c r="X422" s="49"/>
      <c r="Y422" s="151"/>
      <c r="Z422" s="69"/>
      <c r="AA422" s="70"/>
      <c r="AB422" s="70"/>
      <c r="AC422" s="70" t="str">
        <f t="shared" si="67"/>
        <v>---</v>
      </c>
      <c r="AD422" s="70" t="str">
        <f>IFERROR(P422/#REF!-1,"---")</f>
        <v>---</v>
      </c>
      <c r="AE422" s="70" t="str">
        <f>IFERROR(#REF!/#REF!-1,"---")</f>
        <v>---</v>
      </c>
      <c r="AF422" s="70" t="str">
        <f>IFERROR(Q422/#REF!-1,"---")</f>
        <v>---</v>
      </c>
      <c r="AG422" s="70" t="str">
        <f>IFERROR(#REF!/#REF!-1,"---")</f>
        <v>---</v>
      </c>
      <c r="AH422" s="70" t="str">
        <f>IFERROR(#REF!/AA422-1,"---")</f>
        <v>---</v>
      </c>
      <c r="AI422" s="71" t="str">
        <f t="shared" si="68"/>
        <v>---</v>
      </c>
    </row>
    <row r="423" spans="1:35" ht="30" customHeight="1" x14ac:dyDescent="0.3">
      <c r="A423" s="123">
        <f t="shared" si="61"/>
        <v>419</v>
      </c>
      <c r="B423" s="140">
        <f>INDEX('PEER GROUP'!B:B,MATCH($A423,'PEER GROUP'!$A:$A,0))</f>
        <v>0</v>
      </c>
      <c r="C423" s="83">
        <f>INDEX('PEER GROUP'!C:C,MATCH($A423,'PEER GROUP'!$A:$A,0))</f>
        <v>0</v>
      </c>
      <c r="D423" s="83">
        <f>INDEX('PEER GROUP'!D:D,MATCH($A423,'PEER GROUP'!$A:$A,0))</f>
        <v>0</v>
      </c>
      <c r="E423" s="83">
        <f>INDEX('PEER GROUP'!E:E,MATCH(A423,'PEER GROUP'!$A:$A,0))</f>
        <v>0</v>
      </c>
      <c r="F423" s="84">
        <f>INDEX('PEER GROUP'!F:F,MATCH($A423,'PEER GROUP'!$A:$A,0))</f>
        <v>0</v>
      </c>
      <c r="G423" s="84">
        <f>INDEX('PEER GROUP'!G:G,MATCH($A423,'PEER GROUP'!$A:$A,0))</f>
        <v>0</v>
      </c>
      <c r="H423" s="85"/>
      <c r="I423" s="85"/>
      <c r="J423" s="70">
        <f>INDEX('PEER GROUP'!K:K,MATCH($A423,'PEER GROUP'!$A:$A,0))</f>
        <v>0</v>
      </c>
      <c r="K423" s="70">
        <f>INDEX('PEER GROUP'!L:L,MATCH($A423,'PEER GROUP'!$A:$A,0))</f>
        <v>0</v>
      </c>
      <c r="L423" s="81">
        <f>INDEX('PEER GROUP'!N:N,MATCH($A423,'PEER GROUP'!$A:$A,0))</f>
        <v>0</v>
      </c>
      <c r="M423" s="118"/>
      <c r="N423" s="115"/>
      <c r="O423" s="117"/>
      <c r="P423" s="87"/>
      <c r="Q423" s="87"/>
      <c r="R423" s="87">
        <f t="shared" si="62"/>
        <v>0</v>
      </c>
      <c r="S423" s="113">
        <f t="shared" si="60"/>
        <v>36.913096727263202</v>
      </c>
      <c r="T423" s="69">
        <f t="shared" si="63"/>
        <v>0</v>
      </c>
      <c r="U423" s="70">
        <f t="shared" si="64"/>
        <v>0</v>
      </c>
      <c r="V423" s="70">
        <f t="shared" si="65"/>
        <v>0</v>
      </c>
      <c r="W423" s="71">
        <f t="shared" si="66"/>
        <v>0</v>
      </c>
      <c r="X423" s="49"/>
      <c r="Y423" s="151"/>
      <c r="Z423" s="69"/>
      <c r="AA423" s="70"/>
      <c r="AB423" s="70"/>
      <c r="AC423" s="70" t="str">
        <f t="shared" si="67"/>
        <v>---</v>
      </c>
      <c r="AD423" s="70" t="str">
        <f>IFERROR(P423/#REF!-1,"---")</f>
        <v>---</v>
      </c>
      <c r="AE423" s="70" t="str">
        <f>IFERROR(#REF!/#REF!-1,"---")</f>
        <v>---</v>
      </c>
      <c r="AF423" s="70" t="str">
        <f>IFERROR(Q423/#REF!-1,"---")</f>
        <v>---</v>
      </c>
      <c r="AG423" s="70" t="str">
        <f>IFERROR(#REF!/#REF!-1,"---")</f>
        <v>---</v>
      </c>
      <c r="AH423" s="70" t="str">
        <f>IFERROR(#REF!/AA423-1,"---")</f>
        <v>---</v>
      </c>
      <c r="AI423" s="71" t="str">
        <f t="shared" si="68"/>
        <v>---</v>
      </c>
    </row>
    <row r="424" spans="1:35" ht="30" customHeight="1" x14ac:dyDescent="0.3">
      <c r="A424" s="123">
        <f t="shared" si="61"/>
        <v>420</v>
      </c>
      <c r="B424" s="140">
        <f>INDEX('PEER GROUP'!B:B,MATCH($A424,'PEER GROUP'!$A:$A,0))</f>
        <v>0</v>
      </c>
      <c r="C424" s="83">
        <f>INDEX('PEER GROUP'!C:C,MATCH($A424,'PEER GROUP'!$A:$A,0))</f>
        <v>0</v>
      </c>
      <c r="D424" s="83">
        <f>INDEX('PEER GROUP'!D:D,MATCH($A424,'PEER GROUP'!$A:$A,0))</f>
        <v>0</v>
      </c>
      <c r="E424" s="83">
        <f>INDEX('PEER GROUP'!E:E,MATCH(A424,'PEER GROUP'!$A:$A,0))</f>
        <v>0</v>
      </c>
      <c r="F424" s="84">
        <f>INDEX('PEER GROUP'!F:F,MATCH($A424,'PEER GROUP'!$A:$A,0))</f>
        <v>0</v>
      </c>
      <c r="G424" s="84">
        <f>INDEX('PEER GROUP'!G:G,MATCH($A424,'PEER GROUP'!$A:$A,0))</f>
        <v>0</v>
      </c>
      <c r="H424" s="85"/>
      <c r="I424" s="85"/>
      <c r="J424" s="70">
        <f>INDEX('PEER GROUP'!K:K,MATCH($A424,'PEER GROUP'!$A:$A,0))</f>
        <v>0</v>
      </c>
      <c r="K424" s="70">
        <f>INDEX('PEER GROUP'!L:L,MATCH($A424,'PEER GROUP'!$A:$A,0))</f>
        <v>0</v>
      </c>
      <c r="L424" s="81">
        <f>INDEX('PEER GROUP'!N:N,MATCH($A424,'PEER GROUP'!$A:$A,0))</f>
        <v>0</v>
      </c>
      <c r="M424" s="118"/>
      <c r="N424" s="115"/>
      <c r="O424" s="117"/>
      <c r="P424" s="87"/>
      <c r="Q424" s="87"/>
      <c r="R424" s="87">
        <f t="shared" si="62"/>
        <v>0</v>
      </c>
      <c r="S424" s="113">
        <f t="shared" si="60"/>
        <v>36.913096727263202</v>
      </c>
      <c r="T424" s="69">
        <f t="shared" si="63"/>
        <v>0</v>
      </c>
      <c r="U424" s="70">
        <f t="shared" si="64"/>
        <v>0</v>
      </c>
      <c r="V424" s="70">
        <f t="shared" si="65"/>
        <v>0</v>
      </c>
      <c r="W424" s="71">
        <f t="shared" si="66"/>
        <v>0</v>
      </c>
      <c r="X424" s="49"/>
      <c r="Y424" s="151"/>
      <c r="Z424" s="69"/>
      <c r="AA424" s="70"/>
      <c r="AB424" s="70"/>
      <c r="AC424" s="70" t="str">
        <f t="shared" si="67"/>
        <v>---</v>
      </c>
      <c r="AD424" s="70" t="str">
        <f>IFERROR(P424/#REF!-1,"---")</f>
        <v>---</v>
      </c>
      <c r="AE424" s="70" t="str">
        <f>IFERROR(#REF!/#REF!-1,"---")</f>
        <v>---</v>
      </c>
      <c r="AF424" s="70" t="str">
        <f>IFERROR(Q424/#REF!-1,"---")</f>
        <v>---</v>
      </c>
      <c r="AG424" s="70" t="str">
        <f>IFERROR(#REF!/#REF!-1,"---")</f>
        <v>---</v>
      </c>
      <c r="AH424" s="70" t="str">
        <f>IFERROR(#REF!/AA424-1,"---")</f>
        <v>---</v>
      </c>
      <c r="AI424" s="71" t="str">
        <f t="shared" si="68"/>
        <v>---</v>
      </c>
    </row>
    <row r="425" spans="1:35" ht="30" customHeight="1" x14ac:dyDescent="0.3">
      <c r="A425" s="123">
        <f t="shared" si="61"/>
        <v>421</v>
      </c>
      <c r="B425" s="140">
        <f>INDEX('PEER GROUP'!B:B,MATCH($A425,'PEER GROUP'!$A:$A,0))</f>
        <v>0</v>
      </c>
      <c r="C425" s="83">
        <f>INDEX('PEER GROUP'!C:C,MATCH($A425,'PEER GROUP'!$A:$A,0))</f>
        <v>0</v>
      </c>
      <c r="D425" s="83">
        <f>INDEX('PEER GROUP'!D:D,MATCH($A425,'PEER GROUP'!$A:$A,0))</f>
        <v>0</v>
      </c>
      <c r="E425" s="83">
        <f>INDEX('PEER GROUP'!E:E,MATCH(A425,'PEER GROUP'!$A:$A,0))</f>
        <v>0</v>
      </c>
      <c r="F425" s="84">
        <f>INDEX('PEER GROUP'!F:F,MATCH($A425,'PEER GROUP'!$A:$A,0))</f>
        <v>0</v>
      </c>
      <c r="G425" s="84">
        <f>INDEX('PEER GROUP'!G:G,MATCH($A425,'PEER GROUP'!$A:$A,0))</f>
        <v>0</v>
      </c>
      <c r="H425" s="85"/>
      <c r="I425" s="85"/>
      <c r="J425" s="70">
        <f>INDEX('PEER GROUP'!K:K,MATCH($A425,'PEER GROUP'!$A:$A,0))</f>
        <v>0</v>
      </c>
      <c r="K425" s="70">
        <f>INDEX('PEER GROUP'!L:L,MATCH($A425,'PEER GROUP'!$A:$A,0))</f>
        <v>0</v>
      </c>
      <c r="L425" s="81">
        <f>INDEX('PEER GROUP'!N:N,MATCH($A425,'PEER GROUP'!$A:$A,0))</f>
        <v>0</v>
      </c>
      <c r="M425" s="118"/>
      <c r="N425" s="115"/>
      <c r="O425" s="117"/>
      <c r="P425" s="87"/>
      <c r="Q425" s="87"/>
      <c r="R425" s="87">
        <f t="shared" si="62"/>
        <v>0</v>
      </c>
      <c r="S425" s="113">
        <f t="shared" si="60"/>
        <v>36.913096727263202</v>
      </c>
      <c r="T425" s="69">
        <f t="shared" si="63"/>
        <v>0</v>
      </c>
      <c r="U425" s="70">
        <f t="shared" si="64"/>
        <v>0</v>
      </c>
      <c r="V425" s="70">
        <f t="shared" si="65"/>
        <v>0</v>
      </c>
      <c r="W425" s="71">
        <f t="shared" si="66"/>
        <v>0</v>
      </c>
      <c r="X425" s="49"/>
      <c r="Y425" s="151"/>
      <c r="Z425" s="69"/>
      <c r="AA425" s="70"/>
      <c r="AB425" s="70"/>
      <c r="AC425" s="70" t="str">
        <f t="shared" si="67"/>
        <v>---</v>
      </c>
      <c r="AD425" s="70" t="str">
        <f>IFERROR(P425/#REF!-1,"---")</f>
        <v>---</v>
      </c>
      <c r="AE425" s="70" t="str">
        <f>IFERROR(#REF!/#REF!-1,"---")</f>
        <v>---</v>
      </c>
      <c r="AF425" s="70" t="str">
        <f>IFERROR(Q425/#REF!-1,"---")</f>
        <v>---</v>
      </c>
      <c r="AG425" s="70" t="str">
        <f>IFERROR(#REF!/#REF!-1,"---")</f>
        <v>---</v>
      </c>
      <c r="AH425" s="70" t="str">
        <f>IFERROR(#REF!/AA425-1,"---")</f>
        <v>---</v>
      </c>
      <c r="AI425" s="71" t="str">
        <f t="shared" si="68"/>
        <v>---</v>
      </c>
    </row>
    <row r="426" spans="1:35" ht="30" customHeight="1" x14ac:dyDescent="0.3">
      <c r="A426" s="123">
        <f t="shared" si="61"/>
        <v>422</v>
      </c>
      <c r="B426" s="140">
        <f>INDEX('PEER GROUP'!B:B,MATCH($A426,'PEER GROUP'!$A:$A,0))</f>
        <v>0</v>
      </c>
      <c r="C426" s="83">
        <f>INDEX('PEER GROUP'!C:C,MATCH($A426,'PEER GROUP'!$A:$A,0))</f>
        <v>0</v>
      </c>
      <c r="D426" s="83">
        <f>INDEX('PEER GROUP'!D:D,MATCH($A426,'PEER GROUP'!$A:$A,0))</f>
        <v>0</v>
      </c>
      <c r="E426" s="83">
        <f>INDEX('PEER GROUP'!E:E,MATCH(A426,'PEER GROUP'!$A:$A,0))</f>
        <v>0</v>
      </c>
      <c r="F426" s="84">
        <f>INDEX('PEER GROUP'!F:F,MATCH($A426,'PEER GROUP'!$A:$A,0))</f>
        <v>0</v>
      </c>
      <c r="G426" s="84">
        <f>INDEX('PEER GROUP'!G:G,MATCH($A426,'PEER GROUP'!$A:$A,0))</f>
        <v>0</v>
      </c>
      <c r="H426" s="85"/>
      <c r="I426" s="85"/>
      <c r="J426" s="70">
        <f>INDEX('PEER GROUP'!K:K,MATCH($A426,'PEER GROUP'!$A:$A,0))</f>
        <v>0</v>
      </c>
      <c r="K426" s="70">
        <f>INDEX('PEER GROUP'!L:L,MATCH($A426,'PEER GROUP'!$A:$A,0))</f>
        <v>0</v>
      </c>
      <c r="L426" s="81">
        <f>INDEX('PEER GROUP'!N:N,MATCH($A426,'PEER GROUP'!$A:$A,0))</f>
        <v>0</v>
      </c>
      <c r="M426" s="118"/>
      <c r="N426" s="115"/>
      <c r="O426" s="117"/>
      <c r="P426" s="87"/>
      <c r="Q426" s="87"/>
      <c r="R426" s="87">
        <f t="shared" si="62"/>
        <v>0</v>
      </c>
      <c r="S426" s="113">
        <f t="shared" si="60"/>
        <v>36.913096727263202</v>
      </c>
      <c r="T426" s="69">
        <f t="shared" si="63"/>
        <v>0</v>
      </c>
      <c r="U426" s="70">
        <f t="shared" si="64"/>
        <v>0</v>
      </c>
      <c r="V426" s="70">
        <f t="shared" si="65"/>
        <v>0</v>
      </c>
      <c r="W426" s="71">
        <f t="shared" si="66"/>
        <v>0</v>
      </c>
      <c r="X426" s="49"/>
      <c r="Y426" s="151"/>
      <c r="Z426" s="69"/>
      <c r="AA426" s="70"/>
      <c r="AB426" s="70"/>
      <c r="AC426" s="70" t="str">
        <f t="shared" si="67"/>
        <v>---</v>
      </c>
      <c r="AD426" s="70" t="str">
        <f>IFERROR(P426/#REF!-1,"---")</f>
        <v>---</v>
      </c>
      <c r="AE426" s="70" t="str">
        <f>IFERROR(#REF!/#REF!-1,"---")</f>
        <v>---</v>
      </c>
      <c r="AF426" s="70" t="str">
        <f>IFERROR(Q426/#REF!-1,"---")</f>
        <v>---</v>
      </c>
      <c r="AG426" s="70" t="str">
        <f>IFERROR(#REF!/#REF!-1,"---")</f>
        <v>---</v>
      </c>
      <c r="AH426" s="70" t="str">
        <f>IFERROR(#REF!/AA426-1,"---")</f>
        <v>---</v>
      </c>
      <c r="AI426" s="71" t="str">
        <f t="shared" si="68"/>
        <v>---</v>
      </c>
    </row>
    <row r="427" spans="1:35" ht="30" customHeight="1" x14ac:dyDescent="0.3">
      <c r="A427" s="123">
        <f t="shared" si="61"/>
        <v>423</v>
      </c>
      <c r="B427" s="140">
        <f>INDEX('PEER GROUP'!B:B,MATCH($A427,'PEER GROUP'!$A:$A,0))</f>
        <v>0</v>
      </c>
      <c r="C427" s="83">
        <f>INDEX('PEER GROUP'!C:C,MATCH($A427,'PEER GROUP'!$A:$A,0))</f>
        <v>0</v>
      </c>
      <c r="D427" s="83">
        <f>INDEX('PEER GROUP'!D:D,MATCH($A427,'PEER GROUP'!$A:$A,0))</f>
        <v>0</v>
      </c>
      <c r="E427" s="83">
        <f>INDEX('PEER GROUP'!E:E,MATCH(A427,'PEER GROUP'!$A:$A,0))</f>
        <v>0</v>
      </c>
      <c r="F427" s="84">
        <f>INDEX('PEER GROUP'!F:F,MATCH($A427,'PEER GROUP'!$A:$A,0))</f>
        <v>0</v>
      </c>
      <c r="G427" s="84">
        <f>INDEX('PEER GROUP'!G:G,MATCH($A427,'PEER GROUP'!$A:$A,0))</f>
        <v>0</v>
      </c>
      <c r="H427" s="85"/>
      <c r="I427" s="85"/>
      <c r="J427" s="70">
        <f>INDEX('PEER GROUP'!K:K,MATCH($A427,'PEER GROUP'!$A:$A,0))</f>
        <v>0</v>
      </c>
      <c r="K427" s="70">
        <f>INDEX('PEER GROUP'!L:L,MATCH($A427,'PEER GROUP'!$A:$A,0))</f>
        <v>0</v>
      </c>
      <c r="L427" s="81">
        <f>INDEX('PEER GROUP'!N:N,MATCH($A427,'PEER GROUP'!$A:$A,0))</f>
        <v>0</v>
      </c>
      <c r="M427" s="118"/>
      <c r="N427" s="115"/>
      <c r="O427" s="117"/>
      <c r="P427" s="87"/>
      <c r="Q427" s="87"/>
      <c r="R427" s="87">
        <f t="shared" si="62"/>
        <v>0</v>
      </c>
      <c r="S427" s="113">
        <f t="shared" si="60"/>
        <v>36.913096727263202</v>
      </c>
      <c r="T427" s="69">
        <f t="shared" si="63"/>
        <v>0</v>
      </c>
      <c r="U427" s="70">
        <f t="shared" si="64"/>
        <v>0</v>
      </c>
      <c r="V427" s="70">
        <f t="shared" si="65"/>
        <v>0</v>
      </c>
      <c r="W427" s="71">
        <f t="shared" si="66"/>
        <v>0</v>
      </c>
      <c r="X427" s="49"/>
      <c r="Y427" s="151"/>
      <c r="Z427" s="69"/>
      <c r="AA427" s="70"/>
      <c r="AB427" s="70"/>
      <c r="AC427" s="70" t="str">
        <f t="shared" si="67"/>
        <v>---</v>
      </c>
      <c r="AD427" s="70" t="str">
        <f>IFERROR(P427/#REF!-1,"---")</f>
        <v>---</v>
      </c>
      <c r="AE427" s="70" t="str">
        <f>IFERROR(#REF!/#REF!-1,"---")</f>
        <v>---</v>
      </c>
      <c r="AF427" s="70" t="str">
        <f>IFERROR(Q427/#REF!-1,"---")</f>
        <v>---</v>
      </c>
      <c r="AG427" s="70" t="str">
        <f>IFERROR(#REF!/#REF!-1,"---")</f>
        <v>---</v>
      </c>
      <c r="AH427" s="70" t="str">
        <f>IFERROR(#REF!/AA427-1,"---")</f>
        <v>---</v>
      </c>
      <c r="AI427" s="71" t="str">
        <f t="shared" si="68"/>
        <v>---</v>
      </c>
    </row>
    <row r="428" spans="1:35" ht="30" customHeight="1" x14ac:dyDescent="0.3">
      <c r="A428" s="123">
        <f t="shared" si="61"/>
        <v>424</v>
      </c>
      <c r="B428" s="140">
        <f>INDEX('PEER GROUP'!B:B,MATCH($A428,'PEER GROUP'!$A:$A,0))</f>
        <v>0</v>
      </c>
      <c r="C428" s="83">
        <f>INDEX('PEER GROUP'!C:C,MATCH($A428,'PEER GROUP'!$A:$A,0))</f>
        <v>0</v>
      </c>
      <c r="D428" s="83">
        <f>INDEX('PEER GROUP'!D:D,MATCH($A428,'PEER GROUP'!$A:$A,0))</f>
        <v>0</v>
      </c>
      <c r="E428" s="83">
        <f>INDEX('PEER GROUP'!E:E,MATCH(A428,'PEER GROUP'!$A:$A,0))</f>
        <v>0</v>
      </c>
      <c r="F428" s="84">
        <f>INDEX('PEER GROUP'!F:F,MATCH($A428,'PEER GROUP'!$A:$A,0))</f>
        <v>0</v>
      </c>
      <c r="G428" s="84">
        <f>INDEX('PEER GROUP'!G:G,MATCH($A428,'PEER GROUP'!$A:$A,0))</f>
        <v>0</v>
      </c>
      <c r="H428" s="85"/>
      <c r="I428" s="85"/>
      <c r="J428" s="70">
        <f>INDEX('PEER GROUP'!K:K,MATCH($A428,'PEER GROUP'!$A:$A,0))</f>
        <v>0</v>
      </c>
      <c r="K428" s="70">
        <f>INDEX('PEER GROUP'!L:L,MATCH($A428,'PEER GROUP'!$A:$A,0))</f>
        <v>0</v>
      </c>
      <c r="L428" s="81">
        <f>INDEX('PEER GROUP'!N:N,MATCH($A428,'PEER GROUP'!$A:$A,0))</f>
        <v>0</v>
      </c>
      <c r="M428" s="118"/>
      <c r="N428" s="115"/>
      <c r="O428" s="117"/>
      <c r="P428" s="87"/>
      <c r="Q428" s="87"/>
      <c r="R428" s="87">
        <f t="shared" si="62"/>
        <v>0</v>
      </c>
      <c r="S428" s="113">
        <f t="shared" si="60"/>
        <v>36.913096727263202</v>
      </c>
      <c r="T428" s="69">
        <f t="shared" si="63"/>
        <v>0</v>
      </c>
      <c r="U428" s="70">
        <f t="shared" si="64"/>
        <v>0</v>
      </c>
      <c r="V428" s="70">
        <f t="shared" si="65"/>
        <v>0</v>
      </c>
      <c r="W428" s="71">
        <f t="shared" si="66"/>
        <v>0</v>
      </c>
      <c r="X428" s="49"/>
      <c r="Y428" s="151"/>
      <c r="Z428" s="69"/>
      <c r="AA428" s="70"/>
      <c r="AB428" s="70"/>
      <c r="AC428" s="70" t="str">
        <f t="shared" si="67"/>
        <v>---</v>
      </c>
      <c r="AD428" s="70" t="str">
        <f>IFERROR(P428/#REF!-1,"---")</f>
        <v>---</v>
      </c>
      <c r="AE428" s="70" t="str">
        <f>IFERROR(#REF!/#REF!-1,"---")</f>
        <v>---</v>
      </c>
      <c r="AF428" s="70" t="str">
        <f>IFERROR(Q428/#REF!-1,"---")</f>
        <v>---</v>
      </c>
      <c r="AG428" s="70" t="str">
        <f>IFERROR(#REF!/#REF!-1,"---")</f>
        <v>---</v>
      </c>
      <c r="AH428" s="70" t="str">
        <f>IFERROR(#REF!/AA428-1,"---")</f>
        <v>---</v>
      </c>
      <c r="AI428" s="71" t="str">
        <f t="shared" si="68"/>
        <v>---</v>
      </c>
    </row>
    <row r="429" spans="1:35" ht="30" customHeight="1" x14ac:dyDescent="0.3">
      <c r="A429" s="123">
        <f t="shared" si="61"/>
        <v>425</v>
      </c>
      <c r="B429" s="140">
        <f>INDEX('PEER GROUP'!B:B,MATCH($A429,'PEER GROUP'!$A:$A,0))</f>
        <v>0</v>
      </c>
      <c r="C429" s="83">
        <f>INDEX('PEER GROUP'!C:C,MATCH($A429,'PEER GROUP'!$A:$A,0))</f>
        <v>0</v>
      </c>
      <c r="D429" s="83">
        <f>INDEX('PEER GROUP'!D:D,MATCH($A429,'PEER GROUP'!$A:$A,0))</f>
        <v>0</v>
      </c>
      <c r="E429" s="83">
        <f>INDEX('PEER GROUP'!E:E,MATCH(A429,'PEER GROUP'!$A:$A,0))</f>
        <v>0</v>
      </c>
      <c r="F429" s="84">
        <f>INDEX('PEER GROUP'!F:F,MATCH($A429,'PEER GROUP'!$A:$A,0))</f>
        <v>0</v>
      </c>
      <c r="G429" s="84">
        <f>INDEX('PEER GROUP'!G:G,MATCH($A429,'PEER GROUP'!$A:$A,0))</f>
        <v>0</v>
      </c>
      <c r="H429" s="85"/>
      <c r="I429" s="85"/>
      <c r="J429" s="70">
        <f>INDEX('PEER GROUP'!K:K,MATCH($A429,'PEER GROUP'!$A:$A,0))</f>
        <v>0</v>
      </c>
      <c r="K429" s="70">
        <f>INDEX('PEER GROUP'!L:L,MATCH($A429,'PEER GROUP'!$A:$A,0))</f>
        <v>0</v>
      </c>
      <c r="L429" s="81">
        <f>INDEX('PEER GROUP'!N:N,MATCH($A429,'PEER GROUP'!$A:$A,0))</f>
        <v>0</v>
      </c>
      <c r="M429" s="118"/>
      <c r="N429" s="115"/>
      <c r="O429" s="117"/>
      <c r="P429" s="87"/>
      <c r="Q429" s="87"/>
      <c r="R429" s="87">
        <f t="shared" si="62"/>
        <v>0</v>
      </c>
      <c r="S429" s="113">
        <f t="shared" si="60"/>
        <v>36.913096727263202</v>
      </c>
      <c r="T429" s="69">
        <f t="shared" si="63"/>
        <v>0</v>
      </c>
      <c r="U429" s="70">
        <f t="shared" si="64"/>
        <v>0</v>
      </c>
      <c r="V429" s="70">
        <f t="shared" si="65"/>
        <v>0</v>
      </c>
      <c r="W429" s="71">
        <f t="shared" si="66"/>
        <v>0</v>
      </c>
      <c r="X429" s="49"/>
      <c r="Y429" s="151"/>
      <c r="Z429" s="69"/>
      <c r="AA429" s="70"/>
      <c r="AB429" s="70"/>
      <c r="AC429" s="70" t="str">
        <f t="shared" si="67"/>
        <v>---</v>
      </c>
      <c r="AD429" s="70" t="str">
        <f>IFERROR(P429/#REF!-1,"---")</f>
        <v>---</v>
      </c>
      <c r="AE429" s="70" t="str">
        <f>IFERROR(#REF!/#REF!-1,"---")</f>
        <v>---</v>
      </c>
      <c r="AF429" s="70" t="str">
        <f>IFERROR(Q429/#REF!-1,"---")</f>
        <v>---</v>
      </c>
      <c r="AG429" s="70" t="str">
        <f>IFERROR(#REF!/#REF!-1,"---")</f>
        <v>---</v>
      </c>
      <c r="AH429" s="70" t="str">
        <f>IFERROR(#REF!/AA429-1,"---")</f>
        <v>---</v>
      </c>
      <c r="AI429" s="71" t="str">
        <f t="shared" si="68"/>
        <v>---</v>
      </c>
    </row>
    <row r="430" spans="1:35" ht="30" customHeight="1" x14ac:dyDescent="0.3">
      <c r="A430" s="123">
        <f t="shared" si="61"/>
        <v>426</v>
      </c>
      <c r="B430" s="140">
        <f>INDEX('PEER GROUP'!B:B,MATCH($A430,'PEER GROUP'!$A:$A,0))</f>
        <v>0</v>
      </c>
      <c r="C430" s="83">
        <f>INDEX('PEER GROUP'!C:C,MATCH($A430,'PEER GROUP'!$A:$A,0))</f>
        <v>0</v>
      </c>
      <c r="D430" s="83">
        <f>INDEX('PEER GROUP'!D:D,MATCH($A430,'PEER GROUP'!$A:$A,0))</f>
        <v>0</v>
      </c>
      <c r="E430" s="83">
        <f>INDEX('PEER GROUP'!E:E,MATCH(A430,'PEER GROUP'!$A:$A,0))</f>
        <v>0</v>
      </c>
      <c r="F430" s="84">
        <f>INDEX('PEER GROUP'!F:F,MATCH($A430,'PEER GROUP'!$A:$A,0))</f>
        <v>0</v>
      </c>
      <c r="G430" s="84">
        <f>INDEX('PEER GROUP'!G:G,MATCH($A430,'PEER GROUP'!$A:$A,0))</f>
        <v>0</v>
      </c>
      <c r="H430" s="85"/>
      <c r="I430" s="85"/>
      <c r="J430" s="70">
        <f>INDEX('PEER GROUP'!K:K,MATCH($A430,'PEER GROUP'!$A:$A,0))</f>
        <v>0</v>
      </c>
      <c r="K430" s="70">
        <f>INDEX('PEER GROUP'!L:L,MATCH($A430,'PEER GROUP'!$A:$A,0))</f>
        <v>0</v>
      </c>
      <c r="L430" s="81">
        <f>INDEX('PEER GROUP'!N:N,MATCH($A430,'PEER GROUP'!$A:$A,0))</f>
        <v>0</v>
      </c>
      <c r="M430" s="118"/>
      <c r="N430" s="115"/>
      <c r="O430" s="117"/>
      <c r="P430" s="87"/>
      <c r="Q430" s="87"/>
      <c r="R430" s="87">
        <f t="shared" si="62"/>
        <v>0</v>
      </c>
      <c r="S430" s="113">
        <f t="shared" si="60"/>
        <v>36.913096727263202</v>
      </c>
      <c r="T430" s="69">
        <f t="shared" si="63"/>
        <v>0</v>
      </c>
      <c r="U430" s="70">
        <f t="shared" si="64"/>
        <v>0</v>
      </c>
      <c r="V430" s="70">
        <f t="shared" si="65"/>
        <v>0</v>
      </c>
      <c r="W430" s="71">
        <f t="shared" si="66"/>
        <v>0</v>
      </c>
      <c r="X430" s="49"/>
      <c r="Y430" s="151"/>
      <c r="Z430" s="69"/>
      <c r="AA430" s="70"/>
      <c r="AB430" s="70"/>
      <c r="AC430" s="70" t="str">
        <f t="shared" si="67"/>
        <v>---</v>
      </c>
      <c r="AD430" s="70" t="str">
        <f>IFERROR(P430/#REF!-1,"---")</f>
        <v>---</v>
      </c>
      <c r="AE430" s="70" t="str">
        <f>IFERROR(#REF!/#REF!-1,"---")</f>
        <v>---</v>
      </c>
      <c r="AF430" s="70" t="str">
        <f>IFERROR(Q430/#REF!-1,"---")</f>
        <v>---</v>
      </c>
      <c r="AG430" s="70" t="str">
        <f>IFERROR(#REF!/#REF!-1,"---")</f>
        <v>---</v>
      </c>
      <c r="AH430" s="70" t="str">
        <f>IFERROR(#REF!/AA430-1,"---")</f>
        <v>---</v>
      </c>
      <c r="AI430" s="71" t="str">
        <f t="shared" si="68"/>
        <v>---</v>
      </c>
    </row>
    <row r="431" spans="1:35" ht="30" customHeight="1" x14ac:dyDescent="0.3">
      <c r="A431" s="123">
        <f t="shared" si="61"/>
        <v>427</v>
      </c>
      <c r="B431" s="140">
        <f>INDEX('PEER GROUP'!B:B,MATCH($A431,'PEER GROUP'!$A:$A,0))</f>
        <v>0</v>
      </c>
      <c r="C431" s="83">
        <f>INDEX('PEER GROUP'!C:C,MATCH($A431,'PEER GROUP'!$A:$A,0))</f>
        <v>0</v>
      </c>
      <c r="D431" s="83">
        <f>INDEX('PEER GROUP'!D:D,MATCH($A431,'PEER GROUP'!$A:$A,0))</f>
        <v>0</v>
      </c>
      <c r="E431" s="83">
        <f>INDEX('PEER GROUP'!E:E,MATCH(A431,'PEER GROUP'!$A:$A,0))</f>
        <v>0</v>
      </c>
      <c r="F431" s="84">
        <f>INDEX('PEER GROUP'!F:F,MATCH($A431,'PEER GROUP'!$A:$A,0))</f>
        <v>0</v>
      </c>
      <c r="G431" s="84">
        <f>INDEX('PEER GROUP'!G:G,MATCH($A431,'PEER GROUP'!$A:$A,0))</f>
        <v>0</v>
      </c>
      <c r="H431" s="85"/>
      <c r="I431" s="85"/>
      <c r="J431" s="70">
        <f>INDEX('PEER GROUP'!K:K,MATCH($A431,'PEER GROUP'!$A:$A,0))</f>
        <v>0</v>
      </c>
      <c r="K431" s="70">
        <f>INDEX('PEER GROUP'!L:L,MATCH($A431,'PEER GROUP'!$A:$A,0))</f>
        <v>0</v>
      </c>
      <c r="L431" s="81">
        <f>INDEX('PEER GROUP'!N:N,MATCH($A431,'PEER GROUP'!$A:$A,0))</f>
        <v>0</v>
      </c>
      <c r="M431" s="118"/>
      <c r="N431" s="115"/>
      <c r="O431" s="117"/>
      <c r="P431" s="87"/>
      <c r="Q431" s="87"/>
      <c r="R431" s="87">
        <f t="shared" si="62"/>
        <v>0</v>
      </c>
      <c r="S431" s="113">
        <f t="shared" si="60"/>
        <v>36.913096727263202</v>
      </c>
      <c r="T431" s="69">
        <f t="shared" si="63"/>
        <v>0</v>
      </c>
      <c r="U431" s="70">
        <f t="shared" si="64"/>
        <v>0</v>
      </c>
      <c r="V431" s="70">
        <f t="shared" si="65"/>
        <v>0</v>
      </c>
      <c r="W431" s="71">
        <f t="shared" si="66"/>
        <v>0</v>
      </c>
      <c r="X431" s="49"/>
      <c r="Y431" s="151"/>
      <c r="Z431" s="69"/>
      <c r="AA431" s="70"/>
      <c r="AB431" s="70"/>
      <c r="AC431" s="70" t="str">
        <f t="shared" si="67"/>
        <v>---</v>
      </c>
      <c r="AD431" s="70" t="str">
        <f>IFERROR(P431/#REF!-1,"---")</f>
        <v>---</v>
      </c>
      <c r="AE431" s="70" t="str">
        <f>IFERROR(#REF!/#REF!-1,"---")</f>
        <v>---</v>
      </c>
      <c r="AF431" s="70" t="str">
        <f>IFERROR(Q431/#REF!-1,"---")</f>
        <v>---</v>
      </c>
      <c r="AG431" s="70" t="str">
        <f>IFERROR(#REF!/#REF!-1,"---")</f>
        <v>---</v>
      </c>
      <c r="AH431" s="70" t="str">
        <f>IFERROR(#REF!/AA431-1,"---")</f>
        <v>---</v>
      </c>
      <c r="AI431" s="71" t="str">
        <f t="shared" si="68"/>
        <v>---</v>
      </c>
    </row>
    <row r="432" spans="1:35" ht="30" customHeight="1" x14ac:dyDescent="0.3">
      <c r="A432" s="123">
        <f t="shared" si="61"/>
        <v>428</v>
      </c>
      <c r="B432" s="140">
        <f>INDEX('PEER GROUP'!B:B,MATCH($A432,'PEER GROUP'!$A:$A,0))</f>
        <v>0</v>
      </c>
      <c r="C432" s="83">
        <f>INDEX('PEER GROUP'!C:C,MATCH($A432,'PEER GROUP'!$A:$A,0))</f>
        <v>0</v>
      </c>
      <c r="D432" s="83">
        <f>INDEX('PEER GROUP'!D:D,MATCH($A432,'PEER GROUP'!$A:$A,0))</f>
        <v>0</v>
      </c>
      <c r="E432" s="83">
        <f>INDEX('PEER GROUP'!E:E,MATCH(A432,'PEER GROUP'!$A:$A,0))</f>
        <v>0</v>
      </c>
      <c r="F432" s="84">
        <f>INDEX('PEER GROUP'!F:F,MATCH($A432,'PEER GROUP'!$A:$A,0))</f>
        <v>0</v>
      </c>
      <c r="G432" s="84">
        <f>INDEX('PEER GROUP'!G:G,MATCH($A432,'PEER GROUP'!$A:$A,0))</f>
        <v>0</v>
      </c>
      <c r="H432" s="85"/>
      <c r="I432" s="85"/>
      <c r="J432" s="70">
        <f>INDEX('PEER GROUP'!K:K,MATCH($A432,'PEER GROUP'!$A:$A,0))</f>
        <v>0</v>
      </c>
      <c r="K432" s="70">
        <f>INDEX('PEER GROUP'!L:L,MATCH($A432,'PEER GROUP'!$A:$A,0))</f>
        <v>0</v>
      </c>
      <c r="L432" s="81">
        <f>INDEX('PEER GROUP'!N:N,MATCH($A432,'PEER GROUP'!$A:$A,0))</f>
        <v>0</v>
      </c>
      <c r="M432" s="118"/>
      <c r="N432" s="115"/>
      <c r="O432" s="117"/>
      <c r="P432" s="87"/>
      <c r="Q432" s="87"/>
      <c r="R432" s="87">
        <f t="shared" si="62"/>
        <v>0</v>
      </c>
      <c r="S432" s="113">
        <f t="shared" si="60"/>
        <v>36.913096727263202</v>
      </c>
      <c r="T432" s="69">
        <f t="shared" si="63"/>
        <v>0</v>
      </c>
      <c r="U432" s="70">
        <f t="shared" si="64"/>
        <v>0</v>
      </c>
      <c r="V432" s="70">
        <f t="shared" si="65"/>
        <v>0</v>
      </c>
      <c r="W432" s="71">
        <f t="shared" si="66"/>
        <v>0</v>
      </c>
      <c r="X432" s="49"/>
      <c r="Y432" s="151"/>
      <c r="Z432" s="69"/>
      <c r="AA432" s="70"/>
      <c r="AB432" s="70"/>
      <c r="AC432" s="70" t="str">
        <f t="shared" si="67"/>
        <v>---</v>
      </c>
      <c r="AD432" s="70" t="str">
        <f>IFERROR(P432/#REF!-1,"---")</f>
        <v>---</v>
      </c>
      <c r="AE432" s="70" t="str">
        <f>IFERROR(#REF!/#REF!-1,"---")</f>
        <v>---</v>
      </c>
      <c r="AF432" s="70" t="str">
        <f>IFERROR(Q432/#REF!-1,"---")</f>
        <v>---</v>
      </c>
      <c r="AG432" s="70" t="str">
        <f>IFERROR(#REF!/#REF!-1,"---")</f>
        <v>---</v>
      </c>
      <c r="AH432" s="70" t="str">
        <f>IFERROR(#REF!/AA432-1,"---")</f>
        <v>---</v>
      </c>
      <c r="AI432" s="71" t="str">
        <f t="shared" si="68"/>
        <v>---</v>
      </c>
    </row>
    <row r="433" spans="1:35" ht="30" customHeight="1" x14ac:dyDescent="0.3">
      <c r="A433" s="123">
        <f t="shared" si="61"/>
        <v>429</v>
      </c>
      <c r="B433" s="140">
        <f>INDEX('PEER GROUP'!B:B,MATCH($A433,'PEER GROUP'!$A:$A,0))</f>
        <v>0</v>
      </c>
      <c r="C433" s="83">
        <f>INDEX('PEER GROUP'!C:C,MATCH($A433,'PEER GROUP'!$A:$A,0))</f>
        <v>0</v>
      </c>
      <c r="D433" s="83">
        <f>INDEX('PEER GROUP'!D:D,MATCH($A433,'PEER GROUP'!$A:$A,0))</f>
        <v>0</v>
      </c>
      <c r="E433" s="83">
        <f>INDEX('PEER GROUP'!E:E,MATCH(A433,'PEER GROUP'!$A:$A,0))</f>
        <v>0</v>
      </c>
      <c r="F433" s="84">
        <f>INDEX('PEER GROUP'!F:F,MATCH($A433,'PEER GROUP'!$A:$A,0))</f>
        <v>0</v>
      </c>
      <c r="G433" s="84">
        <f>INDEX('PEER GROUP'!G:G,MATCH($A433,'PEER GROUP'!$A:$A,0))</f>
        <v>0</v>
      </c>
      <c r="H433" s="85"/>
      <c r="I433" s="85"/>
      <c r="J433" s="70">
        <f>INDEX('PEER GROUP'!K:K,MATCH($A433,'PEER GROUP'!$A:$A,0))</f>
        <v>0</v>
      </c>
      <c r="K433" s="70">
        <f>INDEX('PEER GROUP'!L:L,MATCH($A433,'PEER GROUP'!$A:$A,0))</f>
        <v>0</v>
      </c>
      <c r="L433" s="81">
        <f>INDEX('PEER GROUP'!N:N,MATCH($A433,'PEER GROUP'!$A:$A,0))</f>
        <v>0</v>
      </c>
      <c r="M433" s="118"/>
      <c r="N433" s="115"/>
      <c r="O433" s="117"/>
      <c r="P433" s="87"/>
      <c r="Q433" s="87"/>
      <c r="R433" s="87">
        <f t="shared" si="62"/>
        <v>0</v>
      </c>
      <c r="S433" s="113">
        <f t="shared" si="60"/>
        <v>36.913096727263202</v>
      </c>
      <c r="T433" s="69">
        <f t="shared" si="63"/>
        <v>0</v>
      </c>
      <c r="U433" s="70">
        <f t="shared" si="64"/>
        <v>0</v>
      </c>
      <c r="V433" s="70">
        <f t="shared" si="65"/>
        <v>0</v>
      </c>
      <c r="W433" s="71">
        <f t="shared" si="66"/>
        <v>0</v>
      </c>
      <c r="X433" s="49"/>
      <c r="Y433" s="151"/>
      <c r="Z433" s="69"/>
      <c r="AA433" s="70"/>
      <c r="AB433" s="70"/>
      <c r="AC433" s="70" t="str">
        <f t="shared" si="67"/>
        <v>---</v>
      </c>
      <c r="AD433" s="70" t="str">
        <f>IFERROR(P433/#REF!-1,"---")</f>
        <v>---</v>
      </c>
      <c r="AE433" s="70" t="str">
        <f>IFERROR(#REF!/#REF!-1,"---")</f>
        <v>---</v>
      </c>
      <c r="AF433" s="70" t="str">
        <f>IFERROR(Q433/#REF!-1,"---")</f>
        <v>---</v>
      </c>
      <c r="AG433" s="70" t="str">
        <f>IFERROR(#REF!/#REF!-1,"---")</f>
        <v>---</v>
      </c>
      <c r="AH433" s="70" t="str">
        <f>IFERROR(#REF!/AA433-1,"---")</f>
        <v>---</v>
      </c>
      <c r="AI433" s="71" t="str">
        <f t="shared" si="68"/>
        <v>---</v>
      </c>
    </row>
    <row r="434" spans="1:35" ht="30" customHeight="1" x14ac:dyDescent="0.3">
      <c r="A434" s="123">
        <f t="shared" si="61"/>
        <v>430</v>
      </c>
      <c r="B434" s="140">
        <f>INDEX('PEER GROUP'!B:B,MATCH($A434,'PEER GROUP'!$A:$A,0))</f>
        <v>0</v>
      </c>
      <c r="C434" s="83">
        <f>INDEX('PEER GROUP'!C:C,MATCH($A434,'PEER GROUP'!$A:$A,0))</f>
        <v>0</v>
      </c>
      <c r="D434" s="83">
        <f>INDEX('PEER GROUP'!D:D,MATCH($A434,'PEER GROUP'!$A:$A,0))</f>
        <v>0</v>
      </c>
      <c r="E434" s="83">
        <f>INDEX('PEER GROUP'!E:E,MATCH(A434,'PEER GROUP'!$A:$A,0))</f>
        <v>0</v>
      </c>
      <c r="F434" s="84">
        <f>INDEX('PEER GROUP'!F:F,MATCH($A434,'PEER GROUP'!$A:$A,0))</f>
        <v>0</v>
      </c>
      <c r="G434" s="84">
        <f>INDEX('PEER GROUP'!G:G,MATCH($A434,'PEER GROUP'!$A:$A,0))</f>
        <v>0</v>
      </c>
      <c r="H434" s="85"/>
      <c r="I434" s="85"/>
      <c r="J434" s="70">
        <f>INDEX('PEER GROUP'!K:K,MATCH($A434,'PEER GROUP'!$A:$A,0))</f>
        <v>0</v>
      </c>
      <c r="K434" s="70">
        <f>INDEX('PEER GROUP'!L:L,MATCH($A434,'PEER GROUP'!$A:$A,0))</f>
        <v>0</v>
      </c>
      <c r="L434" s="81">
        <f>INDEX('PEER GROUP'!N:N,MATCH($A434,'PEER GROUP'!$A:$A,0))</f>
        <v>0</v>
      </c>
      <c r="M434" s="118"/>
      <c r="N434" s="115"/>
      <c r="O434" s="117"/>
      <c r="P434" s="87"/>
      <c r="Q434" s="87"/>
      <c r="R434" s="87">
        <f t="shared" si="62"/>
        <v>0</v>
      </c>
      <c r="S434" s="113">
        <f t="shared" si="60"/>
        <v>36.913096727263202</v>
      </c>
      <c r="T434" s="69">
        <f t="shared" si="63"/>
        <v>0</v>
      </c>
      <c r="U434" s="70">
        <f t="shared" si="64"/>
        <v>0</v>
      </c>
      <c r="V434" s="70">
        <f t="shared" si="65"/>
        <v>0</v>
      </c>
      <c r="W434" s="71">
        <f t="shared" si="66"/>
        <v>0</v>
      </c>
      <c r="X434" s="49"/>
      <c r="Y434" s="151"/>
      <c r="Z434" s="69"/>
      <c r="AA434" s="70"/>
      <c r="AB434" s="70"/>
      <c r="AC434" s="70" t="str">
        <f t="shared" si="67"/>
        <v>---</v>
      </c>
      <c r="AD434" s="70" t="str">
        <f>IFERROR(P434/#REF!-1,"---")</f>
        <v>---</v>
      </c>
      <c r="AE434" s="70" t="str">
        <f>IFERROR(#REF!/#REF!-1,"---")</f>
        <v>---</v>
      </c>
      <c r="AF434" s="70" t="str">
        <f>IFERROR(Q434/#REF!-1,"---")</f>
        <v>---</v>
      </c>
      <c r="AG434" s="70" t="str">
        <f>IFERROR(#REF!/#REF!-1,"---")</f>
        <v>---</v>
      </c>
      <c r="AH434" s="70" t="str">
        <f>IFERROR(#REF!/AA434-1,"---")</f>
        <v>---</v>
      </c>
      <c r="AI434" s="71" t="str">
        <f t="shared" si="68"/>
        <v>---</v>
      </c>
    </row>
    <row r="435" spans="1:35" ht="30" customHeight="1" x14ac:dyDescent="0.3">
      <c r="A435" s="123">
        <f t="shared" si="61"/>
        <v>431</v>
      </c>
      <c r="B435" s="140">
        <f>INDEX('PEER GROUP'!B:B,MATCH($A435,'PEER GROUP'!$A:$A,0))</f>
        <v>0</v>
      </c>
      <c r="C435" s="83">
        <f>INDEX('PEER GROUP'!C:C,MATCH($A435,'PEER GROUP'!$A:$A,0))</f>
        <v>0</v>
      </c>
      <c r="D435" s="83">
        <f>INDEX('PEER GROUP'!D:D,MATCH($A435,'PEER GROUP'!$A:$A,0))</f>
        <v>0</v>
      </c>
      <c r="E435" s="83">
        <f>INDEX('PEER GROUP'!E:E,MATCH(A435,'PEER GROUP'!$A:$A,0))</f>
        <v>0</v>
      </c>
      <c r="F435" s="84">
        <f>INDEX('PEER GROUP'!F:F,MATCH($A435,'PEER GROUP'!$A:$A,0))</f>
        <v>0</v>
      </c>
      <c r="G435" s="84">
        <f>INDEX('PEER GROUP'!G:G,MATCH($A435,'PEER GROUP'!$A:$A,0))</f>
        <v>0</v>
      </c>
      <c r="H435" s="85"/>
      <c r="I435" s="85"/>
      <c r="J435" s="70">
        <f>INDEX('PEER GROUP'!K:K,MATCH($A435,'PEER GROUP'!$A:$A,0))</f>
        <v>0</v>
      </c>
      <c r="K435" s="70">
        <f>INDEX('PEER GROUP'!L:L,MATCH($A435,'PEER GROUP'!$A:$A,0))</f>
        <v>0</v>
      </c>
      <c r="L435" s="81">
        <f>INDEX('PEER GROUP'!N:N,MATCH($A435,'PEER GROUP'!$A:$A,0))</f>
        <v>0</v>
      </c>
      <c r="M435" s="118"/>
      <c r="N435" s="115"/>
      <c r="O435" s="117"/>
      <c r="P435" s="87"/>
      <c r="Q435" s="87"/>
      <c r="R435" s="87">
        <f t="shared" si="62"/>
        <v>0</v>
      </c>
      <c r="S435" s="113">
        <f t="shared" si="60"/>
        <v>36.913096727263202</v>
      </c>
      <c r="T435" s="69">
        <f t="shared" si="63"/>
        <v>0</v>
      </c>
      <c r="U435" s="70">
        <f t="shared" si="64"/>
        <v>0</v>
      </c>
      <c r="V435" s="70">
        <f t="shared" si="65"/>
        <v>0</v>
      </c>
      <c r="W435" s="71">
        <f t="shared" si="66"/>
        <v>0</v>
      </c>
      <c r="X435" s="49"/>
      <c r="Y435" s="151"/>
      <c r="Z435" s="69"/>
      <c r="AA435" s="70"/>
      <c r="AB435" s="70"/>
      <c r="AC435" s="70" t="str">
        <f t="shared" si="67"/>
        <v>---</v>
      </c>
      <c r="AD435" s="70" t="str">
        <f>IFERROR(P435/#REF!-1,"---")</f>
        <v>---</v>
      </c>
      <c r="AE435" s="70" t="str">
        <f>IFERROR(#REF!/#REF!-1,"---")</f>
        <v>---</v>
      </c>
      <c r="AF435" s="70" t="str">
        <f>IFERROR(Q435/#REF!-1,"---")</f>
        <v>---</v>
      </c>
      <c r="AG435" s="70" t="str">
        <f>IFERROR(#REF!/#REF!-1,"---")</f>
        <v>---</v>
      </c>
      <c r="AH435" s="70" t="str">
        <f>IFERROR(#REF!/AA435-1,"---")</f>
        <v>---</v>
      </c>
      <c r="AI435" s="71" t="str">
        <f t="shared" si="68"/>
        <v>---</v>
      </c>
    </row>
    <row r="436" spans="1:35" ht="30" customHeight="1" x14ac:dyDescent="0.3">
      <c r="A436" s="123">
        <f t="shared" si="61"/>
        <v>432</v>
      </c>
      <c r="B436" s="140">
        <f>INDEX('PEER GROUP'!B:B,MATCH($A436,'PEER GROUP'!$A:$A,0))</f>
        <v>0</v>
      </c>
      <c r="C436" s="83">
        <f>INDEX('PEER GROUP'!C:C,MATCH($A436,'PEER GROUP'!$A:$A,0))</f>
        <v>0</v>
      </c>
      <c r="D436" s="83">
        <f>INDEX('PEER GROUP'!D:D,MATCH($A436,'PEER GROUP'!$A:$A,0))</f>
        <v>0</v>
      </c>
      <c r="E436" s="83">
        <f>INDEX('PEER GROUP'!E:E,MATCH(A436,'PEER GROUP'!$A:$A,0))</f>
        <v>0</v>
      </c>
      <c r="F436" s="84">
        <f>INDEX('PEER GROUP'!F:F,MATCH($A436,'PEER GROUP'!$A:$A,0))</f>
        <v>0</v>
      </c>
      <c r="G436" s="84">
        <f>INDEX('PEER GROUP'!G:G,MATCH($A436,'PEER GROUP'!$A:$A,0))</f>
        <v>0</v>
      </c>
      <c r="H436" s="85"/>
      <c r="I436" s="85"/>
      <c r="J436" s="70">
        <f>INDEX('PEER GROUP'!K:K,MATCH($A436,'PEER GROUP'!$A:$A,0))</f>
        <v>0</v>
      </c>
      <c r="K436" s="70">
        <f>INDEX('PEER GROUP'!L:L,MATCH($A436,'PEER GROUP'!$A:$A,0))</f>
        <v>0</v>
      </c>
      <c r="L436" s="81">
        <f>INDEX('PEER GROUP'!N:N,MATCH($A436,'PEER GROUP'!$A:$A,0))</f>
        <v>0</v>
      </c>
      <c r="M436" s="118"/>
      <c r="N436" s="115"/>
      <c r="O436" s="117"/>
      <c r="P436" s="87"/>
      <c r="Q436" s="87"/>
      <c r="R436" s="87">
        <f t="shared" si="62"/>
        <v>0</v>
      </c>
      <c r="S436" s="113">
        <f t="shared" si="60"/>
        <v>36.913096727263202</v>
      </c>
      <c r="T436" s="69">
        <f t="shared" si="63"/>
        <v>0</v>
      </c>
      <c r="U436" s="70">
        <f t="shared" si="64"/>
        <v>0</v>
      </c>
      <c r="V436" s="70">
        <f t="shared" si="65"/>
        <v>0</v>
      </c>
      <c r="W436" s="71">
        <f t="shared" si="66"/>
        <v>0</v>
      </c>
      <c r="X436" s="49"/>
      <c r="Y436" s="151"/>
      <c r="Z436" s="69"/>
      <c r="AA436" s="70"/>
      <c r="AB436" s="70"/>
      <c r="AC436" s="70" t="str">
        <f t="shared" si="67"/>
        <v>---</v>
      </c>
      <c r="AD436" s="70" t="str">
        <f>IFERROR(P436/#REF!-1,"---")</f>
        <v>---</v>
      </c>
      <c r="AE436" s="70" t="str">
        <f>IFERROR(#REF!/#REF!-1,"---")</f>
        <v>---</v>
      </c>
      <c r="AF436" s="70" t="str">
        <f>IFERROR(Q436/#REF!-1,"---")</f>
        <v>---</v>
      </c>
      <c r="AG436" s="70" t="str">
        <f>IFERROR(#REF!/#REF!-1,"---")</f>
        <v>---</v>
      </c>
      <c r="AH436" s="70" t="str">
        <f>IFERROR(#REF!/AA436-1,"---")</f>
        <v>---</v>
      </c>
      <c r="AI436" s="71" t="str">
        <f t="shared" si="68"/>
        <v>---</v>
      </c>
    </row>
    <row r="437" spans="1:35" ht="30" customHeight="1" x14ac:dyDescent="0.3">
      <c r="A437" s="123">
        <f t="shared" si="61"/>
        <v>433</v>
      </c>
      <c r="B437" s="140">
        <f>INDEX('PEER GROUP'!B:B,MATCH($A437,'PEER GROUP'!$A:$A,0))</f>
        <v>0</v>
      </c>
      <c r="C437" s="83">
        <f>INDEX('PEER GROUP'!C:C,MATCH($A437,'PEER GROUP'!$A:$A,0))</f>
        <v>0</v>
      </c>
      <c r="D437" s="83">
        <f>INDEX('PEER GROUP'!D:D,MATCH($A437,'PEER GROUP'!$A:$A,0))</f>
        <v>0</v>
      </c>
      <c r="E437" s="83">
        <f>INDEX('PEER GROUP'!E:E,MATCH(A437,'PEER GROUP'!$A:$A,0))</f>
        <v>0</v>
      </c>
      <c r="F437" s="84">
        <f>INDEX('PEER GROUP'!F:F,MATCH($A437,'PEER GROUP'!$A:$A,0))</f>
        <v>0</v>
      </c>
      <c r="G437" s="84">
        <f>INDEX('PEER GROUP'!G:G,MATCH($A437,'PEER GROUP'!$A:$A,0))</f>
        <v>0</v>
      </c>
      <c r="H437" s="85"/>
      <c r="I437" s="85"/>
      <c r="J437" s="70">
        <f>INDEX('PEER GROUP'!K:K,MATCH($A437,'PEER GROUP'!$A:$A,0))</f>
        <v>0</v>
      </c>
      <c r="K437" s="70">
        <f>INDEX('PEER GROUP'!L:L,MATCH($A437,'PEER GROUP'!$A:$A,0))</f>
        <v>0</v>
      </c>
      <c r="L437" s="81">
        <f>INDEX('PEER GROUP'!N:N,MATCH($A437,'PEER GROUP'!$A:$A,0))</f>
        <v>0</v>
      </c>
      <c r="M437" s="118"/>
      <c r="N437" s="115"/>
      <c r="O437" s="117"/>
      <c r="P437" s="87"/>
      <c r="Q437" s="87"/>
      <c r="R437" s="87">
        <f t="shared" si="62"/>
        <v>0</v>
      </c>
      <c r="S437" s="113">
        <f t="shared" si="60"/>
        <v>36.913096727263202</v>
      </c>
      <c r="T437" s="69">
        <f t="shared" si="63"/>
        <v>0</v>
      </c>
      <c r="U437" s="70">
        <f t="shared" si="64"/>
        <v>0</v>
      </c>
      <c r="V437" s="70">
        <f t="shared" si="65"/>
        <v>0</v>
      </c>
      <c r="W437" s="71">
        <f t="shared" si="66"/>
        <v>0</v>
      </c>
      <c r="X437" s="49"/>
      <c r="Y437" s="151"/>
      <c r="Z437" s="69"/>
      <c r="AA437" s="70"/>
      <c r="AB437" s="70"/>
      <c r="AC437" s="70" t="str">
        <f t="shared" si="67"/>
        <v>---</v>
      </c>
      <c r="AD437" s="70" t="str">
        <f>IFERROR(P437/#REF!-1,"---")</f>
        <v>---</v>
      </c>
      <c r="AE437" s="70" t="str">
        <f>IFERROR(#REF!/#REF!-1,"---")</f>
        <v>---</v>
      </c>
      <c r="AF437" s="70" t="str">
        <f>IFERROR(Q437/#REF!-1,"---")</f>
        <v>---</v>
      </c>
      <c r="AG437" s="70" t="str">
        <f>IFERROR(#REF!/#REF!-1,"---")</f>
        <v>---</v>
      </c>
      <c r="AH437" s="70" t="str">
        <f>IFERROR(#REF!/AA437-1,"---")</f>
        <v>---</v>
      </c>
      <c r="AI437" s="71" t="str">
        <f t="shared" si="68"/>
        <v>---</v>
      </c>
    </row>
    <row r="438" spans="1:35" ht="30" customHeight="1" x14ac:dyDescent="0.3">
      <c r="A438" s="123">
        <f t="shared" si="61"/>
        <v>434</v>
      </c>
      <c r="B438" s="140">
        <f>INDEX('PEER GROUP'!B:B,MATCH($A438,'PEER GROUP'!$A:$A,0))</f>
        <v>0</v>
      </c>
      <c r="C438" s="83">
        <f>INDEX('PEER GROUP'!C:C,MATCH($A438,'PEER GROUP'!$A:$A,0))</f>
        <v>0</v>
      </c>
      <c r="D438" s="83">
        <f>INDEX('PEER GROUP'!D:D,MATCH($A438,'PEER GROUP'!$A:$A,0))</f>
        <v>0</v>
      </c>
      <c r="E438" s="83">
        <f>INDEX('PEER GROUP'!E:E,MATCH(A438,'PEER GROUP'!$A:$A,0))</f>
        <v>0</v>
      </c>
      <c r="F438" s="84">
        <f>INDEX('PEER GROUP'!F:F,MATCH($A438,'PEER GROUP'!$A:$A,0))</f>
        <v>0</v>
      </c>
      <c r="G438" s="84">
        <f>INDEX('PEER GROUP'!G:G,MATCH($A438,'PEER GROUP'!$A:$A,0))</f>
        <v>0</v>
      </c>
      <c r="H438" s="85"/>
      <c r="I438" s="85"/>
      <c r="J438" s="70">
        <f>INDEX('PEER GROUP'!K:K,MATCH($A438,'PEER GROUP'!$A:$A,0))</f>
        <v>0</v>
      </c>
      <c r="K438" s="70">
        <f>INDEX('PEER GROUP'!L:L,MATCH($A438,'PEER GROUP'!$A:$A,0))</f>
        <v>0</v>
      </c>
      <c r="L438" s="81">
        <f>INDEX('PEER GROUP'!N:N,MATCH($A438,'PEER GROUP'!$A:$A,0))</f>
        <v>0</v>
      </c>
      <c r="M438" s="118"/>
      <c r="N438" s="115"/>
      <c r="O438" s="117"/>
      <c r="P438" s="87"/>
      <c r="Q438" s="87"/>
      <c r="R438" s="87">
        <f t="shared" si="62"/>
        <v>0</v>
      </c>
      <c r="S438" s="113">
        <f t="shared" si="60"/>
        <v>36.913096727263202</v>
      </c>
      <c r="T438" s="69">
        <f t="shared" si="63"/>
        <v>0</v>
      </c>
      <c r="U438" s="70">
        <f t="shared" si="64"/>
        <v>0</v>
      </c>
      <c r="V438" s="70">
        <f t="shared" si="65"/>
        <v>0</v>
      </c>
      <c r="W438" s="71">
        <f t="shared" si="66"/>
        <v>0</v>
      </c>
      <c r="X438" s="49"/>
      <c r="Y438" s="151"/>
      <c r="Z438" s="69"/>
      <c r="AA438" s="70"/>
      <c r="AB438" s="70"/>
      <c r="AC438" s="70" t="str">
        <f t="shared" si="67"/>
        <v>---</v>
      </c>
      <c r="AD438" s="70" t="str">
        <f>IFERROR(P438/#REF!-1,"---")</f>
        <v>---</v>
      </c>
      <c r="AE438" s="70" t="str">
        <f>IFERROR(#REF!/#REF!-1,"---")</f>
        <v>---</v>
      </c>
      <c r="AF438" s="70" t="str">
        <f>IFERROR(Q438/#REF!-1,"---")</f>
        <v>---</v>
      </c>
      <c r="AG438" s="70" t="str">
        <f>IFERROR(#REF!/#REF!-1,"---")</f>
        <v>---</v>
      </c>
      <c r="AH438" s="70" t="str">
        <f>IFERROR(#REF!/AA438-1,"---")</f>
        <v>---</v>
      </c>
      <c r="AI438" s="71" t="str">
        <f t="shared" si="68"/>
        <v>---</v>
      </c>
    </row>
    <row r="439" spans="1:35" ht="30" customHeight="1" x14ac:dyDescent="0.3">
      <c r="A439" s="123">
        <f t="shared" si="61"/>
        <v>435</v>
      </c>
      <c r="B439" s="140">
        <f>INDEX('PEER GROUP'!B:B,MATCH($A439,'PEER GROUP'!$A:$A,0))</f>
        <v>0</v>
      </c>
      <c r="C439" s="83">
        <f>INDEX('PEER GROUP'!C:C,MATCH($A439,'PEER GROUP'!$A:$A,0))</f>
        <v>0</v>
      </c>
      <c r="D439" s="83">
        <f>INDEX('PEER GROUP'!D:D,MATCH($A439,'PEER GROUP'!$A:$A,0))</f>
        <v>0</v>
      </c>
      <c r="E439" s="83">
        <f>INDEX('PEER GROUP'!E:E,MATCH(A439,'PEER GROUP'!$A:$A,0))</f>
        <v>0</v>
      </c>
      <c r="F439" s="84">
        <f>INDEX('PEER GROUP'!F:F,MATCH($A439,'PEER GROUP'!$A:$A,0))</f>
        <v>0</v>
      </c>
      <c r="G439" s="84">
        <f>INDEX('PEER GROUP'!G:G,MATCH($A439,'PEER GROUP'!$A:$A,0))</f>
        <v>0</v>
      </c>
      <c r="H439" s="85"/>
      <c r="I439" s="85"/>
      <c r="J439" s="70">
        <f>INDEX('PEER GROUP'!K:K,MATCH($A439,'PEER GROUP'!$A:$A,0))</f>
        <v>0</v>
      </c>
      <c r="K439" s="70">
        <f>INDEX('PEER GROUP'!L:L,MATCH($A439,'PEER GROUP'!$A:$A,0))</f>
        <v>0</v>
      </c>
      <c r="L439" s="81">
        <f>INDEX('PEER GROUP'!N:N,MATCH($A439,'PEER GROUP'!$A:$A,0))</f>
        <v>0</v>
      </c>
      <c r="M439" s="118"/>
      <c r="N439" s="115"/>
      <c r="O439" s="117"/>
      <c r="P439" s="87"/>
      <c r="Q439" s="87"/>
      <c r="R439" s="87">
        <f t="shared" si="62"/>
        <v>0</v>
      </c>
      <c r="S439" s="113">
        <f t="shared" si="60"/>
        <v>36.913096727263202</v>
      </c>
      <c r="T439" s="69">
        <f t="shared" si="63"/>
        <v>0</v>
      </c>
      <c r="U439" s="70">
        <f t="shared" si="64"/>
        <v>0</v>
      </c>
      <c r="V439" s="70">
        <f t="shared" si="65"/>
        <v>0</v>
      </c>
      <c r="W439" s="71">
        <f t="shared" si="66"/>
        <v>0</v>
      </c>
      <c r="X439" s="49"/>
      <c r="Y439" s="151"/>
      <c r="Z439" s="69"/>
      <c r="AA439" s="70"/>
      <c r="AB439" s="70"/>
      <c r="AC439" s="70" t="str">
        <f t="shared" si="67"/>
        <v>---</v>
      </c>
      <c r="AD439" s="70" t="str">
        <f>IFERROR(P439/#REF!-1,"---")</f>
        <v>---</v>
      </c>
      <c r="AE439" s="70" t="str">
        <f>IFERROR(#REF!/#REF!-1,"---")</f>
        <v>---</v>
      </c>
      <c r="AF439" s="70" t="str">
        <f>IFERROR(Q439/#REF!-1,"---")</f>
        <v>---</v>
      </c>
      <c r="AG439" s="70" t="str">
        <f>IFERROR(#REF!/#REF!-1,"---")</f>
        <v>---</v>
      </c>
      <c r="AH439" s="70" t="str">
        <f>IFERROR(#REF!/AA439-1,"---")</f>
        <v>---</v>
      </c>
      <c r="AI439" s="71" t="str">
        <f t="shared" si="68"/>
        <v>---</v>
      </c>
    </row>
    <row r="440" spans="1:35" ht="30" customHeight="1" x14ac:dyDescent="0.3">
      <c r="A440" s="123">
        <f t="shared" si="61"/>
        <v>436</v>
      </c>
      <c r="B440" s="140">
        <f>INDEX('PEER GROUP'!B:B,MATCH($A440,'PEER GROUP'!$A:$A,0))</f>
        <v>0</v>
      </c>
      <c r="C440" s="83">
        <f>INDEX('PEER GROUP'!C:C,MATCH($A440,'PEER GROUP'!$A:$A,0))</f>
        <v>0</v>
      </c>
      <c r="D440" s="83">
        <f>INDEX('PEER GROUP'!D:D,MATCH($A440,'PEER GROUP'!$A:$A,0))</f>
        <v>0</v>
      </c>
      <c r="E440" s="83">
        <f>INDEX('PEER GROUP'!E:E,MATCH(A440,'PEER GROUP'!$A:$A,0))</f>
        <v>0</v>
      </c>
      <c r="F440" s="84">
        <f>INDEX('PEER GROUP'!F:F,MATCH($A440,'PEER GROUP'!$A:$A,0))</f>
        <v>0</v>
      </c>
      <c r="G440" s="84">
        <f>INDEX('PEER GROUP'!G:G,MATCH($A440,'PEER GROUP'!$A:$A,0))</f>
        <v>0</v>
      </c>
      <c r="H440" s="85"/>
      <c r="I440" s="85"/>
      <c r="J440" s="70">
        <f>INDEX('PEER GROUP'!K:K,MATCH($A440,'PEER GROUP'!$A:$A,0))</f>
        <v>0</v>
      </c>
      <c r="K440" s="70">
        <f>INDEX('PEER GROUP'!L:L,MATCH($A440,'PEER GROUP'!$A:$A,0))</f>
        <v>0</v>
      </c>
      <c r="L440" s="81">
        <f>INDEX('PEER GROUP'!N:N,MATCH($A440,'PEER GROUP'!$A:$A,0))</f>
        <v>0</v>
      </c>
      <c r="M440" s="118"/>
      <c r="N440" s="115"/>
      <c r="O440" s="117"/>
      <c r="P440" s="87"/>
      <c r="Q440" s="87"/>
      <c r="R440" s="87">
        <f t="shared" si="62"/>
        <v>0</v>
      </c>
      <c r="S440" s="113">
        <f t="shared" si="60"/>
        <v>36.913096727263202</v>
      </c>
      <c r="T440" s="69">
        <f t="shared" si="63"/>
        <v>0</v>
      </c>
      <c r="U440" s="70">
        <f t="shared" si="64"/>
        <v>0</v>
      </c>
      <c r="V440" s="70">
        <f t="shared" si="65"/>
        <v>0</v>
      </c>
      <c r="W440" s="71">
        <f t="shared" si="66"/>
        <v>0</v>
      </c>
      <c r="X440" s="49"/>
      <c r="Y440" s="151"/>
      <c r="Z440" s="69"/>
      <c r="AA440" s="70"/>
      <c r="AB440" s="70"/>
      <c r="AC440" s="70" t="str">
        <f t="shared" si="67"/>
        <v>---</v>
      </c>
      <c r="AD440" s="70" t="str">
        <f>IFERROR(P440/#REF!-1,"---")</f>
        <v>---</v>
      </c>
      <c r="AE440" s="70" t="str">
        <f>IFERROR(#REF!/#REF!-1,"---")</f>
        <v>---</v>
      </c>
      <c r="AF440" s="70" t="str">
        <f>IFERROR(Q440/#REF!-1,"---")</f>
        <v>---</v>
      </c>
      <c r="AG440" s="70" t="str">
        <f>IFERROR(#REF!/#REF!-1,"---")</f>
        <v>---</v>
      </c>
      <c r="AH440" s="70" t="str">
        <f>IFERROR(#REF!/AA440-1,"---")</f>
        <v>---</v>
      </c>
      <c r="AI440" s="71" t="str">
        <f t="shared" si="68"/>
        <v>---</v>
      </c>
    </row>
    <row r="441" spans="1:35" ht="30" customHeight="1" x14ac:dyDescent="0.3">
      <c r="A441" s="123">
        <f t="shared" si="61"/>
        <v>437</v>
      </c>
      <c r="B441" s="140">
        <f>INDEX('PEER GROUP'!B:B,MATCH($A441,'PEER GROUP'!$A:$A,0))</f>
        <v>0</v>
      </c>
      <c r="C441" s="83">
        <f>INDEX('PEER GROUP'!C:C,MATCH($A441,'PEER GROUP'!$A:$A,0))</f>
        <v>0</v>
      </c>
      <c r="D441" s="83">
        <f>INDEX('PEER GROUP'!D:D,MATCH($A441,'PEER GROUP'!$A:$A,0))</f>
        <v>0</v>
      </c>
      <c r="E441" s="83">
        <f>INDEX('PEER GROUP'!E:E,MATCH(A441,'PEER GROUP'!$A:$A,0))</f>
        <v>0</v>
      </c>
      <c r="F441" s="84">
        <f>INDEX('PEER GROUP'!F:F,MATCH($A441,'PEER GROUP'!$A:$A,0))</f>
        <v>0</v>
      </c>
      <c r="G441" s="84">
        <f>INDEX('PEER GROUP'!G:G,MATCH($A441,'PEER GROUP'!$A:$A,0))</f>
        <v>0</v>
      </c>
      <c r="H441" s="85"/>
      <c r="I441" s="85"/>
      <c r="J441" s="70">
        <f>INDEX('PEER GROUP'!K:K,MATCH($A441,'PEER GROUP'!$A:$A,0))</f>
        <v>0</v>
      </c>
      <c r="K441" s="70">
        <f>INDEX('PEER GROUP'!L:L,MATCH($A441,'PEER GROUP'!$A:$A,0))</f>
        <v>0</v>
      </c>
      <c r="L441" s="81">
        <f>INDEX('PEER GROUP'!N:N,MATCH($A441,'PEER GROUP'!$A:$A,0))</f>
        <v>0</v>
      </c>
      <c r="M441" s="118"/>
      <c r="N441" s="115"/>
      <c r="O441" s="117"/>
      <c r="P441" s="87"/>
      <c r="Q441" s="87"/>
      <c r="R441" s="87">
        <f t="shared" si="62"/>
        <v>0</v>
      </c>
      <c r="S441" s="113">
        <f t="shared" si="60"/>
        <v>36.913096727263202</v>
      </c>
      <c r="T441" s="69">
        <f t="shared" si="63"/>
        <v>0</v>
      </c>
      <c r="U441" s="70">
        <f t="shared" si="64"/>
        <v>0</v>
      </c>
      <c r="V441" s="70">
        <f t="shared" si="65"/>
        <v>0</v>
      </c>
      <c r="W441" s="71">
        <f t="shared" si="66"/>
        <v>0</v>
      </c>
      <c r="X441" s="49"/>
      <c r="Y441" s="151"/>
      <c r="Z441" s="69"/>
      <c r="AA441" s="70"/>
      <c r="AB441" s="70"/>
      <c r="AC441" s="70" t="str">
        <f t="shared" si="67"/>
        <v>---</v>
      </c>
      <c r="AD441" s="70" t="str">
        <f>IFERROR(P441/#REF!-1,"---")</f>
        <v>---</v>
      </c>
      <c r="AE441" s="70" t="str">
        <f>IFERROR(#REF!/#REF!-1,"---")</f>
        <v>---</v>
      </c>
      <c r="AF441" s="70" t="str">
        <f>IFERROR(Q441/#REF!-1,"---")</f>
        <v>---</v>
      </c>
      <c r="AG441" s="70" t="str">
        <f>IFERROR(#REF!/#REF!-1,"---")</f>
        <v>---</v>
      </c>
      <c r="AH441" s="70" t="str">
        <f>IFERROR(#REF!/AA441-1,"---")</f>
        <v>---</v>
      </c>
      <c r="AI441" s="71" t="str">
        <f t="shared" si="68"/>
        <v>---</v>
      </c>
    </row>
    <row r="442" spans="1:35" ht="30" customHeight="1" x14ac:dyDescent="0.3">
      <c r="A442" s="123">
        <f t="shared" si="61"/>
        <v>438</v>
      </c>
      <c r="B442" s="140">
        <f>INDEX('PEER GROUP'!B:B,MATCH($A442,'PEER GROUP'!$A:$A,0))</f>
        <v>0</v>
      </c>
      <c r="C442" s="83">
        <f>INDEX('PEER GROUP'!C:C,MATCH($A442,'PEER GROUP'!$A:$A,0))</f>
        <v>0</v>
      </c>
      <c r="D442" s="83">
        <f>INDEX('PEER GROUP'!D:D,MATCH($A442,'PEER GROUP'!$A:$A,0))</f>
        <v>0</v>
      </c>
      <c r="E442" s="83">
        <f>INDEX('PEER GROUP'!E:E,MATCH(A442,'PEER GROUP'!$A:$A,0))</f>
        <v>0</v>
      </c>
      <c r="F442" s="84">
        <f>INDEX('PEER GROUP'!F:F,MATCH($A442,'PEER GROUP'!$A:$A,0))</f>
        <v>0</v>
      </c>
      <c r="G442" s="84">
        <f>INDEX('PEER GROUP'!G:G,MATCH($A442,'PEER GROUP'!$A:$A,0))</f>
        <v>0</v>
      </c>
      <c r="H442" s="85"/>
      <c r="I442" s="85"/>
      <c r="J442" s="70">
        <f>INDEX('PEER GROUP'!K:K,MATCH($A442,'PEER GROUP'!$A:$A,0))</f>
        <v>0</v>
      </c>
      <c r="K442" s="70">
        <f>INDEX('PEER GROUP'!L:L,MATCH($A442,'PEER GROUP'!$A:$A,0))</f>
        <v>0</v>
      </c>
      <c r="L442" s="81">
        <f>INDEX('PEER GROUP'!N:N,MATCH($A442,'PEER GROUP'!$A:$A,0))</f>
        <v>0</v>
      </c>
      <c r="M442" s="118"/>
      <c r="N442" s="115"/>
      <c r="O442" s="117"/>
      <c r="P442" s="87"/>
      <c r="Q442" s="87"/>
      <c r="R442" s="87">
        <f t="shared" si="62"/>
        <v>0</v>
      </c>
      <c r="S442" s="113">
        <f t="shared" si="60"/>
        <v>36.913096727263202</v>
      </c>
      <c r="T442" s="69">
        <f t="shared" si="63"/>
        <v>0</v>
      </c>
      <c r="U442" s="70">
        <f t="shared" si="64"/>
        <v>0</v>
      </c>
      <c r="V442" s="70">
        <f t="shared" si="65"/>
        <v>0</v>
      </c>
      <c r="W442" s="71">
        <f t="shared" si="66"/>
        <v>0</v>
      </c>
      <c r="X442" s="49"/>
      <c r="Y442" s="151"/>
      <c r="Z442" s="69"/>
      <c r="AA442" s="70"/>
      <c r="AB442" s="70"/>
      <c r="AC442" s="70" t="str">
        <f t="shared" si="67"/>
        <v>---</v>
      </c>
      <c r="AD442" s="70" t="str">
        <f>IFERROR(P442/#REF!-1,"---")</f>
        <v>---</v>
      </c>
      <c r="AE442" s="70" t="str">
        <f>IFERROR(#REF!/#REF!-1,"---")</f>
        <v>---</v>
      </c>
      <c r="AF442" s="70" t="str">
        <f>IFERROR(Q442/#REF!-1,"---")</f>
        <v>---</v>
      </c>
      <c r="AG442" s="70" t="str">
        <f>IFERROR(#REF!/#REF!-1,"---")</f>
        <v>---</v>
      </c>
      <c r="AH442" s="70" t="str">
        <f>IFERROR(#REF!/AA442-1,"---")</f>
        <v>---</v>
      </c>
      <c r="AI442" s="71" t="str">
        <f t="shared" si="68"/>
        <v>---</v>
      </c>
    </row>
    <row r="443" spans="1:35" ht="30" customHeight="1" x14ac:dyDescent="0.3">
      <c r="A443" s="123">
        <f t="shared" si="61"/>
        <v>439</v>
      </c>
      <c r="B443" s="140">
        <f>INDEX('PEER GROUP'!B:B,MATCH($A443,'PEER GROUP'!$A:$A,0))</f>
        <v>0</v>
      </c>
      <c r="C443" s="83">
        <f>INDEX('PEER GROUP'!C:C,MATCH($A443,'PEER GROUP'!$A:$A,0))</f>
        <v>0</v>
      </c>
      <c r="D443" s="83">
        <f>INDEX('PEER GROUP'!D:D,MATCH($A443,'PEER GROUP'!$A:$A,0))</f>
        <v>0</v>
      </c>
      <c r="E443" s="83">
        <f>INDEX('PEER GROUP'!E:E,MATCH(A443,'PEER GROUP'!$A:$A,0))</f>
        <v>0</v>
      </c>
      <c r="F443" s="84">
        <f>INDEX('PEER GROUP'!F:F,MATCH($A443,'PEER GROUP'!$A:$A,0))</f>
        <v>0</v>
      </c>
      <c r="G443" s="84">
        <f>INDEX('PEER GROUP'!G:G,MATCH($A443,'PEER GROUP'!$A:$A,0))</f>
        <v>0</v>
      </c>
      <c r="H443" s="85"/>
      <c r="I443" s="85"/>
      <c r="J443" s="70">
        <f>INDEX('PEER GROUP'!K:K,MATCH($A443,'PEER GROUP'!$A:$A,0))</f>
        <v>0</v>
      </c>
      <c r="K443" s="70">
        <f>INDEX('PEER GROUP'!L:L,MATCH($A443,'PEER GROUP'!$A:$A,0))</f>
        <v>0</v>
      </c>
      <c r="L443" s="81">
        <f>INDEX('PEER GROUP'!N:N,MATCH($A443,'PEER GROUP'!$A:$A,0))</f>
        <v>0</v>
      </c>
      <c r="M443" s="118"/>
      <c r="N443" s="115"/>
      <c r="O443" s="117"/>
      <c r="P443" s="87"/>
      <c r="Q443" s="87"/>
      <c r="R443" s="87">
        <f t="shared" si="62"/>
        <v>0</v>
      </c>
      <c r="S443" s="113">
        <f t="shared" si="60"/>
        <v>36.913096727263202</v>
      </c>
      <c r="T443" s="69">
        <f t="shared" si="63"/>
        <v>0</v>
      </c>
      <c r="U443" s="70">
        <f t="shared" si="64"/>
        <v>0</v>
      </c>
      <c r="V443" s="70">
        <f t="shared" si="65"/>
        <v>0</v>
      </c>
      <c r="W443" s="71">
        <f t="shared" si="66"/>
        <v>0</v>
      </c>
      <c r="X443" s="49"/>
      <c r="Y443" s="151"/>
      <c r="Z443" s="69"/>
      <c r="AA443" s="70"/>
      <c r="AB443" s="70"/>
      <c r="AC443" s="70" t="str">
        <f t="shared" si="67"/>
        <v>---</v>
      </c>
      <c r="AD443" s="70" t="str">
        <f>IFERROR(P443/#REF!-1,"---")</f>
        <v>---</v>
      </c>
      <c r="AE443" s="70" t="str">
        <f>IFERROR(#REF!/#REF!-1,"---")</f>
        <v>---</v>
      </c>
      <c r="AF443" s="70" t="str">
        <f>IFERROR(Q443/#REF!-1,"---")</f>
        <v>---</v>
      </c>
      <c r="AG443" s="70" t="str">
        <f>IFERROR(#REF!/#REF!-1,"---")</f>
        <v>---</v>
      </c>
      <c r="AH443" s="70" t="str">
        <f>IFERROR(#REF!/AA443-1,"---")</f>
        <v>---</v>
      </c>
      <c r="AI443" s="71" t="str">
        <f t="shared" si="68"/>
        <v>---</v>
      </c>
    </row>
    <row r="444" spans="1:35" ht="30" customHeight="1" x14ac:dyDescent="0.3">
      <c r="A444" s="123">
        <f t="shared" si="61"/>
        <v>440</v>
      </c>
      <c r="B444" s="140">
        <f>INDEX('PEER GROUP'!B:B,MATCH($A444,'PEER GROUP'!$A:$A,0))</f>
        <v>0</v>
      </c>
      <c r="C444" s="83">
        <f>INDEX('PEER GROUP'!C:C,MATCH($A444,'PEER GROUP'!$A:$A,0))</f>
        <v>0</v>
      </c>
      <c r="D444" s="83">
        <f>INDEX('PEER GROUP'!D:D,MATCH($A444,'PEER GROUP'!$A:$A,0))</f>
        <v>0</v>
      </c>
      <c r="E444" s="83">
        <f>INDEX('PEER GROUP'!E:E,MATCH(A444,'PEER GROUP'!$A:$A,0))</f>
        <v>0</v>
      </c>
      <c r="F444" s="84">
        <f>INDEX('PEER GROUP'!F:F,MATCH($A444,'PEER GROUP'!$A:$A,0))</f>
        <v>0</v>
      </c>
      <c r="G444" s="84">
        <f>INDEX('PEER GROUP'!G:G,MATCH($A444,'PEER GROUP'!$A:$A,0))</f>
        <v>0</v>
      </c>
      <c r="H444" s="85"/>
      <c r="I444" s="85"/>
      <c r="J444" s="70">
        <f>INDEX('PEER GROUP'!K:K,MATCH($A444,'PEER GROUP'!$A:$A,0))</f>
        <v>0</v>
      </c>
      <c r="K444" s="70">
        <f>INDEX('PEER GROUP'!L:L,MATCH($A444,'PEER GROUP'!$A:$A,0))</f>
        <v>0</v>
      </c>
      <c r="L444" s="81">
        <f>INDEX('PEER GROUP'!N:N,MATCH($A444,'PEER GROUP'!$A:$A,0))</f>
        <v>0</v>
      </c>
      <c r="M444" s="118"/>
      <c r="N444" s="115"/>
      <c r="O444" s="117"/>
      <c r="P444" s="87"/>
      <c r="Q444" s="87"/>
      <c r="R444" s="87">
        <f t="shared" si="62"/>
        <v>0</v>
      </c>
      <c r="S444" s="113">
        <f t="shared" si="60"/>
        <v>36.913096727263202</v>
      </c>
      <c r="T444" s="69">
        <f t="shared" si="63"/>
        <v>0</v>
      </c>
      <c r="U444" s="70">
        <f t="shared" si="64"/>
        <v>0</v>
      </c>
      <c r="V444" s="70">
        <f t="shared" si="65"/>
        <v>0</v>
      </c>
      <c r="W444" s="71">
        <f t="shared" si="66"/>
        <v>0</v>
      </c>
      <c r="X444" s="49"/>
      <c r="Y444" s="151"/>
      <c r="Z444" s="69"/>
      <c r="AA444" s="70"/>
      <c r="AB444" s="70"/>
      <c r="AC444" s="70" t="str">
        <f t="shared" si="67"/>
        <v>---</v>
      </c>
      <c r="AD444" s="70" t="str">
        <f>IFERROR(P444/#REF!-1,"---")</f>
        <v>---</v>
      </c>
      <c r="AE444" s="70" t="str">
        <f>IFERROR(#REF!/#REF!-1,"---")</f>
        <v>---</v>
      </c>
      <c r="AF444" s="70" t="str">
        <f>IFERROR(Q444/#REF!-1,"---")</f>
        <v>---</v>
      </c>
      <c r="AG444" s="70" t="str">
        <f>IFERROR(#REF!/#REF!-1,"---")</f>
        <v>---</v>
      </c>
      <c r="AH444" s="70" t="str">
        <f>IFERROR(#REF!/AA444-1,"---")</f>
        <v>---</v>
      </c>
      <c r="AI444" s="71" t="str">
        <f t="shared" si="68"/>
        <v>---</v>
      </c>
    </row>
    <row r="445" spans="1:35" ht="30" customHeight="1" x14ac:dyDescent="0.3">
      <c r="A445" s="123">
        <f t="shared" si="61"/>
        <v>441</v>
      </c>
      <c r="B445" s="140">
        <f>INDEX('PEER GROUP'!B:B,MATCH($A445,'PEER GROUP'!$A:$A,0))</f>
        <v>0</v>
      </c>
      <c r="C445" s="83">
        <f>INDEX('PEER GROUP'!C:C,MATCH($A445,'PEER GROUP'!$A:$A,0))</f>
        <v>0</v>
      </c>
      <c r="D445" s="83">
        <f>INDEX('PEER GROUP'!D:D,MATCH($A445,'PEER GROUP'!$A:$A,0))</f>
        <v>0</v>
      </c>
      <c r="E445" s="83">
        <f>INDEX('PEER GROUP'!E:E,MATCH(A445,'PEER GROUP'!$A:$A,0))</f>
        <v>0</v>
      </c>
      <c r="F445" s="84">
        <f>INDEX('PEER GROUP'!F:F,MATCH($A445,'PEER GROUP'!$A:$A,0))</f>
        <v>0</v>
      </c>
      <c r="G445" s="84">
        <f>INDEX('PEER GROUP'!G:G,MATCH($A445,'PEER GROUP'!$A:$A,0))</f>
        <v>0</v>
      </c>
      <c r="H445" s="85"/>
      <c r="I445" s="85"/>
      <c r="J445" s="70">
        <f>INDEX('PEER GROUP'!K:K,MATCH($A445,'PEER GROUP'!$A:$A,0))</f>
        <v>0</v>
      </c>
      <c r="K445" s="70">
        <f>INDEX('PEER GROUP'!L:L,MATCH($A445,'PEER GROUP'!$A:$A,0))</f>
        <v>0</v>
      </c>
      <c r="L445" s="81">
        <f>INDEX('PEER GROUP'!N:N,MATCH($A445,'PEER GROUP'!$A:$A,0))</f>
        <v>0</v>
      </c>
      <c r="M445" s="118"/>
      <c r="N445" s="115"/>
      <c r="O445" s="117"/>
      <c r="P445" s="87"/>
      <c r="Q445" s="87"/>
      <c r="R445" s="87">
        <f t="shared" si="62"/>
        <v>0</v>
      </c>
      <c r="S445" s="113">
        <f t="shared" si="60"/>
        <v>36.913096727263202</v>
      </c>
      <c r="T445" s="69">
        <f t="shared" si="63"/>
        <v>0</v>
      </c>
      <c r="U445" s="70">
        <f t="shared" si="64"/>
        <v>0</v>
      </c>
      <c r="V445" s="70">
        <f t="shared" si="65"/>
        <v>0</v>
      </c>
      <c r="W445" s="71">
        <f t="shared" si="66"/>
        <v>0</v>
      </c>
      <c r="X445" s="49"/>
      <c r="Y445" s="151"/>
      <c r="Z445" s="69"/>
      <c r="AA445" s="70"/>
      <c r="AB445" s="70"/>
      <c r="AC445" s="70" t="str">
        <f t="shared" si="67"/>
        <v>---</v>
      </c>
      <c r="AD445" s="70" t="str">
        <f>IFERROR(P445/#REF!-1,"---")</f>
        <v>---</v>
      </c>
      <c r="AE445" s="70" t="str">
        <f>IFERROR(#REF!/#REF!-1,"---")</f>
        <v>---</v>
      </c>
      <c r="AF445" s="70" t="str">
        <f>IFERROR(Q445/#REF!-1,"---")</f>
        <v>---</v>
      </c>
      <c r="AG445" s="70" t="str">
        <f>IFERROR(#REF!/#REF!-1,"---")</f>
        <v>---</v>
      </c>
      <c r="AH445" s="70" t="str">
        <f>IFERROR(#REF!/AA445-1,"---")</f>
        <v>---</v>
      </c>
      <c r="AI445" s="71" t="str">
        <f t="shared" si="68"/>
        <v>---</v>
      </c>
    </row>
    <row r="446" spans="1:35" ht="30" customHeight="1" x14ac:dyDescent="0.3">
      <c r="A446" s="123">
        <f t="shared" si="61"/>
        <v>442</v>
      </c>
      <c r="B446" s="140">
        <f>INDEX('PEER GROUP'!B:B,MATCH($A446,'PEER GROUP'!$A:$A,0))</f>
        <v>0</v>
      </c>
      <c r="C446" s="83">
        <f>INDEX('PEER GROUP'!C:C,MATCH($A446,'PEER GROUP'!$A:$A,0))</f>
        <v>0</v>
      </c>
      <c r="D446" s="83">
        <f>INDEX('PEER GROUP'!D:D,MATCH($A446,'PEER GROUP'!$A:$A,0))</f>
        <v>0</v>
      </c>
      <c r="E446" s="83">
        <f>INDEX('PEER GROUP'!E:E,MATCH(A446,'PEER GROUP'!$A:$A,0))</f>
        <v>0</v>
      </c>
      <c r="F446" s="84">
        <f>INDEX('PEER GROUP'!F:F,MATCH($A446,'PEER GROUP'!$A:$A,0))</f>
        <v>0</v>
      </c>
      <c r="G446" s="84">
        <f>INDEX('PEER GROUP'!G:G,MATCH($A446,'PEER GROUP'!$A:$A,0))</f>
        <v>0</v>
      </c>
      <c r="H446" s="85"/>
      <c r="I446" s="85"/>
      <c r="J446" s="70">
        <f>INDEX('PEER GROUP'!K:K,MATCH($A446,'PEER GROUP'!$A:$A,0))</f>
        <v>0</v>
      </c>
      <c r="K446" s="70">
        <f>INDEX('PEER GROUP'!L:L,MATCH($A446,'PEER GROUP'!$A:$A,0))</f>
        <v>0</v>
      </c>
      <c r="L446" s="81">
        <f>INDEX('PEER GROUP'!N:N,MATCH($A446,'PEER GROUP'!$A:$A,0))</f>
        <v>0</v>
      </c>
      <c r="M446" s="118"/>
      <c r="N446" s="115"/>
      <c r="O446" s="117"/>
      <c r="P446" s="87"/>
      <c r="Q446" s="87"/>
      <c r="R446" s="87">
        <f t="shared" si="62"/>
        <v>0</v>
      </c>
      <c r="S446" s="113">
        <f t="shared" si="60"/>
        <v>36.913096727263202</v>
      </c>
      <c r="T446" s="69">
        <f t="shared" si="63"/>
        <v>0</v>
      </c>
      <c r="U446" s="70">
        <f t="shared" si="64"/>
        <v>0</v>
      </c>
      <c r="V446" s="70">
        <f t="shared" si="65"/>
        <v>0</v>
      </c>
      <c r="W446" s="71">
        <f t="shared" si="66"/>
        <v>0</v>
      </c>
      <c r="X446" s="49"/>
      <c r="Y446" s="151"/>
      <c r="Z446" s="69"/>
      <c r="AA446" s="70"/>
      <c r="AB446" s="70"/>
      <c r="AC446" s="70" t="str">
        <f t="shared" si="67"/>
        <v>---</v>
      </c>
      <c r="AD446" s="70" t="str">
        <f>IFERROR(P446/#REF!-1,"---")</f>
        <v>---</v>
      </c>
      <c r="AE446" s="70" t="str">
        <f>IFERROR(#REF!/#REF!-1,"---")</f>
        <v>---</v>
      </c>
      <c r="AF446" s="70" t="str">
        <f>IFERROR(Q446/#REF!-1,"---")</f>
        <v>---</v>
      </c>
      <c r="AG446" s="70" t="str">
        <f>IFERROR(#REF!/#REF!-1,"---")</f>
        <v>---</v>
      </c>
      <c r="AH446" s="70" t="str">
        <f>IFERROR(#REF!/AA446-1,"---")</f>
        <v>---</v>
      </c>
      <c r="AI446" s="71" t="str">
        <f t="shared" si="68"/>
        <v>---</v>
      </c>
    </row>
    <row r="447" spans="1:35" ht="30" customHeight="1" x14ac:dyDescent="0.3">
      <c r="A447" s="123">
        <f t="shared" si="61"/>
        <v>443</v>
      </c>
      <c r="B447" s="140">
        <f>INDEX('PEER GROUP'!B:B,MATCH($A447,'PEER GROUP'!$A:$A,0))</f>
        <v>0</v>
      </c>
      <c r="C447" s="83">
        <f>INDEX('PEER GROUP'!C:C,MATCH($A447,'PEER GROUP'!$A:$A,0))</f>
        <v>0</v>
      </c>
      <c r="D447" s="83">
        <f>INDEX('PEER GROUP'!D:D,MATCH($A447,'PEER GROUP'!$A:$A,0))</f>
        <v>0</v>
      </c>
      <c r="E447" s="83">
        <f>INDEX('PEER GROUP'!E:E,MATCH(A447,'PEER GROUP'!$A:$A,0))</f>
        <v>0</v>
      </c>
      <c r="F447" s="84">
        <f>INDEX('PEER GROUP'!F:F,MATCH($A447,'PEER GROUP'!$A:$A,0))</f>
        <v>0</v>
      </c>
      <c r="G447" s="84">
        <f>INDEX('PEER GROUP'!G:G,MATCH($A447,'PEER GROUP'!$A:$A,0))</f>
        <v>0</v>
      </c>
      <c r="H447" s="85"/>
      <c r="I447" s="85"/>
      <c r="J447" s="70">
        <f>INDEX('PEER GROUP'!K:K,MATCH($A447,'PEER GROUP'!$A:$A,0))</f>
        <v>0</v>
      </c>
      <c r="K447" s="70">
        <f>INDEX('PEER GROUP'!L:L,MATCH($A447,'PEER GROUP'!$A:$A,0))</f>
        <v>0</v>
      </c>
      <c r="L447" s="81">
        <f>INDEX('PEER GROUP'!N:N,MATCH($A447,'PEER GROUP'!$A:$A,0))</f>
        <v>0</v>
      </c>
      <c r="M447" s="118"/>
      <c r="N447" s="115"/>
      <c r="O447" s="117"/>
      <c r="P447" s="87"/>
      <c r="Q447" s="87"/>
      <c r="R447" s="87">
        <f t="shared" si="62"/>
        <v>0</v>
      </c>
      <c r="S447" s="113">
        <f t="shared" si="60"/>
        <v>36.913096727263202</v>
      </c>
      <c r="T447" s="69">
        <f t="shared" si="63"/>
        <v>0</v>
      </c>
      <c r="U447" s="70">
        <f t="shared" si="64"/>
        <v>0</v>
      </c>
      <c r="V447" s="70">
        <f t="shared" si="65"/>
        <v>0</v>
      </c>
      <c r="W447" s="71">
        <f t="shared" si="66"/>
        <v>0</v>
      </c>
      <c r="X447" s="49"/>
      <c r="Y447" s="151"/>
      <c r="Z447" s="69"/>
      <c r="AA447" s="70"/>
      <c r="AB447" s="70"/>
      <c r="AC447" s="70" t="str">
        <f t="shared" si="67"/>
        <v>---</v>
      </c>
      <c r="AD447" s="70" t="str">
        <f>IFERROR(P447/#REF!-1,"---")</f>
        <v>---</v>
      </c>
      <c r="AE447" s="70" t="str">
        <f>IFERROR(#REF!/#REF!-1,"---")</f>
        <v>---</v>
      </c>
      <c r="AF447" s="70" t="str">
        <f>IFERROR(Q447/#REF!-1,"---")</f>
        <v>---</v>
      </c>
      <c r="AG447" s="70" t="str">
        <f>IFERROR(#REF!/#REF!-1,"---")</f>
        <v>---</v>
      </c>
      <c r="AH447" s="70" t="str">
        <f>IFERROR(#REF!/AA447-1,"---")</f>
        <v>---</v>
      </c>
      <c r="AI447" s="71" t="str">
        <f t="shared" si="68"/>
        <v>---</v>
      </c>
    </row>
    <row r="448" spans="1:35" ht="30" customHeight="1" x14ac:dyDescent="0.3">
      <c r="A448" s="123">
        <f t="shared" si="61"/>
        <v>444</v>
      </c>
      <c r="B448" s="140">
        <f>INDEX('PEER GROUP'!B:B,MATCH($A448,'PEER GROUP'!$A:$A,0))</f>
        <v>0</v>
      </c>
      <c r="C448" s="83">
        <f>INDEX('PEER GROUP'!C:C,MATCH($A448,'PEER GROUP'!$A:$A,0))</f>
        <v>0</v>
      </c>
      <c r="D448" s="83">
        <f>INDEX('PEER GROUP'!D:D,MATCH($A448,'PEER GROUP'!$A:$A,0))</f>
        <v>0</v>
      </c>
      <c r="E448" s="83">
        <f>INDEX('PEER GROUP'!E:E,MATCH(A448,'PEER GROUP'!$A:$A,0))</f>
        <v>0</v>
      </c>
      <c r="F448" s="84">
        <f>INDEX('PEER GROUP'!F:F,MATCH($A448,'PEER GROUP'!$A:$A,0))</f>
        <v>0</v>
      </c>
      <c r="G448" s="84">
        <f>INDEX('PEER GROUP'!G:G,MATCH($A448,'PEER GROUP'!$A:$A,0))</f>
        <v>0</v>
      </c>
      <c r="H448" s="85"/>
      <c r="I448" s="85"/>
      <c r="J448" s="70">
        <f>INDEX('PEER GROUP'!K:K,MATCH($A448,'PEER GROUP'!$A:$A,0))</f>
        <v>0</v>
      </c>
      <c r="K448" s="70">
        <f>INDEX('PEER GROUP'!L:L,MATCH($A448,'PEER GROUP'!$A:$A,0))</f>
        <v>0</v>
      </c>
      <c r="L448" s="81">
        <f>INDEX('PEER GROUP'!N:N,MATCH($A448,'PEER GROUP'!$A:$A,0))</f>
        <v>0</v>
      </c>
      <c r="M448" s="118"/>
      <c r="N448" s="115"/>
      <c r="O448" s="117"/>
      <c r="P448" s="87"/>
      <c r="Q448" s="87"/>
      <c r="R448" s="87">
        <f t="shared" si="62"/>
        <v>0</v>
      </c>
      <c r="S448" s="113">
        <f t="shared" si="60"/>
        <v>36.913096727263202</v>
      </c>
      <c r="T448" s="69">
        <f t="shared" si="63"/>
        <v>0</v>
      </c>
      <c r="U448" s="70">
        <f t="shared" si="64"/>
        <v>0</v>
      </c>
      <c r="V448" s="70">
        <f t="shared" si="65"/>
        <v>0</v>
      </c>
      <c r="W448" s="71">
        <f t="shared" si="66"/>
        <v>0</v>
      </c>
      <c r="X448" s="49"/>
      <c r="Y448" s="151"/>
      <c r="Z448" s="69"/>
      <c r="AA448" s="70"/>
      <c r="AB448" s="70"/>
      <c r="AC448" s="70" t="str">
        <f t="shared" si="67"/>
        <v>---</v>
      </c>
      <c r="AD448" s="70" t="str">
        <f>IFERROR(P448/#REF!-1,"---")</f>
        <v>---</v>
      </c>
      <c r="AE448" s="70" t="str">
        <f>IFERROR(#REF!/#REF!-1,"---")</f>
        <v>---</v>
      </c>
      <c r="AF448" s="70" t="str">
        <f>IFERROR(Q448/#REF!-1,"---")</f>
        <v>---</v>
      </c>
      <c r="AG448" s="70" t="str">
        <f>IFERROR(#REF!/#REF!-1,"---")</f>
        <v>---</v>
      </c>
      <c r="AH448" s="70" t="str">
        <f>IFERROR(#REF!/AA448-1,"---")</f>
        <v>---</v>
      </c>
      <c r="AI448" s="71" t="str">
        <f t="shared" si="68"/>
        <v>---</v>
      </c>
    </row>
    <row r="449" spans="1:35" ht="30" customHeight="1" x14ac:dyDescent="0.3">
      <c r="A449" s="123">
        <f t="shared" si="61"/>
        <v>445</v>
      </c>
      <c r="B449" s="140">
        <f>INDEX('PEER GROUP'!B:B,MATCH($A449,'PEER GROUP'!$A:$A,0))</f>
        <v>0</v>
      </c>
      <c r="C449" s="83">
        <f>INDEX('PEER GROUP'!C:C,MATCH($A449,'PEER GROUP'!$A:$A,0))</f>
        <v>0</v>
      </c>
      <c r="D449" s="83">
        <f>INDEX('PEER GROUP'!D:D,MATCH($A449,'PEER GROUP'!$A:$A,0))</f>
        <v>0</v>
      </c>
      <c r="E449" s="83">
        <f>INDEX('PEER GROUP'!E:E,MATCH(A449,'PEER GROUP'!$A:$A,0))</f>
        <v>0</v>
      </c>
      <c r="F449" s="84">
        <f>INDEX('PEER GROUP'!F:F,MATCH($A449,'PEER GROUP'!$A:$A,0))</f>
        <v>0</v>
      </c>
      <c r="G449" s="84">
        <f>INDEX('PEER GROUP'!G:G,MATCH($A449,'PEER GROUP'!$A:$A,0))</f>
        <v>0</v>
      </c>
      <c r="H449" s="85"/>
      <c r="I449" s="85"/>
      <c r="J449" s="70">
        <f>INDEX('PEER GROUP'!K:K,MATCH($A449,'PEER GROUP'!$A:$A,0))</f>
        <v>0</v>
      </c>
      <c r="K449" s="70">
        <f>INDEX('PEER GROUP'!L:L,MATCH($A449,'PEER GROUP'!$A:$A,0))</f>
        <v>0</v>
      </c>
      <c r="L449" s="81">
        <f>INDEX('PEER GROUP'!N:N,MATCH($A449,'PEER GROUP'!$A:$A,0))</f>
        <v>0</v>
      </c>
      <c r="M449" s="118"/>
      <c r="N449" s="115"/>
      <c r="O449" s="117"/>
      <c r="P449" s="87"/>
      <c r="Q449" s="87"/>
      <c r="R449" s="87">
        <f t="shared" si="62"/>
        <v>0</v>
      </c>
      <c r="S449" s="113">
        <f t="shared" si="60"/>
        <v>36.913096727263202</v>
      </c>
      <c r="T449" s="69">
        <f t="shared" si="63"/>
        <v>0</v>
      </c>
      <c r="U449" s="70">
        <f t="shared" si="64"/>
        <v>0</v>
      </c>
      <c r="V449" s="70">
        <f t="shared" si="65"/>
        <v>0</v>
      </c>
      <c r="W449" s="71">
        <f t="shared" si="66"/>
        <v>0</v>
      </c>
      <c r="X449" s="49"/>
      <c r="Y449" s="151"/>
      <c r="Z449" s="69"/>
      <c r="AA449" s="70"/>
      <c r="AB449" s="70"/>
      <c r="AC449" s="70" t="str">
        <f t="shared" si="67"/>
        <v>---</v>
      </c>
      <c r="AD449" s="70" t="str">
        <f>IFERROR(P449/#REF!-1,"---")</f>
        <v>---</v>
      </c>
      <c r="AE449" s="70" t="str">
        <f>IFERROR(#REF!/#REF!-1,"---")</f>
        <v>---</v>
      </c>
      <c r="AF449" s="70" t="str">
        <f>IFERROR(Q449/#REF!-1,"---")</f>
        <v>---</v>
      </c>
      <c r="AG449" s="70" t="str">
        <f>IFERROR(#REF!/#REF!-1,"---")</f>
        <v>---</v>
      </c>
      <c r="AH449" s="70" t="str">
        <f>IFERROR(#REF!/AA449-1,"---")</f>
        <v>---</v>
      </c>
      <c r="AI449" s="71" t="str">
        <f t="shared" si="68"/>
        <v>---</v>
      </c>
    </row>
    <row r="450" spans="1:35" ht="30" customHeight="1" x14ac:dyDescent="0.3">
      <c r="A450" s="123">
        <f t="shared" si="61"/>
        <v>446</v>
      </c>
      <c r="B450" s="140">
        <f>INDEX('PEER GROUP'!B:B,MATCH($A450,'PEER GROUP'!$A:$A,0))</f>
        <v>0</v>
      </c>
      <c r="C450" s="83">
        <f>INDEX('PEER GROUP'!C:C,MATCH($A450,'PEER GROUP'!$A:$A,0))</f>
        <v>0</v>
      </c>
      <c r="D450" s="83">
        <f>INDEX('PEER GROUP'!D:D,MATCH($A450,'PEER GROUP'!$A:$A,0))</f>
        <v>0</v>
      </c>
      <c r="E450" s="83">
        <f>INDEX('PEER GROUP'!E:E,MATCH(A450,'PEER GROUP'!$A:$A,0))</f>
        <v>0</v>
      </c>
      <c r="F450" s="84">
        <f>INDEX('PEER GROUP'!F:F,MATCH($A450,'PEER GROUP'!$A:$A,0))</f>
        <v>0</v>
      </c>
      <c r="G450" s="84">
        <f>INDEX('PEER GROUP'!G:G,MATCH($A450,'PEER GROUP'!$A:$A,0))</f>
        <v>0</v>
      </c>
      <c r="H450" s="85"/>
      <c r="I450" s="85"/>
      <c r="J450" s="70">
        <f>INDEX('PEER GROUP'!K:K,MATCH($A450,'PEER GROUP'!$A:$A,0))</f>
        <v>0</v>
      </c>
      <c r="K450" s="70">
        <f>INDEX('PEER GROUP'!L:L,MATCH($A450,'PEER GROUP'!$A:$A,0))</f>
        <v>0</v>
      </c>
      <c r="L450" s="81">
        <f>INDEX('PEER GROUP'!N:N,MATCH($A450,'PEER GROUP'!$A:$A,0))</f>
        <v>0</v>
      </c>
      <c r="M450" s="118"/>
      <c r="N450" s="115"/>
      <c r="O450" s="117"/>
      <c r="P450" s="87"/>
      <c r="Q450" s="87"/>
      <c r="R450" s="87">
        <f t="shared" si="62"/>
        <v>0</v>
      </c>
      <c r="S450" s="113">
        <f t="shared" si="60"/>
        <v>36.913096727263202</v>
      </c>
      <c r="T450" s="69">
        <f t="shared" si="63"/>
        <v>0</v>
      </c>
      <c r="U450" s="70">
        <f t="shared" si="64"/>
        <v>0</v>
      </c>
      <c r="V450" s="70">
        <f t="shared" si="65"/>
        <v>0</v>
      </c>
      <c r="W450" s="71">
        <f t="shared" si="66"/>
        <v>0</v>
      </c>
      <c r="X450" s="49"/>
      <c r="Y450" s="151"/>
      <c r="Z450" s="69"/>
      <c r="AA450" s="70"/>
      <c r="AB450" s="70"/>
      <c r="AC450" s="70" t="str">
        <f t="shared" si="67"/>
        <v>---</v>
      </c>
      <c r="AD450" s="70" t="str">
        <f>IFERROR(P450/#REF!-1,"---")</f>
        <v>---</v>
      </c>
      <c r="AE450" s="70" t="str">
        <f>IFERROR(#REF!/#REF!-1,"---")</f>
        <v>---</v>
      </c>
      <c r="AF450" s="70" t="str">
        <f>IFERROR(Q450/#REF!-1,"---")</f>
        <v>---</v>
      </c>
      <c r="AG450" s="70" t="str">
        <f>IFERROR(#REF!/#REF!-1,"---")</f>
        <v>---</v>
      </c>
      <c r="AH450" s="70" t="str">
        <f>IFERROR(#REF!/AA450-1,"---")</f>
        <v>---</v>
      </c>
      <c r="AI450" s="71" t="str">
        <f t="shared" si="68"/>
        <v>---</v>
      </c>
    </row>
    <row r="451" spans="1:35" ht="30" customHeight="1" x14ac:dyDescent="0.3">
      <c r="A451" s="123">
        <f t="shared" si="61"/>
        <v>447</v>
      </c>
      <c r="B451" s="140">
        <f>INDEX('PEER GROUP'!B:B,MATCH($A451,'PEER GROUP'!$A:$A,0))</f>
        <v>0</v>
      </c>
      <c r="C451" s="83">
        <f>INDEX('PEER GROUP'!C:C,MATCH($A451,'PEER GROUP'!$A:$A,0))</f>
        <v>0</v>
      </c>
      <c r="D451" s="83">
        <f>INDEX('PEER GROUP'!D:D,MATCH($A451,'PEER GROUP'!$A:$A,0))</f>
        <v>0</v>
      </c>
      <c r="E451" s="83">
        <f>INDEX('PEER GROUP'!E:E,MATCH(A451,'PEER GROUP'!$A:$A,0))</f>
        <v>0</v>
      </c>
      <c r="F451" s="84">
        <f>INDEX('PEER GROUP'!F:F,MATCH($A451,'PEER GROUP'!$A:$A,0))</f>
        <v>0</v>
      </c>
      <c r="G451" s="84">
        <f>INDEX('PEER GROUP'!G:G,MATCH($A451,'PEER GROUP'!$A:$A,0))</f>
        <v>0</v>
      </c>
      <c r="H451" s="85"/>
      <c r="I451" s="85"/>
      <c r="J451" s="70">
        <f>INDEX('PEER GROUP'!K:K,MATCH($A451,'PEER GROUP'!$A:$A,0))</f>
        <v>0</v>
      </c>
      <c r="K451" s="70">
        <f>INDEX('PEER GROUP'!L:L,MATCH($A451,'PEER GROUP'!$A:$A,0))</f>
        <v>0</v>
      </c>
      <c r="L451" s="81">
        <f>INDEX('PEER GROUP'!N:N,MATCH($A451,'PEER GROUP'!$A:$A,0))</f>
        <v>0</v>
      </c>
      <c r="M451" s="118"/>
      <c r="N451" s="115"/>
      <c r="O451" s="117"/>
      <c r="P451" s="87"/>
      <c r="Q451" s="87"/>
      <c r="R451" s="87">
        <f t="shared" si="62"/>
        <v>0</v>
      </c>
      <c r="S451" s="113">
        <f t="shared" si="60"/>
        <v>36.913096727263202</v>
      </c>
      <c r="T451" s="69">
        <f t="shared" si="63"/>
        <v>0</v>
      </c>
      <c r="U451" s="70">
        <f t="shared" si="64"/>
        <v>0</v>
      </c>
      <c r="V451" s="70">
        <f t="shared" si="65"/>
        <v>0</v>
      </c>
      <c r="W451" s="71">
        <f t="shared" si="66"/>
        <v>0</v>
      </c>
      <c r="X451" s="49"/>
      <c r="Y451" s="151"/>
      <c r="Z451" s="69"/>
      <c r="AA451" s="70"/>
      <c r="AB451" s="70"/>
      <c r="AC451" s="70" t="str">
        <f t="shared" si="67"/>
        <v>---</v>
      </c>
      <c r="AD451" s="70" t="str">
        <f>IFERROR(P451/#REF!-1,"---")</f>
        <v>---</v>
      </c>
      <c r="AE451" s="70" t="str">
        <f>IFERROR(#REF!/#REF!-1,"---")</f>
        <v>---</v>
      </c>
      <c r="AF451" s="70" t="str">
        <f>IFERROR(Q451/#REF!-1,"---")</f>
        <v>---</v>
      </c>
      <c r="AG451" s="70" t="str">
        <f>IFERROR(#REF!/#REF!-1,"---")</f>
        <v>---</v>
      </c>
      <c r="AH451" s="70" t="str">
        <f>IFERROR(#REF!/AA451-1,"---")</f>
        <v>---</v>
      </c>
      <c r="AI451" s="71" t="str">
        <f t="shared" si="68"/>
        <v>---</v>
      </c>
    </row>
    <row r="452" spans="1:35" ht="30" customHeight="1" x14ac:dyDescent="0.3">
      <c r="A452" s="123">
        <f t="shared" si="61"/>
        <v>448</v>
      </c>
      <c r="B452" s="140">
        <f>INDEX('PEER GROUP'!B:B,MATCH($A452,'PEER GROUP'!$A:$A,0))</f>
        <v>0</v>
      </c>
      <c r="C452" s="83">
        <f>INDEX('PEER GROUP'!C:C,MATCH($A452,'PEER GROUP'!$A:$A,0))</f>
        <v>0</v>
      </c>
      <c r="D452" s="83">
        <f>INDEX('PEER GROUP'!D:D,MATCH($A452,'PEER GROUP'!$A:$A,0))</f>
        <v>0</v>
      </c>
      <c r="E452" s="83">
        <f>INDEX('PEER GROUP'!E:E,MATCH(A452,'PEER GROUP'!$A:$A,0))</f>
        <v>0</v>
      </c>
      <c r="F452" s="84">
        <f>INDEX('PEER GROUP'!F:F,MATCH($A452,'PEER GROUP'!$A:$A,0))</f>
        <v>0</v>
      </c>
      <c r="G452" s="84">
        <f>INDEX('PEER GROUP'!G:G,MATCH($A452,'PEER GROUP'!$A:$A,0))</f>
        <v>0</v>
      </c>
      <c r="H452" s="85"/>
      <c r="I452" s="85"/>
      <c r="J452" s="70">
        <f>INDEX('PEER GROUP'!K:K,MATCH($A452,'PEER GROUP'!$A:$A,0))</f>
        <v>0</v>
      </c>
      <c r="K452" s="70">
        <f>INDEX('PEER GROUP'!L:L,MATCH($A452,'PEER GROUP'!$A:$A,0))</f>
        <v>0</v>
      </c>
      <c r="L452" s="81">
        <f>INDEX('PEER GROUP'!N:N,MATCH($A452,'PEER GROUP'!$A:$A,0))</f>
        <v>0</v>
      </c>
      <c r="M452" s="118"/>
      <c r="N452" s="115"/>
      <c r="O452" s="117"/>
      <c r="P452" s="87"/>
      <c r="Q452" s="87"/>
      <c r="R452" s="87">
        <f t="shared" si="62"/>
        <v>0</v>
      </c>
      <c r="S452" s="113">
        <f t="shared" si="60"/>
        <v>36.913096727263202</v>
      </c>
      <c r="T452" s="69">
        <f t="shared" si="63"/>
        <v>0</v>
      </c>
      <c r="U452" s="70">
        <f t="shared" si="64"/>
        <v>0</v>
      </c>
      <c r="V452" s="70">
        <f t="shared" si="65"/>
        <v>0</v>
      </c>
      <c r="W452" s="71">
        <f t="shared" si="66"/>
        <v>0</v>
      </c>
      <c r="X452" s="49"/>
      <c r="Y452" s="151"/>
      <c r="Z452" s="69"/>
      <c r="AA452" s="70"/>
      <c r="AB452" s="70"/>
      <c r="AC452" s="70" t="str">
        <f t="shared" si="67"/>
        <v>---</v>
      </c>
      <c r="AD452" s="70" t="str">
        <f>IFERROR(P452/#REF!-1,"---")</f>
        <v>---</v>
      </c>
      <c r="AE452" s="70" t="str">
        <f>IFERROR(#REF!/#REF!-1,"---")</f>
        <v>---</v>
      </c>
      <c r="AF452" s="70" t="str">
        <f>IFERROR(Q452/#REF!-1,"---")</f>
        <v>---</v>
      </c>
      <c r="AG452" s="70" t="str">
        <f>IFERROR(#REF!/#REF!-1,"---")</f>
        <v>---</v>
      </c>
      <c r="AH452" s="70" t="str">
        <f>IFERROR(#REF!/AA452-1,"---")</f>
        <v>---</v>
      </c>
      <c r="AI452" s="71" t="str">
        <f t="shared" si="68"/>
        <v>---</v>
      </c>
    </row>
    <row r="453" spans="1:35" ht="30" customHeight="1" x14ac:dyDescent="0.3">
      <c r="A453" s="123">
        <f t="shared" si="61"/>
        <v>449</v>
      </c>
      <c r="B453" s="140">
        <f>INDEX('PEER GROUP'!B:B,MATCH($A453,'PEER GROUP'!$A:$A,0))</f>
        <v>0</v>
      </c>
      <c r="C453" s="83">
        <f>INDEX('PEER GROUP'!C:C,MATCH($A453,'PEER GROUP'!$A:$A,0))</f>
        <v>0</v>
      </c>
      <c r="D453" s="83">
        <f>INDEX('PEER GROUP'!D:D,MATCH($A453,'PEER GROUP'!$A:$A,0))</f>
        <v>0</v>
      </c>
      <c r="E453" s="83">
        <f>INDEX('PEER GROUP'!E:E,MATCH(A453,'PEER GROUP'!$A:$A,0))</f>
        <v>0</v>
      </c>
      <c r="F453" s="84">
        <f>INDEX('PEER GROUP'!F:F,MATCH($A453,'PEER GROUP'!$A:$A,0))</f>
        <v>0</v>
      </c>
      <c r="G453" s="84">
        <f>INDEX('PEER GROUP'!G:G,MATCH($A453,'PEER GROUP'!$A:$A,0))</f>
        <v>0</v>
      </c>
      <c r="H453" s="85"/>
      <c r="I453" s="85"/>
      <c r="J453" s="70">
        <f>INDEX('PEER GROUP'!K:K,MATCH($A453,'PEER GROUP'!$A:$A,0))</f>
        <v>0</v>
      </c>
      <c r="K453" s="70">
        <f>INDEX('PEER GROUP'!L:L,MATCH($A453,'PEER GROUP'!$A:$A,0))</f>
        <v>0</v>
      </c>
      <c r="L453" s="81">
        <f>INDEX('PEER GROUP'!N:N,MATCH($A453,'PEER GROUP'!$A:$A,0))</f>
        <v>0</v>
      </c>
      <c r="M453" s="118"/>
      <c r="N453" s="115"/>
      <c r="O453" s="117"/>
      <c r="P453" s="87"/>
      <c r="Q453" s="87"/>
      <c r="R453" s="87">
        <f t="shared" si="62"/>
        <v>0</v>
      </c>
      <c r="S453" s="113">
        <f t="shared" si="60"/>
        <v>36.913096727263202</v>
      </c>
      <c r="T453" s="69">
        <f t="shared" si="63"/>
        <v>0</v>
      </c>
      <c r="U453" s="70">
        <f t="shared" si="64"/>
        <v>0</v>
      </c>
      <c r="V453" s="70">
        <f t="shared" si="65"/>
        <v>0</v>
      </c>
      <c r="W453" s="71">
        <f t="shared" si="66"/>
        <v>0</v>
      </c>
      <c r="X453" s="49"/>
      <c r="Y453" s="151"/>
      <c r="Z453" s="69"/>
      <c r="AA453" s="70"/>
      <c r="AB453" s="70"/>
      <c r="AC453" s="70" t="str">
        <f t="shared" si="67"/>
        <v>---</v>
      </c>
      <c r="AD453" s="70" t="str">
        <f>IFERROR(P453/#REF!-1,"---")</f>
        <v>---</v>
      </c>
      <c r="AE453" s="70" t="str">
        <f>IFERROR(#REF!/#REF!-1,"---")</f>
        <v>---</v>
      </c>
      <c r="AF453" s="70" t="str">
        <f>IFERROR(Q453/#REF!-1,"---")</f>
        <v>---</v>
      </c>
      <c r="AG453" s="70" t="str">
        <f>IFERROR(#REF!/#REF!-1,"---")</f>
        <v>---</v>
      </c>
      <c r="AH453" s="70" t="str">
        <f>IFERROR(#REF!/AA453-1,"---")</f>
        <v>---</v>
      </c>
      <c r="AI453" s="71" t="str">
        <f t="shared" si="68"/>
        <v>---</v>
      </c>
    </row>
    <row r="454" spans="1:35" ht="30" customHeight="1" x14ac:dyDescent="0.3">
      <c r="A454" s="123">
        <f t="shared" si="61"/>
        <v>450</v>
      </c>
      <c r="B454" s="140">
        <f>INDEX('PEER GROUP'!B:B,MATCH($A454,'PEER GROUP'!$A:$A,0))</f>
        <v>0</v>
      </c>
      <c r="C454" s="83">
        <f>INDEX('PEER GROUP'!C:C,MATCH($A454,'PEER GROUP'!$A:$A,0))</f>
        <v>0</v>
      </c>
      <c r="D454" s="83">
        <f>INDEX('PEER GROUP'!D:D,MATCH($A454,'PEER GROUP'!$A:$A,0))</f>
        <v>0</v>
      </c>
      <c r="E454" s="83">
        <f>INDEX('PEER GROUP'!E:E,MATCH(A454,'PEER GROUP'!$A:$A,0))</f>
        <v>0</v>
      </c>
      <c r="F454" s="84">
        <f>INDEX('PEER GROUP'!F:F,MATCH($A454,'PEER GROUP'!$A:$A,0))</f>
        <v>0</v>
      </c>
      <c r="G454" s="84">
        <f>INDEX('PEER GROUP'!G:G,MATCH($A454,'PEER GROUP'!$A:$A,0))</f>
        <v>0</v>
      </c>
      <c r="H454" s="85"/>
      <c r="I454" s="85"/>
      <c r="J454" s="70">
        <f>INDEX('PEER GROUP'!K:K,MATCH($A454,'PEER GROUP'!$A:$A,0))</f>
        <v>0</v>
      </c>
      <c r="K454" s="70">
        <f>INDEX('PEER GROUP'!L:L,MATCH($A454,'PEER GROUP'!$A:$A,0))</f>
        <v>0</v>
      </c>
      <c r="L454" s="81">
        <f>INDEX('PEER GROUP'!N:N,MATCH($A454,'PEER GROUP'!$A:$A,0))</f>
        <v>0</v>
      </c>
      <c r="M454" s="118"/>
      <c r="N454" s="115"/>
      <c r="O454" s="117"/>
      <c r="P454" s="87"/>
      <c r="Q454" s="87"/>
      <c r="R454" s="87">
        <f t="shared" si="62"/>
        <v>0</v>
      </c>
      <c r="S454" s="113">
        <f t="shared" si="60"/>
        <v>36.913096727263202</v>
      </c>
      <c r="T454" s="69">
        <f t="shared" si="63"/>
        <v>0</v>
      </c>
      <c r="U454" s="70">
        <f t="shared" si="64"/>
        <v>0</v>
      </c>
      <c r="V454" s="70">
        <f t="shared" si="65"/>
        <v>0</v>
      </c>
      <c r="W454" s="71">
        <f t="shared" si="66"/>
        <v>0</v>
      </c>
      <c r="X454" s="49"/>
      <c r="Y454" s="151"/>
      <c r="Z454" s="69"/>
      <c r="AA454" s="70"/>
      <c r="AB454" s="70"/>
      <c r="AC454" s="70" t="str">
        <f t="shared" si="67"/>
        <v>---</v>
      </c>
      <c r="AD454" s="70" t="str">
        <f>IFERROR(P454/#REF!-1,"---")</f>
        <v>---</v>
      </c>
      <c r="AE454" s="70" t="str">
        <f>IFERROR(#REF!/#REF!-1,"---")</f>
        <v>---</v>
      </c>
      <c r="AF454" s="70" t="str">
        <f>IFERROR(Q454/#REF!-1,"---")</f>
        <v>---</v>
      </c>
      <c r="AG454" s="70" t="str">
        <f>IFERROR(#REF!/#REF!-1,"---")</f>
        <v>---</v>
      </c>
      <c r="AH454" s="70" t="str">
        <f>IFERROR(#REF!/AA454-1,"---")</f>
        <v>---</v>
      </c>
      <c r="AI454" s="71" t="str">
        <f t="shared" si="68"/>
        <v>---</v>
      </c>
    </row>
    <row r="455" spans="1:35" ht="30" customHeight="1" x14ac:dyDescent="0.3">
      <c r="A455" s="123">
        <f t="shared" si="61"/>
        <v>451</v>
      </c>
      <c r="B455" s="140">
        <f>INDEX('PEER GROUP'!B:B,MATCH($A455,'PEER GROUP'!$A:$A,0))</f>
        <v>0</v>
      </c>
      <c r="C455" s="83">
        <f>INDEX('PEER GROUP'!C:C,MATCH($A455,'PEER GROUP'!$A:$A,0))</f>
        <v>0</v>
      </c>
      <c r="D455" s="83">
        <f>INDEX('PEER GROUP'!D:D,MATCH($A455,'PEER GROUP'!$A:$A,0))</f>
        <v>0</v>
      </c>
      <c r="E455" s="83">
        <f>INDEX('PEER GROUP'!E:E,MATCH(A455,'PEER GROUP'!$A:$A,0))</f>
        <v>0</v>
      </c>
      <c r="F455" s="84">
        <f>INDEX('PEER GROUP'!F:F,MATCH($A455,'PEER GROUP'!$A:$A,0))</f>
        <v>0</v>
      </c>
      <c r="G455" s="84">
        <f>INDEX('PEER GROUP'!G:G,MATCH($A455,'PEER GROUP'!$A:$A,0))</f>
        <v>0</v>
      </c>
      <c r="H455" s="85"/>
      <c r="I455" s="85"/>
      <c r="J455" s="70">
        <f>INDEX('PEER GROUP'!K:K,MATCH($A455,'PEER GROUP'!$A:$A,0))</f>
        <v>0</v>
      </c>
      <c r="K455" s="70">
        <f>INDEX('PEER GROUP'!L:L,MATCH($A455,'PEER GROUP'!$A:$A,0))</f>
        <v>0</v>
      </c>
      <c r="L455" s="81">
        <f>INDEX('PEER GROUP'!N:N,MATCH($A455,'PEER GROUP'!$A:$A,0))</f>
        <v>0</v>
      </c>
      <c r="M455" s="118"/>
      <c r="N455" s="115"/>
      <c r="O455" s="117"/>
      <c r="P455" s="87"/>
      <c r="Q455" s="87"/>
      <c r="R455" s="87">
        <f t="shared" si="62"/>
        <v>0</v>
      </c>
      <c r="S455" s="113">
        <f t="shared" si="60"/>
        <v>36.913096727263202</v>
      </c>
      <c r="T455" s="69">
        <f t="shared" si="63"/>
        <v>0</v>
      </c>
      <c r="U455" s="70">
        <f t="shared" si="64"/>
        <v>0</v>
      </c>
      <c r="V455" s="70">
        <f t="shared" si="65"/>
        <v>0</v>
      </c>
      <c r="W455" s="71">
        <f t="shared" si="66"/>
        <v>0</v>
      </c>
      <c r="X455" s="49"/>
      <c r="Y455" s="151"/>
      <c r="Z455" s="69"/>
      <c r="AA455" s="70"/>
      <c r="AB455" s="70"/>
      <c r="AC455" s="70" t="str">
        <f t="shared" si="67"/>
        <v>---</v>
      </c>
      <c r="AD455" s="70" t="str">
        <f>IFERROR(P455/#REF!-1,"---")</f>
        <v>---</v>
      </c>
      <c r="AE455" s="70" t="str">
        <f>IFERROR(#REF!/#REF!-1,"---")</f>
        <v>---</v>
      </c>
      <c r="AF455" s="70" t="str">
        <f>IFERROR(Q455/#REF!-1,"---")</f>
        <v>---</v>
      </c>
      <c r="AG455" s="70" t="str">
        <f>IFERROR(#REF!/#REF!-1,"---")</f>
        <v>---</v>
      </c>
      <c r="AH455" s="70" t="str">
        <f>IFERROR(#REF!/AA455-1,"---")</f>
        <v>---</v>
      </c>
      <c r="AI455" s="71" t="str">
        <f t="shared" si="68"/>
        <v>---</v>
      </c>
    </row>
    <row r="456" spans="1:35" ht="30" customHeight="1" x14ac:dyDescent="0.3">
      <c r="A456" s="123">
        <f t="shared" si="61"/>
        <v>452</v>
      </c>
      <c r="B456" s="140">
        <f>INDEX('PEER GROUP'!B:B,MATCH($A456,'PEER GROUP'!$A:$A,0))</f>
        <v>0</v>
      </c>
      <c r="C456" s="83">
        <f>INDEX('PEER GROUP'!C:C,MATCH($A456,'PEER GROUP'!$A:$A,0))</f>
        <v>0</v>
      </c>
      <c r="D456" s="83">
        <f>INDEX('PEER GROUP'!D:D,MATCH($A456,'PEER GROUP'!$A:$A,0))</f>
        <v>0</v>
      </c>
      <c r="E456" s="83">
        <f>INDEX('PEER GROUP'!E:E,MATCH(A456,'PEER GROUP'!$A:$A,0))</f>
        <v>0</v>
      </c>
      <c r="F456" s="84">
        <f>INDEX('PEER GROUP'!F:F,MATCH($A456,'PEER GROUP'!$A:$A,0))</f>
        <v>0</v>
      </c>
      <c r="G456" s="84">
        <f>INDEX('PEER GROUP'!G:G,MATCH($A456,'PEER GROUP'!$A:$A,0))</f>
        <v>0</v>
      </c>
      <c r="H456" s="85"/>
      <c r="I456" s="85"/>
      <c r="J456" s="70">
        <f>INDEX('PEER GROUP'!K:K,MATCH($A456,'PEER GROUP'!$A:$A,0))</f>
        <v>0</v>
      </c>
      <c r="K456" s="70">
        <f>INDEX('PEER GROUP'!L:L,MATCH($A456,'PEER GROUP'!$A:$A,0))</f>
        <v>0</v>
      </c>
      <c r="L456" s="81">
        <f>INDEX('PEER GROUP'!N:N,MATCH($A456,'PEER GROUP'!$A:$A,0))</f>
        <v>0</v>
      </c>
      <c r="M456" s="118"/>
      <c r="N456" s="115"/>
      <c r="O456" s="117"/>
      <c r="P456" s="87"/>
      <c r="Q456" s="87"/>
      <c r="R456" s="87">
        <f t="shared" si="62"/>
        <v>0</v>
      </c>
      <c r="S456" s="113">
        <f t="shared" si="60"/>
        <v>36.913096727263202</v>
      </c>
      <c r="T456" s="69">
        <f t="shared" si="63"/>
        <v>0</v>
      </c>
      <c r="U456" s="70">
        <f t="shared" si="64"/>
        <v>0</v>
      </c>
      <c r="V456" s="70">
        <f t="shared" si="65"/>
        <v>0</v>
      </c>
      <c r="W456" s="71">
        <f t="shared" si="66"/>
        <v>0</v>
      </c>
      <c r="X456" s="49"/>
      <c r="Y456" s="151"/>
      <c r="Z456" s="69"/>
      <c r="AA456" s="70"/>
      <c r="AB456" s="70"/>
      <c r="AC456" s="70" t="str">
        <f t="shared" si="67"/>
        <v>---</v>
      </c>
      <c r="AD456" s="70" t="str">
        <f>IFERROR(P456/#REF!-1,"---")</f>
        <v>---</v>
      </c>
      <c r="AE456" s="70" t="str">
        <f>IFERROR(#REF!/#REF!-1,"---")</f>
        <v>---</v>
      </c>
      <c r="AF456" s="70" t="str">
        <f>IFERROR(Q456/#REF!-1,"---")</f>
        <v>---</v>
      </c>
      <c r="AG456" s="70" t="str">
        <f>IFERROR(#REF!/#REF!-1,"---")</f>
        <v>---</v>
      </c>
      <c r="AH456" s="70" t="str">
        <f>IFERROR(#REF!/AA456-1,"---")</f>
        <v>---</v>
      </c>
      <c r="AI456" s="71" t="str">
        <f t="shared" si="68"/>
        <v>---</v>
      </c>
    </row>
    <row r="457" spans="1:35" ht="30" customHeight="1" x14ac:dyDescent="0.3">
      <c r="A457" s="123">
        <f t="shared" si="61"/>
        <v>453</v>
      </c>
      <c r="B457" s="140">
        <f>INDEX('PEER GROUP'!B:B,MATCH($A457,'PEER GROUP'!$A:$A,0))</f>
        <v>0</v>
      </c>
      <c r="C457" s="83">
        <f>INDEX('PEER GROUP'!C:C,MATCH($A457,'PEER GROUP'!$A:$A,0))</f>
        <v>0</v>
      </c>
      <c r="D457" s="83">
        <f>INDEX('PEER GROUP'!D:D,MATCH($A457,'PEER GROUP'!$A:$A,0))</f>
        <v>0</v>
      </c>
      <c r="E457" s="83">
        <f>INDEX('PEER GROUP'!E:E,MATCH(A457,'PEER GROUP'!$A:$A,0))</f>
        <v>0</v>
      </c>
      <c r="F457" s="84">
        <f>INDEX('PEER GROUP'!F:F,MATCH($A457,'PEER GROUP'!$A:$A,0))</f>
        <v>0</v>
      </c>
      <c r="G457" s="84">
        <f>INDEX('PEER GROUP'!G:G,MATCH($A457,'PEER GROUP'!$A:$A,0))</f>
        <v>0</v>
      </c>
      <c r="H457" s="85"/>
      <c r="I457" s="85"/>
      <c r="J457" s="70">
        <f>INDEX('PEER GROUP'!K:K,MATCH($A457,'PEER GROUP'!$A:$A,0))</f>
        <v>0</v>
      </c>
      <c r="K457" s="70">
        <f>INDEX('PEER GROUP'!L:L,MATCH($A457,'PEER GROUP'!$A:$A,0))</f>
        <v>0</v>
      </c>
      <c r="L457" s="81">
        <f>INDEX('PEER GROUP'!N:N,MATCH($A457,'PEER GROUP'!$A:$A,0))</f>
        <v>0</v>
      </c>
      <c r="M457" s="118"/>
      <c r="N457" s="115"/>
      <c r="O457" s="117"/>
      <c r="P457" s="87"/>
      <c r="Q457" s="87"/>
      <c r="R457" s="87">
        <f t="shared" si="62"/>
        <v>0</v>
      </c>
      <c r="S457" s="113">
        <f t="shared" si="60"/>
        <v>36.913096727263202</v>
      </c>
      <c r="T457" s="69">
        <f t="shared" si="63"/>
        <v>0</v>
      </c>
      <c r="U457" s="70">
        <f t="shared" si="64"/>
        <v>0</v>
      </c>
      <c r="V457" s="70">
        <f t="shared" si="65"/>
        <v>0</v>
      </c>
      <c r="W457" s="71">
        <f t="shared" si="66"/>
        <v>0</v>
      </c>
      <c r="X457" s="49"/>
      <c r="Y457" s="151"/>
      <c r="Z457" s="69"/>
      <c r="AA457" s="70"/>
      <c r="AB457" s="70"/>
      <c r="AC457" s="70" t="str">
        <f t="shared" si="67"/>
        <v>---</v>
      </c>
      <c r="AD457" s="70" t="str">
        <f>IFERROR(P457/#REF!-1,"---")</f>
        <v>---</v>
      </c>
      <c r="AE457" s="70" t="str">
        <f>IFERROR(#REF!/#REF!-1,"---")</f>
        <v>---</v>
      </c>
      <c r="AF457" s="70" t="str">
        <f>IFERROR(Q457/#REF!-1,"---")</f>
        <v>---</v>
      </c>
      <c r="AG457" s="70" t="str">
        <f>IFERROR(#REF!/#REF!-1,"---")</f>
        <v>---</v>
      </c>
      <c r="AH457" s="70" t="str">
        <f>IFERROR(#REF!/AA457-1,"---")</f>
        <v>---</v>
      </c>
      <c r="AI457" s="71" t="str">
        <f t="shared" si="68"/>
        <v>---</v>
      </c>
    </row>
    <row r="458" spans="1:35" ht="30" customHeight="1" x14ac:dyDescent="0.3">
      <c r="A458" s="123">
        <f t="shared" si="61"/>
        <v>454</v>
      </c>
      <c r="B458" s="140">
        <f>INDEX('PEER GROUP'!B:B,MATCH($A458,'PEER GROUP'!$A:$A,0))</f>
        <v>0</v>
      </c>
      <c r="C458" s="83">
        <f>INDEX('PEER GROUP'!C:C,MATCH($A458,'PEER GROUP'!$A:$A,0))</f>
        <v>0</v>
      </c>
      <c r="D458" s="83">
        <f>INDEX('PEER GROUP'!D:D,MATCH($A458,'PEER GROUP'!$A:$A,0))</f>
        <v>0</v>
      </c>
      <c r="E458" s="83">
        <f>INDEX('PEER GROUP'!E:E,MATCH(A458,'PEER GROUP'!$A:$A,0))</f>
        <v>0</v>
      </c>
      <c r="F458" s="84">
        <f>INDEX('PEER GROUP'!F:F,MATCH($A458,'PEER GROUP'!$A:$A,0))</f>
        <v>0</v>
      </c>
      <c r="G458" s="84">
        <f>INDEX('PEER GROUP'!G:G,MATCH($A458,'PEER GROUP'!$A:$A,0))</f>
        <v>0</v>
      </c>
      <c r="H458" s="85"/>
      <c r="I458" s="85"/>
      <c r="J458" s="70">
        <f>INDEX('PEER GROUP'!K:K,MATCH($A458,'PEER GROUP'!$A:$A,0))</f>
        <v>0</v>
      </c>
      <c r="K458" s="70">
        <f>INDEX('PEER GROUP'!L:L,MATCH($A458,'PEER GROUP'!$A:$A,0))</f>
        <v>0</v>
      </c>
      <c r="L458" s="81">
        <f>INDEX('PEER GROUP'!N:N,MATCH($A458,'PEER GROUP'!$A:$A,0))</f>
        <v>0</v>
      </c>
      <c r="M458" s="118"/>
      <c r="N458" s="115"/>
      <c r="O458" s="117"/>
      <c r="P458" s="87"/>
      <c r="Q458" s="87"/>
      <c r="R458" s="87">
        <f t="shared" si="62"/>
        <v>0</v>
      </c>
      <c r="S458" s="113">
        <f t="shared" si="60"/>
        <v>36.913096727263202</v>
      </c>
      <c r="T458" s="69">
        <f t="shared" si="63"/>
        <v>0</v>
      </c>
      <c r="U458" s="70">
        <f t="shared" si="64"/>
        <v>0</v>
      </c>
      <c r="V458" s="70">
        <f t="shared" si="65"/>
        <v>0</v>
      </c>
      <c r="W458" s="71">
        <f t="shared" si="66"/>
        <v>0</v>
      </c>
      <c r="X458" s="49"/>
      <c r="Y458" s="151"/>
      <c r="Z458" s="69"/>
      <c r="AA458" s="70"/>
      <c r="AB458" s="70"/>
      <c r="AC458" s="70" t="str">
        <f t="shared" si="67"/>
        <v>---</v>
      </c>
      <c r="AD458" s="70" t="str">
        <f>IFERROR(P458/#REF!-1,"---")</f>
        <v>---</v>
      </c>
      <c r="AE458" s="70" t="str">
        <f>IFERROR(#REF!/#REF!-1,"---")</f>
        <v>---</v>
      </c>
      <c r="AF458" s="70" t="str">
        <f>IFERROR(Q458/#REF!-1,"---")</f>
        <v>---</v>
      </c>
      <c r="AG458" s="70" t="str">
        <f>IFERROR(#REF!/#REF!-1,"---")</f>
        <v>---</v>
      </c>
      <c r="AH458" s="70" t="str">
        <f>IFERROR(#REF!/AA458-1,"---")</f>
        <v>---</v>
      </c>
      <c r="AI458" s="71" t="str">
        <f t="shared" si="68"/>
        <v>---</v>
      </c>
    </row>
    <row r="459" spans="1:35" ht="30" customHeight="1" x14ac:dyDescent="0.3">
      <c r="A459" s="123">
        <f t="shared" si="61"/>
        <v>455</v>
      </c>
      <c r="B459" s="140">
        <f>INDEX('PEER GROUP'!B:B,MATCH($A459,'PEER GROUP'!$A:$A,0))</f>
        <v>0</v>
      </c>
      <c r="C459" s="83">
        <f>INDEX('PEER GROUP'!C:C,MATCH($A459,'PEER GROUP'!$A:$A,0))</f>
        <v>0</v>
      </c>
      <c r="D459" s="83">
        <f>INDEX('PEER GROUP'!D:D,MATCH($A459,'PEER GROUP'!$A:$A,0))</f>
        <v>0</v>
      </c>
      <c r="E459" s="83">
        <f>INDEX('PEER GROUP'!E:E,MATCH(A459,'PEER GROUP'!$A:$A,0))</f>
        <v>0</v>
      </c>
      <c r="F459" s="84">
        <f>INDEX('PEER GROUP'!F:F,MATCH($A459,'PEER GROUP'!$A:$A,0))</f>
        <v>0</v>
      </c>
      <c r="G459" s="84">
        <f>INDEX('PEER GROUP'!G:G,MATCH($A459,'PEER GROUP'!$A:$A,0))</f>
        <v>0</v>
      </c>
      <c r="H459" s="85"/>
      <c r="I459" s="85"/>
      <c r="J459" s="70">
        <f>INDEX('PEER GROUP'!K:K,MATCH($A459,'PEER GROUP'!$A:$A,0))</f>
        <v>0</v>
      </c>
      <c r="K459" s="70">
        <f>INDEX('PEER GROUP'!L:L,MATCH($A459,'PEER GROUP'!$A:$A,0))</f>
        <v>0</v>
      </c>
      <c r="L459" s="81">
        <f>INDEX('PEER GROUP'!N:N,MATCH($A459,'PEER GROUP'!$A:$A,0))</f>
        <v>0</v>
      </c>
      <c r="M459" s="118"/>
      <c r="N459" s="115"/>
      <c r="O459" s="117"/>
      <c r="P459" s="87"/>
      <c r="Q459" s="87"/>
      <c r="R459" s="87">
        <f t="shared" si="62"/>
        <v>0</v>
      </c>
      <c r="S459" s="113">
        <f t="shared" si="60"/>
        <v>36.913096727263202</v>
      </c>
      <c r="T459" s="69">
        <f t="shared" si="63"/>
        <v>0</v>
      </c>
      <c r="U459" s="70">
        <f t="shared" si="64"/>
        <v>0</v>
      </c>
      <c r="V459" s="70">
        <f t="shared" si="65"/>
        <v>0</v>
      </c>
      <c r="W459" s="71">
        <f t="shared" si="66"/>
        <v>0</v>
      </c>
      <c r="X459" s="49"/>
      <c r="Y459" s="151"/>
      <c r="Z459" s="69"/>
      <c r="AA459" s="70"/>
      <c r="AB459" s="70"/>
      <c r="AC459" s="70" t="str">
        <f t="shared" si="67"/>
        <v>---</v>
      </c>
      <c r="AD459" s="70" t="str">
        <f>IFERROR(P459/#REF!-1,"---")</f>
        <v>---</v>
      </c>
      <c r="AE459" s="70" t="str">
        <f>IFERROR(#REF!/#REF!-1,"---")</f>
        <v>---</v>
      </c>
      <c r="AF459" s="70" t="str">
        <f>IFERROR(Q459/#REF!-1,"---")</f>
        <v>---</v>
      </c>
      <c r="AG459" s="70" t="str">
        <f>IFERROR(#REF!/#REF!-1,"---")</f>
        <v>---</v>
      </c>
      <c r="AH459" s="70" t="str">
        <f>IFERROR(#REF!/AA459-1,"---")</f>
        <v>---</v>
      </c>
      <c r="AI459" s="71" t="str">
        <f t="shared" si="68"/>
        <v>---</v>
      </c>
    </row>
    <row r="460" spans="1:35" ht="30" customHeight="1" x14ac:dyDescent="0.3">
      <c r="A460" s="123">
        <f t="shared" si="61"/>
        <v>456</v>
      </c>
      <c r="B460" s="140">
        <f>INDEX('PEER GROUP'!B:B,MATCH($A460,'PEER GROUP'!$A:$A,0))</f>
        <v>0</v>
      </c>
      <c r="C460" s="83">
        <f>INDEX('PEER GROUP'!C:C,MATCH($A460,'PEER GROUP'!$A:$A,0))</f>
        <v>0</v>
      </c>
      <c r="D460" s="83">
        <f>INDEX('PEER GROUP'!D:D,MATCH($A460,'PEER GROUP'!$A:$A,0))</f>
        <v>0</v>
      </c>
      <c r="E460" s="83">
        <f>INDEX('PEER GROUP'!E:E,MATCH(A460,'PEER GROUP'!$A:$A,0))</f>
        <v>0</v>
      </c>
      <c r="F460" s="84">
        <f>INDEX('PEER GROUP'!F:F,MATCH($A460,'PEER GROUP'!$A:$A,0))</f>
        <v>0</v>
      </c>
      <c r="G460" s="84">
        <f>INDEX('PEER GROUP'!G:G,MATCH($A460,'PEER GROUP'!$A:$A,0))</f>
        <v>0</v>
      </c>
      <c r="H460" s="85"/>
      <c r="I460" s="85"/>
      <c r="J460" s="70">
        <f>INDEX('PEER GROUP'!K:K,MATCH($A460,'PEER GROUP'!$A:$A,0))</f>
        <v>0</v>
      </c>
      <c r="K460" s="70">
        <f>INDEX('PEER GROUP'!L:L,MATCH($A460,'PEER GROUP'!$A:$A,0))</f>
        <v>0</v>
      </c>
      <c r="L460" s="81">
        <f>INDEX('PEER GROUP'!N:N,MATCH($A460,'PEER GROUP'!$A:$A,0))</f>
        <v>0</v>
      </c>
      <c r="M460" s="118"/>
      <c r="N460" s="115"/>
      <c r="O460" s="117"/>
      <c r="P460" s="87"/>
      <c r="Q460" s="87"/>
      <c r="R460" s="87">
        <f t="shared" si="62"/>
        <v>0</v>
      </c>
      <c r="S460" s="113">
        <f t="shared" si="60"/>
        <v>36.913096727263202</v>
      </c>
      <c r="T460" s="69">
        <f t="shared" si="63"/>
        <v>0</v>
      </c>
      <c r="U460" s="70">
        <f t="shared" si="64"/>
        <v>0</v>
      </c>
      <c r="V460" s="70">
        <f t="shared" si="65"/>
        <v>0</v>
      </c>
      <c r="W460" s="71">
        <f t="shared" si="66"/>
        <v>0</v>
      </c>
      <c r="X460" s="49"/>
      <c r="Y460" s="151"/>
      <c r="Z460" s="69"/>
      <c r="AA460" s="70"/>
      <c r="AB460" s="70"/>
      <c r="AC460" s="70" t="str">
        <f t="shared" si="67"/>
        <v>---</v>
      </c>
      <c r="AD460" s="70" t="str">
        <f>IFERROR(P460/#REF!-1,"---")</f>
        <v>---</v>
      </c>
      <c r="AE460" s="70" t="str">
        <f>IFERROR(#REF!/#REF!-1,"---")</f>
        <v>---</v>
      </c>
      <c r="AF460" s="70" t="str">
        <f>IFERROR(Q460/#REF!-1,"---")</f>
        <v>---</v>
      </c>
      <c r="AG460" s="70" t="str">
        <f>IFERROR(#REF!/#REF!-1,"---")</f>
        <v>---</v>
      </c>
      <c r="AH460" s="70" t="str">
        <f>IFERROR(#REF!/AA460-1,"---")</f>
        <v>---</v>
      </c>
      <c r="AI460" s="71" t="str">
        <f t="shared" si="68"/>
        <v>---</v>
      </c>
    </row>
    <row r="461" spans="1:35" ht="30" customHeight="1" x14ac:dyDescent="0.3">
      <c r="A461" s="123">
        <f t="shared" si="61"/>
        <v>457</v>
      </c>
      <c r="B461" s="140">
        <f>INDEX('PEER GROUP'!B:B,MATCH($A461,'PEER GROUP'!$A:$A,0))</f>
        <v>0</v>
      </c>
      <c r="C461" s="83">
        <f>INDEX('PEER GROUP'!C:C,MATCH($A461,'PEER GROUP'!$A:$A,0))</f>
        <v>0</v>
      </c>
      <c r="D461" s="83">
        <f>INDEX('PEER GROUP'!D:D,MATCH($A461,'PEER GROUP'!$A:$A,0))</f>
        <v>0</v>
      </c>
      <c r="E461" s="83">
        <f>INDEX('PEER GROUP'!E:E,MATCH(A461,'PEER GROUP'!$A:$A,0))</f>
        <v>0</v>
      </c>
      <c r="F461" s="84">
        <f>INDEX('PEER GROUP'!F:F,MATCH($A461,'PEER GROUP'!$A:$A,0))</f>
        <v>0</v>
      </c>
      <c r="G461" s="84">
        <f>INDEX('PEER GROUP'!G:G,MATCH($A461,'PEER GROUP'!$A:$A,0))</f>
        <v>0</v>
      </c>
      <c r="H461" s="85"/>
      <c r="I461" s="85"/>
      <c r="J461" s="70">
        <f>INDEX('PEER GROUP'!K:K,MATCH($A461,'PEER GROUP'!$A:$A,0))</f>
        <v>0</v>
      </c>
      <c r="K461" s="70">
        <f>INDEX('PEER GROUP'!L:L,MATCH($A461,'PEER GROUP'!$A:$A,0))</f>
        <v>0</v>
      </c>
      <c r="L461" s="81">
        <f>INDEX('PEER GROUP'!N:N,MATCH($A461,'PEER GROUP'!$A:$A,0))</f>
        <v>0</v>
      </c>
      <c r="M461" s="118"/>
      <c r="N461" s="115"/>
      <c r="O461" s="117"/>
      <c r="P461" s="87"/>
      <c r="Q461" s="87"/>
      <c r="R461" s="87">
        <f t="shared" si="62"/>
        <v>0</v>
      </c>
      <c r="S461" s="113">
        <f t="shared" si="60"/>
        <v>36.913096727263202</v>
      </c>
      <c r="T461" s="69">
        <f t="shared" si="63"/>
        <v>0</v>
      </c>
      <c r="U461" s="70">
        <f t="shared" si="64"/>
        <v>0</v>
      </c>
      <c r="V461" s="70">
        <f t="shared" si="65"/>
        <v>0</v>
      </c>
      <c r="W461" s="71">
        <f t="shared" si="66"/>
        <v>0</v>
      </c>
      <c r="X461" s="49"/>
      <c r="Y461" s="151"/>
      <c r="Z461" s="69"/>
      <c r="AA461" s="70"/>
      <c r="AB461" s="70"/>
      <c r="AC461" s="70" t="str">
        <f t="shared" si="67"/>
        <v>---</v>
      </c>
      <c r="AD461" s="70" t="str">
        <f>IFERROR(P461/#REF!-1,"---")</f>
        <v>---</v>
      </c>
      <c r="AE461" s="70" t="str">
        <f>IFERROR(#REF!/#REF!-1,"---")</f>
        <v>---</v>
      </c>
      <c r="AF461" s="70" t="str">
        <f>IFERROR(Q461/#REF!-1,"---")</f>
        <v>---</v>
      </c>
      <c r="AG461" s="70" t="str">
        <f>IFERROR(#REF!/#REF!-1,"---")</f>
        <v>---</v>
      </c>
      <c r="AH461" s="70" t="str">
        <f>IFERROR(#REF!/AA461-1,"---")</f>
        <v>---</v>
      </c>
      <c r="AI461" s="71" t="str">
        <f t="shared" si="68"/>
        <v>---</v>
      </c>
    </row>
    <row r="462" spans="1:35" ht="30" customHeight="1" x14ac:dyDescent="0.3">
      <c r="A462" s="123">
        <f t="shared" si="61"/>
        <v>458</v>
      </c>
      <c r="B462" s="140">
        <f>INDEX('PEER GROUP'!B:B,MATCH($A462,'PEER GROUP'!$A:$A,0))</f>
        <v>0</v>
      </c>
      <c r="C462" s="83">
        <f>INDEX('PEER GROUP'!C:C,MATCH($A462,'PEER GROUP'!$A:$A,0))</f>
        <v>0</v>
      </c>
      <c r="D462" s="83">
        <f>INDEX('PEER GROUP'!D:D,MATCH($A462,'PEER GROUP'!$A:$A,0))</f>
        <v>0</v>
      </c>
      <c r="E462" s="83">
        <f>INDEX('PEER GROUP'!E:E,MATCH(A462,'PEER GROUP'!$A:$A,0))</f>
        <v>0</v>
      </c>
      <c r="F462" s="84">
        <f>INDEX('PEER GROUP'!F:F,MATCH($A462,'PEER GROUP'!$A:$A,0))</f>
        <v>0</v>
      </c>
      <c r="G462" s="84">
        <f>INDEX('PEER GROUP'!G:G,MATCH($A462,'PEER GROUP'!$A:$A,0))</f>
        <v>0</v>
      </c>
      <c r="H462" s="85"/>
      <c r="I462" s="85"/>
      <c r="J462" s="70">
        <f>INDEX('PEER GROUP'!K:K,MATCH($A462,'PEER GROUP'!$A:$A,0))</f>
        <v>0</v>
      </c>
      <c r="K462" s="70">
        <f>INDEX('PEER GROUP'!L:L,MATCH($A462,'PEER GROUP'!$A:$A,0))</f>
        <v>0</v>
      </c>
      <c r="L462" s="81">
        <f>INDEX('PEER GROUP'!N:N,MATCH($A462,'PEER GROUP'!$A:$A,0))</f>
        <v>0</v>
      </c>
      <c r="M462" s="118"/>
      <c r="N462" s="115"/>
      <c r="O462" s="117"/>
      <c r="P462" s="87"/>
      <c r="Q462" s="87"/>
      <c r="R462" s="87">
        <f t="shared" si="62"/>
        <v>0</v>
      </c>
      <c r="S462" s="113">
        <f t="shared" si="60"/>
        <v>36.913096727263202</v>
      </c>
      <c r="T462" s="69">
        <f t="shared" si="63"/>
        <v>0</v>
      </c>
      <c r="U462" s="70">
        <f t="shared" si="64"/>
        <v>0</v>
      </c>
      <c r="V462" s="70">
        <f t="shared" si="65"/>
        <v>0</v>
      </c>
      <c r="W462" s="71">
        <f t="shared" si="66"/>
        <v>0</v>
      </c>
      <c r="X462" s="49"/>
      <c r="Y462" s="151"/>
      <c r="Z462" s="69"/>
      <c r="AA462" s="70"/>
      <c r="AB462" s="70"/>
      <c r="AC462" s="70" t="str">
        <f t="shared" si="67"/>
        <v>---</v>
      </c>
      <c r="AD462" s="70" t="str">
        <f>IFERROR(P462/#REF!-1,"---")</f>
        <v>---</v>
      </c>
      <c r="AE462" s="70" t="str">
        <f>IFERROR(#REF!/#REF!-1,"---")</f>
        <v>---</v>
      </c>
      <c r="AF462" s="70" t="str">
        <f>IFERROR(Q462/#REF!-1,"---")</f>
        <v>---</v>
      </c>
      <c r="AG462" s="70" t="str">
        <f>IFERROR(#REF!/#REF!-1,"---")</f>
        <v>---</v>
      </c>
      <c r="AH462" s="70" t="str">
        <f>IFERROR(#REF!/AA462-1,"---")</f>
        <v>---</v>
      </c>
      <c r="AI462" s="71" t="str">
        <f t="shared" si="68"/>
        <v>---</v>
      </c>
    </row>
    <row r="463" spans="1:35" ht="30" customHeight="1" x14ac:dyDescent="0.3">
      <c r="A463" s="123">
        <f t="shared" si="61"/>
        <v>459</v>
      </c>
      <c r="B463" s="140">
        <f>INDEX('PEER GROUP'!B:B,MATCH($A463,'PEER GROUP'!$A:$A,0))</f>
        <v>0</v>
      </c>
      <c r="C463" s="83">
        <f>INDEX('PEER GROUP'!C:C,MATCH($A463,'PEER GROUP'!$A:$A,0))</f>
        <v>0</v>
      </c>
      <c r="D463" s="83">
        <f>INDEX('PEER GROUP'!D:D,MATCH($A463,'PEER GROUP'!$A:$A,0))</f>
        <v>0</v>
      </c>
      <c r="E463" s="83">
        <f>INDEX('PEER GROUP'!E:E,MATCH(A463,'PEER GROUP'!$A:$A,0))</f>
        <v>0</v>
      </c>
      <c r="F463" s="84">
        <f>INDEX('PEER GROUP'!F:F,MATCH($A463,'PEER GROUP'!$A:$A,0))</f>
        <v>0</v>
      </c>
      <c r="G463" s="84">
        <f>INDEX('PEER GROUP'!G:G,MATCH($A463,'PEER GROUP'!$A:$A,0))</f>
        <v>0</v>
      </c>
      <c r="H463" s="85"/>
      <c r="I463" s="85"/>
      <c r="J463" s="70">
        <f>INDEX('PEER GROUP'!K:K,MATCH($A463,'PEER GROUP'!$A:$A,0))</f>
        <v>0</v>
      </c>
      <c r="K463" s="70">
        <f>INDEX('PEER GROUP'!L:L,MATCH($A463,'PEER GROUP'!$A:$A,0))</f>
        <v>0</v>
      </c>
      <c r="L463" s="81">
        <f>INDEX('PEER GROUP'!N:N,MATCH($A463,'PEER GROUP'!$A:$A,0))</f>
        <v>0</v>
      </c>
      <c r="M463" s="118"/>
      <c r="N463" s="115"/>
      <c r="O463" s="117"/>
      <c r="P463" s="87"/>
      <c r="Q463" s="87"/>
      <c r="R463" s="87">
        <f t="shared" si="62"/>
        <v>0</v>
      </c>
      <c r="S463" s="113">
        <f t="shared" si="60"/>
        <v>36.913096727263202</v>
      </c>
      <c r="T463" s="69">
        <f t="shared" si="63"/>
        <v>0</v>
      </c>
      <c r="U463" s="70">
        <f t="shared" si="64"/>
        <v>0</v>
      </c>
      <c r="V463" s="70">
        <f t="shared" si="65"/>
        <v>0</v>
      </c>
      <c r="W463" s="71">
        <f t="shared" si="66"/>
        <v>0</v>
      </c>
      <c r="X463" s="49"/>
      <c r="Y463" s="151"/>
      <c r="Z463" s="69"/>
      <c r="AA463" s="70"/>
      <c r="AB463" s="70"/>
      <c r="AC463" s="70" t="str">
        <f t="shared" si="67"/>
        <v>---</v>
      </c>
      <c r="AD463" s="70" t="str">
        <f>IFERROR(P463/#REF!-1,"---")</f>
        <v>---</v>
      </c>
      <c r="AE463" s="70" t="str">
        <f>IFERROR(#REF!/#REF!-1,"---")</f>
        <v>---</v>
      </c>
      <c r="AF463" s="70" t="str">
        <f>IFERROR(Q463/#REF!-1,"---")</f>
        <v>---</v>
      </c>
      <c r="AG463" s="70" t="str">
        <f>IFERROR(#REF!/#REF!-1,"---")</f>
        <v>---</v>
      </c>
      <c r="AH463" s="70" t="str">
        <f>IFERROR(#REF!/AA463-1,"---")</f>
        <v>---</v>
      </c>
      <c r="AI463" s="71" t="str">
        <f t="shared" si="68"/>
        <v>---</v>
      </c>
    </row>
    <row r="464" spans="1:35" ht="30" customHeight="1" x14ac:dyDescent="0.3">
      <c r="A464" s="123">
        <f t="shared" si="61"/>
        <v>460</v>
      </c>
      <c r="B464" s="140">
        <f>INDEX('PEER GROUP'!B:B,MATCH($A464,'PEER GROUP'!$A:$A,0))</f>
        <v>0</v>
      </c>
      <c r="C464" s="83">
        <f>INDEX('PEER GROUP'!C:C,MATCH($A464,'PEER GROUP'!$A:$A,0))</f>
        <v>0</v>
      </c>
      <c r="D464" s="83">
        <f>INDEX('PEER GROUP'!D:D,MATCH($A464,'PEER GROUP'!$A:$A,0))</f>
        <v>0</v>
      </c>
      <c r="E464" s="83">
        <f>INDEX('PEER GROUP'!E:E,MATCH(A464,'PEER GROUP'!$A:$A,0))</f>
        <v>0</v>
      </c>
      <c r="F464" s="84">
        <f>INDEX('PEER GROUP'!F:F,MATCH($A464,'PEER GROUP'!$A:$A,0))</f>
        <v>0</v>
      </c>
      <c r="G464" s="84">
        <f>INDEX('PEER GROUP'!G:G,MATCH($A464,'PEER GROUP'!$A:$A,0))</f>
        <v>0</v>
      </c>
      <c r="H464" s="85"/>
      <c r="I464" s="85"/>
      <c r="J464" s="70">
        <f>INDEX('PEER GROUP'!K:K,MATCH($A464,'PEER GROUP'!$A:$A,0))</f>
        <v>0</v>
      </c>
      <c r="K464" s="70">
        <f>INDEX('PEER GROUP'!L:L,MATCH($A464,'PEER GROUP'!$A:$A,0))</f>
        <v>0</v>
      </c>
      <c r="L464" s="81">
        <f>INDEX('PEER GROUP'!N:N,MATCH($A464,'PEER GROUP'!$A:$A,0))</f>
        <v>0</v>
      </c>
      <c r="M464" s="118"/>
      <c r="N464" s="115"/>
      <c r="O464" s="117"/>
      <c r="P464" s="87"/>
      <c r="Q464" s="87"/>
      <c r="R464" s="87">
        <f t="shared" si="62"/>
        <v>0</v>
      </c>
      <c r="S464" s="113">
        <f t="shared" si="60"/>
        <v>36.913096727263202</v>
      </c>
      <c r="T464" s="69">
        <f t="shared" si="63"/>
        <v>0</v>
      </c>
      <c r="U464" s="70">
        <f t="shared" si="64"/>
        <v>0</v>
      </c>
      <c r="V464" s="70">
        <f t="shared" si="65"/>
        <v>0</v>
      </c>
      <c r="W464" s="71">
        <f t="shared" si="66"/>
        <v>0</v>
      </c>
      <c r="X464" s="49"/>
      <c r="Y464" s="151"/>
      <c r="Z464" s="69"/>
      <c r="AA464" s="70"/>
      <c r="AB464" s="70"/>
      <c r="AC464" s="70" t="str">
        <f t="shared" si="67"/>
        <v>---</v>
      </c>
      <c r="AD464" s="70" t="str">
        <f>IFERROR(P464/#REF!-1,"---")</f>
        <v>---</v>
      </c>
      <c r="AE464" s="70" t="str">
        <f>IFERROR(#REF!/#REF!-1,"---")</f>
        <v>---</v>
      </c>
      <c r="AF464" s="70" t="str">
        <f>IFERROR(Q464/#REF!-1,"---")</f>
        <v>---</v>
      </c>
      <c r="AG464" s="70" t="str">
        <f>IFERROR(#REF!/#REF!-1,"---")</f>
        <v>---</v>
      </c>
      <c r="AH464" s="70" t="str">
        <f>IFERROR(#REF!/AA464-1,"---")</f>
        <v>---</v>
      </c>
      <c r="AI464" s="71" t="str">
        <f t="shared" si="68"/>
        <v>---</v>
      </c>
    </row>
    <row r="465" spans="1:35" ht="30" customHeight="1" x14ac:dyDescent="0.3">
      <c r="A465" s="123">
        <f t="shared" si="61"/>
        <v>461</v>
      </c>
      <c r="B465" s="140">
        <f>INDEX('PEER GROUP'!B:B,MATCH($A465,'PEER GROUP'!$A:$A,0))</f>
        <v>0</v>
      </c>
      <c r="C465" s="83">
        <f>INDEX('PEER GROUP'!C:C,MATCH($A465,'PEER GROUP'!$A:$A,0))</f>
        <v>0</v>
      </c>
      <c r="D465" s="83">
        <f>INDEX('PEER GROUP'!D:D,MATCH($A465,'PEER GROUP'!$A:$A,0))</f>
        <v>0</v>
      </c>
      <c r="E465" s="83">
        <f>INDEX('PEER GROUP'!E:E,MATCH(A465,'PEER GROUP'!$A:$A,0))</f>
        <v>0</v>
      </c>
      <c r="F465" s="84">
        <f>INDEX('PEER GROUP'!F:F,MATCH($A465,'PEER GROUP'!$A:$A,0))</f>
        <v>0</v>
      </c>
      <c r="G465" s="84">
        <f>INDEX('PEER GROUP'!G:G,MATCH($A465,'PEER GROUP'!$A:$A,0))</f>
        <v>0</v>
      </c>
      <c r="H465" s="85"/>
      <c r="I465" s="85"/>
      <c r="J465" s="70">
        <f>INDEX('PEER GROUP'!K:K,MATCH($A465,'PEER GROUP'!$A:$A,0))</f>
        <v>0</v>
      </c>
      <c r="K465" s="70">
        <f>INDEX('PEER GROUP'!L:L,MATCH($A465,'PEER GROUP'!$A:$A,0))</f>
        <v>0</v>
      </c>
      <c r="L465" s="81">
        <f>INDEX('PEER GROUP'!N:N,MATCH($A465,'PEER GROUP'!$A:$A,0))</f>
        <v>0</v>
      </c>
      <c r="M465" s="118"/>
      <c r="N465" s="115"/>
      <c r="O465" s="117"/>
      <c r="P465" s="87"/>
      <c r="Q465" s="87"/>
      <c r="R465" s="87">
        <f t="shared" si="62"/>
        <v>0</v>
      </c>
      <c r="S465" s="113">
        <f t="shared" si="60"/>
        <v>36.913096727263202</v>
      </c>
      <c r="T465" s="69">
        <f t="shared" si="63"/>
        <v>0</v>
      </c>
      <c r="U465" s="70">
        <f t="shared" si="64"/>
        <v>0</v>
      </c>
      <c r="V465" s="70">
        <f t="shared" si="65"/>
        <v>0</v>
      </c>
      <c r="W465" s="71">
        <f t="shared" si="66"/>
        <v>0</v>
      </c>
      <c r="X465" s="49"/>
      <c r="Y465" s="151"/>
      <c r="Z465" s="69"/>
      <c r="AA465" s="70"/>
      <c r="AB465" s="70"/>
      <c r="AC465" s="70" t="str">
        <f t="shared" si="67"/>
        <v>---</v>
      </c>
      <c r="AD465" s="70" t="str">
        <f>IFERROR(P465/#REF!-1,"---")</f>
        <v>---</v>
      </c>
      <c r="AE465" s="70" t="str">
        <f>IFERROR(#REF!/#REF!-1,"---")</f>
        <v>---</v>
      </c>
      <c r="AF465" s="70" t="str">
        <f>IFERROR(Q465/#REF!-1,"---")</f>
        <v>---</v>
      </c>
      <c r="AG465" s="70" t="str">
        <f>IFERROR(#REF!/#REF!-1,"---")</f>
        <v>---</v>
      </c>
      <c r="AH465" s="70" t="str">
        <f>IFERROR(#REF!/AA465-1,"---")</f>
        <v>---</v>
      </c>
      <c r="AI465" s="71" t="str">
        <f t="shared" si="68"/>
        <v>---</v>
      </c>
    </row>
    <row r="466" spans="1:35" ht="30" customHeight="1" x14ac:dyDescent="0.3">
      <c r="A466" s="123">
        <f t="shared" si="61"/>
        <v>462</v>
      </c>
      <c r="B466" s="140">
        <f>INDEX('PEER GROUP'!B:B,MATCH($A466,'PEER GROUP'!$A:$A,0))</f>
        <v>0</v>
      </c>
      <c r="C466" s="83">
        <f>INDEX('PEER GROUP'!C:C,MATCH($A466,'PEER GROUP'!$A:$A,0))</f>
        <v>0</v>
      </c>
      <c r="D466" s="83">
        <f>INDEX('PEER GROUP'!D:D,MATCH($A466,'PEER GROUP'!$A:$A,0))</f>
        <v>0</v>
      </c>
      <c r="E466" s="83">
        <f>INDEX('PEER GROUP'!E:E,MATCH(A466,'PEER GROUP'!$A:$A,0))</f>
        <v>0</v>
      </c>
      <c r="F466" s="84">
        <f>INDEX('PEER GROUP'!F:F,MATCH($A466,'PEER GROUP'!$A:$A,0))</f>
        <v>0</v>
      </c>
      <c r="G466" s="84">
        <f>INDEX('PEER GROUP'!G:G,MATCH($A466,'PEER GROUP'!$A:$A,0))</f>
        <v>0</v>
      </c>
      <c r="H466" s="85"/>
      <c r="I466" s="85"/>
      <c r="J466" s="70">
        <f>INDEX('PEER GROUP'!K:K,MATCH($A466,'PEER GROUP'!$A:$A,0))</f>
        <v>0</v>
      </c>
      <c r="K466" s="70">
        <f>INDEX('PEER GROUP'!L:L,MATCH($A466,'PEER GROUP'!$A:$A,0))</f>
        <v>0</v>
      </c>
      <c r="L466" s="81">
        <f>INDEX('PEER GROUP'!N:N,MATCH($A466,'PEER GROUP'!$A:$A,0))</f>
        <v>0</v>
      </c>
      <c r="M466" s="118"/>
      <c r="N466" s="115"/>
      <c r="O466" s="117"/>
      <c r="P466" s="87"/>
      <c r="Q466" s="87"/>
      <c r="R466" s="87">
        <f t="shared" si="62"/>
        <v>0</v>
      </c>
      <c r="S466" s="113">
        <f t="shared" si="60"/>
        <v>36.913096727263202</v>
      </c>
      <c r="T466" s="69">
        <f t="shared" si="63"/>
        <v>0</v>
      </c>
      <c r="U466" s="70">
        <f t="shared" si="64"/>
        <v>0</v>
      </c>
      <c r="V466" s="70">
        <f t="shared" si="65"/>
        <v>0</v>
      </c>
      <c r="W466" s="71">
        <f t="shared" si="66"/>
        <v>0</v>
      </c>
      <c r="X466" s="49"/>
      <c r="Y466" s="151"/>
      <c r="Z466" s="69"/>
      <c r="AA466" s="70"/>
      <c r="AB466" s="70"/>
      <c r="AC466" s="70" t="str">
        <f t="shared" si="67"/>
        <v>---</v>
      </c>
      <c r="AD466" s="70" t="str">
        <f>IFERROR(P466/#REF!-1,"---")</f>
        <v>---</v>
      </c>
      <c r="AE466" s="70" t="str">
        <f>IFERROR(#REF!/#REF!-1,"---")</f>
        <v>---</v>
      </c>
      <c r="AF466" s="70" t="str">
        <f>IFERROR(Q466/#REF!-1,"---")</f>
        <v>---</v>
      </c>
      <c r="AG466" s="70" t="str">
        <f>IFERROR(#REF!/#REF!-1,"---")</f>
        <v>---</v>
      </c>
      <c r="AH466" s="70" t="str">
        <f>IFERROR(#REF!/AA466-1,"---")</f>
        <v>---</v>
      </c>
      <c r="AI466" s="71" t="str">
        <f t="shared" si="68"/>
        <v>---</v>
      </c>
    </row>
    <row r="467" spans="1:35" ht="30" customHeight="1" x14ac:dyDescent="0.3">
      <c r="A467" s="123">
        <f t="shared" si="61"/>
        <v>463</v>
      </c>
      <c r="B467" s="140">
        <f>INDEX('PEER GROUP'!B:B,MATCH($A467,'PEER GROUP'!$A:$A,0))</f>
        <v>0</v>
      </c>
      <c r="C467" s="83">
        <f>INDEX('PEER GROUP'!C:C,MATCH($A467,'PEER GROUP'!$A:$A,0))</f>
        <v>0</v>
      </c>
      <c r="D467" s="83">
        <f>INDEX('PEER GROUP'!D:D,MATCH($A467,'PEER GROUP'!$A:$A,0))</f>
        <v>0</v>
      </c>
      <c r="E467" s="83">
        <f>INDEX('PEER GROUP'!E:E,MATCH(A467,'PEER GROUP'!$A:$A,0))</f>
        <v>0</v>
      </c>
      <c r="F467" s="84">
        <f>INDEX('PEER GROUP'!F:F,MATCH($A467,'PEER GROUP'!$A:$A,0))</f>
        <v>0</v>
      </c>
      <c r="G467" s="84">
        <f>INDEX('PEER GROUP'!G:G,MATCH($A467,'PEER GROUP'!$A:$A,0))</f>
        <v>0</v>
      </c>
      <c r="H467" s="85"/>
      <c r="I467" s="85"/>
      <c r="J467" s="70">
        <f>INDEX('PEER GROUP'!K:K,MATCH($A467,'PEER GROUP'!$A:$A,0))</f>
        <v>0</v>
      </c>
      <c r="K467" s="70">
        <f>INDEX('PEER GROUP'!L:L,MATCH($A467,'PEER GROUP'!$A:$A,0))</f>
        <v>0</v>
      </c>
      <c r="L467" s="81">
        <f>INDEX('PEER GROUP'!N:N,MATCH($A467,'PEER GROUP'!$A:$A,0))</f>
        <v>0</v>
      </c>
      <c r="M467" s="118"/>
      <c r="N467" s="115"/>
      <c r="O467" s="117"/>
      <c r="P467" s="87"/>
      <c r="Q467" s="87"/>
      <c r="R467" s="87">
        <f t="shared" si="62"/>
        <v>0</v>
      </c>
      <c r="S467" s="113">
        <f t="shared" si="60"/>
        <v>36.913096727263202</v>
      </c>
      <c r="T467" s="69">
        <f t="shared" si="63"/>
        <v>0</v>
      </c>
      <c r="U467" s="70">
        <f t="shared" si="64"/>
        <v>0</v>
      </c>
      <c r="V467" s="70">
        <f t="shared" si="65"/>
        <v>0</v>
      </c>
      <c r="W467" s="71">
        <f t="shared" si="66"/>
        <v>0</v>
      </c>
      <c r="X467" s="49"/>
      <c r="Y467" s="151"/>
      <c r="Z467" s="69"/>
      <c r="AA467" s="70"/>
      <c r="AB467" s="70"/>
      <c r="AC467" s="70" t="str">
        <f t="shared" si="67"/>
        <v>---</v>
      </c>
      <c r="AD467" s="70" t="str">
        <f>IFERROR(P467/#REF!-1,"---")</f>
        <v>---</v>
      </c>
      <c r="AE467" s="70" t="str">
        <f>IFERROR(#REF!/#REF!-1,"---")</f>
        <v>---</v>
      </c>
      <c r="AF467" s="70" t="str">
        <f>IFERROR(Q467/#REF!-1,"---")</f>
        <v>---</v>
      </c>
      <c r="AG467" s="70" t="str">
        <f>IFERROR(#REF!/#REF!-1,"---")</f>
        <v>---</v>
      </c>
      <c r="AH467" s="70" t="str">
        <f>IFERROR(#REF!/AA467-1,"---")</f>
        <v>---</v>
      </c>
      <c r="AI467" s="71" t="str">
        <f t="shared" si="68"/>
        <v>---</v>
      </c>
    </row>
    <row r="468" spans="1:35" ht="30" customHeight="1" x14ac:dyDescent="0.3">
      <c r="A468" s="123">
        <f t="shared" si="61"/>
        <v>464</v>
      </c>
      <c r="B468" s="140">
        <f>INDEX('PEER GROUP'!B:B,MATCH($A468,'PEER GROUP'!$A:$A,0))</f>
        <v>0</v>
      </c>
      <c r="C468" s="83">
        <f>INDEX('PEER GROUP'!C:C,MATCH($A468,'PEER GROUP'!$A:$A,0))</f>
        <v>0</v>
      </c>
      <c r="D468" s="83">
        <f>INDEX('PEER GROUP'!D:D,MATCH($A468,'PEER GROUP'!$A:$A,0))</f>
        <v>0</v>
      </c>
      <c r="E468" s="83">
        <f>INDEX('PEER GROUP'!E:E,MATCH(A468,'PEER GROUP'!$A:$A,0))</f>
        <v>0</v>
      </c>
      <c r="F468" s="84">
        <f>INDEX('PEER GROUP'!F:F,MATCH($A468,'PEER GROUP'!$A:$A,0))</f>
        <v>0</v>
      </c>
      <c r="G468" s="84">
        <f>INDEX('PEER GROUP'!G:G,MATCH($A468,'PEER GROUP'!$A:$A,0))</f>
        <v>0</v>
      </c>
      <c r="H468" s="85"/>
      <c r="I468" s="85"/>
      <c r="J468" s="70">
        <f>INDEX('PEER GROUP'!K:K,MATCH($A468,'PEER GROUP'!$A:$A,0))</f>
        <v>0</v>
      </c>
      <c r="K468" s="70">
        <f>INDEX('PEER GROUP'!L:L,MATCH($A468,'PEER GROUP'!$A:$A,0))</f>
        <v>0</v>
      </c>
      <c r="L468" s="81">
        <f>INDEX('PEER GROUP'!N:N,MATCH($A468,'PEER GROUP'!$A:$A,0))</f>
        <v>0</v>
      </c>
      <c r="M468" s="118"/>
      <c r="N468" s="115"/>
      <c r="O468" s="117"/>
      <c r="P468" s="87"/>
      <c r="Q468" s="87"/>
      <c r="R468" s="87">
        <f t="shared" si="62"/>
        <v>0</v>
      </c>
      <c r="S468" s="113">
        <f t="shared" si="60"/>
        <v>36.913096727263202</v>
      </c>
      <c r="T468" s="69">
        <f t="shared" si="63"/>
        <v>0</v>
      </c>
      <c r="U468" s="70">
        <f t="shared" si="64"/>
        <v>0</v>
      </c>
      <c r="V468" s="70">
        <f t="shared" si="65"/>
        <v>0</v>
      </c>
      <c r="W468" s="71">
        <f t="shared" si="66"/>
        <v>0</v>
      </c>
      <c r="X468" s="49"/>
      <c r="Y468" s="151"/>
      <c r="Z468" s="69"/>
      <c r="AA468" s="70"/>
      <c r="AB468" s="70"/>
      <c r="AC468" s="70" t="str">
        <f t="shared" si="67"/>
        <v>---</v>
      </c>
      <c r="AD468" s="70" t="str">
        <f>IFERROR(P468/#REF!-1,"---")</f>
        <v>---</v>
      </c>
      <c r="AE468" s="70" t="str">
        <f>IFERROR(#REF!/#REF!-1,"---")</f>
        <v>---</v>
      </c>
      <c r="AF468" s="70" t="str">
        <f>IFERROR(Q468/#REF!-1,"---")</f>
        <v>---</v>
      </c>
      <c r="AG468" s="70" t="str">
        <f>IFERROR(#REF!/#REF!-1,"---")</f>
        <v>---</v>
      </c>
      <c r="AH468" s="70" t="str">
        <f>IFERROR(#REF!/AA468-1,"---")</f>
        <v>---</v>
      </c>
      <c r="AI468" s="71" t="str">
        <f t="shared" si="68"/>
        <v>---</v>
      </c>
    </row>
    <row r="469" spans="1:35" ht="30" customHeight="1" x14ac:dyDescent="0.3">
      <c r="A469" s="123">
        <f t="shared" si="61"/>
        <v>465</v>
      </c>
      <c r="B469" s="140">
        <f>INDEX('PEER GROUP'!B:B,MATCH($A469,'PEER GROUP'!$A:$A,0))</f>
        <v>0</v>
      </c>
      <c r="C469" s="83">
        <f>INDEX('PEER GROUP'!C:C,MATCH($A469,'PEER GROUP'!$A:$A,0))</f>
        <v>0</v>
      </c>
      <c r="D469" s="83">
        <f>INDEX('PEER GROUP'!D:D,MATCH($A469,'PEER GROUP'!$A:$A,0))</f>
        <v>0</v>
      </c>
      <c r="E469" s="83">
        <f>INDEX('PEER GROUP'!E:E,MATCH(A469,'PEER GROUP'!$A:$A,0))</f>
        <v>0</v>
      </c>
      <c r="F469" s="84">
        <f>INDEX('PEER GROUP'!F:F,MATCH($A469,'PEER GROUP'!$A:$A,0))</f>
        <v>0</v>
      </c>
      <c r="G469" s="84">
        <f>INDEX('PEER GROUP'!G:G,MATCH($A469,'PEER GROUP'!$A:$A,0))</f>
        <v>0</v>
      </c>
      <c r="H469" s="85"/>
      <c r="I469" s="85"/>
      <c r="J469" s="70">
        <f>INDEX('PEER GROUP'!K:K,MATCH($A469,'PEER GROUP'!$A:$A,0))</f>
        <v>0</v>
      </c>
      <c r="K469" s="70">
        <f>INDEX('PEER GROUP'!L:L,MATCH($A469,'PEER GROUP'!$A:$A,0))</f>
        <v>0</v>
      </c>
      <c r="L469" s="81">
        <f>INDEX('PEER GROUP'!N:N,MATCH($A469,'PEER GROUP'!$A:$A,0))</f>
        <v>0</v>
      </c>
      <c r="M469" s="118"/>
      <c r="N469" s="115"/>
      <c r="O469" s="117"/>
      <c r="P469" s="87"/>
      <c r="Q469" s="87"/>
      <c r="R469" s="87">
        <f t="shared" si="62"/>
        <v>0</v>
      </c>
      <c r="S469" s="113">
        <f t="shared" si="60"/>
        <v>36.913096727263202</v>
      </c>
      <c r="T469" s="69">
        <f t="shared" si="63"/>
        <v>0</v>
      </c>
      <c r="U469" s="70">
        <f t="shared" si="64"/>
        <v>0</v>
      </c>
      <c r="V469" s="70">
        <f t="shared" si="65"/>
        <v>0</v>
      </c>
      <c r="W469" s="71">
        <f t="shared" si="66"/>
        <v>0</v>
      </c>
      <c r="X469" s="49"/>
      <c r="Y469" s="151"/>
      <c r="Z469" s="69"/>
      <c r="AA469" s="70"/>
      <c r="AB469" s="70"/>
      <c r="AC469" s="70" t="str">
        <f t="shared" si="67"/>
        <v>---</v>
      </c>
      <c r="AD469" s="70" t="str">
        <f>IFERROR(P469/#REF!-1,"---")</f>
        <v>---</v>
      </c>
      <c r="AE469" s="70" t="str">
        <f>IFERROR(#REF!/#REF!-1,"---")</f>
        <v>---</v>
      </c>
      <c r="AF469" s="70" t="str">
        <f>IFERROR(Q469/#REF!-1,"---")</f>
        <v>---</v>
      </c>
      <c r="AG469" s="70" t="str">
        <f>IFERROR(#REF!/#REF!-1,"---")</f>
        <v>---</v>
      </c>
      <c r="AH469" s="70" t="str">
        <f>IFERROR(#REF!/AA469-1,"---")</f>
        <v>---</v>
      </c>
      <c r="AI469" s="71" t="str">
        <f t="shared" si="68"/>
        <v>---</v>
      </c>
    </row>
    <row r="470" spans="1:35" ht="30" customHeight="1" x14ac:dyDescent="0.3">
      <c r="A470" s="123">
        <f t="shared" si="61"/>
        <v>466</v>
      </c>
      <c r="B470" s="140">
        <f>INDEX('PEER GROUP'!B:B,MATCH($A470,'PEER GROUP'!$A:$A,0))</f>
        <v>0</v>
      </c>
      <c r="C470" s="83">
        <f>INDEX('PEER GROUP'!C:C,MATCH($A470,'PEER GROUP'!$A:$A,0))</f>
        <v>0</v>
      </c>
      <c r="D470" s="83">
        <f>INDEX('PEER GROUP'!D:D,MATCH($A470,'PEER GROUP'!$A:$A,0))</f>
        <v>0</v>
      </c>
      <c r="E470" s="83">
        <f>INDEX('PEER GROUP'!E:E,MATCH(A470,'PEER GROUP'!$A:$A,0))</f>
        <v>0</v>
      </c>
      <c r="F470" s="84">
        <f>INDEX('PEER GROUP'!F:F,MATCH($A470,'PEER GROUP'!$A:$A,0))</f>
        <v>0</v>
      </c>
      <c r="G470" s="84">
        <f>INDEX('PEER GROUP'!G:G,MATCH($A470,'PEER GROUP'!$A:$A,0))</f>
        <v>0</v>
      </c>
      <c r="H470" s="85"/>
      <c r="I470" s="85"/>
      <c r="J470" s="70">
        <f>INDEX('PEER GROUP'!K:K,MATCH($A470,'PEER GROUP'!$A:$A,0))</f>
        <v>0</v>
      </c>
      <c r="K470" s="70">
        <f>INDEX('PEER GROUP'!L:L,MATCH($A470,'PEER GROUP'!$A:$A,0))</f>
        <v>0</v>
      </c>
      <c r="L470" s="81">
        <f>INDEX('PEER GROUP'!N:N,MATCH($A470,'PEER GROUP'!$A:$A,0))</f>
        <v>0</v>
      </c>
      <c r="M470" s="118"/>
      <c r="N470" s="115"/>
      <c r="O470" s="117"/>
      <c r="P470" s="87"/>
      <c r="Q470" s="87"/>
      <c r="R470" s="87">
        <f t="shared" si="62"/>
        <v>0</v>
      </c>
      <c r="S470" s="113">
        <f t="shared" si="60"/>
        <v>36.913096727263202</v>
      </c>
      <c r="T470" s="69">
        <f t="shared" si="63"/>
        <v>0</v>
      </c>
      <c r="U470" s="70">
        <f t="shared" si="64"/>
        <v>0</v>
      </c>
      <c r="V470" s="70">
        <f t="shared" si="65"/>
        <v>0</v>
      </c>
      <c r="W470" s="71">
        <f t="shared" si="66"/>
        <v>0</v>
      </c>
      <c r="X470" s="49"/>
      <c r="Y470" s="151"/>
      <c r="Z470" s="69"/>
      <c r="AA470" s="70"/>
      <c r="AB470" s="70"/>
      <c r="AC470" s="70" t="str">
        <f t="shared" si="67"/>
        <v>---</v>
      </c>
      <c r="AD470" s="70" t="str">
        <f>IFERROR(P470/#REF!-1,"---")</f>
        <v>---</v>
      </c>
      <c r="AE470" s="70" t="str">
        <f>IFERROR(#REF!/#REF!-1,"---")</f>
        <v>---</v>
      </c>
      <c r="AF470" s="70" t="str">
        <f>IFERROR(Q470/#REF!-1,"---")</f>
        <v>---</v>
      </c>
      <c r="AG470" s="70" t="str">
        <f>IFERROR(#REF!/#REF!-1,"---")</f>
        <v>---</v>
      </c>
      <c r="AH470" s="70" t="str">
        <f>IFERROR(#REF!/AA470-1,"---")</f>
        <v>---</v>
      </c>
      <c r="AI470" s="71" t="str">
        <f t="shared" si="68"/>
        <v>---</v>
      </c>
    </row>
    <row r="471" spans="1:35" ht="30" customHeight="1" x14ac:dyDescent="0.3">
      <c r="A471" s="123">
        <f t="shared" si="61"/>
        <v>467</v>
      </c>
      <c r="B471" s="140">
        <f>INDEX('PEER GROUP'!B:B,MATCH($A471,'PEER GROUP'!$A:$A,0))</f>
        <v>0</v>
      </c>
      <c r="C471" s="83">
        <f>INDEX('PEER GROUP'!C:C,MATCH($A471,'PEER GROUP'!$A:$A,0))</f>
        <v>0</v>
      </c>
      <c r="D471" s="83">
        <f>INDEX('PEER GROUP'!D:D,MATCH($A471,'PEER GROUP'!$A:$A,0))</f>
        <v>0</v>
      </c>
      <c r="E471" s="83">
        <f>INDEX('PEER GROUP'!E:E,MATCH(A471,'PEER GROUP'!$A:$A,0))</f>
        <v>0</v>
      </c>
      <c r="F471" s="84">
        <f>INDEX('PEER GROUP'!F:F,MATCH($A471,'PEER GROUP'!$A:$A,0))</f>
        <v>0</v>
      </c>
      <c r="G471" s="84">
        <f>INDEX('PEER GROUP'!G:G,MATCH($A471,'PEER GROUP'!$A:$A,0))</f>
        <v>0</v>
      </c>
      <c r="H471" s="85"/>
      <c r="I471" s="85"/>
      <c r="J471" s="70">
        <f>INDEX('PEER GROUP'!K:K,MATCH($A471,'PEER GROUP'!$A:$A,0))</f>
        <v>0</v>
      </c>
      <c r="K471" s="70">
        <f>INDEX('PEER GROUP'!L:L,MATCH($A471,'PEER GROUP'!$A:$A,0))</f>
        <v>0</v>
      </c>
      <c r="L471" s="81">
        <f>INDEX('PEER GROUP'!N:N,MATCH($A471,'PEER GROUP'!$A:$A,0))</f>
        <v>0</v>
      </c>
      <c r="M471" s="118"/>
      <c r="N471" s="115"/>
      <c r="O471" s="117"/>
      <c r="P471" s="87"/>
      <c r="Q471" s="87"/>
      <c r="R471" s="87">
        <f t="shared" si="62"/>
        <v>0</v>
      </c>
      <c r="S471" s="113">
        <f t="shared" si="60"/>
        <v>36.913096727263202</v>
      </c>
      <c r="T471" s="69">
        <f t="shared" si="63"/>
        <v>0</v>
      </c>
      <c r="U471" s="70">
        <f t="shared" si="64"/>
        <v>0</v>
      </c>
      <c r="V471" s="70">
        <f t="shared" si="65"/>
        <v>0</v>
      </c>
      <c r="W471" s="71">
        <f t="shared" si="66"/>
        <v>0</v>
      </c>
      <c r="X471" s="49"/>
      <c r="Y471" s="151"/>
      <c r="Z471" s="69"/>
      <c r="AA471" s="70"/>
      <c r="AB471" s="70"/>
      <c r="AC471" s="70" t="str">
        <f t="shared" si="67"/>
        <v>---</v>
      </c>
      <c r="AD471" s="70" t="str">
        <f>IFERROR(P471/#REF!-1,"---")</f>
        <v>---</v>
      </c>
      <c r="AE471" s="70" t="str">
        <f>IFERROR(#REF!/#REF!-1,"---")</f>
        <v>---</v>
      </c>
      <c r="AF471" s="70" t="str">
        <f>IFERROR(Q471/#REF!-1,"---")</f>
        <v>---</v>
      </c>
      <c r="AG471" s="70" t="str">
        <f>IFERROR(#REF!/#REF!-1,"---")</f>
        <v>---</v>
      </c>
      <c r="AH471" s="70" t="str">
        <f>IFERROR(#REF!/AA471-1,"---")</f>
        <v>---</v>
      </c>
      <c r="AI471" s="71" t="str">
        <f t="shared" si="68"/>
        <v>---</v>
      </c>
    </row>
    <row r="472" spans="1:35" ht="30" customHeight="1" x14ac:dyDescent="0.3">
      <c r="A472" s="123">
        <f t="shared" si="61"/>
        <v>468</v>
      </c>
      <c r="B472" s="140">
        <f>INDEX('PEER GROUP'!B:B,MATCH($A472,'PEER GROUP'!$A:$A,0))</f>
        <v>0</v>
      </c>
      <c r="C472" s="83">
        <f>INDEX('PEER GROUP'!C:C,MATCH($A472,'PEER GROUP'!$A:$A,0))</f>
        <v>0</v>
      </c>
      <c r="D472" s="83">
        <f>INDEX('PEER GROUP'!D:D,MATCH($A472,'PEER GROUP'!$A:$A,0))</f>
        <v>0</v>
      </c>
      <c r="E472" s="83">
        <f>INDEX('PEER GROUP'!E:E,MATCH(A472,'PEER GROUP'!$A:$A,0))</f>
        <v>0</v>
      </c>
      <c r="F472" s="84">
        <f>INDEX('PEER GROUP'!F:F,MATCH($A472,'PEER GROUP'!$A:$A,0))</f>
        <v>0</v>
      </c>
      <c r="G472" s="84">
        <f>INDEX('PEER GROUP'!G:G,MATCH($A472,'PEER GROUP'!$A:$A,0))</f>
        <v>0</v>
      </c>
      <c r="H472" s="85"/>
      <c r="I472" s="85"/>
      <c r="J472" s="70">
        <f>INDEX('PEER GROUP'!K:K,MATCH($A472,'PEER GROUP'!$A:$A,0))</f>
        <v>0</v>
      </c>
      <c r="K472" s="70">
        <f>INDEX('PEER GROUP'!L:L,MATCH($A472,'PEER GROUP'!$A:$A,0))</f>
        <v>0</v>
      </c>
      <c r="L472" s="81">
        <f>INDEX('PEER GROUP'!N:N,MATCH($A472,'PEER GROUP'!$A:$A,0))</f>
        <v>0</v>
      </c>
      <c r="M472" s="118"/>
      <c r="N472" s="115"/>
      <c r="O472" s="117"/>
      <c r="P472" s="87"/>
      <c r="Q472" s="87"/>
      <c r="R472" s="87">
        <f t="shared" si="62"/>
        <v>0</v>
      </c>
      <c r="S472" s="113">
        <f t="shared" si="60"/>
        <v>36.913096727263202</v>
      </c>
      <c r="T472" s="69">
        <f t="shared" si="63"/>
        <v>0</v>
      </c>
      <c r="U472" s="70">
        <f t="shared" si="64"/>
        <v>0</v>
      </c>
      <c r="V472" s="70">
        <f t="shared" si="65"/>
        <v>0</v>
      </c>
      <c r="W472" s="71">
        <f t="shared" si="66"/>
        <v>0</v>
      </c>
      <c r="X472" s="49"/>
      <c r="Y472" s="151"/>
      <c r="Z472" s="69"/>
      <c r="AA472" s="70"/>
      <c r="AB472" s="70"/>
      <c r="AC472" s="70" t="str">
        <f t="shared" si="67"/>
        <v>---</v>
      </c>
      <c r="AD472" s="70" t="str">
        <f>IFERROR(P472/#REF!-1,"---")</f>
        <v>---</v>
      </c>
      <c r="AE472" s="70" t="str">
        <f>IFERROR(#REF!/#REF!-1,"---")</f>
        <v>---</v>
      </c>
      <c r="AF472" s="70" t="str">
        <f>IFERROR(Q472/#REF!-1,"---")</f>
        <v>---</v>
      </c>
      <c r="AG472" s="70" t="str">
        <f>IFERROR(#REF!/#REF!-1,"---")</f>
        <v>---</v>
      </c>
      <c r="AH472" s="70" t="str">
        <f>IFERROR(#REF!/AA472-1,"---")</f>
        <v>---</v>
      </c>
      <c r="AI472" s="71" t="str">
        <f t="shared" si="68"/>
        <v>---</v>
      </c>
    </row>
    <row r="473" spans="1:35" ht="30" customHeight="1" x14ac:dyDescent="0.3">
      <c r="A473" s="123">
        <f t="shared" si="61"/>
        <v>469</v>
      </c>
      <c r="B473" s="140">
        <f>INDEX('PEER GROUP'!B:B,MATCH($A473,'PEER GROUP'!$A:$A,0))</f>
        <v>0</v>
      </c>
      <c r="C473" s="83">
        <f>INDEX('PEER GROUP'!C:C,MATCH($A473,'PEER GROUP'!$A:$A,0))</f>
        <v>0</v>
      </c>
      <c r="D473" s="83">
        <f>INDEX('PEER GROUP'!D:D,MATCH($A473,'PEER GROUP'!$A:$A,0))</f>
        <v>0</v>
      </c>
      <c r="E473" s="83">
        <f>INDEX('PEER GROUP'!E:E,MATCH(A473,'PEER GROUP'!$A:$A,0))</f>
        <v>0</v>
      </c>
      <c r="F473" s="84">
        <f>INDEX('PEER GROUP'!F:F,MATCH($A473,'PEER GROUP'!$A:$A,0))</f>
        <v>0</v>
      </c>
      <c r="G473" s="84">
        <f>INDEX('PEER GROUP'!G:G,MATCH($A473,'PEER GROUP'!$A:$A,0))</f>
        <v>0</v>
      </c>
      <c r="H473" s="85"/>
      <c r="I473" s="85"/>
      <c r="J473" s="70">
        <f>INDEX('PEER GROUP'!K:K,MATCH($A473,'PEER GROUP'!$A:$A,0))</f>
        <v>0</v>
      </c>
      <c r="K473" s="70">
        <f>INDEX('PEER GROUP'!L:L,MATCH($A473,'PEER GROUP'!$A:$A,0))</f>
        <v>0</v>
      </c>
      <c r="L473" s="81">
        <f>INDEX('PEER GROUP'!N:N,MATCH($A473,'PEER GROUP'!$A:$A,0))</f>
        <v>0</v>
      </c>
      <c r="M473" s="118"/>
      <c r="N473" s="115"/>
      <c r="O473" s="117"/>
      <c r="P473" s="87"/>
      <c r="Q473" s="87"/>
      <c r="R473" s="87">
        <f t="shared" si="62"/>
        <v>0</v>
      </c>
      <c r="S473" s="113">
        <f t="shared" si="60"/>
        <v>36.913096727263202</v>
      </c>
      <c r="T473" s="69">
        <f t="shared" si="63"/>
        <v>0</v>
      </c>
      <c r="U473" s="70">
        <f t="shared" si="64"/>
        <v>0</v>
      </c>
      <c r="V473" s="70">
        <f t="shared" si="65"/>
        <v>0</v>
      </c>
      <c r="W473" s="71">
        <f t="shared" si="66"/>
        <v>0</v>
      </c>
      <c r="X473" s="49"/>
      <c r="Y473" s="151"/>
      <c r="Z473" s="69"/>
      <c r="AA473" s="70"/>
      <c r="AB473" s="70"/>
      <c r="AC473" s="70" t="str">
        <f t="shared" si="67"/>
        <v>---</v>
      </c>
      <c r="AD473" s="70" t="str">
        <f>IFERROR(P473/#REF!-1,"---")</f>
        <v>---</v>
      </c>
      <c r="AE473" s="70" t="str">
        <f>IFERROR(#REF!/#REF!-1,"---")</f>
        <v>---</v>
      </c>
      <c r="AF473" s="70" t="str">
        <f>IFERROR(Q473/#REF!-1,"---")</f>
        <v>---</v>
      </c>
      <c r="AG473" s="70" t="str">
        <f>IFERROR(#REF!/#REF!-1,"---")</f>
        <v>---</v>
      </c>
      <c r="AH473" s="70" t="str">
        <f>IFERROR(#REF!/AA473-1,"---")</f>
        <v>---</v>
      </c>
      <c r="AI473" s="71" t="str">
        <f t="shared" si="68"/>
        <v>---</v>
      </c>
    </row>
    <row r="474" spans="1:35" ht="30" customHeight="1" x14ac:dyDescent="0.3">
      <c r="A474" s="123">
        <f t="shared" si="61"/>
        <v>470</v>
      </c>
      <c r="B474" s="140">
        <f>INDEX('PEER GROUP'!B:B,MATCH($A474,'PEER GROUP'!$A:$A,0))</f>
        <v>0</v>
      </c>
      <c r="C474" s="83">
        <f>INDEX('PEER GROUP'!C:C,MATCH($A474,'PEER GROUP'!$A:$A,0))</f>
        <v>0</v>
      </c>
      <c r="D474" s="83">
        <f>INDEX('PEER GROUP'!D:D,MATCH($A474,'PEER GROUP'!$A:$A,0))</f>
        <v>0</v>
      </c>
      <c r="E474" s="83">
        <f>INDEX('PEER GROUP'!E:E,MATCH(A474,'PEER GROUP'!$A:$A,0))</f>
        <v>0</v>
      </c>
      <c r="F474" s="84">
        <f>INDEX('PEER GROUP'!F:F,MATCH($A474,'PEER GROUP'!$A:$A,0))</f>
        <v>0</v>
      </c>
      <c r="G474" s="84">
        <f>INDEX('PEER GROUP'!G:G,MATCH($A474,'PEER GROUP'!$A:$A,0))</f>
        <v>0</v>
      </c>
      <c r="H474" s="85"/>
      <c r="I474" s="85"/>
      <c r="J474" s="70">
        <f>INDEX('PEER GROUP'!K:K,MATCH($A474,'PEER GROUP'!$A:$A,0))</f>
        <v>0</v>
      </c>
      <c r="K474" s="70">
        <f>INDEX('PEER GROUP'!L:L,MATCH($A474,'PEER GROUP'!$A:$A,0))</f>
        <v>0</v>
      </c>
      <c r="L474" s="81">
        <f>INDEX('PEER GROUP'!N:N,MATCH($A474,'PEER GROUP'!$A:$A,0))</f>
        <v>0</v>
      </c>
      <c r="M474" s="118"/>
      <c r="N474" s="115"/>
      <c r="O474" s="117"/>
      <c r="P474" s="87"/>
      <c r="Q474" s="87"/>
      <c r="R474" s="87">
        <f t="shared" si="62"/>
        <v>0</v>
      </c>
      <c r="S474" s="113">
        <f t="shared" si="60"/>
        <v>36.913096727263202</v>
      </c>
      <c r="T474" s="69">
        <f t="shared" si="63"/>
        <v>0</v>
      </c>
      <c r="U474" s="70">
        <f t="shared" si="64"/>
        <v>0</v>
      </c>
      <c r="V474" s="70">
        <f t="shared" si="65"/>
        <v>0</v>
      </c>
      <c r="W474" s="71">
        <f t="shared" si="66"/>
        <v>0</v>
      </c>
      <c r="X474" s="49"/>
      <c r="Y474" s="151"/>
      <c r="Z474" s="69"/>
      <c r="AA474" s="70"/>
      <c r="AB474" s="70"/>
      <c r="AC474" s="70" t="str">
        <f t="shared" si="67"/>
        <v>---</v>
      </c>
      <c r="AD474" s="70" t="str">
        <f>IFERROR(P474/#REF!-1,"---")</f>
        <v>---</v>
      </c>
      <c r="AE474" s="70" t="str">
        <f>IFERROR(#REF!/#REF!-1,"---")</f>
        <v>---</v>
      </c>
      <c r="AF474" s="70" t="str">
        <f>IFERROR(Q474/#REF!-1,"---")</f>
        <v>---</v>
      </c>
      <c r="AG474" s="70" t="str">
        <f>IFERROR(#REF!/#REF!-1,"---")</f>
        <v>---</v>
      </c>
      <c r="AH474" s="70" t="str">
        <f>IFERROR(#REF!/AA474-1,"---")</f>
        <v>---</v>
      </c>
      <c r="AI474" s="71" t="str">
        <f t="shared" si="68"/>
        <v>---</v>
      </c>
    </row>
    <row r="475" spans="1:35" ht="30" customHeight="1" x14ac:dyDescent="0.3">
      <c r="A475" s="123">
        <f t="shared" si="61"/>
        <v>471</v>
      </c>
      <c r="B475" s="140">
        <f>INDEX('PEER GROUP'!B:B,MATCH($A475,'PEER GROUP'!$A:$A,0))</f>
        <v>0</v>
      </c>
      <c r="C475" s="83">
        <f>INDEX('PEER GROUP'!C:C,MATCH($A475,'PEER GROUP'!$A:$A,0))</f>
        <v>0</v>
      </c>
      <c r="D475" s="83">
        <f>INDEX('PEER GROUP'!D:D,MATCH($A475,'PEER GROUP'!$A:$A,0))</f>
        <v>0</v>
      </c>
      <c r="E475" s="83">
        <f>INDEX('PEER GROUP'!E:E,MATCH(A475,'PEER GROUP'!$A:$A,0))</f>
        <v>0</v>
      </c>
      <c r="F475" s="84">
        <f>INDEX('PEER GROUP'!F:F,MATCH($A475,'PEER GROUP'!$A:$A,0))</f>
        <v>0</v>
      </c>
      <c r="G475" s="84">
        <f>INDEX('PEER GROUP'!G:G,MATCH($A475,'PEER GROUP'!$A:$A,0))</f>
        <v>0</v>
      </c>
      <c r="H475" s="85"/>
      <c r="I475" s="85"/>
      <c r="J475" s="70">
        <f>INDEX('PEER GROUP'!K:K,MATCH($A475,'PEER GROUP'!$A:$A,0))</f>
        <v>0</v>
      </c>
      <c r="K475" s="70">
        <f>INDEX('PEER GROUP'!L:L,MATCH($A475,'PEER GROUP'!$A:$A,0))</f>
        <v>0</v>
      </c>
      <c r="L475" s="81">
        <f>INDEX('PEER GROUP'!N:N,MATCH($A475,'PEER GROUP'!$A:$A,0))</f>
        <v>0</v>
      </c>
      <c r="M475" s="118"/>
      <c r="N475" s="115"/>
      <c r="O475" s="117"/>
      <c r="P475" s="87"/>
      <c r="Q475" s="87"/>
      <c r="R475" s="87">
        <f t="shared" si="62"/>
        <v>0</v>
      </c>
      <c r="S475" s="113">
        <f t="shared" si="60"/>
        <v>36.913096727263202</v>
      </c>
      <c r="T475" s="69">
        <f t="shared" si="63"/>
        <v>0</v>
      </c>
      <c r="U475" s="70">
        <f t="shared" si="64"/>
        <v>0</v>
      </c>
      <c r="V475" s="70">
        <f t="shared" si="65"/>
        <v>0</v>
      </c>
      <c r="W475" s="71">
        <f t="shared" si="66"/>
        <v>0</v>
      </c>
      <c r="X475" s="49"/>
      <c r="Y475" s="151"/>
      <c r="Z475" s="69"/>
      <c r="AA475" s="70"/>
      <c r="AB475" s="70"/>
      <c r="AC475" s="70" t="str">
        <f t="shared" si="67"/>
        <v>---</v>
      </c>
      <c r="AD475" s="70" t="str">
        <f>IFERROR(P475/#REF!-1,"---")</f>
        <v>---</v>
      </c>
      <c r="AE475" s="70" t="str">
        <f>IFERROR(#REF!/#REF!-1,"---")</f>
        <v>---</v>
      </c>
      <c r="AF475" s="70" t="str">
        <f>IFERROR(Q475/#REF!-1,"---")</f>
        <v>---</v>
      </c>
      <c r="AG475" s="70" t="str">
        <f>IFERROR(#REF!/#REF!-1,"---")</f>
        <v>---</v>
      </c>
      <c r="AH475" s="70" t="str">
        <f>IFERROR(#REF!/AA475-1,"---")</f>
        <v>---</v>
      </c>
      <c r="AI475" s="71" t="str">
        <f t="shared" si="68"/>
        <v>---</v>
      </c>
    </row>
    <row r="476" spans="1:35" ht="30" customHeight="1" x14ac:dyDescent="0.3">
      <c r="A476" s="123">
        <f t="shared" si="61"/>
        <v>472</v>
      </c>
      <c r="B476" s="140">
        <f>INDEX('PEER GROUP'!B:B,MATCH($A476,'PEER GROUP'!$A:$A,0))</f>
        <v>0</v>
      </c>
      <c r="C476" s="83">
        <f>INDEX('PEER GROUP'!C:C,MATCH($A476,'PEER GROUP'!$A:$A,0))</f>
        <v>0</v>
      </c>
      <c r="D476" s="83">
        <f>INDEX('PEER GROUP'!D:D,MATCH($A476,'PEER GROUP'!$A:$A,0))</f>
        <v>0</v>
      </c>
      <c r="E476" s="83">
        <f>INDEX('PEER GROUP'!E:E,MATCH(A476,'PEER GROUP'!$A:$A,0))</f>
        <v>0</v>
      </c>
      <c r="F476" s="84">
        <f>INDEX('PEER GROUP'!F:F,MATCH($A476,'PEER GROUP'!$A:$A,0))</f>
        <v>0</v>
      </c>
      <c r="G476" s="84">
        <f>INDEX('PEER GROUP'!G:G,MATCH($A476,'PEER GROUP'!$A:$A,0))</f>
        <v>0</v>
      </c>
      <c r="H476" s="85"/>
      <c r="I476" s="85"/>
      <c r="J476" s="70">
        <f>INDEX('PEER GROUP'!K:K,MATCH($A476,'PEER GROUP'!$A:$A,0))</f>
        <v>0</v>
      </c>
      <c r="K476" s="70">
        <f>INDEX('PEER GROUP'!L:L,MATCH($A476,'PEER GROUP'!$A:$A,0))</f>
        <v>0</v>
      </c>
      <c r="L476" s="81">
        <f>INDEX('PEER GROUP'!N:N,MATCH($A476,'PEER GROUP'!$A:$A,0))</f>
        <v>0</v>
      </c>
      <c r="M476" s="118"/>
      <c r="N476" s="115"/>
      <c r="O476" s="117"/>
      <c r="P476" s="87"/>
      <c r="Q476" s="87"/>
      <c r="R476" s="87">
        <f t="shared" si="62"/>
        <v>0</v>
      </c>
      <c r="S476" s="113">
        <f t="shared" si="60"/>
        <v>36.913096727263202</v>
      </c>
      <c r="T476" s="69">
        <f t="shared" si="63"/>
        <v>0</v>
      </c>
      <c r="U476" s="70">
        <f t="shared" si="64"/>
        <v>0</v>
      </c>
      <c r="V476" s="70">
        <f t="shared" si="65"/>
        <v>0</v>
      </c>
      <c r="W476" s="71">
        <f t="shared" si="66"/>
        <v>0</v>
      </c>
      <c r="X476" s="49"/>
      <c r="Y476" s="151"/>
      <c r="Z476" s="69"/>
      <c r="AA476" s="70"/>
      <c r="AB476" s="70"/>
      <c r="AC476" s="70" t="str">
        <f t="shared" si="67"/>
        <v>---</v>
      </c>
      <c r="AD476" s="70" t="str">
        <f>IFERROR(P476/#REF!-1,"---")</f>
        <v>---</v>
      </c>
      <c r="AE476" s="70" t="str">
        <f>IFERROR(#REF!/#REF!-1,"---")</f>
        <v>---</v>
      </c>
      <c r="AF476" s="70" t="str">
        <f>IFERROR(Q476/#REF!-1,"---")</f>
        <v>---</v>
      </c>
      <c r="AG476" s="70" t="str">
        <f>IFERROR(#REF!/#REF!-1,"---")</f>
        <v>---</v>
      </c>
      <c r="AH476" s="70" t="str">
        <f>IFERROR(#REF!/AA476-1,"---")</f>
        <v>---</v>
      </c>
      <c r="AI476" s="71" t="str">
        <f t="shared" si="68"/>
        <v>---</v>
      </c>
    </row>
    <row r="477" spans="1:35" ht="30" customHeight="1" x14ac:dyDescent="0.3">
      <c r="A477" s="123">
        <f t="shared" si="61"/>
        <v>473</v>
      </c>
      <c r="B477" s="140">
        <f>INDEX('PEER GROUP'!B:B,MATCH($A477,'PEER GROUP'!$A:$A,0))</f>
        <v>0</v>
      </c>
      <c r="C477" s="83">
        <f>INDEX('PEER GROUP'!C:C,MATCH($A477,'PEER GROUP'!$A:$A,0))</f>
        <v>0</v>
      </c>
      <c r="D477" s="83">
        <f>INDEX('PEER GROUP'!D:D,MATCH($A477,'PEER GROUP'!$A:$A,0))</f>
        <v>0</v>
      </c>
      <c r="E477" s="83">
        <f>INDEX('PEER GROUP'!E:E,MATCH(A477,'PEER GROUP'!$A:$A,0))</f>
        <v>0</v>
      </c>
      <c r="F477" s="84">
        <f>INDEX('PEER GROUP'!F:F,MATCH($A477,'PEER GROUP'!$A:$A,0))</f>
        <v>0</v>
      </c>
      <c r="G477" s="84">
        <f>INDEX('PEER GROUP'!G:G,MATCH($A477,'PEER GROUP'!$A:$A,0))</f>
        <v>0</v>
      </c>
      <c r="H477" s="85"/>
      <c r="I477" s="85"/>
      <c r="J477" s="70">
        <f>INDEX('PEER GROUP'!K:K,MATCH($A477,'PEER GROUP'!$A:$A,0))</f>
        <v>0</v>
      </c>
      <c r="K477" s="70">
        <f>INDEX('PEER GROUP'!L:L,MATCH($A477,'PEER GROUP'!$A:$A,0))</f>
        <v>0</v>
      </c>
      <c r="L477" s="81">
        <f>INDEX('PEER GROUP'!N:N,MATCH($A477,'PEER GROUP'!$A:$A,0))</f>
        <v>0</v>
      </c>
      <c r="M477" s="118"/>
      <c r="N477" s="115"/>
      <c r="O477" s="117"/>
      <c r="P477" s="87"/>
      <c r="Q477" s="87"/>
      <c r="R477" s="87">
        <f t="shared" si="62"/>
        <v>0</v>
      </c>
      <c r="S477" s="113">
        <f t="shared" si="60"/>
        <v>36.913096727263202</v>
      </c>
      <c r="T477" s="69">
        <f t="shared" si="63"/>
        <v>0</v>
      </c>
      <c r="U477" s="70">
        <f t="shared" si="64"/>
        <v>0</v>
      </c>
      <c r="V477" s="70">
        <f t="shared" si="65"/>
        <v>0</v>
      </c>
      <c r="W477" s="71">
        <f t="shared" si="66"/>
        <v>0</v>
      </c>
      <c r="X477" s="49"/>
      <c r="Y477" s="151"/>
      <c r="Z477" s="69"/>
      <c r="AA477" s="70"/>
      <c r="AB477" s="70"/>
      <c r="AC477" s="70" t="str">
        <f t="shared" si="67"/>
        <v>---</v>
      </c>
      <c r="AD477" s="70" t="str">
        <f>IFERROR(P477/#REF!-1,"---")</f>
        <v>---</v>
      </c>
      <c r="AE477" s="70" t="str">
        <f>IFERROR(#REF!/#REF!-1,"---")</f>
        <v>---</v>
      </c>
      <c r="AF477" s="70" t="str">
        <f>IFERROR(Q477/#REF!-1,"---")</f>
        <v>---</v>
      </c>
      <c r="AG477" s="70" t="str">
        <f>IFERROR(#REF!/#REF!-1,"---")</f>
        <v>---</v>
      </c>
      <c r="AH477" s="70" t="str">
        <f>IFERROR(#REF!/AA477-1,"---")</f>
        <v>---</v>
      </c>
      <c r="AI477" s="71" t="str">
        <f t="shared" si="68"/>
        <v>---</v>
      </c>
    </row>
    <row r="478" spans="1:35" ht="30" customHeight="1" x14ac:dyDescent="0.3">
      <c r="A478" s="123">
        <f t="shared" si="61"/>
        <v>474</v>
      </c>
      <c r="B478" s="140">
        <f>INDEX('PEER GROUP'!B:B,MATCH($A478,'PEER GROUP'!$A:$A,0))</f>
        <v>0</v>
      </c>
      <c r="C478" s="83">
        <f>INDEX('PEER GROUP'!C:C,MATCH($A478,'PEER GROUP'!$A:$A,0))</f>
        <v>0</v>
      </c>
      <c r="D478" s="83">
        <f>INDEX('PEER GROUP'!D:D,MATCH($A478,'PEER GROUP'!$A:$A,0))</f>
        <v>0</v>
      </c>
      <c r="E478" s="83">
        <f>INDEX('PEER GROUP'!E:E,MATCH(A478,'PEER GROUP'!$A:$A,0))</f>
        <v>0</v>
      </c>
      <c r="F478" s="84">
        <f>INDEX('PEER GROUP'!F:F,MATCH($A478,'PEER GROUP'!$A:$A,0))</f>
        <v>0</v>
      </c>
      <c r="G478" s="84">
        <f>INDEX('PEER GROUP'!G:G,MATCH($A478,'PEER GROUP'!$A:$A,0))</f>
        <v>0</v>
      </c>
      <c r="H478" s="85"/>
      <c r="I478" s="85"/>
      <c r="J478" s="70">
        <f>INDEX('PEER GROUP'!K:K,MATCH($A478,'PEER GROUP'!$A:$A,0))</f>
        <v>0</v>
      </c>
      <c r="K478" s="70">
        <f>INDEX('PEER GROUP'!L:L,MATCH($A478,'PEER GROUP'!$A:$A,0))</f>
        <v>0</v>
      </c>
      <c r="L478" s="81">
        <f>INDEX('PEER GROUP'!N:N,MATCH($A478,'PEER GROUP'!$A:$A,0))</f>
        <v>0</v>
      </c>
      <c r="M478" s="118"/>
      <c r="N478" s="115"/>
      <c r="O478" s="117"/>
      <c r="P478" s="87"/>
      <c r="Q478" s="87"/>
      <c r="R478" s="87">
        <f t="shared" si="62"/>
        <v>0</v>
      </c>
      <c r="S478" s="113">
        <f t="shared" si="60"/>
        <v>36.913096727263202</v>
      </c>
      <c r="T478" s="69">
        <f t="shared" si="63"/>
        <v>0</v>
      </c>
      <c r="U478" s="70">
        <f t="shared" si="64"/>
        <v>0</v>
      </c>
      <c r="V478" s="70">
        <f t="shared" si="65"/>
        <v>0</v>
      </c>
      <c r="W478" s="71">
        <f t="shared" si="66"/>
        <v>0</v>
      </c>
      <c r="X478" s="49"/>
      <c r="Y478" s="151"/>
      <c r="Z478" s="69"/>
      <c r="AA478" s="70"/>
      <c r="AB478" s="70"/>
      <c r="AC478" s="70" t="str">
        <f t="shared" si="67"/>
        <v>---</v>
      </c>
      <c r="AD478" s="70" t="str">
        <f>IFERROR(P478/#REF!-1,"---")</f>
        <v>---</v>
      </c>
      <c r="AE478" s="70" t="str">
        <f>IFERROR(#REF!/#REF!-1,"---")</f>
        <v>---</v>
      </c>
      <c r="AF478" s="70" t="str">
        <f>IFERROR(Q478/#REF!-1,"---")</f>
        <v>---</v>
      </c>
      <c r="AG478" s="70" t="str">
        <f>IFERROR(#REF!/#REF!-1,"---")</f>
        <v>---</v>
      </c>
      <c r="AH478" s="70" t="str">
        <f>IFERROR(#REF!/AA478-1,"---")</f>
        <v>---</v>
      </c>
      <c r="AI478" s="71" t="str">
        <f t="shared" si="68"/>
        <v>---</v>
      </c>
    </row>
    <row r="479" spans="1:35" ht="30" customHeight="1" x14ac:dyDescent="0.3">
      <c r="A479" s="123">
        <f t="shared" si="61"/>
        <v>475</v>
      </c>
      <c r="B479" s="140">
        <f>INDEX('PEER GROUP'!B:B,MATCH($A479,'PEER GROUP'!$A:$A,0))</f>
        <v>0</v>
      </c>
      <c r="C479" s="83">
        <f>INDEX('PEER GROUP'!C:C,MATCH($A479,'PEER GROUP'!$A:$A,0))</f>
        <v>0</v>
      </c>
      <c r="D479" s="83">
        <f>INDEX('PEER GROUP'!D:D,MATCH($A479,'PEER GROUP'!$A:$A,0))</f>
        <v>0</v>
      </c>
      <c r="E479" s="83">
        <f>INDEX('PEER GROUP'!E:E,MATCH(A479,'PEER GROUP'!$A:$A,0))</f>
        <v>0</v>
      </c>
      <c r="F479" s="84">
        <f>INDEX('PEER GROUP'!F:F,MATCH($A479,'PEER GROUP'!$A:$A,0))</f>
        <v>0</v>
      </c>
      <c r="G479" s="84">
        <f>INDEX('PEER GROUP'!G:G,MATCH($A479,'PEER GROUP'!$A:$A,0))</f>
        <v>0</v>
      </c>
      <c r="H479" s="85"/>
      <c r="I479" s="85"/>
      <c r="J479" s="70">
        <f>INDEX('PEER GROUP'!K:K,MATCH($A479,'PEER GROUP'!$A:$A,0))</f>
        <v>0</v>
      </c>
      <c r="K479" s="70">
        <f>INDEX('PEER GROUP'!L:L,MATCH($A479,'PEER GROUP'!$A:$A,0))</f>
        <v>0</v>
      </c>
      <c r="L479" s="81">
        <f>INDEX('PEER GROUP'!N:N,MATCH($A479,'PEER GROUP'!$A:$A,0))</f>
        <v>0</v>
      </c>
      <c r="M479" s="118"/>
      <c r="N479" s="115"/>
      <c r="O479" s="117"/>
      <c r="P479" s="87"/>
      <c r="Q479" s="87"/>
      <c r="R479" s="87">
        <f t="shared" si="62"/>
        <v>0</v>
      </c>
      <c r="S479" s="113">
        <f t="shared" si="60"/>
        <v>36.913096727263202</v>
      </c>
      <c r="T479" s="69">
        <f t="shared" si="63"/>
        <v>0</v>
      </c>
      <c r="U479" s="70">
        <f t="shared" si="64"/>
        <v>0</v>
      </c>
      <c r="V479" s="70">
        <f t="shared" si="65"/>
        <v>0</v>
      </c>
      <c r="W479" s="71">
        <f t="shared" si="66"/>
        <v>0</v>
      </c>
      <c r="X479" s="49"/>
      <c r="Y479" s="151"/>
      <c r="Z479" s="69"/>
      <c r="AA479" s="70"/>
      <c r="AB479" s="70"/>
      <c r="AC479" s="70" t="str">
        <f t="shared" si="67"/>
        <v>---</v>
      </c>
      <c r="AD479" s="70" t="str">
        <f>IFERROR(P479/#REF!-1,"---")</f>
        <v>---</v>
      </c>
      <c r="AE479" s="70" t="str">
        <f>IFERROR(#REF!/#REF!-1,"---")</f>
        <v>---</v>
      </c>
      <c r="AF479" s="70" t="str">
        <f>IFERROR(Q479/#REF!-1,"---")</f>
        <v>---</v>
      </c>
      <c r="AG479" s="70" t="str">
        <f>IFERROR(#REF!/#REF!-1,"---")</f>
        <v>---</v>
      </c>
      <c r="AH479" s="70" t="str">
        <f>IFERROR(#REF!/AA479-1,"---")</f>
        <v>---</v>
      </c>
      <c r="AI479" s="71" t="str">
        <f t="shared" si="68"/>
        <v>---</v>
      </c>
    </row>
    <row r="480" spans="1:35" ht="30" customHeight="1" x14ac:dyDescent="0.3">
      <c r="A480" s="123">
        <f t="shared" si="61"/>
        <v>476</v>
      </c>
      <c r="B480" s="140">
        <f>INDEX('PEER GROUP'!B:B,MATCH($A480,'PEER GROUP'!$A:$A,0))</f>
        <v>0</v>
      </c>
      <c r="C480" s="83">
        <f>INDEX('PEER GROUP'!C:C,MATCH($A480,'PEER GROUP'!$A:$A,0))</f>
        <v>0</v>
      </c>
      <c r="D480" s="83">
        <f>INDEX('PEER GROUP'!D:D,MATCH($A480,'PEER GROUP'!$A:$A,0))</f>
        <v>0</v>
      </c>
      <c r="E480" s="83">
        <f>INDEX('PEER GROUP'!E:E,MATCH(A480,'PEER GROUP'!$A:$A,0))</f>
        <v>0</v>
      </c>
      <c r="F480" s="84">
        <f>INDEX('PEER GROUP'!F:F,MATCH($A480,'PEER GROUP'!$A:$A,0))</f>
        <v>0</v>
      </c>
      <c r="G480" s="84">
        <f>INDEX('PEER GROUP'!G:G,MATCH($A480,'PEER GROUP'!$A:$A,0))</f>
        <v>0</v>
      </c>
      <c r="H480" s="85"/>
      <c r="I480" s="85"/>
      <c r="J480" s="70">
        <f>INDEX('PEER GROUP'!K:K,MATCH($A480,'PEER GROUP'!$A:$A,0))</f>
        <v>0</v>
      </c>
      <c r="K480" s="70">
        <f>INDEX('PEER GROUP'!L:L,MATCH($A480,'PEER GROUP'!$A:$A,0))</f>
        <v>0</v>
      </c>
      <c r="L480" s="81">
        <f>INDEX('PEER GROUP'!N:N,MATCH($A480,'PEER GROUP'!$A:$A,0))</f>
        <v>0</v>
      </c>
      <c r="M480" s="118"/>
      <c r="N480" s="115"/>
      <c r="O480" s="117"/>
      <c r="P480" s="87"/>
      <c r="Q480" s="87"/>
      <c r="R480" s="87">
        <f t="shared" si="62"/>
        <v>0</v>
      </c>
      <c r="S480" s="113">
        <f t="shared" si="60"/>
        <v>36.913096727263202</v>
      </c>
      <c r="T480" s="69">
        <f t="shared" si="63"/>
        <v>0</v>
      </c>
      <c r="U480" s="70">
        <f t="shared" si="64"/>
        <v>0</v>
      </c>
      <c r="V480" s="70">
        <f t="shared" si="65"/>
        <v>0</v>
      </c>
      <c r="W480" s="71">
        <f t="shared" si="66"/>
        <v>0</v>
      </c>
      <c r="X480" s="49"/>
      <c r="Y480" s="151"/>
      <c r="Z480" s="69"/>
      <c r="AA480" s="70"/>
      <c r="AB480" s="70"/>
      <c r="AC480" s="70" t="str">
        <f t="shared" si="67"/>
        <v>---</v>
      </c>
      <c r="AD480" s="70" t="str">
        <f>IFERROR(P480/#REF!-1,"---")</f>
        <v>---</v>
      </c>
      <c r="AE480" s="70" t="str">
        <f>IFERROR(#REF!/#REF!-1,"---")</f>
        <v>---</v>
      </c>
      <c r="AF480" s="70" t="str">
        <f>IFERROR(Q480/#REF!-1,"---")</f>
        <v>---</v>
      </c>
      <c r="AG480" s="70" t="str">
        <f>IFERROR(#REF!/#REF!-1,"---")</f>
        <v>---</v>
      </c>
      <c r="AH480" s="70" t="str">
        <f>IFERROR(#REF!/AA480-1,"---")</f>
        <v>---</v>
      </c>
      <c r="AI480" s="71" t="str">
        <f t="shared" si="68"/>
        <v>---</v>
      </c>
    </row>
    <row r="481" spans="1:35" ht="30" customHeight="1" x14ac:dyDescent="0.3">
      <c r="A481" s="123">
        <f t="shared" si="61"/>
        <v>477</v>
      </c>
      <c r="B481" s="140">
        <f>INDEX('PEER GROUP'!B:B,MATCH($A481,'PEER GROUP'!$A:$A,0))</f>
        <v>0</v>
      </c>
      <c r="C481" s="83">
        <f>INDEX('PEER GROUP'!C:C,MATCH($A481,'PEER GROUP'!$A:$A,0))</f>
        <v>0</v>
      </c>
      <c r="D481" s="83">
        <f>INDEX('PEER GROUP'!D:D,MATCH($A481,'PEER GROUP'!$A:$A,0))</f>
        <v>0</v>
      </c>
      <c r="E481" s="83">
        <f>INDEX('PEER GROUP'!E:E,MATCH(A481,'PEER GROUP'!$A:$A,0))</f>
        <v>0</v>
      </c>
      <c r="F481" s="84">
        <f>INDEX('PEER GROUP'!F:F,MATCH($A481,'PEER GROUP'!$A:$A,0))</f>
        <v>0</v>
      </c>
      <c r="G481" s="84">
        <f>INDEX('PEER GROUP'!G:G,MATCH($A481,'PEER GROUP'!$A:$A,0))</f>
        <v>0</v>
      </c>
      <c r="H481" s="85"/>
      <c r="I481" s="85"/>
      <c r="J481" s="70">
        <f>INDEX('PEER GROUP'!K:K,MATCH($A481,'PEER GROUP'!$A:$A,0))</f>
        <v>0</v>
      </c>
      <c r="K481" s="70">
        <f>INDEX('PEER GROUP'!L:L,MATCH($A481,'PEER GROUP'!$A:$A,0))</f>
        <v>0</v>
      </c>
      <c r="L481" s="81">
        <f>INDEX('PEER GROUP'!N:N,MATCH($A481,'PEER GROUP'!$A:$A,0))</f>
        <v>0</v>
      </c>
      <c r="M481" s="118"/>
      <c r="N481" s="115"/>
      <c r="O481" s="117"/>
      <c r="P481" s="87"/>
      <c r="Q481" s="87"/>
      <c r="R481" s="87">
        <f t="shared" si="62"/>
        <v>0</v>
      </c>
      <c r="S481" s="113">
        <f t="shared" si="60"/>
        <v>36.913096727263202</v>
      </c>
      <c r="T481" s="69">
        <f t="shared" si="63"/>
        <v>0</v>
      </c>
      <c r="U481" s="70">
        <f t="shared" si="64"/>
        <v>0</v>
      </c>
      <c r="V481" s="70">
        <f t="shared" si="65"/>
        <v>0</v>
      </c>
      <c r="W481" s="71">
        <f t="shared" si="66"/>
        <v>0</v>
      </c>
      <c r="X481" s="49"/>
      <c r="Y481" s="151"/>
      <c r="Z481" s="69"/>
      <c r="AA481" s="70"/>
      <c r="AB481" s="70"/>
      <c r="AC481" s="70" t="str">
        <f t="shared" si="67"/>
        <v>---</v>
      </c>
      <c r="AD481" s="70" t="str">
        <f>IFERROR(P481/#REF!-1,"---")</f>
        <v>---</v>
      </c>
      <c r="AE481" s="70" t="str">
        <f>IFERROR(#REF!/#REF!-1,"---")</f>
        <v>---</v>
      </c>
      <c r="AF481" s="70" t="str">
        <f>IFERROR(Q481/#REF!-1,"---")</f>
        <v>---</v>
      </c>
      <c r="AG481" s="70" t="str">
        <f>IFERROR(#REF!/#REF!-1,"---")</f>
        <v>---</v>
      </c>
      <c r="AH481" s="70" t="str">
        <f>IFERROR(#REF!/AA481-1,"---")</f>
        <v>---</v>
      </c>
      <c r="AI481" s="71" t="str">
        <f t="shared" si="68"/>
        <v>---</v>
      </c>
    </row>
    <row r="482" spans="1:35" ht="30" customHeight="1" x14ac:dyDescent="0.3">
      <c r="A482" s="123">
        <f t="shared" si="61"/>
        <v>478</v>
      </c>
      <c r="B482" s="140">
        <f>INDEX('PEER GROUP'!B:B,MATCH($A482,'PEER GROUP'!$A:$A,0))</f>
        <v>0</v>
      </c>
      <c r="C482" s="83">
        <f>INDEX('PEER GROUP'!C:C,MATCH($A482,'PEER GROUP'!$A:$A,0))</f>
        <v>0</v>
      </c>
      <c r="D482" s="83">
        <f>INDEX('PEER GROUP'!D:D,MATCH($A482,'PEER GROUP'!$A:$A,0))</f>
        <v>0</v>
      </c>
      <c r="E482" s="83">
        <f>INDEX('PEER GROUP'!E:E,MATCH(A482,'PEER GROUP'!$A:$A,0))</f>
        <v>0</v>
      </c>
      <c r="F482" s="84">
        <f>INDEX('PEER GROUP'!F:F,MATCH($A482,'PEER GROUP'!$A:$A,0))</f>
        <v>0</v>
      </c>
      <c r="G482" s="84">
        <f>INDEX('PEER GROUP'!G:G,MATCH($A482,'PEER GROUP'!$A:$A,0))</f>
        <v>0</v>
      </c>
      <c r="H482" s="85"/>
      <c r="I482" s="85"/>
      <c r="J482" s="70">
        <f>INDEX('PEER GROUP'!K:K,MATCH($A482,'PEER GROUP'!$A:$A,0))</f>
        <v>0</v>
      </c>
      <c r="K482" s="70">
        <f>INDEX('PEER GROUP'!L:L,MATCH($A482,'PEER GROUP'!$A:$A,0))</f>
        <v>0</v>
      </c>
      <c r="L482" s="81">
        <f>INDEX('PEER GROUP'!N:N,MATCH($A482,'PEER GROUP'!$A:$A,0))</f>
        <v>0</v>
      </c>
      <c r="M482" s="118"/>
      <c r="N482" s="115"/>
      <c r="O482" s="117"/>
      <c r="P482" s="87"/>
      <c r="Q482" s="87"/>
      <c r="R482" s="87">
        <f t="shared" si="62"/>
        <v>0</v>
      </c>
      <c r="S482" s="113">
        <f t="shared" si="60"/>
        <v>36.913096727263202</v>
      </c>
      <c r="T482" s="69">
        <f t="shared" si="63"/>
        <v>0</v>
      </c>
      <c r="U482" s="70">
        <f t="shared" si="64"/>
        <v>0</v>
      </c>
      <c r="V482" s="70">
        <f t="shared" si="65"/>
        <v>0</v>
      </c>
      <c r="W482" s="71">
        <f t="shared" si="66"/>
        <v>0</v>
      </c>
      <c r="X482" s="49"/>
      <c r="Y482" s="151"/>
      <c r="Z482" s="69"/>
      <c r="AA482" s="70"/>
      <c r="AB482" s="70"/>
      <c r="AC482" s="70" t="str">
        <f t="shared" si="67"/>
        <v>---</v>
      </c>
      <c r="AD482" s="70" t="str">
        <f>IFERROR(P482/#REF!-1,"---")</f>
        <v>---</v>
      </c>
      <c r="AE482" s="70" t="str">
        <f>IFERROR(#REF!/#REF!-1,"---")</f>
        <v>---</v>
      </c>
      <c r="AF482" s="70" t="str">
        <f>IFERROR(Q482/#REF!-1,"---")</f>
        <v>---</v>
      </c>
      <c r="AG482" s="70" t="str">
        <f>IFERROR(#REF!/#REF!-1,"---")</f>
        <v>---</v>
      </c>
      <c r="AH482" s="70" t="str">
        <f>IFERROR(#REF!/AA482-1,"---")</f>
        <v>---</v>
      </c>
      <c r="AI482" s="71" t="str">
        <f t="shared" si="68"/>
        <v>---</v>
      </c>
    </row>
    <row r="483" spans="1:35" ht="30" customHeight="1" x14ac:dyDescent="0.3">
      <c r="A483" s="123">
        <f t="shared" si="61"/>
        <v>479</v>
      </c>
      <c r="B483" s="140">
        <f>INDEX('PEER GROUP'!B:B,MATCH($A483,'PEER GROUP'!$A:$A,0))</f>
        <v>0</v>
      </c>
      <c r="C483" s="83">
        <f>INDEX('PEER GROUP'!C:C,MATCH($A483,'PEER GROUP'!$A:$A,0))</f>
        <v>0</v>
      </c>
      <c r="D483" s="83">
        <f>INDEX('PEER GROUP'!D:D,MATCH($A483,'PEER GROUP'!$A:$A,0))</f>
        <v>0</v>
      </c>
      <c r="E483" s="83">
        <f>INDEX('PEER GROUP'!E:E,MATCH(A483,'PEER GROUP'!$A:$A,0))</f>
        <v>0</v>
      </c>
      <c r="F483" s="84">
        <f>INDEX('PEER GROUP'!F:F,MATCH($A483,'PEER GROUP'!$A:$A,0))</f>
        <v>0</v>
      </c>
      <c r="G483" s="84">
        <f>INDEX('PEER GROUP'!G:G,MATCH($A483,'PEER GROUP'!$A:$A,0))</f>
        <v>0</v>
      </c>
      <c r="H483" s="85"/>
      <c r="I483" s="85"/>
      <c r="J483" s="70">
        <f>INDEX('PEER GROUP'!K:K,MATCH($A483,'PEER GROUP'!$A:$A,0))</f>
        <v>0</v>
      </c>
      <c r="K483" s="70">
        <f>INDEX('PEER GROUP'!L:L,MATCH($A483,'PEER GROUP'!$A:$A,0))</f>
        <v>0</v>
      </c>
      <c r="L483" s="81">
        <f>INDEX('PEER GROUP'!N:N,MATCH($A483,'PEER GROUP'!$A:$A,0))</f>
        <v>0</v>
      </c>
      <c r="M483" s="118"/>
      <c r="N483" s="115"/>
      <c r="O483" s="117"/>
      <c r="P483" s="87"/>
      <c r="Q483" s="87"/>
      <c r="R483" s="87">
        <f t="shared" si="62"/>
        <v>0</v>
      </c>
      <c r="S483" s="113">
        <f t="shared" ref="S483:S546" si="69">IF(DataEffDate&gt;DATE(2022,1,1),
IF(E483&lt;DATE(2022,1,1),
(1+UpdateFactor)^(IF(E483&lt;DataEffDate,1,-1)*YEARFRAC(E483,DATE(2022,1,1),1))+(1+UpdateFactor_TEMP)^(IF(DATE(2022,1,1)&lt;DataEffDate,1,-1)*YEARFRAC(DATE(2022,1,1),DataEffDate,1))-1,
(1+UpdateFactor_TEMP)^(IF(E483&lt;DataEffDate,1,-1)*YEARFRAC(E483,DataEffDate,1))),
(1+UpdateFactor)^(IF(E483&lt;DataEffDate,1,-1)*YEARFRAC(E483,DataEffDate,1)))</f>
        <v>36.913096727263202</v>
      </c>
      <c r="T483" s="69">
        <f t="shared" si="63"/>
        <v>0</v>
      </c>
      <c r="U483" s="70">
        <f t="shared" si="64"/>
        <v>0</v>
      </c>
      <c r="V483" s="70">
        <f t="shared" si="65"/>
        <v>0</v>
      </c>
      <c r="W483" s="71">
        <f t="shared" si="66"/>
        <v>0</v>
      </c>
      <c r="X483" s="49"/>
      <c r="Y483" s="151"/>
      <c r="Z483" s="69"/>
      <c r="AA483" s="70"/>
      <c r="AB483" s="70"/>
      <c r="AC483" s="70" t="str">
        <f t="shared" si="67"/>
        <v>---</v>
      </c>
      <c r="AD483" s="70" t="str">
        <f>IFERROR(P483/#REF!-1,"---")</f>
        <v>---</v>
      </c>
      <c r="AE483" s="70" t="str">
        <f>IFERROR(#REF!/#REF!-1,"---")</f>
        <v>---</v>
      </c>
      <c r="AF483" s="70" t="str">
        <f>IFERROR(Q483/#REF!-1,"---")</f>
        <v>---</v>
      </c>
      <c r="AG483" s="70" t="str">
        <f>IFERROR(#REF!/#REF!-1,"---")</f>
        <v>---</v>
      </c>
      <c r="AH483" s="70" t="str">
        <f>IFERROR(#REF!/AA483-1,"---")</f>
        <v>---</v>
      </c>
      <c r="AI483" s="71" t="str">
        <f t="shared" si="68"/>
        <v>---</v>
      </c>
    </row>
    <row r="484" spans="1:35" ht="30" customHeight="1" x14ac:dyDescent="0.3">
      <c r="A484" s="123">
        <f t="shared" ref="A484:A547" si="70">A483+1</f>
        <v>480</v>
      </c>
      <c r="B484" s="140">
        <f>INDEX('PEER GROUP'!B:B,MATCH($A484,'PEER GROUP'!$A:$A,0))</f>
        <v>0</v>
      </c>
      <c r="C484" s="83">
        <f>INDEX('PEER GROUP'!C:C,MATCH($A484,'PEER GROUP'!$A:$A,0))</f>
        <v>0</v>
      </c>
      <c r="D484" s="83">
        <f>INDEX('PEER GROUP'!D:D,MATCH($A484,'PEER GROUP'!$A:$A,0))</f>
        <v>0</v>
      </c>
      <c r="E484" s="83">
        <f>INDEX('PEER GROUP'!E:E,MATCH(A484,'PEER GROUP'!$A:$A,0))</f>
        <v>0</v>
      </c>
      <c r="F484" s="84">
        <f>INDEX('PEER GROUP'!F:F,MATCH($A484,'PEER GROUP'!$A:$A,0))</f>
        <v>0</v>
      </c>
      <c r="G484" s="84">
        <f>INDEX('PEER GROUP'!G:G,MATCH($A484,'PEER GROUP'!$A:$A,0))</f>
        <v>0</v>
      </c>
      <c r="H484" s="85"/>
      <c r="I484" s="85"/>
      <c r="J484" s="70">
        <f>INDEX('PEER GROUP'!K:K,MATCH($A484,'PEER GROUP'!$A:$A,0))</f>
        <v>0</v>
      </c>
      <c r="K484" s="70">
        <f>INDEX('PEER GROUP'!L:L,MATCH($A484,'PEER GROUP'!$A:$A,0))</f>
        <v>0</v>
      </c>
      <c r="L484" s="81">
        <f>INDEX('PEER GROUP'!N:N,MATCH($A484,'PEER GROUP'!$A:$A,0))</f>
        <v>0</v>
      </c>
      <c r="M484" s="118"/>
      <c r="N484" s="115"/>
      <c r="O484" s="117"/>
      <c r="P484" s="87"/>
      <c r="Q484" s="87"/>
      <c r="R484" s="87">
        <f t="shared" ref="R484:R547" si="71">SUM(O484:Q484)</f>
        <v>0</v>
      </c>
      <c r="S484" s="113">
        <f t="shared" si="69"/>
        <v>36.913096727263202</v>
      </c>
      <c r="T484" s="69">
        <f t="shared" ref="T484:T547" si="72">O484*$S484</f>
        <v>0</v>
      </c>
      <c r="U484" s="70">
        <f t="shared" ref="U484:U547" si="73">P484*$S484</f>
        <v>0</v>
      </c>
      <c r="V484" s="70">
        <f t="shared" ref="V484:V547" si="74">Q484*$S484</f>
        <v>0</v>
      </c>
      <c r="W484" s="71">
        <f t="shared" ref="W484:W547" si="75">SUM(T484:V484)</f>
        <v>0</v>
      </c>
      <c r="X484" s="49"/>
      <c r="Y484" s="151"/>
      <c r="Z484" s="69"/>
      <c r="AA484" s="70"/>
      <c r="AB484" s="70"/>
      <c r="AC484" s="70" t="str">
        <f t="shared" ref="AC484:AC547" si="76">IFERROR(O484/Z484-1,"---")</f>
        <v>---</v>
      </c>
      <c r="AD484" s="70" t="str">
        <f>IFERROR(P484/#REF!-1,"---")</f>
        <v>---</v>
      </c>
      <c r="AE484" s="70" t="str">
        <f>IFERROR(#REF!/#REF!-1,"---")</f>
        <v>---</v>
      </c>
      <c r="AF484" s="70" t="str">
        <f>IFERROR(Q484/#REF!-1,"---")</f>
        <v>---</v>
      </c>
      <c r="AG484" s="70" t="str">
        <f>IFERROR(#REF!/#REF!-1,"---")</f>
        <v>---</v>
      </c>
      <c r="AH484" s="70" t="str">
        <f>IFERROR(#REF!/AA484-1,"---")</f>
        <v>---</v>
      </c>
      <c r="AI484" s="71" t="str">
        <f t="shared" ref="AI484:AI547" si="77">IFERROR(R484/AB484-1,"---")</f>
        <v>---</v>
      </c>
    </row>
    <row r="485" spans="1:35" ht="30" customHeight="1" x14ac:dyDescent="0.3">
      <c r="A485" s="123">
        <f t="shared" si="70"/>
        <v>481</v>
      </c>
      <c r="B485" s="140">
        <f>INDEX('PEER GROUP'!B:B,MATCH($A485,'PEER GROUP'!$A:$A,0))</f>
        <v>0</v>
      </c>
      <c r="C485" s="83">
        <f>INDEX('PEER GROUP'!C:C,MATCH($A485,'PEER GROUP'!$A:$A,0))</f>
        <v>0</v>
      </c>
      <c r="D485" s="83">
        <f>INDEX('PEER GROUP'!D:D,MATCH($A485,'PEER GROUP'!$A:$A,0))</f>
        <v>0</v>
      </c>
      <c r="E485" s="83">
        <f>INDEX('PEER GROUP'!E:E,MATCH(A485,'PEER GROUP'!$A:$A,0))</f>
        <v>0</v>
      </c>
      <c r="F485" s="84">
        <f>INDEX('PEER GROUP'!F:F,MATCH($A485,'PEER GROUP'!$A:$A,0))</f>
        <v>0</v>
      </c>
      <c r="G485" s="84">
        <f>INDEX('PEER GROUP'!G:G,MATCH($A485,'PEER GROUP'!$A:$A,0))</f>
        <v>0</v>
      </c>
      <c r="H485" s="85"/>
      <c r="I485" s="85"/>
      <c r="J485" s="70">
        <f>INDEX('PEER GROUP'!K:K,MATCH($A485,'PEER GROUP'!$A:$A,0))</f>
        <v>0</v>
      </c>
      <c r="K485" s="70">
        <f>INDEX('PEER GROUP'!L:L,MATCH($A485,'PEER GROUP'!$A:$A,0))</f>
        <v>0</v>
      </c>
      <c r="L485" s="81">
        <f>INDEX('PEER GROUP'!N:N,MATCH($A485,'PEER GROUP'!$A:$A,0))</f>
        <v>0</v>
      </c>
      <c r="M485" s="118"/>
      <c r="N485" s="115"/>
      <c r="O485" s="117"/>
      <c r="P485" s="87"/>
      <c r="Q485" s="87"/>
      <c r="R485" s="87">
        <f t="shared" si="71"/>
        <v>0</v>
      </c>
      <c r="S485" s="113">
        <f t="shared" si="69"/>
        <v>36.913096727263202</v>
      </c>
      <c r="T485" s="69">
        <f t="shared" si="72"/>
        <v>0</v>
      </c>
      <c r="U485" s="70">
        <f t="shared" si="73"/>
        <v>0</v>
      </c>
      <c r="V485" s="70">
        <f t="shared" si="74"/>
        <v>0</v>
      </c>
      <c r="W485" s="71">
        <f t="shared" si="75"/>
        <v>0</v>
      </c>
      <c r="X485" s="49"/>
      <c r="Y485" s="151"/>
      <c r="Z485" s="69"/>
      <c r="AA485" s="70"/>
      <c r="AB485" s="70"/>
      <c r="AC485" s="70" t="str">
        <f t="shared" si="76"/>
        <v>---</v>
      </c>
      <c r="AD485" s="70" t="str">
        <f>IFERROR(P485/#REF!-1,"---")</f>
        <v>---</v>
      </c>
      <c r="AE485" s="70" t="str">
        <f>IFERROR(#REF!/#REF!-1,"---")</f>
        <v>---</v>
      </c>
      <c r="AF485" s="70" t="str">
        <f>IFERROR(Q485/#REF!-1,"---")</f>
        <v>---</v>
      </c>
      <c r="AG485" s="70" t="str">
        <f>IFERROR(#REF!/#REF!-1,"---")</f>
        <v>---</v>
      </c>
      <c r="AH485" s="70" t="str">
        <f>IFERROR(#REF!/AA485-1,"---")</f>
        <v>---</v>
      </c>
      <c r="AI485" s="71" t="str">
        <f t="shared" si="77"/>
        <v>---</v>
      </c>
    </row>
    <row r="486" spans="1:35" ht="30" customHeight="1" x14ac:dyDescent="0.3">
      <c r="A486" s="123">
        <f t="shared" si="70"/>
        <v>482</v>
      </c>
      <c r="B486" s="140">
        <f>INDEX('PEER GROUP'!B:B,MATCH($A486,'PEER GROUP'!$A:$A,0))</f>
        <v>0</v>
      </c>
      <c r="C486" s="83">
        <f>INDEX('PEER GROUP'!C:C,MATCH($A486,'PEER GROUP'!$A:$A,0))</f>
        <v>0</v>
      </c>
      <c r="D486" s="83">
        <f>INDEX('PEER GROUP'!D:D,MATCH($A486,'PEER GROUP'!$A:$A,0))</f>
        <v>0</v>
      </c>
      <c r="E486" s="83">
        <f>INDEX('PEER GROUP'!E:E,MATCH(A486,'PEER GROUP'!$A:$A,0))</f>
        <v>0</v>
      </c>
      <c r="F486" s="84">
        <f>INDEX('PEER GROUP'!F:F,MATCH($A486,'PEER GROUP'!$A:$A,0))</f>
        <v>0</v>
      </c>
      <c r="G486" s="84">
        <f>INDEX('PEER GROUP'!G:G,MATCH($A486,'PEER GROUP'!$A:$A,0))</f>
        <v>0</v>
      </c>
      <c r="H486" s="85"/>
      <c r="I486" s="85"/>
      <c r="J486" s="70">
        <f>INDEX('PEER GROUP'!K:K,MATCH($A486,'PEER GROUP'!$A:$A,0))</f>
        <v>0</v>
      </c>
      <c r="K486" s="70">
        <f>INDEX('PEER GROUP'!L:L,MATCH($A486,'PEER GROUP'!$A:$A,0))</f>
        <v>0</v>
      </c>
      <c r="L486" s="81">
        <f>INDEX('PEER GROUP'!N:N,MATCH($A486,'PEER GROUP'!$A:$A,0))</f>
        <v>0</v>
      </c>
      <c r="M486" s="118"/>
      <c r="N486" s="115"/>
      <c r="O486" s="117"/>
      <c r="P486" s="87"/>
      <c r="Q486" s="87"/>
      <c r="R486" s="87">
        <f t="shared" si="71"/>
        <v>0</v>
      </c>
      <c r="S486" s="113">
        <f t="shared" si="69"/>
        <v>36.913096727263202</v>
      </c>
      <c r="T486" s="69">
        <f t="shared" si="72"/>
        <v>0</v>
      </c>
      <c r="U486" s="70">
        <f t="shared" si="73"/>
        <v>0</v>
      </c>
      <c r="V486" s="70">
        <f t="shared" si="74"/>
        <v>0</v>
      </c>
      <c r="W486" s="71">
        <f t="shared" si="75"/>
        <v>0</v>
      </c>
      <c r="X486" s="49"/>
      <c r="Y486" s="151"/>
      <c r="Z486" s="69"/>
      <c r="AA486" s="70"/>
      <c r="AB486" s="70"/>
      <c r="AC486" s="70" t="str">
        <f t="shared" si="76"/>
        <v>---</v>
      </c>
      <c r="AD486" s="70" t="str">
        <f>IFERROR(P486/#REF!-1,"---")</f>
        <v>---</v>
      </c>
      <c r="AE486" s="70" t="str">
        <f>IFERROR(#REF!/#REF!-1,"---")</f>
        <v>---</v>
      </c>
      <c r="AF486" s="70" t="str">
        <f>IFERROR(Q486/#REF!-1,"---")</f>
        <v>---</v>
      </c>
      <c r="AG486" s="70" t="str">
        <f>IFERROR(#REF!/#REF!-1,"---")</f>
        <v>---</v>
      </c>
      <c r="AH486" s="70" t="str">
        <f>IFERROR(#REF!/AA486-1,"---")</f>
        <v>---</v>
      </c>
      <c r="AI486" s="71" t="str">
        <f t="shared" si="77"/>
        <v>---</v>
      </c>
    </row>
    <row r="487" spans="1:35" ht="30" customHeight="1" x14ac:dyDescent="0.3">
      <c r="A487" s="123">
        <f t="shared" si="70"/>
        <v>483</v>
      </c>
      <c r="B487" s="140">
        <f>INDEX('PEER GROUP'!B:B,MATCH($A487,'PEER GROUP'!$A:$A,0))</f>
        <v>0</v>
      </c>
      <c r="C487" s="83">
        <f>INDEX('PEER GROUP'!C:C,MATCH($A487,'PEER GROUP'!$A:$A,0))</f>
        <v>0</v>
      </c>
      <c r="D487" s="83">
        <f>INDEX('PEER GROUP'!D:D,MATCH($A487,'PEER GROUP'!$A:$A,0))</f>
        <v>0</v>
      </c>
      <c r="E487" s="83">
        <f>INDEX('PEER GROUP'!E:E,MATCH(A487,'PEER GROUP'!$A:$A,0))</f>
        <v>0</v>
      </c>
      <c r="F487" s="84">
        <f>INDEX('PEER GROUP'!F:F,MATCH($A487,'PEER GROUP'!$A:$A,0))</f>
        <v>0</v>
      </c>
      <c r="G487" s="84">
        <f>INDEX('PEER GROUP'!G:G,MATCH($A487,'PEER GROUP'!$A:$A,0))</f>
        <v>0</v>
      </c>
      <c r="H487" s="85"/>
      <c r="I487" s="85"/>
      <c r="J487" s="70">
        <f>INDEX('PEER GROUP'!K:K,MATCH($A487,'PEER GROUP'!$A:$A,0))</f>
        <v>0</v>
      </c>
      <c r="K487" s="70">
        <f>INDEX('PEER GROUP'!L:L,MATCH($A487,'PEER GROUP'!$A:$A,0))</f>
        <v>0</v>
      </c>
      <c r="L487" s="81">
        <f>INDEX('PEER GROUP'!N:N,MATCH($A487,'PEER GROUP'!$A:$A,0))</f>
        <v>0</v>
      </c>
      <c r="M487" s="118"/>
      <c r="N487" s="115"/>
      <c r="O487" s="117"/>
      <c r="P487" s="87"/>
      <c r="Q487" s="87"/>
      <c r="R487" s="87">
        <f t="shared" si="71"/>
        <v>0</v>
      </c>
      <c r="S487" s="113">
        <f t="shared" si="69"/>
        <v>36.913096727263202</v>
      </c>
      <c r="T487" s="69">
        <f t="shared" si="72"/>
        <v>0</v>
      </c>
      <c r="U487" s="70">
        <f t="shared" si="73"/>
        <v>0</v>
      </c>
      <c r="V487" s="70">
        <f t="shared" si="74"/>
        <v>0</v>
      </c>
      <c r="W487" s="71">
        <f t="shared" si="75"/>
        <v>0</v>
      </c>
      <c r="X487" s="49"/>
      <c r="Y487" s="151"/>
      <c r="Z487" s="69"/>
      <c r="AA487" s="70"/>
      <c r="AB487" s="70"/>
      <c r="AC487" s="70" t="str">
        <f t="shared" si="76"/>
        <v>---</v>
      </c>
      <c r="AD487" s="70" t="str">
        <f>IFERROR(P487/#REF!-1,"---")</f>
        <v>---</v>
      </c>
      <c r="AE487" s="70" t="str">
        <f>IFERROR(#REF!/#REF!-1,"---")</f>
        <v>---</v>
      </c>
      <c r="AF487" s="70" t="str">
        <f>IFERROR(Q487/#REF!-1,"---")</f>
        <v>---</v>
      </c>
      <c r="AG487" s="70" t="str">
        <f>IFERROR(#REF!/#REF!-1,"---")</f>
        <v>---</v>
      </c>
      <c r="AH487" s="70" t="str">
        <f>IFERROR(#REF!/AA487-1,"---")</f>
        <v>---</v>
      </c>
      <c r="AI487" s="71" t="str">
        <f t="shared" si="77"/>
        <v>---</v>
      </c>
    </row>
    <row r="488" spans="1:35" ht="30" customHeight="1" x14ac:dyDescent="0.3">
      <c r="A488" s="123">
        <f t="shared" si="70"/>
        <v>484</v>
      </c>
      <c r="B488" s="140">
        <f>INDEX('PEER GROUP'!B:B,MATCH($A488,'PEER GROUP'!$A:$A,0))</f>
        <v>0</v>
      </c>
      <c r="C488" s="83">
        <f>INDEX('PEER GROUP'!C:C,MATCH($A488,'PEER GROUP'!$A:$A,0))</f>
        <v>0</v>
      </c>
      <c r="D488" s="83">
        <f>INDEX('PEER GROUP'!D:D,MATCH($A488,'PEER GROUP'!$A:$A,0))</f>
        <v>0</v>
      </c>
      <c r="E488" s="83">
        <f>INDEX('PEER GROUP'!E:E,MATCH(A488,'PEER GROUP'!$A:$A,0))</f>
        <v>0</v>
      </c>
      <c r="F488" s="84">
        <f>INDEX('PEER GROUP'!F:F,MATCH($A488,'PEER GROUP'!$A:$A,0))</f>
        <v>0</v>
      </c>
      <c r="G488" s="84">
        <f>INDEX('PEER GROUP'!G:G,MATCH($A488,'PEER GROUP'!$A:$A,0))</f>
        <v>0</v>
      </c>
      <c r="H488" s="85"/>
      <c r="I488" s="85"/>
      <c r="J488" s="70">
        <f>INDEX('PEER GROUP'!K:K,MATCH($A488,'PEER GROUP'!$A:$A,0))</f>
        <v>0</v>
      </c>
      <c r="K488" s="70">
        <f>INDEX('PEER GROUP'!L:L,MATCH($A488,'PEER GROUP'!$A:$A,0))</f>
        <v>0</v>
      </c>
      <c r="L488" s="81">
        <f>INDEX('PEER GROUP'!N:N,MATCH($A488,'PEER GROUP'!$A:$A,0))</f>
        <v>0</v>
      </c>
      <c r="M488" s="118"/>
      <c r="N488" s="115"/>
      <c r="O488" s="117"/>
      <c r="P488" s="87"/>
      <c r="Q488" s="87"/>
      <c r="R488" s="87">
        <f t="shared" si="71"/>
        <v>0</v>
      </c>
      <c r="S488" s="113">
        <f t="shared" si="69"/>
        <v>36.913096727263202</v>
      </c>
      <c r="T488" s="69">
        <f t="shared" si="72"/>
        <v>0</v>
      </c>
      <c r="U488" s="70">
        <f t="shared" si="73"/>
        <v>0</v>
      </c>
      <c r="V488" s="70">
        <f t="shared" si="74"/>
        <v>0</v>
      </c>
      <c r="W488" s="71">
        <f t="shared" si="75"/>
        <v>0</v>
      </c>
      <c r="X488" s="49"/>
      <c r="Y488" s="151"/>
      <c r="Z488" s="69"/>
      <c r="AA488" s="70"/>
      <c r="AB488" s="70"/>
      <c r="AC488" s="70" t="str">
        <f t="shared" si="76"/>
        <v>---</v>
      </c>
      <c r="AD488" s="70" t="str">
        <f>IFERROR(P488/#REF!-1,"---")</f>
        <v>---</v>
      </c>
      <c r="AE488" s="70" t="str">
        <f>IFERROR(#REF!/#REF!-1,"---")</f>
        <v>---</v>
      </c>
      <c r="AF488" s="70" t="str">
        <f>IFERROR(Q488/#REF!-1,"---")</f>
        <v>---</v>
      </c>
      <c r="AG488" s="70" t="str">
        <f>IFERROR(#REF!/#REF!-1,"---")</f>
        <v>---</v>
      </c>
      <c r="AH488" s="70" t="str">
        <f>IFERROR(#REF!/AA488-1,"---")</f>
        <v>---</v>
      </c>
      <c r="AI488" s="71" t="str">
        <f t="shared" si="77"/>
        <v>---</v>
      </c>
    </row>
    <row r="489" spans="1:35" ht="30" customHeight="1" x14ac:dyDescent="0.3">
      <c r="A489" s="123">
        <f t="shared" si="70"/>
        <v>485</v>
      </c>
      <c r="B489" s="140">
        <f>INDEX('PEER GROUP'!B:B,MATCH($A489,'PEER GROUP'!$A:$A,0))</f>
        <v>0</v>
      </c>
      <c r="C489" s="83">
        <f>INDEX('PEER GROUP'!C:C,MATCH($A489,'PEER GROUP'!$A:$A,0))</f>
        <v>0</v>
      </c>
      <c r="D489" s="83">
        <f>INDEX('PEER GROUP'!D:D,MATCH($A489,'PEER GROUP'!$A:$A,0))</f>
        <v>0</v>
      </c>
      <c r="E489" s="83">
        <f>INDEX('PEER GROUP'!E:E,MATCH(A489,'PEER GROUP'!$A:$A,0))</f>
        <v>0</v>
      </c>
      <c r="F489" s="84">
        <f>INDEX('PEER GROUP'!F:F,MATCH($A489,'PEER GROUP'!$A:$A,0))</f>
        <v>0</v>
      </c>
      <c r="G489" s="84">
        <f>INDEX('PEER GROUP'!G:G,MATCH($A489,'PEER GROUP'!$A:$A,0))</f>
        <v>0</v>
      </c>
      <c r="H489" s="85"/>
      <c r="I489" s="85"/>
      <c r="J489" s="70">
        <f>INDEX('PEER GROUP'!K:K,MATCH($A489,'PEER GROUP'!$A:$A,0))</f>
        <v>0</v>
      </c>
      <c r="K489" s="70">
        <f>INDEX('PEER GROUP'!L:L,MATCH($A489,'PEER GROUP'!$A:$A,0))</f>
        <v>0</v>
      </c>
      <c r="L489" s="81">
        <f>INDEX('PEER GROUP'!N:N,MATCH($A489,'PEER GROUP'!$A:$A,0))</f>
        <v>0</v>
      </c>
      <c r="M489" s="118"/>
      <c r="N489" s="115"/>
      <c r="O489" s="117"/>
      <c r="P489" s="87"/>
      <c r="Q489" s="87"/>
      <c r="R489" s="87">
        <f t="shared" si="71"/>
        <v>0</v>
      </c>
      <c r="S489" s="113">
        <f t="shared" si="69"/>
        <v>36.913096727263202</v>
      </c>
      <c r="T489" s="69">
        <f t="shared" si="72"/>
        <v>0</v>
      </c>
      <c r="U489" s="70">
        <f t="shared" si="73"/>
        <v>0</v>
      </c>
      <c r="V489" s="70">
        <f t="shared" si="74"/>
        <v>0</v>
      </c>
      <c r="W489" s="71">
        <f t="shared" si="75"/>
        <v>0</v>
      </c>
      <c r="X489" s="49"/>
      <c r="Y489" s="151"/>
      <c r="Z489" s="69"/>
      <c r="AA489" s="70"/>
      <c r="AB489" s="70"/>
      <c r="AC489" s="70" t="str">
        <f t="shared" si="76"/>
        <v>---</v>
      </c>
      <c r="AD489" s="70" t="str">
        <f>IFERROR(P489/#REF!-1,"---")</f>
        <v>---</v>
      </c>
      <c r="AE489" s="70" t="str">
        <f>IFERROR(#REF!/#REF!-1,"---")</f>
        <v>---</v>
      </c>
      <c r="AF489" s="70" t="str">
        <f>IFERROR(Q489/#REF!-1,"---")</f>
        <v>---</v>
      </c>
      <c r="AG489" s="70" t="str">
        <f>IFERROR(#REF!/#REF!-1,"---")</f>
        <v>---</v>
      </c>
      <c r="AH489" s="70" t="str">
        <f>IFERROR(#REF!/AA489-1,"---")</f>
        <v>---</v>
      </c>
      <c r="AI489" s="71" t="str">
        <f t="shared" si="77"/>
        <v>---</v>
      </c>
    </row>
    <row r="490" spans="1:35" ht="30" customHeight="1" x14ac:dyDescent="0.3">
      <c r="A490" s="123">
        <f t="shared" si="70"/>
        <v>486</v>
      </c>
      <c r="B490" s="140">
        <f>INDEX('PEER GROUP'!B:B,MATCH($A490,'PEER GROUP'!$A:$A,0))</f>
        <v>0</v>
      </c>
      <c r="C490" s="83">
        <f>INDEX('PEER GROUP'!C:C,MATCH($A490,'PEER GROUP'!$A:$A,0))</f>
        <v>0</v>
      </c>
      <c r="D490" s="83">
        <f>INDEX('PEER GROUP'!D:D,MATCH($A490,'PEER GROUP'!$A:$A,0))</f>
        <v>0</v>
      </c>
      <c r="E490" s="83">
        <f>INDEX('PEER GROUP'!E:E,MATCH(A490,'PEER GROUP'!$A:$A,0))</f>
        <v>0</v>
      </c>
      <c r="F490" s="84">
        <f>INDEX('PEER GROUP'!F:F,MATCH($A490,'PEER GROUP'!$A:$A,0))</f>
        <v>0</v>
      </c>
      <c r="G490" s="84">
        <f>INDEX('PEER GROUP'!G:G,MATCH($A490,'PEER GROUP'!$A:$A,0))</f>
        <v>0</v>
      </c>
      <c r="H490" s="85"/>
      <c r="I490" s="85"/>
      <c r="J490" s="70">
        <f>INDEX('PEER GROUP'!K:K,MATCH($A490,'PEER GROUP'!$A:$A,0))</f>
        <v>0</v>
      </c>
      <c r="K490" s="70">
        <f>INDEX('PEER GROUP'!L:L,MATCH($A490,'PEER GROUP'!$A:$A,0))</f>
        <v>0</v>
      </c>
      <c r="L490" s="81">
        <f>INDEX('PEER GROUP'!N:N,MATCH($A490,'PEER GROUP'!$A:$A,0))</f>
        <v>0</v>
      </c>
      <c r="M490" s="118"/>
      <c r="N490" s="115"/>
      <c r="O490" s="117"/>
      <c r="P490" s="87"/>
      <c r="Q490" s="87"/>
      <c r="R490" s="87">
        <f t="shared" si="71"/>
        <v>0</v>
      </c>
      <c r="S490" s="113">
        <f t="shared" si="69"/>
        <v>36.913096727263202</v>
      </c>
      <c r="T490" s="69">
        <f t="shared" si="72"/>
        <v>0</v>
      </c>
      <c r="U490" s="70">
        <f t="shared" si="73"/>
        <v>0</v>
      </c>
      <c r="V490" s="70">
        <f t="shared" si="74"/>
        <v>0</v>
      </c>
      <c r="W490" s="71">
        <f t="shared" si="75"/>
        <v>0</v>
      </c>
      <c r="X490" s="49"/>
      <c r="Y490" s="151"/>
      <c r="Z490" s="69"/>
      <c r="AA490" s="70"/>
      <c r="AB490" s="70"/>
      <c r="AC490" s="70" t="str">
        <f t="shared" si="76"/>
        <v>---</v>
      </c>
      <c r="AD490" s="70" t="str">
        <f>IFERROR(P490/#REF!-1,"---")</f>
        <v>---</v>
      </c>
      <c r="AE490" s="70" t="str">
        <f>IFERROR(#REF!/#REF!-1,"---")</f>
        <v>---</v>
      </c>
      <c r="AF490" s="70" t="str">
        <f>IFERROR(Q490/#REF!-1,"---")</f>
        <v>---</v>
      </c>
      <c r="AG490" s="70" t="str">
        <f>IFERROR(#REF!/#REF!-1,"---")</f>
        <v>---</v>
      </c>
      <c r="AH490" s="70" t="str">
        <f>IFERROR(#REF!/AA490-1,"---")</f>
        <v>---</v>
      </c>
      <c r="AI490" s="71" t="str">
        <f t="shared" si="77"/>
        <v>---</v>
      </c>
    </row>
    <row r="491" spans="1:35" ht="30" customHeight="1" x14ac:dyDescent="0.3">
      <c r="A491" s="123">
        <f t="shared" si="70"/>
        <v>487</v>
      </c>
      <c r="B491" s="140">
        <f>INDEX('PEER GROUP'!B:B,MATCH($A491,'PEER GROUP'!$A:$A,0))</f>
        <v>0</v>
      </c>
      <c r="C491" s="83">
        <f>INDEX('PEER GROUP'!C:C,MATCH($A491,'PEER GROUP'!$A:$A,0))</f>
        <v>0</v>
      </c>
      <c r="D491" s="83">
        <f>INDEX('PEER GROUP'!D:D,MATCH($A491,'PEER GROUP'!$A:$A,0))</f>
        <v>0</v>
      </c>
      <c r="E491" s="83">
        <f>INDEX('PEER GROUP'!E:E,MATCH(A491,'PEER GROUP'!$A:$A,0))</f>
        <v>0</v>
      </c>
      <c r="F491" s="84">
        <f>INDEX('PEER GROUP'!F:F,MATCH($A491,'PEER GROUP'!$A:$A,0))</f>
        <v>0</v>
      </c>
      <c r="G491" s="84">
        <f>INDEX('PEER GROUP'!G:G,MATCH($A491,'PEER GROUP'!$A:$A,0))</f>
        <v>0</v>
      </c>
      <c r="H491" s="85"/>
      <c r="I491" s="85"/>
      <c r="J491" s="70">
        <f>INDEX('PEER GROUP'!K:K,MATCH($A491,'PEER GROUP'!$A:$A,0))</f>
        <v>0</v>
      </c>
      <c r="K491" s="70">
        <f>INDEX('PEER GROUP'!L:L,MATCH($A491,'PEER GROUP'!$A:$A,0))</f>
        <v>0</v>
      </c>
      <c r="L491" s="81">
        <f>INDEX('PEER GROUP'!N:N,MATCH($A491,'PEER GROUP'!$A:$A,0))</f>
        <v>0</v>
      </c>
      <c r="M491" s="118"/>
      <c r="N491" s="115"/>
      <c r="O491" s="117"/>
      <c r="P491" s="87"/>
      <c r="Q491" s="87"/>
      <c r="R491" s="87">
        <f t="shared" si="71"/>
        <v>0</v>
      </c>
      <c r="S491" s="113">
        <f t="shared" si="69"/>
        <v>36.913096727263202</v>
      </c>
      <c r="T491" s="69">
        <f t="shared" si="72"/>
        <v>0</v>
      </c>
      <c r="U491" s="70">
        <f t="shared" si="73"/>
        <v>0</v>
      </c>
      <c r="V491" s="70">
        <f t="shared" si="74"/>
        <v>0</v>
      </c>
      <c r="W491" s="71">
        <f t="shared" si="75"/>
        <v>0</v>
      </c>
      <c r="X491" s="49"/>
      <c r="Y491" s="151"/>
      <c r="Z491" s="69"/>
      <c r="AA491" s="70"/>
      <c r="AB491" s="70"/>
      <c r="AC491" s="70" t="str">
        <f t="shared" si="76"/>
        <v>---</v>
      </c>
      <c r="AD491" s="70" t="str">
        <f>IFERROR(P491/#REF!-1,"---")</f>
        <v>---</v>
      </c>
      <c r="AE491" s="70" t="str">
        <f>IFERROR(#REF!/#REF!-1,"---")</f>
        <v>---</v>
      </c>
      <c r="AF491" s="70" t="str">
        <f>IFERROR(Q491/#REF!-1,"---")</f>
        <v>---</v>
      </c>
      <c r="AG491" s="70" t="str">
        <f>IFERROR(#REF!/#REF!-1,"---")</f>
        <v>---</v>
      </c>
      <c r="AH491" s="70" t="str">
        <f>IFERROR(#REF!/AA491-1,"---")</f>
        <v>---</v>
      </c>
      <c r="AI491" s="71" t="str">
        <f t="shared" si="77"/>
        <v>---</v>
      </c>
    </row>
    <row r="492" spans="1:35" ht="30" customHeight="1" x14ac:dyDescent="0.3">
      <c r="A492" s="123">
        <f t="shared" si="70"/>
        <v>488</v>
      </c>
      <c r="B492" s="140">
        <f>INDEX('PEER GROUP'!B:B,MATCH($A492,'PEER GROUP'!$A:$A,0))</f>
        <v>0</v>
      </c>
      <c r="C492" s="83">
        <f>INDEX('PEER GROUP'!C:C,MATCH($A492,'PEER GROUP'!$A:$A,0))</f>
        <v>0</v>
      </c>
      <c r="D492" s="83">
        <f>INDEX('PEER GROUP'!D:D,MATCH($A492,'PEER GROUP'!$A:$A,0))</f>
        <v>0</v>
      </c>
      <c r="E492" s="83">
        <f>INDEX('PEER GROUP'!E:E,MATCH(A492,'PEER GROUP'!$A:$A,0))</f>
        <v>0</v>
      </c>
      <c r="F492" s="84">
        <f>INDEX('PEER GROUP'!F:F,MATCH($A492,'PEER GROUP'!$A:$A,0))</f>
        <v>0</v>
      </c>
      <c r="G492" s="84">
        <f>INDEX('PEER GROUP'!G:G,MATCH($A492,'PEER GROUP'!$A:$A,0))</f>
        <v>0</v>
      </c>
      <c r="H492" s="85"/>
      <c r="I492" s="85"/>
      <c r="J492" s="70">
        <f>INDEX('PEER GROUP'!K:K,MATCH($A492,'PEER GROUP'!$A:$A,0))</f>
        <v>0</v>
      </c>
      <c r="K492" s="70">
        <f>INDEX('PEER GROUP'!L:L,MATCH($A492,'PEER GROUP'!$A:$A,0))</f>
        <v>0</v>
      </c>
      <c r="L492" s="81">
        <f>INDEX('PEER GROUP'!N:N,MATCH($A492,'PEER GROUP'!$A:$A,0))</f>
        <v>0</v>
      </c>
      <c r="M492" s="118"/>
      <c r="N492" s="115"/>
      <c r="O492" s="117"/>
      <c r="P492" s="87"/>
      <c r="Q492" s="87"/>
      <c r="R492" s="87">
        <f t="shared" si="71"/>
        <v>0</v>
      </c>
      <c r="S492" s="113">
        <f t="shared" si="69"/>
        <v>36.913096727263202</v>
      </c>
      <c r="T492" s="69">
        <f t="shared" si="72"/>
        <v>0</v>
      </c>
      <c r="U492" s="70">
        <f t="shared" si="73"/>
        <v>0</v>
      </c>
      <c r="V492" s="70">
        <f t="shared" si="74"/>
        <v>0</v>
      </c>
      <c r="W492" s="71">
        <f t="shared" si="75"/>
        <v>0</v>
      </c>
      <c r="X492" s="49"/>
      <c r="Y492" s="151"/>
      <c r="Z492" s="69"/>
      <c r="AA492" s="70"/>
      <c r="AB492" s="70"/>
      <c r="AC492" s="70" t="str">
        <f t="shared" si="76"/>
        <v>---</v>
      </c>
      <c r="AD492" s="70" t="str">
        <f>IFERROR(P492/#REF!-1,"---")</f>
        <v>---</v>
      </c>
      <c r="AE492" s="70" t="str">
        <f>IFERROR(#REF!/#REF!-1,"---")</f>
        <v>---</v>
      </c>
      <c r="AF492" s="70" t="str">
        <f>IFERROR(Q492/#REF!-1,"---")</f>
        <v>---</v>
      </c>
      <c r="AG492" s="70" t="str">
        <f>IFERROR(#REF!/#REF!-1,"---")</f>
        <v>---</v>
      </c>
      <c r="AH492" s="70" t="str">
        <f>IFERROR(#REF!/AA492-1,"---")</f>
        <v>---</v>
      </c>
      <c r="AI492" s="71" t="str">
        <f t="shared" si="77"/>
        <v>---</v>
      </c>
    </row>
    <row r="493" spans="1:35" ht="30" customHeight="1" x14ac:dyDescent="0.3">
      <c r="A493" s="123">
        <f t="shared" si="70"/>
        <v>489</v>
      </c>
      <c r="B493" s="140">
        <f>INDEX('PEER GROUP'!B:B,MATCH($A493,'PEER GROUP'!$A:$A,0))</f>
        <v>0</v>
      </c>
      <c r="C493" s="83">
        <f>INDEX('PEER GROUP'!C:C,MATCH($A493,'PEER GROUP'!$A:$A,0))</f>
        <v>0</v>
      </c>
      <c r="D493" s="83">
        <f>INDEX('PEER GROUP'!D:D,MATCH($A493,'PEER GROUP'!$A:$A,0))</f>
        <v>0</v>
      </c>
      <c r="E493" s="83">
        <f>INDEX('PEER GROUP'!E:E,MATCH(A493,'PEER GROUP'!$A:$A,0))</f>
        <v>0</v>
      </c>
      <c r="F493" s="84">
        <f>INDEX('PEER GROUP'!F:F,MATCH($A493,'PEER GROUP'!$A:$A,0))</f>
        <v>0</v>
      </c>
      <c r="G493" s="84">
        <f>INDEX('PEER GROUP'!G:G,MATCH($A493,'PEER GROUP'!$A:$A,0))</f>
        <v>0</v>
      </c>
      <c r="H493" s="85"/>
      <c r="I493" s="85"/>
      <c r="J493" s="70">
        <f>INDEX('PEER GROUP'!K:K,MATCH($A493,'PEER GROUP'!$A:$A,0))</f>
        <v>0</v>
      </c>
      <c r="K493" s="70">
        <f>INDEX('PEER GROUP'!L:L,MATCH($A493,'PEER GROUP'!$A:$A,0))</f>
        <v>0</v>
      </c>
      <c r="L493" s="81">
        <f>INDEX('PEER GROUP'!N:N,MATCH($A493,'PEER GROUP'!$A:$A,0))</f>
        <v>0</v>
      </c>
      <c r="M493" s="118"/>
      <c r="N493" s="115"/>
      <c r="O493" s="117"/>
      <c r="P493" s="87"/>
      <c r="Q493" s="87"/>
      <c r="R493" s="87">
        <f t="shared" si="71"/>
        <v>0</v>
      </c>
      <c r="S493" s="113">
        <f t="shared" si="69"/>
        <v>36.913096727263202</v>
      </c>
      <c r="T493" s="69">
        <f t="shared" si="72"/>
        <v>0</v>
      </c>
      <c r="U493" s="70">
        <f t="shared" si="73"/>
        <v>0</v>
      </c>
      <c r="V493" s="70">
        <f t="shared" si="74"/>
        <v>0</v>
      </c>
      <c r="W493" s="71">
        <f t="shared" si="75"/>
        <v>0</v>
      </c>
      <c r="X493" s="49"/>
      <c r="Y493" s="151"/>
      <c r="Z493" s="69"/>
      <c r="AA493" s="70"/>
      <c r="AB493" s="70"/>
      <c r="AC493" s="70" t="str">
        <f t="shared" si="76"/>
        <v>---</v>
      </c>
      <c r="AD493" s="70" t="str">
        <f>IFERROR(P493/#REF!-1,"---")</f>
        <v>---</v>
      </c>
      <c r="AE493" s="70" t="str">
        <f>IFERROR(#REF!/#REF!-1,"---")</f>
        <v>---</v>
      </c>
      <c r="AF493" s="70" t="str">
        <f>IFERROR(Q493/#REF!-1,"---")</f>
        <v>---</v>
      </c>
      <c r="AG493" s="70" t="str">
        <f>IFERROR(#REF!/#REF!-1,"---")</f>
        <v>---</v>
      </c>
      <c r="AH493" s="70" t="str">
        <f>IFERROR(#REF!/AA493-1,"---")</f>
        <v>---</v>
      </c>
      <c r="AI493" s="71" t="str">
        <f t="shared" si="77"/>
        <v>---</v>
      </c>
    </row>
    <row r="494" spans="1:35" ht="30" customHeight="1" x14ac:dyDescent="0.3">
      <c r="A494" s="123">
        <f t="shared" si="70"/>
        <v>490</v>
      </c>
      <c r="B494" s="140">
        <f>INDEX('PEER GROUP'!B:B,MATCH($A494,'PEER GROUP'!$A:$A,0))</f>
        <v>0</v>
      </c>
      <c r="C494" s="83">
        <f>INDEX('PEER GROUP'!C:C,MATCH($A494,'PEER GROUP'!$A:$A,0))</f>
        <v>0</v>
      </c>
      <c r="D494" s="83">
        <f>INDEX('PEER GROUP'!D:D,MATCH($A494,'PEER GROUP'!$A:$A,0))</f>
        <v>0</v>
      </c>
      <c r="E494" s="83">
        <f>INDEX('PEER GROUP'!E:E,MATCH(A494,'PEER GROUP'!$A:$A,0))</f>
        <v>0</v>
      </c>
      <c r="F494" s="84">
        <f>INDEX('PEER GROUP'!F:F,MATCH($A494,'PEER GROUP'!$A:$A,0))</f>
        <v>0</v>
      </c>
      <c r="G494" s="84">
        <f>INDEX('PEER GROUP'!G:G,MATCH($A494,'PEER GROUP'!$A:$A,0))</f>
        <v>0</v>
      </c>
      <c r="H494" s="85"/>
      <c r="I494" s="85"/>
      <c r="J494" s="70">
        <f>INDEX('PEER GROUP'!K:K,MATCH($A494,'PEER GROUP'!$A:$A,0))</f>
        <v>0</v>
      </c>
      <c r="K494" s="70">
        <f>INDEX('PEER GROUP'!L:L,MATCH($A494,'PEER GROUP'!$A:$A,0))</f>
        <v>0</v>
      </c>
      <c r="L494" s="81">
        <f>INDEX('PEER GROUP'!N:N,MATCH($A494,'PEER GROUP'!$A:$A,0))</f>
        <v>0</v>
      </c>
      <c r="M494" s="118"/>
      <c r="N494" s="115"/>
      <c r="O494" s="117"/>
      <c r="P494" s="87"/>
      <c r="Q494" s="87"/>
      <c r="R494" s="87">
        <f t="shared" si="71"/>
        <v>0</v>
      </c>
      <c r="S494" s="113">
        <f t="shared" si="69"/>
        <v>36.913096727263202</v>
      </c>
      <c r="T494" s="69">
        <f t="shared" si="72"/>
        <v>0</v>
      </c>
      <c r="U494" s="70">
        <f t="shared" si="73"/>
        <v>0</v>
      </c>
      <c r="V494" s="70">
        <f t="shared" si="74"/>
        <v>0</v>
      </c>
      <c r="W494" s="71">
        <f t="shared" si="75"/>
        <v>0</v>
      </c>
      <c r="X494" s="49"/>
      <c r="Y494" s="151"/>
      <c r="Z494" s="69"/>
      <c r="AA494" s="70"/>
      <c r="AB494" s="70"/>
      <c r="AC494" s="70" t="str">
        <f t="shared" si="76"/>
        <v>---</v>
      </c>
      <c r="AD494" s="70" t="str">
        <f>IFERROR(P494/#REF!-1,"---")</f>
        <v>---</v>
      </c>
      <c r="AE494" s="70" t="str">
        <f>IFERROR(#REF!/#REF!-1,"---")</f>
        <v>---</v>
      </c>
      <c r="AF494" s="70" t="str">
        <f>IFERROR(Q494/#REF!-1,"---")</f>
        <v>---</v>
      </c>
      <c r="AG494" s="70" t="str">
        <f>IFERROR(#REF!/#REF!-1,"---")</f>
        <v>---</v>
      </c>
      <c r="AH494" s="70" t="str">
        <f>IFERROR(#REF!/AA494-1,"---")</f>
        <v>---</v>
      </c>
      <c r="AI494" s="71" t="str">
        <f t="shared" si="77"/>
        <v>---</v>
      </c>
    </row>
    <row r="495" spans="1:35" ht="30" customHeight="1" x14ac:dyDescent="0.3">
      <c r="A495" s="123">
        <f t="shared" si="70"/>
        <v>491</v>
      </c>
      <c r="B495" s="140">
        <f>INDEX('PEER GROUP'!B:B,MATCH($A495,'PEER GROUP'!$A:$A,0))</f>
        <v>0</v>
      </c>
      <c r="C495" s="83">
        <f>INDEX('PEER GROUP'!C:C,MATCH($A495,'PEER GROUP'!$A:$A,0))</f>
        <v>0</v>
      </c>
      <c r="D495" s="83">
        <f>INDEX('PEER GROUP'!D:D,MATCH($A495,'PEER GROUP'!$A:$A,0))</f>
        <v>0</v>
      </c>
      <c r="E495" s="83">
        <f>INDEX('PEER GROUP'!E:E,MATCH(A495,'PEER GROUP'!$A:$A,0))</f>
        <v>0</v>
      </c>
      <c r="F495" s="84">
        <f>INDEX('PEER GROUP'!F:F,MATCH($A495,'PEER GROUP'!$A:$A,0))</f>
        <v>0</v>
      </c>
      <c r="G495" s="84">
        <f>INDEX('PEER GROUP'!G:G,MATCH($A495,'PEER GROUP'!$A:$A,0))</f>
        <v>0</v>
      </c>
      <c r="H495" s="85"/>
      <c r="I495" s="85"/>
      <c r="J495" s="70">
        <f>INDEX('PEER GROUP'!K:K,MATCH($A495,'PEER GROUP'!$A:$A,0))</f>
        <v>0</v>
      </c>
      <c r="K495" s="70">
        <f>INDEX('PEER GROUP'!L:L,MATCH($A495,'PEER GROUP'!$A:$A,0))</f>
        <v>0</v>
      </c>
      <c r="L495" s="81">
        <f>INDEX('PEER GROUP'!N:N,MATCH($A495,'PEER GROUP'!$A:$A,0))</f>
        <v>0</v>
      </c>
      <c r="M495" s="118"/>
      <c r="N495" s="115"/>
      <c r="O495" s="117"/>
      <c r="P495" s="87"/>
      <c r="Q495" s="87"/>
      <c r="R495" s="87">
        <f t="shared" si="71"/>
        <v>0</v>
      </c>
      <c r="S495" s="113">
        <f t="shared" si="69"/>
        <v>36.913096727263202</v>
      </c>
      <c r="T495" s="69">
        <f t="shared" si="72"/>
        <v>0</v>
      </c>
      <c r="U495" s="70">
        <f t="shared" si="73"/>
        <v>0</v>
      </c>
      <c r="V495" s="70">
        <f t="shared" si="74"/>
        <v>0</v>
      </c>
      <c r="W495" s="71">
        <f t="shared" si="75"/>
        <v>0</v>
      </c>
      <c r="X495" s="49"/>
      <c r="Y495" s="151"/>
      <c r="Z495" s="69"/>
      <c r="AA495" s="70"/>
      <c r="AB495" s="70"/>
      <c r="AC495" s="70" t="str">
        <f t="shared" si="76"/>
        <v>---</v>
      </c>
      <c r="AD495" s="70" t="str">
        <f>IFERROR(P495/#REF!-1,"---")</f>
        <v>---</v>
      </c>
      <c r="AE495" s="70" t="str">
        <f>IFERROR(#REF!/#REF!-1,"---")</f>
        <v>---</v>
      </c>
      <c r="AF495" s="70" t="str">
        <f>IFERROR(Q495/#REF!-1,"---")</f>
        <v>---</v>
      </c>
      <c r="AG495" s="70" t="str">
        <f>IFERROR(#REF!/#REF!-1,"---")</f>
        <v>---</v>
      </c>
      <c r="AH495" s="70" t="str">
        <f>IFERROR(#REF!/AA495-1,"---")</f>
        <v>---</v>
      </c>
      <c r="AI495" s="71" t="str">
        <f t="shared" si="77"/>
        <v>---</v>
      </c>
    </row>
    <row r="496" spans="1:35" ht="30" customHeight="1" x14ac:dyDescent="0.3">
      <c r="A496" s="123">
        <f t="shared" si="70"/>
        <v>492</v>
      </c>
      <c r="B496" s="140">
        <f>INDEX('PEER GROUP'!B:B,MATCH($A496,'PEER GROUP'!$A:$A,0))</f>
        <v>0</v>
      </c>
      <c r="C496" s="83">
        <f>INDEX('PEER GROUP'!C:C,MATCH($A496,'PEER GROUP'!$A:$A,0))</f>
        <v>0</v>
      </c>
      <c r="D496" s="83">
        <f>INDEX('PEER GROUP'!D:D,MATCH($A496,'PEER GROUP'!$A:$A,0))</f>
        <v>0</v>
      </c>
      <c r="E496" s="83">
        <f>INDEX('PEER GROUP'!E:E,MATCH(A496,'PEER GROUP'!$A:$A,0))</f>
        <v>0</v>
      </c>
      <c r="F496" s="84">
        <f>INDEX('PEER GROUP'!F:F,MATCH($A496,'PEER GROUP'!$A:$A,0))</f>
        <v>0</v>
      </c>
      <c r="G496" s="84">
        <f>INDEX('PEER GROUP'!G:G,MATCH($A496,'PEER GROUP'!$A:$A,0))</f>
        <v>0</v>
      </c>
      <c r="H496" s="85"/>
      <c r="I496" s="85"/>
      <c r="J496" s="70">
        <f>INDEX('PEER GROUP'!K:K,MATCH($A496,'PEER GROUP'!$A:$A,0))</f>
        <v>0</v>
      </c>
      <c r="K496" s="70">
        <f>INDEX('PEER GROUP'!L:L,MATCH($A496,'PEER GROUP'!$A:$A,0))</f>
        <v>0</v>
      </c>
      <c r="L496" s="81">
        <f>INDEX('PEER GROUP'!N:N,MATCH($A496,'PEER GROUP'!$A:$A,0))</f>
        <v>0</v>
      </c>
      <c r="M496" s="118"/>
      <c r="N496" s="115"/>
      <c r="O496" s="117"/>
      <c r="P496" s="87"/>
      <c r="Q496" s="87"/>
      <c r="R496" s="87">
        <f t="shared" si="71"/>
        <v>0</v>
      </c>
      <c r="S496" s="113">
        <f t="shared" si="69"/>
        <v>36.913096727263202</v>
      </c>
      <c r="T496" s="69">
        <f t="shared" si="72"/>
        <v>0</v>
      </c>
      <c r="U496" s="70">
        <f t="shared" si="73"/>
        <v>0</v>
      </c>
      <c r="V496" s="70">
        <f t="shared" si="74"/>
        <v>0</v>
      </c>
      <c r="W496" s="71">
        <f t="shared" si="75"/>
        <v>0</v>
      </c>
      <c r="X496" s="49"/>
      <c r="Y496" s="151"/>
      <c r="Z496" s="69"/>
      <c r="AA496" s="70"/>
      <c r="AB496" s="70"/>
      <c r="AC496" s="70" t="str">
        <f t="shared" si="76"/>
        <v>---</v>
      </c>
      <c r="AD496" s="70" t="str">
        <f>IFERROR(P496/#REF!-1,"---")</f>
        <v>---</v>
      </c>
      <c r="AE496" s="70" t="str">
        <f>IFERROR(#REF!/#REF!-1,"---")</f>
        <v>---</v>
      </c>
      <c r="AF496" s="70" t="str">
        <f>IFERROR(Q496/#REF!-1,"---")</f>
        <v>---</v>
      </c>
      <c r="AG496" s="70" t="str">
        <f>IFERROR(#REF!/#REF!-1,"---")</f>
        <v>---</v>
      </c>
      <c r="AH496" s="70" t="str">
        <f>IFERROR(#REF!/AA496-1,"---")</f>
        <v>---</v>
      </c>
      <c r="AI496" s="71" t="str">
        <f t="shared" si="77"/>
        <v>---</v>
      </c>
    </row>
    <row r="497" spans="1:35" ht="30" customHeight="1" x14ac:dyDescent="0.3">
      <c r="A497" s="123">
        <f t="shared" si="70"/>
        <v>493</v>
      </c>
      <c r="B497" s="140">
        <f>INDEX('PEER GROUP'!B:B,MATCH($A497,'PEER GROUP'!$A:$A,0))</f>
        <v>0</v>
      </c>
      <c r="C497" s="83">
        <f>INDEX('PEER GROUP'!C:C,MATCH($A497,'PEER GROUP'!$A:$A,0))</f>
        <v>0</v>
      </c>
      <c r="D497" s="83">
        <f>INDEX('PEER GROUP'!D:D,MATCH($A497,'PEER GROUP'!$A:$A,0))</f>
        <v>0</v>
      </c>
      <c r="E497" s="83">
        <f>INDEX('PEER GROUP'!E:E,MATCH(A497,'PEER GROUP'!$A:$A,0))</f>
        <v>0</v>
      </c>
      <c r="F497" s="84">
        <f>INDEX('PEER GROUP'!F:F,MATCH($A497,'PEER GROUP'!$A:$A,0))</f>
        <v>0</v>
      </c>
      <c r="G497" s="84">
        <f>INDEX('PEER GROUP'!G:G,MATCH($A497,'PEER GROUP'!$A:$A,0))</f>
        <v>0</v>
      </c>
      <c r="H497" s="85"/>
      <c r="I497" s="85"/>
      <c r="J497" s="70">
        <f>INDEX('PEER GROUP'!K:K,MATCH($A497,'PEER GROUP'!$A:$A,0))</f>
        <v>0</v>
      </c>
      <c r="K497" s="70">
        <f>INDEX('PEER GROUP'!L:L,MATCH($A497,'PEER GROUP'!$A:$A,0))</f>
        <v>0</v>
      </c>
      <c r="L497" s="81">
        <f>INDEX('PEER GROUP'!N:N,MATCH($A497,'PEER GROUP'!$A:$A,0))</f>
        <v>0</v>
      </c>
      <c r="M497" s="118"/>
      <c r="N497" s="115"/>
      <c r="O497" s="117"/>
      <c r="P497" s="87"/>
      <c r="Q497" s="87"/>
      <c r="R497" s="87">
        <f t="shared" si="71"/>
        <v>0</v>
      </c>
      <c r="S497" s="113">
        <f t="shared" si="69"/>
        <v>36.913096727263202</v>
      </c>
      <c r="T497" s="69">
        <f t="shared" si="72"/>
        <v>0</v>
      </c>
      <c r="U497" s="70">
        <f t="shared" si="73"/>
        <v>0</v>
      </c>
      <c r="V497" s="70">
        <f t="shared" si="74"/>
        <v>0</v>
      </c>
      <c r="W497" s="71">
        <f t="shared" si="75"/>
        <v>0</v>
      </c>
      <c r="X497" s="49"/>
      <c r="Y497" s="151"/>
      <c r="Z497" s="69"/>
      <c r="AA497" s="70"/>
      <c r="AB497" s="70"/>
      <c r="AC497" s="70" t="str">
        <f t="shared" si="76"/>
        <v>---</v>
      </c>
      <c r="AD497" s="70" t="str">
        <f>IFERROR(P497/#REF!-1,"---")</f>
        <v>---</v>
      </c>
      <c r="AE497" s="70" t="str">
        <f>IFERROR(#REF!/#REF!-1,"---")</f>
        <v>---</v>
      </c>
      <c r="AF497" s="70" t="str">
        <f>IFERROR(Q497/#REF!-1,"---")</f>
        <v>---</v>
      </c>
      <c r="AG497" s="70" t="str">
        <f>IFERROR(#REF!/#REF!-1,"---")</f>
        <v>---</v>
      </c>
      <c r="AH497" s="70" t="str">
        <f>IFERROR(#REF!/AA497-1,"---")</f>
        <v>---</v>
      </c>
      <c r="AI497" s="71" t="str">
        <f t="shared" si="77"/>
        <v>---</v>
      </c>
    </row>
    <row r="498" spans="1:35" ht="30" customHeight="1" x14ac:dyDescent="0.3">
      <c r="A498" s="123">
        <f t="shared" si="70"/>
        <v>494</v>
      </c>
      <c r="B498" s="140">
        <f>INDEX('PEER GROUP'!B:B,MATCH($A498,'PEER GROUP'!$A:$A,0))</f>
        <v>0</v>
      </c>
      <c r="C498" s="83">
        <f>INDEX('PEER GROUP'!C:C,MATCH($A498,'PEER GROUP'!$A:$A,0))</f>
        <v>0</v>
      </c>
      <c r="D498" s="83">
        <f>INDEX('PEER GROUP'!D:D,MATCH($A498,'PEER GROUP'!$A:$A,0))</f>
        <v>0</v>
      </c>
      <c r="E498" s="83">
        <f>INDEX('PEER GROUP'!E:E,MATCH(A498,'PEER GROUP'!$A:$A,0))</f>
        <v>0</v>
      </c>
      <c r="F498" s="84">
        <f>INDEX('PEER GROUP'!F:F,MATCH($A498,'PEER GROUP'!$A:$A,0))</f>
        <v>0</v>
      </c>
      <c r="G498" s="84">
        <f>INDEX('PEER GROUP'!G:G,MATCH($A498,'PEER GROUP'!$A:$A,0))</f>
        <v>0</v>
      </c>
      <c r="H498" s="85"/>
      <c r="I498" s="85"/>
      <c r="J498" s="70">
        <f>INDEX('PEER GROUP'!K:K,MATCH($A498,'PEER GROUP'!$A:$A,0))</f>
        <v>0</v>
      </c>
      <c r="K498" s="70">
        <f>INDEX('PEER GROUP'!L:L,MATCH($A498,'PEER GROUP'!$A:$A,0))</f>
        <v>0</v>
      </c>
      <c r="L498" s="81">
        <f>INDEX('PEER GROUP'!N:N,MATCH($A498,'PEER GROUP'!$A:$A,0))</f>
        <v>0</v>
      </c>
      <c r="M498" s="118"/>
      <c r="N498" s="115"/>
      <c r="O498" s="117"/>
      <c r="P498" s="87"/>
      <c r="Q498" s="87"/>
      <c r="R498" s="87">
        <f t="shared" si="71"/>
        <v>0</v>
      </c>
      <c r="S498" s="113">
        <f t="shared" si="69"/>
        <v>36.913096727263202</v>
      </c>
      <c r="T498" s="69">
        <f t="shared" si="72"/>
        <v>0</v>
      </c>
      <c r="U498" s="70">
        <f t="shared" si="73"/>
        <v>0</v>
      </c>
      <c r="V498" s="70">
        <f t="shared" si="74"/>
        <v>0</v>
      </c>
      <c r="W498" s="71">
        <f t="shared" si="75"/>
        <v>0</v>
      </c>
      <c r="X498" s="49"/>
      <c r="Y498" s="151"/>
      <c r="Z498" s="69"/>
      <c r="AA498" s="70"/>
      <c r="AB498" s="70"/>
      <c r="AC498" s="70" t="str">
        <f t="shared" si="76"/>
        <v>---</v>
      </c>
      <c r="AD498" s="70" t="str">
        <f>IFERROR(P498/#REF!-1,"---")</f>
        <v>---</v>
      </c>
      <c r="AE498" s="70" t="str">
        <f>IFERROR(#REF!/#REF!-1,"---")</f>
        <v>---</v>
      </c>
      <c r="AF498" s="70" t="str">
        <f>IFERROR(Q498/#REF!-1,"---")</f>
        <v>---</v>
      </c>
      <c r="AG498" s="70" t="str">
        <f>IFERROR(#REF!/#REF!-1,"---")</f>
        <v>---</v>
      </c>
      <c r="AH498" s="70" t="str">
        <f>IFERROR(#REF!/AA498-1,"---")</f>
        <v>---</v>
      </c>
      <c r="AI498" s="71" t="str">
        <f t="shared" si="77"/>
        <v>---</v>
      </c>
    </row>
    <row r="499" spans="1:35" ht="30" customHeight="1" x14ac:dyDescent="0.3">
      <c r="A499" s="123">
        <f t="shared" si="70"/>
        <v>495</v>
      </c>
      <c r="B499" s="140">
        <f>INDEX('PEER GROUP'!B:B,MATCH($A499,'PEER GROUP'!$A:$A,0))</f>
        <v>0</v>
      </c>
      <c r="C499" s="83">
        <f>INDEX('PEER GROUP'!C:C,MATCH($A499,'PEER GROUP'!$A:$A,0))</f>
        <v>0</v>
      </c>
      <c r="D499" s="83">
        <f>INDEX('PEER GROUP'!D:D,MATCH($A499,'PEER GROUP'!$A:$A,0))</f>
        <v>0</v>
      </c>
      <c r="E499" s="83">
        <f>INDEX('PEER GROUP'!E:E,MATCH(A499,'PEER GROUP'!$A:$A,0))</f>
        <v>0</v>
      </c>
      <c r="F499" s="84">
        <f>INDEX('PEER GROUP'!F:F,MATCH($A499,'PEER GROUP'!$A:$A,0))</f>
        <v>0</v>
      </c>
      <c r="G499" s="84">
        <f>INDEX('PEER GROUP'!G:G,MATCH($A499,'PEER GROUP'!$A:$A,0))</f>
        <v>0</v>
      </c>
      <c r="H499" s="85"/>
      <c r="I499" s="85"/>
      <c r="J499" s="70">
        <f>INDEX('PEER GROUP'!K:K,MATCH($A499,'PEER GROUP'!$A:$A,0))</f>
        <v>0</v>
      </c>
      <c r="K499" s="70">
        <f>INDEX('PEER GROUP'!L:L,MATCH($A499,'PEER GROUP'!$A:$A,0))</f>
        <v>0</v>
      </c>
      <c r="L499" s="81">
        <f>INDEX('PEER GROUP'!N:N,MATCH($A499,'PEER GROUP'!$A:$A,0))</f>
        <v>0</v>
      </c>
      <c r="M499" s="118"/>
      <c r="N499" s="115"/>
      <c r="O499" s="117"/>
      <c r="P499" s="87"/>
      <c r="Q499" s="87"/>
      <c r="R499" s="87">
        <f t="shared" si="71"/>
        <v>0</v>
      </c>
      <c r="S499" s="113">
        <f t="shared" si="69"/>
        <v>36.913096727263202</v>
      </c>
      <c r="T499" s="69">
        <f t="shared" si="72"/>
        <v>0</v>
      </c>
      <c r="U499" s="70">
        <f t="shared" si="73"/>
        <v>0</v>
      </c>
      <c r="V499" s="70">
        <f t="shared" si="74"/>
        <v>0</v>
      </c>
      <c r="W499" s="71">
        <f t="shared" si="75"/>
        <v>0</v>
      </c>
      <c r="X499" s="49"/>
      <c r="Y499" s="151"/>
      <c r="Z499" s="69"/>
      <c r="AA499" s="70"/>
      <c r="AB499" s="70"/>
      <c r="AC499" s="70" t="str">
        <f t="shared" si="76"/>
        <v>---</v>
      </c>
      <c r="AD499" s="70" t="str">
        <f>IFERROR(P499/#REF!-1,"---")</f>
        <v>---</v>
      </c>
      <c r="AE499" s="70" t="str">
        <f>IFERROR(#REF!/#REF!-1,"---")</f>
        <v>---</v>
      </c>
      <c r="AF499" s="70" t="str">
        <f>IFERROR(Q499/#REF!-1,"---")</f>
        <v>---</v>
      </c>
      <c r="AG499" s="70" t="str">
        <f>IFERROR(#REF!/#REF!-1,"---")</f>
        <v>---</v>
      </c>
      <c r="AH499" s="70" t="str">
        <f>IFERROR(#REF!/AA499-1,"---")</f>
        <v>---</v>
      </c>
      <c r="AI499" s="71" t="str">
        <f t="shared" si="77"/>
        <v>---</v>
      </c>
    </row>
    <row r="500" spans="1:35" ht="30" customHeight="1" x14ac:dyDescent="0.3">
      <c r="A500" s="123">
        <f t="shared" si="70"/>
        <v>496</v>
      </c>
      <c r="B500" s="140">
        <f>INDEX('PEER GROUP'!B:B,MATCH($A500,'PEER GROUP'!$A:$A,0))</f>
        <v>0</v>
      </c>
      <c r="C500" s="83">
        <f>INDEX('PEER GROUP'!C:C,MATCH($A500,'PEER GROUP'!$A:$A,0))</f>
        <v>0</v>
      </c>
      <c r="D500" s="83">
        <f>INDEX('PEER GROUP'!D:D,MATCH($A500,'PEER GROUP'!$A:$A,0))</f>
        <v>0</v>
      </c>
      <c r="E500" s="83">
        <f>INDEX('PEER GROUP'!E:E,MATCH(A500,'PEER GROUP'!$A:$A,0))</f>
        <v>0</v>
      </c>
      <c r="F500" s="84">
        <f>INDEX('PEER GROUP'!F:F,MATCH($A500,'PEER GROUP'!$A:$A,0))</f>
        <v>0</v>
      </c>
      <c r="G500" s="84">
        <f>INDEX('PEER GROUP'!G:G,MATCH($A500,'PEER GROUP'!$A:$A,0))</f>
        <v>0</v>
      </c>
      <c r="H500" s="85"/>
      <c r="I500" s="85"/>
      <c r="J500" s="70">
        <f>INDEX('PEER GROUP'!K:K,MATCH($A500,'PEER GROUP'!$A:$A,0))</f>
        <v>0</v>
      </c>
      <c r="K500" s="70">
        <f>INDEX('PEER GROUP'!L:L,MATCH($A500,'PEER GROUP'!$A:$A,0))</f>
        <v>0</v>
      </c>
      <c r="L500" s="81">
        <f>INDEX('PEER GROUP'!N:N,MATCH($A500,'PEER GROUP'!$A:$A,0))</f>
        <v>0</v>
      </c>
      <c r="M500" s="118"/>
      <c r="N500" s="115"/>
      <c r="O500" s="117"/>
      <c r="P500" s="87"/>
      <c r="Q500" s="87"/>
      <c r="R500" s="87">
        <f t="shared" si="71"/>
        <v>0</v>
      </c>
      <c r="S500" s="113">
        <f t="shared" si="69"/>
        <v>36.913096727263202</v>
      </c>
      <c r="T500" s="69">
        <f t="shared" si="72"/>
        <v>0</v>
      </c>
      <c r="U500" s="70">
        <f t="shared" si="73"/>
        <v>0</v>
      </c>
      <c r="V500" s="70">
        <f t="shared" si="74"/>
        <v>0</v>
      </c>
      <c r="W500" s="71">
        <f t="shared" si="75"/>
        <v>0</v>
      </c>
      <c r="X500" s="49"/>
      <c r="Y500" s="151"/>
      <c r="Z500" s="69"/>
      <c r="AA500" s="70"/>
      <c r="AB500" s="70"/>
      <c r="AC500" s="70" t="str">
        <f t="shared" si="76"/>
        <v>---</v>
      </c>
      <c r="AD500" s="70" t="str">
        <f>IFERROR(P500/#REF!-1,"---")</f>
        <v>---</v>
      </c>
      <c r="AE500" s="70" t="str">
        <f>IFERROR(#REF!/#REF!-1,"---")</f>
        <v>---</v>
      </c>
      <c r="AF500" s="70" t="str">
        <f>IFERROR(Q500/#REF!-1,"---")</f>
        <v>---</v>
      </c>
      <c r="AG500" s="70" t="str">
        <f>IFERROR(#REF!/#REF!-1,"---")</f>
        <v>---</v>
      </c>
      <c r="AH500" s="70" t="str">
        <f>IFERROR(#REF!/AA500-1,"---")</f>
        <v>---</v>
      </c>
      <c r="AI500" s="71" t="str">
        <f t="shared" si="77"/>
        <v>---</v>
      </c>
    </row>
    <row r="501" spans="1:35" ht="30" customHeight="1" x14ac:dyDescent="0.3">
      <c r="A501" s="123">
        <f t="shared" si="70"/>
        <v>497</v>
      </c>
      <c r="B501" s="140">
        <f>INDEX('PEER GROUP'!B:B,MATCH($A501,'PEER GROUP'!$A:$A,0))</f>
        <v>0</v>
      </c>
      <c r="C501" s="83">
        <f>INDEX('PEER GROUP'!C:C,MATCH($A501,'PEER GROUP'!$A:$A,0))</f>
        <v>0</v>
      </c>
      <c r="D501" s="83">
        <f>INDEX('PEER GROUP'!D:D,MATCH($A501,'PEER GROUP'!$A:$A,0))</f>
        <v>0</v>
      </c>
      <c r="E501" s="83">
        <f>INDEX('PEER GROUP'!E:E,MATCH(A501,'PEER GROUP'!$A:$A,0))</f>
        <v>0</v>
      </c>
      <c r="F501" s="84">
        <f>INDEX('PEER GROUP'!F:F,MATCH($A501,'PEER GROUP'!$A:$A,0))</f>
        <v>0</v>
      </c>
      <c r="G501" s="84">
        <f>INDEX('PEER GROUP'!G:G,MATCH($A501,'PEER GROUP'!$A:$A,0))</f>
        <v>0</v>
      </c>
      <c r="H501" s="85"/>
      <c r="I501" s="85"/>
      <c r="J501" s="70">
        <f>INDEX('PEER GROUP'!K:K,MATCH($A501,'PEER GROUP'!$A:$A,0))</f>
        <v>0</v>
      </c>
      <c r="K501" s="70">
        <f>INDEX('PEER GROUP'!L:L,MATCH($A501,'PEER GROUP'!$A:$A,0))</f>
        <v>0</v>
      </c>
      <c r="L501" s="81">
        <f>INDEX('PEER GROUP'!N:N,MATCH($A501,'PEER GROUP'!$A:$A,0))</f>
        <v>0</v>
      </c>
      <c r="M501" s="118"/>
      <c r="N501" s="115"/>
      <c r="O501" s="117"/>
      <c r="P501" s="87"/>
      <c r="Q501" s="87"/>
      <c r="R501" s="87">
        <f t="shared" si="71"/>
        <v>0</v>
      </c>
      <c r="S501" s="113">
        <f t="shared" si="69"/>
        <v>36.913096727263202</v>
      </c>
      <c r="T501" s="69">
        <f t="shared" si="72"/>
        <v>0</v>
      </c>
      <c r="U501" s="70">
        <f t="shared" si="73"/>
        <v>0</v>
      </c>
      <c r="V501" s="70">
        <f t="shared" si="74"/>
        <v>0</v>
      </c>
      <c r="W501" s="71">
        <f t="shared" si="75"/>
        <v>0</v>
      </c>
      <c r="X501" s="49"/>
      <c r="Y501" s="151"/>
      <c r="Z501" s="69"/>
      <c r="AA501" s="70"/>
      <c r="AB501" s="70"/>
      <c r="AC501" s="70" t="str">
        <f t="shared" si="76"/>
        <v>---</v>
      </c>
      <c r="AD501" s="70" t="str">
        <f>IFERROR(P501/#REF!-1,"---")</f>
        <v>---</v>
      </c>
      <c r="AE501" s="70" t="str">
        <f>IFERROR(#REF!/#REF!-1,"---")</f>
        <v>---</v>
      </c>
      <c r="AF501" s="70" t="str">
        <f>IFERROR(Q501/#REF!-1,"---")</f>
        <v>---</v>
      </c>
      <c r="AG501" s="70" t="str">
        <f>IFERROR(#REF!/#REF!-1,"---")</f>
        <v>---</v>
      </c>
      <c r="AH501" s="70" t="str">
        <f>IFERROR(#REF!/AA501-1,"---")</f>
        <v>---</v>
      </c>
      <c r="AI501" s="71" t="str">
        <f t="shared" si="77"/>
        <v>---</v>
      </c>
    </row>
    <row r="502" spans="1:35" ht="30" customHeight="1" x14ac:dyDescent="0.3">
      <c r="A502" s="123">
        <f t="shared" si="70"/>
        <v>498</v>
      </c>
      <c r="B502" s="140">
        <f>INDEX('PEER GROUP'!B:B,MATCH($A502,'PEER GROUP'!$A:$A,0))</f>
        <v>0</v>
      </c>
      <c r="C502" s="83">
        <f>INDEX('PEER GROUP'!C:C,MATCH($A502,'PEER GROUP'!$A:$A,0))</f>
        <v>0</v>
      </c>
      <c r="D502" s="83">
        <f>INDEX('PEER GROUP'!D:D,MATCH($A502,'PEER GROUP'!$A:$A,0))</f>
        <v>0</v>
      </c>
      <c r="E502" s="83">
        <f>INDEX('PEER GROUP'!E:E,MATCH(A502,'PEER GROUP'!$A:$A,0))</f>
        <v>0</v>
      </c>
      <c r="F502" s="84">
        <f>INDEX('PEER GROUP'!F:F,MATCH($A502,'PEER GROUP'!$A:$A,0))</f>
        <v>0</v>
      </c>
      <c r="G502" s="84">
        <f>INDEX('PEER GROUP'!G:G,MATCH($A502,'PEER GROUP'!$A:$A,0))</f>
        <v>0</v>
      </c>
      <c r="H502" s="85"/>
      <c r="I502" s="85"/>
      <c r="J502" s="70">
        <f>INDEX('PEER GROUP'!K:K,MATCH($A502,'PEER GROUP'!$A:$A,0))</f>
        <v>0</v>
      </c>
      <c r="K502" s="70">
        <f>INDEX('PEER GROUP'!L:L,MATCH($A502,'PEER GROUP'!$A:$A,0))</f>
        <v>0</v>
      </c>
      <c r="L502" s="81">
        <f>INDEX('PEER GROUP'!N:N,MATCH($A502,'PEER GROUP'!$A:$A,0))</f>
        <v>0</v>
      </c>
      <c r="M502" s="118"/>
      <c r="N502" s="115"/>
      <c r="O502" s="117"/>
      <c r="P502" s="87"/>
      <c r="Q502" s="87"/>
      <c r="R502" s="87">
        <f t="shared" si="71"/>
        <v>0</v>
      </c>
      <c r="S502" s="113">
        <f t="shared" si="69"/>
        <v>36.913096727263202</v>
      </c>
      <c r="T502" s="69">
        <f t="shared" si="72"/>
        <v>0</v>
      </c>
      <c r="U502" s="70">
        <f t="shared" si="73"/>
        <v>0</v>
      </c>
      <c r="V502" s="70">
        <f t="shared" si="74"/>
        <v>0</v>
      </c>
      <c r="W502" s="71">
        <f t="shared" si="75"/>
        <v>0</v>
      </c>
      <c r="X502" s="49"/>
      <c r="Y502" s="151"/>
      <c r="Z502" s="69"/>
      <c r="AA502" s="70"/>
      <c r="AB502" s="70"/>
      <c r="AC502" s="70" t="str">
        <f t="shared" si="76"/>
        <v>---</v>
      </c>
      <c r="AD502" s="70" t="str">
        <f>IFERROR(P502/#REF!-1,"---")</f>
        <v>---</v>
      </c>
      <c r="AE502" s="70" t="str">
        <f>IFERROR(#REF!/#REF!-1,"---")</f>
        <v>---</v>
      </c>
      <c r="AF502" s="70" t="str">
        <f>IFERROR(Q502/#REF!-1,"---")</f>
        <v>---</v>
      </c>
      <c r="AG502" s="70" t="str">
        <f>IFERROR(#REF!/#REF!-1,"---")</f>
        <v>---</v>
      </c>
      <c r="AH502" s="70" t="str">
        <f>IFERROR(#REF!/AA502-1,"---")</f>
        <v>---</v>
      </c>
      <c r="AI502" s="71" t="str">
        <f t="shared" si="77"/>
        <v>---</v>
      </c>
    </row>
    <row r="503" spans="1:35" ht="30" customHeight="1" x14ac:dyDescent="0.3">
      <c r="A503" s="123">
        <f t="shared" si="70"/>
        <v>499</v>
      </c>
      <c r="B503" s="140">
        <f>INDEX('PEER GROUP'!B:B,MATCH($A503,'PEER GROUP'!$A:$A,0))</f>
        <v>0</v>
      </c>
      <c r="C503" s="83">
        <f>INDEX('PEER GROUP'!C:C,MATCH($A503,'PEER GROUP'!$A:$A,0))</f>
        <v>0</v>
      </c>
      <c r="D503" s="83">
        <f>INDEX('PEER GROUP'!D:D,MATCH($A503,'PEER GROUP'!$A:$A,0))</f>
        <v>0</v>
      </c>
      <c r="E503" s="83">
        <f>INDEX('PEER GROUP'!E:E,MATCH(A503,'PEER GROUP'!$A:$A,0))</f>
        <v>0</v>
      </c>
      <c r="F503" s="84">
        <f>INDEX('PEER GROUP'!F:F,MATCH($A503,'PEER GROUP'!$A:$A,0))</f>
        <v>0</v>
      </c>
      <c r="G503" s="84">
        <f>INDEX('PEER GROUP'!G:G,MATCH($A503,'PEER GROUP'!$A:$A,0))</f>
        <v>0</v>
      </c>
      <c r="H503" s="85"/>
      <c r="I503" s="85"/>
      <c r="J503" s="70">
        <f>INDEX('PEER GROUP'!K:K,MATCH($A503,'PEER GROUP'!$A:$A,0))</f>
        <v>0</v>
      </c>
      <c r="K503" s="70">
        <f>INDEX('PEER GROUP'!L:L,MATCH($A503,'PEER GROUP'!$A:$A,0))</f>
        <v>0</v>
      </c>
      <c r="L503" s="81">
        <f>INDEX('PEER GROUP'!N:N,MATCH($A503,'PEER GROUP'!$A:$A,0))</f>
        <v>0</v>
      </c>
      <c r="M503" s="118"/>
      <c r="N503" s="115"/>
      <c r="O503" s="117"/>
      <c r="P503" s="87"/>
      <c r="Q503" s="87"/>
      <c r="R503" s="87">
        <f t="shared" si="71"/>
        <v>0</v>
      </c>
      <c r="S503" s="113">
        <f t="shared" si="69"/>
        <v>36.913096727263202</v>
      </c>
      <c r="T503" s="69">
        <f t="shared" si="72"/>
        <v>0</v>
      </c>
      <c r="U503" s="70">
        <f t="shared" si="73"/>
        <v>0</v>
      </c>
      <c r="V503" s="70">
        <f t="shared" si="74"/>
        <v>0</v>
      </c>
      <c r="W503" s="71">
        <f t="shared" si="75"/>
        <v>0</v>
      </c>
      <c r="X503" s="49"/>
      <c r="Y503" s="151"/>
      <c r="Z503" s="69"/>
      <c r="AA503" s="70"/>
      <c r="AB503" s="70"/>
      <c r="AC503" s="70" t="str">
        <f t="shared" si="76"/>
        <v>---</v>
      </c>
      <c r="AD503" s="70" t="str">
        <f>IFERROR(P503/#REF!-1,"---")</f>
        <v>---</v>
      </c>
      <c r="AE503" s="70" t="str">
        <f>IFERROR(#REF!/#REF!-1,"---")</f>
        <v>---</v>
      </c>
      <c r="AF503" s="70" t="str">
        <f>IFERROR(Q503/#REF!-1,"---")</f>
        <v>---</v>
      </c>
      <c r="AG503" s="70" t="str">
        <f>IFERROR(#REF!/#REF!-1,"---")</f>
        <v>---</v>
      </c>
      <c r="AH503" s="70" t="str">
        <f>IFERROR(#REF!/AA503-1,"---")</f>
        <v>---</v>
      </c>
      <c r="AI503" s="71" t="str">
        <f t="shared" si="77"/>
        <v>---</v>
      </c>
    </row>
    <row r="504" spans="1:35" ht="30" customHeight="1" x14ac:dyDescent="0.3">
      <c r="A504" s="123">
        <f t="shared" si="70"/>
        <v>500</v>
      </c>
      <c r="B504" s="140">
        <f>INDEX('PEER GROUP'!B:B,MATCH($A504,'PEER GROUP'!$A:$A,0))</f>
        <v>0</v>
      </c>
      <c r="C504" s="83">
        <f>INDEX('PEER GROUP'!C:C,MATCH($A504,'PEER GROUP'!$A:$A,0))</f>
        <v>0</v>
      </c>
      <c r="D504" s="83">
        <f>INDEX('PEER GROUP'!D:D,MATCH($A504,'PEER GROUP'!$A:$A,0))</f>
        <v>0</v>
      </c>
      <c r="E504" s="83">
        <f>INDEX('PEER GROUP'!E:E,MATCH(A504,'PEER GROUP'!$A:$A,0))</f>
        <v>0</v>
      </c>
      <c r="F504" s="84">
        <f>INDEX('PEER GROUP'!F:F,MATCH($A504,'PEER GROUP'!$A:$A,0))</f>
        <v>0</v>
      </c>
      <c r="G504" s="84">
        <f>INDEX('PEER GROUP'!G:G,MATCH($A504,'PEER GROUP'!$A:$A,0))</f>
        <v>0</v>
      </c>
      <c r="H504" s="85"/>
      <c r="I504" s="85"/>
      <c r="J504" s="70">
        <f>INDEX('PEER GROUP'!K:K,MATCH($A504,'PEER GROUP'!$A:$A,0))</f>
        <v>0</v>
      </c>
      <c r="K504" s="70">
        <f>INDEX('PEER GROUP'!L:L,MATCH($A504,'PEER GROUP'!$A:$A,0))</f>
        <v>0</v>
      </c>
      <c r="L504" s="81">
        <f>INDEX('PEER GROUP'!N:N,MATCH($A504,'PEER GROUP'!$A:$A,0))</f>
        <v>0</v>
      </c>
      <c r="M504" s="118"/>
      <c r="N504" s="115"/>
      <c r="O504" s="117"/>
      <c r="P504" s="87"/>
      <c r="Q504" s="87"/>
      <c r="R504" s="87">
        <f t="shared" si="71"/>
        <v>0</v>
      </c>
      <c r="S504" s="113">
        <f t="shared" si="69"/>
        <v>36.913096727263202</v>
      </c>
      <c r="T504" s="69">
        <f t="shared" si="72"/>
        <v>0</v>
      </c>
      <c r="U504" s="70">
        <f t="shared" si="73"/>
        <v>0</v>
      </c>
      <c r="V504" s="70">
        <f t="shared" si="74"/>
        <v>0</v>
      </c>
      <c r="W504" s="71">
        <f t="shared" si="75"/>
        <v>0</v>
      </c>
      <c r="X504" s="49"/>
      <c r="Y504" s="151"/>
      <c r="Z504" s="69"/>
      <c r="AA504" s="70"/>
      <c r="AB504" s="70"/>
      <c r="AC504" s="70" t="str">
        <f t="shared" si="76"/>
        <v>---</v>
      </c>
      <c r="AD504" s="70" t="str">
        <f>IFERROR(P504/#REF!-1,"---")</f>
        <v>---</v>
      </c>
      <c r="AE504" s="70" t="str">
        <f>IFERROR(#REF!/#REF!-1,"---")</f>
        <v>---</v>
      </c>
      <c r="AF504" s="70" t="str">
        <f>IFERROR(Q504/#REF!-1,"---")</f>
        <v>---</v>
      </c>
      <c r="AG504" s="70" t="str">
        <f>IFERROR(#REF!/#REF!-1,"---")</f>
        <v>---</v>
      </c>
      <c r="AH504" s="70" t="str">
        <f>IFERROR(#REF!/AA504-1,"---")</f>
        <v>---</v>
      </c>
      <c r="AI504" s="71" t="str">
        <f t="shared" si="77"/>
        <v>---</v>
      </c>
    </row>
    <row r="505" spans="1:35" ht="30" customHeight="1" x14ac:dyDescent="0.3">
      <c r="A505" s="123">
        <f t="shared" si="70"/>
        <v>501</v>
      </c>
      <c r="B505" s="140">
        <f>INDEX('PEER GROUP'!B:B,MATCH($A505,'PEER GROUP'!$A:$A,0))</f>
        <v>0</v>
      </c>
      <c r="C505" s="83">
        <f>INDEX('PEER GROUP'!C:C,MATCH($A505,'PEER GROUP'!$A:$A,0))</f>
        <v>0</v>
      </c>
      <c r="D505" s="83">
        <f>INDEX('PEER GROUP'!D:D,MATCH($A505,'PEER GROUP'!$A:$A,0))</f>
        <v>0</v>
      </c>
      <c r="E505" s="83">
        <f>INDEX('PEER GROUP'!E:E,MATCH(A505,'PEER GROUP'!$A:$A,0))</f>
        <v>0</v>
      </c>
      <c r="F505" s="84">
        <f>INDEX('PEER GROUP'!F:F,MATCH($A505,'PEER GROUP'!$A:$A,0))</f>
        <v>0</v>
      </c>
      <c r="G505" s="84">
        <f>INDEX('PEER GROUP'!G:G,MATCH($A505,'PEER GROUP'!$A:$A,0))</f>
        <v>0</v>
      </c>
      <c r="H505" s="85"/>
      <c r="I505" s="85"/>
      <c r="J505" s="70">
        <f>INDEX('PEER GROUP'!K:K,MATCH($A505,'PEER GROUP'!$A:$A,0))</f>
        <v>0</v>
      </c>
      <c r="K505" s="70">
        <f>INDEX('PEER GROUP'!L:L,MATCH($A505,'PEER GROUP'!$A:$A,0))</f>
        <v>0</v>
      </c>
      <c r="L505" s="81">
        <f>INDEX('PEER GROUP'!N:N,MATCH($A505,'PEER GROUP'!$A:$A,0))</f>
        <v>0</v>
      </c>
      <c r="M505" s="118"/>
      <c r="N505" s="115"/>
      <c r="O505" s="117"/>
      <c r="P505" s="87"/>
      <c r="Q505" s="87"/>
      <c r="R505" s="87">
        <f t="shared" si="71"/>
        <v>0</v>
      </c>
      <c r="S505" s="113">
        <f t="shared" si="69"/>
        <v>36.913096727263202</v>
      </c>
      <c r="T505" s="69">
        <f t="shared" si="72"/>
        <v>0</v>
      </c>
      <c r="U505" s="70">
        <f t="shared" si="73"/>
        <v>0</v>
      </c>
      <c r="V505" s="70">
        <f t="shared" si="74"/>
        <v>0</v>
      </c>
      <c r="W505" s="71">
        <f t="shared" si="75"/>
        <v>0</v>
      </c>
      <c r="X505" s="49"/>
      <c r="Y505" s="151"/>
      <c r="Z505" s="69"/>
      <c r="AA505" s="70"/>
      <c r="AB505" s="70"/>
      <c r="AC505" s="70" t="str">
        <f t="shared" si="76"/>
        <v>---</v>
      </c>
      <c r="AD505" s="70" t="str">
        <f>IFERROR(P505/#REF!-1,"---")</f>
        <v>---</v>
      </c>
      <c r="AE505" s="70" t="str">
        <f>IFERROR(#REF!/#REF!-1,"---")</f>
        <v>---</v>
      </c>
      <c r="AF505" s="70" t="str">
        <f>IFERROR(Q505/#REF!-1,"---")</f>
        <v>---</v>
      </c>
      <c r="AG505" s="70" t="str">
        <f>IFERROR(#REF!/#REF!-1,"---")</f>
        <v>---</v>
      </c>
      <c r="AH505" s="70" t="str">
        <f>IFERROR(#REF!/AA505-1,"---")</f>
        <v>---</v>
      </c>
      <c r="AI505" s="71" t="str">
        <f t="shared" si="77"/>
        <v>---</v>
      </c>
    </row>
    <row r="506" spans="1:35" ht="30" customHeight="1" x14ac:dyDescent="0.3">
      <c r="A506" s="123">
        <f t="shared" si="70"/>
        <v>502</v>
      </c>
      <c r="B506" s="140">
        <f>INDEX('PEER GROUP'!B:B,MATCH($A506,'PEER GROUP'!$A:$A,0))</f>
        <v>0</v>
      </c>
      <c r="C506" s="83">
        <f>INDEX('PEER GROUP'!C:C,MATCH($A506,'PEER GROUP'!$A:$A,0))</f>
        <v>0</v>
      </c>
      <c r="D506" s="83">
        <f>INDEX('PEER GROUP'!D:D,MATCH($A506,'PEER GROUP'!$A:$A,0))</f>
        <v>0</v>
      </c>
      <c r="E506" s="83">
        <f>INDEX('PEER GROUP'!E:E,MATCH(A506,'PEER GROUP'!$A:$A,0))</f>
        <v>0</v>
      </c>
      <c r="F506" s="84">
        <f>INDEX('PEER GROUP'!F:F,MATCH($A506,'PEER GROUP'!$A:$A,0))</f>
        <v>0</v>
      </c>
      <c r="G506" s="84">
        <f>INDEX('PEER GROUP'!G:G,MATCH($A506,'PEER GROUP'!$A:$A,0))</f>
        <v>0</v>
      </c>
      <c r="H506" s="85"/>
      <c r="I506" s="85"/>
      <c r="J506" s="70">
        <f>INDEX('PEER GROUP'!K:K,MATCH($A506,'PEER GROUP'!$A:$A,0))</f>
        <v>0</v>
      </c>
      <c r="K506" s="70">
        <f>INDEX('PEER GROUP'!L:L,MATCH($A506,'PEER GROUP'!$A:$A,0))</f>
        <v>0</v>
      </c>
      <c r="L506" s="81">
        <f>INDEX('PEER GROUP'!N:N,MATCH($A506,'PEER GROUP'!$A:$A,0))</f>
        <v>0</v>
      </c>
      <c r="M506" s="118"/>
      <c r="N506" s="115"/>
      <c r="O506" s="117"/>
      <c r="P506" s="87"/>
      <c r="Q506" s="87"/>
      <c r="R506" s="87">
        <f t="shared" si="71"/>
        <v>0</v>
      </c>
      <c r="S506" s="113">
        <f t="shared" si="69"/>
        <v>36.913096727263202</v>
      </c>
      <c r="T506" s="69">
        <f t="shared" si="72"/>
        <v>0</v>
      </c>
      <c r="U506" s="70">
        <f t="shared" si="73"/>
        <v>0</v>
      </c>
      <c r="V506" s="70">
        <f t="shared" si="74"/>
        <v>0</v>
      </c>
      <c r="W506" s="71">
        <f t="shared" si="75"/>
        <v>0</v>
      </c>
      <c r="X506" s="49"/>
      <c r="Y506" s="151"/>
      <c r="Z506" s="69"/>
      <c r="AA506" s="70"/>
      <c r="AB506" s="70"/>
      <c r="AC506" s="70" t="str">
        <f t="shared" si="76"/>
        <v>---</v>
      </c>
      <c r="AD506" s="70" t="str">
        <f>IFERROR(P506/#REF!-1,"---")</f>
        <v>---</v>
      </c>
      <c r="AE506" s="70" t="str">
        <f>IFERROR(#REF!/#REF!-1,"---")</f>
        <v>---</v>
      </c>
      <c r="AF506" s="70" t="str">
        <f>IFERROR(Q506/#REF!-1,"---")</f>
        <v>---</v>
      </c>
      <c r="AG506" s="70" t="str">
        <f>IFERROR(#REF!/#REF!-1,"---")</f>
        <v>---</v>
      </c>
      <c r="AH506" s="70" t="str">
        <f>IFERROR(#REF!/AA506-1,"---")</f>
        <v>---</v>
      </c>
      <c r="AI506" s="71" t="str">
        <f t="shared" si="77"/>
        <v>---</v>
      </c>
    </row>
    <row r="507" spans="1:35" ht="30" customHeight="1" x14ac:dyDescent="0.3">
      <c r="A507" s="123">
        <f t="shared" si="70"/>
        <v>503</v>
      </c>
      <c r="B507" s="140">
        <f>INDEX('PEER GROUP'!B:B,MATCH($A507,'PEER GROUP'!$A:$A,0))</f>
        <v>0</v>
      </c>
      <c r="C507" s="83">
        <f>INDEX('PEER GROUP'!C:C,MATCH($A507,'PEER GROUP'!$A:$A,0))</f>
        <v>0</v>
      </c>
      <c r="D507" s="83">
        <f>INDEX('PEER GROUP'!D:D,MATCH($A507,'PEER GROUP'!$A:$A,0))</f>
        <v>0</v>
      </c>
      <c r="E507" s="83">
        <f>INDEX('PEER GROUP'!E:E,MATCH(A507,'PEER GROUP'!$A:$A,0))</f>
        <v>0</v>
      </c>
      <c r="F507" s="84">
        <f>INDEX('PEER GROUP'!F:F,MATCH($A507,'PEER GROUP'!$A:$A,0))</f>
        <v>0</v>
      </c>
      <c r="G507" s="84">
        <f>INDEX('PEER GROUP'!G:G,MATCH($A507,'PEER GROUP'!$A:$A,0))</f>
        <v>0</v>
      </c>
      <c r="H507" s="85"/>
      <c r="I507" s="85"/>
      <c r="J507" s="70">
        <f>INDEX('PEER GROUP'!K:K,MATCH($A507,'PEER GROUP'!$A:$A,0))</f>
        <v>0</v>
      </c>
      <c r="K507" s="70">
        <f>INDEX('PEER GROUP'!L:L,MATCH($A507,'PEER GROUP'!$A:$A,0))</f>
        <v>0</v>
      </c>
      <c r="L507" s="81">
        <f>INDEX('PEER GROUP'!N:N,MATCH($A507,'PEER GROUP'!$A:$A,0))</f>
        <v>0</v>
      </c>
      <c r="M507" s="118"/>
      <c r="N507" s="115"/>
      <c r="O507" s="117"/>
      <c r="P507" s="87"/>
      <c r="Q507" s="87"/>
      <c r="R507" s="87">
        <f t="shared" si="71"/>
        <v>0</v>
      </c>
      <c r="S507" s="113">
        <f t="shared" si="69"/>
        <v>36.913096727263202</v>
      </c>
      <c r="T507" s="69">
        <f t="shared" si="72"/>
        <v>0</v>
      </c>
      <c r="U507" s="70">
        <f t="shared" si="73"/>
        <v>0</v>
      </c>
      <c r="V507" s="70">
        <f t="shared" si="74"/>
        <v>0</v>
      </c>
      <c r="W507" s="71">
        <f t="shared" si="75"/>
        <v>0</v>
      </c>
      <c r="X507" s="49"/>
      <c r="Y507" s="151"/>
      <c r="Z507" s="69"/>
      <c r="AA507" s="70"/>
      <c r="AB507" s="70"/>
      <c r="AC507" s="70" t="str">
        <f t="shared" si="76"/>
        <v>---</v>
      </c>
      <c r="AD507" s="70" t="str">
        <f>IFERROR(P507/#REF!-1,"---")</f>
        <v>---</v>
      </c>
      <c r="AE507" s="70" t="str">
        <f>IFERROR(#REF!/#REF!-1,"---")</f>
        <v>---</v>
      </c>
      <c r="AF507" s="70" t="str">
        <f>IFERROR(Q507/#REF!-1,"---")</f>
        <v>---</v>
      </c>
      <c r="AG507" s="70" t="str">
        <f>IFERROR(#REF!/#REF!-1,"---")</f>
        <v>---</v>
      </c>
      <c r="AH507" s="70" t="str">
        <f>IFERROR(#REF!/AA507-1,"---")</f>
        <v>---</v>
      </c>
      <c r="AI507" s="71" t="str">
        <f t="shared" si="77"/>
        <v>---</v>
      </c>
    </row>
    <row r="508" spans="1:35" ht="30" customHeight="1" x14ac:dyDescent="0.3">
      <c r="A508" s="123">
        <f t="shared" si="70"/>
        <v>504</v>
      </c>
      <c r="B508" s="140">
        <f>INDEX('PEER GROUP'!B:B,MATCH($A508,'PEER GROUP'!$A:$A,0))</f>
        <v>0</v>
      </c>
      <c r="C508" s="83">
        <f>INDEX('PEER GROUP'!C:C,MATCH($A508,'PEER GROUP'!$A:$A,0))</f>
        <v>0</v>
      </c>
      <c r="D508" s="83">
        <f>INDEX('PEER GROUP'!D:D,MATCH($A508,'PEER GROUP'!$A:$A,0))</f>
        <v>0</v>
      </c>
      <c r="E508" s="83">
        <f>INDEX('PEER GROUP'!E:E,MATCH(A508,'PEER GROUP'!$A:$A,0))</f>
        <v>0</v>
      </c>
      <c r="F508" s="84">
        <f>INDEX('PEER GROUP'!F:F,MATCH($A508,'PEER GROUP'!$A:$A,0))</f>
        <v>0</v>
      </c>
      <c r="G508" s="84">
        <f>INDEX('PEER GROUP'!G:G,MATCH($A508,'PEER GROUP'!$A:$A,0))</f>
        <v>0</v>
      </c>
      <c r="H508" s="85"/>
      <c r="I508" s="85"/>
      <c r="J508" s="70">
        <f>INDEX('PEER GROUP'!K:K,MATCH($A508,'PEER GROUP'!$A:$A,0))</f>
        <v>0</v>
      </c>
      <c r="K508" s="70">
        <f>INDEX('PEER GROUP'!L:L,MATCH($A508,'PEER GROUP'!$A:$A,0))</f>
        <v>0</v>
      </c>
      <c r="L508" s="81">
        <f>INDEX('PEER GROUP'!N:N,MATCH($A508,'PEER GROUP'!$A:$A,0))</f>
        <v>0</v>
      </c>
      <c r="M508" s="118"/>
      <c r="N508" s="115"/>
      <c r="O508" s="117"/>
      <c r="P508" s="87"/>
      <c r="Q508" s="87"/>
      <c r="R508" s="87">
        <f t="shared" si="71"/>
        <v>0</v>
      </c>
      <c r="S508" s="113">
        <f t="shared" si="69"/>
        <v>36.913096727263202</v>
      </c>
      <c r="T508" s="69">
        <f t="shared" si="72"/>
        <v>0</v>
      </c>
      <c r="U508" s="70">
        <f t="shared" si="73"/>
        <v>0</v>
      </c>
      <c r="V508" s="70">
        <f t="shared" si="74"/>
        <v>0</v>
      </c>
      <c r="W508" s="71">
        <f t="shared" si="75"/>
        <v>0</v>
      </c>
      <c r="X508" s="49"/>
      <c r="Y508" s="151"/>
      <c r="Z508" s="69"/>
      <c r="AA508" s="70"/>
      <c r="AB508" s="70"/>
      <c r="AC508" s="70" t="str">
        <f t="shared" si="76"/>
        <v>---</v>
      </c>
      <c r="AD508" s="70" t="str">
        <f>IFERROR(P508/#REF!-1,"---")</f>
        <v>---</v>
      </c>
      <c r="AE508" s="70" t="str">
        <f>IFERROR(#REF!/#REF!-1,"---")</f>
        <v>---</v>
      </c>
      <c r="AF508" s="70" t="str">
        <f>IFERROR(Q508/#REF!-1,"---")</f>
        <v>---</v>
      </c>
      <c r="AG508" s="70" t="str">
        <f>IFERROR(#REF!/#REF!-1,"---")</f>
        <v>---</v>
      </c>
      <c r="AH508" s="70" t="str">
        <f>IFERROR(#REF!/AA508-1,"---")</f>
        <v>---</v>
      </c>
      <c r="AI508" s="71" t="str">
        <f t="shared" si="77"/>
        <v>---</v>
      </c>
    </row>
    <row r="509" spans="1:35" ht="30" customHeight="1" x14ac:dyDescent="0.3">
      <c r="A509" s="123">
        <f t="shared" si="70"/>
        <v>505</v>
      </c>
      <c r="B509" s="140">
        <f>INDEX('PEER GROUP'!B:B,MATCH($A509,'PEER GROUP'!$A:$A,0))</f>
        <v>0</v>
      </c>
      <c r="C509" s="83">
        <f>INDEX('PEER GROUP'!C:C,MATCH($A509,'PEER GROUP'!$A:$A,0))</f>
        <v>0</v>
      </c>
      <c r="D509" s="83">
        <f>INDEX('PEER GROUP'!D:D,MATCH($A509,'PEER GROUP'!$A:$A,0))</f>
        <v>0</v>
      </c>
      <c r="E509" s="83">
        <f>INDEX('PEER GROUP'!E:E,MATCH(A509,'PEER GROUP'!$A:$A,0))</f>
        <v>0</v>
      </c>
      <c r="F509" s="84">
        <f>INDEX('PEER GROUP'!F:F,MATCH($A509,'PEER GROUP'!$A:$A,0))</f>
        <v>0</v>
      </c>
      <c r="G509" s="84">
        <f>INDEX('PEER GROUP'!G:G,MATCH($A509,'PEER GROUP'!$A:$A,0))</f>
        <v>0</v>
      </c>
      <c r="H509" s="85"/>
      <c r="I509" s="85"/>
      <c r="J509" s="70">
        <f>INDEX('PEER GROUP'!K:K,MATCH($A509,'PEER GROUP'!$A:$A,0))</f>
        <v>0</v>
      </c>
      <c r="K509" s="70">
        <f>INDEX('PEER GROUP'!L:L,MATCH($A509,'PEER GROUP'!$A:$A,0))</f>
        <v>0</v>
      </c>
      <c r="L509" s="81">
        <f>INDEX('PEER GROUP'!N:N,MATCH($A509,'PEER GROUP'!$A:$A,0))</f>
        <v>0</v>
      </c>
      <c r="M509" s="118"/>
      <c r="N509" s="115"/>
      <c r="O509" s="117"/>
      <c r="P509" s="87"/>
      <c r="Q509" s="87"/>
      <c r="R509" s="87">
        <f t="shared" si="71"/>
        <v>0</v>
      </c>
      <c r="S509" s="113">
        <f t="shared" si="69"/>
        <v>36.913096727263202</v>
      </c>
      <c r="T509" s="69">
        <f t="shared" si="72"/>
        <v>0</v>
      </c>
      <c r="U509" s="70">
        <f t="shared" si="73"/>
        <v>0</v>
      </c>
      <c r="V509" s="70">
        <f t="shared" si="74"/>
        <v>0</v>
      </c>
      <c r="W509" s="71">
        <f t="shared" si="75"/>
        <v>0</v>
      </c>
      <c r="X509" s="49"/>
      <c r="Y509" s="151"/>
      <c r="Z509" s="69"/>
      <c r="AA509" s="70"/>
      <c r="AB509" s="70"/>
      <c r="AC509" s="70" t="str">
        <f t="shared" si="76"/>
        <v>---</v>
      </c>
      <c r="AD509" s="70" t="str">
        <f>IFERROR(P509/#REF!-1,"---")</f>
        <v>---</v>
      </c>
      <c r="AE509" s="70" t="str">
        <f>IFERROR(#REF!/#REF!-1,"---")</f>
        <v>---</v>
      </c>
      <c r="AF509" s="70" t="str">
        <f>IFERROR(Q509/#REF!-1,"---")</f>
        <v>---</v>
      </c>
      <c r="AG509" s="70" t="str">
        <f>IFERROR(#REF!/#REF!-1,"---")</f>
        <v>---</v>
      </c>
      <c r="AH509" s="70" t="str">
        <f>IFERROR(#REF!/AA509-1,"---")</f>
        <v>---</v>
      </c>
      <c r="AI509" s="71" t="str">
        <f t="shared" si="77"/>
        <v>---</v>
      </c>
    </row>
    <row r="510" spans="1:35" ht="30" customHeight="1" x14ac:dyDescent="0.3">
      <c r="A510" s="123">
        <f t="shared" si="70"/>
        <v>506</v>
      </c>
      <c r="B510" s="140">
        <f>INDEX('PEER GROUP'!B:B,MATCH($A510,'PEER GROUP'!$A:$A,0))</f>
        <v>0</v>
      </c>
      <c r="C510" s="83">
        <f>INDEX('PEER GROUP'!C:C,MATCH($A510,'PEER GROUP'!$A:$A,0))</f>
        <v>0</v>
      </c>
      <c r="D510" s="83">
        <f>INDEX('PEER GROUP'!D:D,MATCH($A510,'PEER GROUP'!$A:$A,0))</f>
        <v>0</v>
      </c>
      <c r="E510" s="83">
        <f>INDEX('PEER GROUP'!E:E,MATCH(A510,'PEER GROUP'!$A:$A,0))</f>
        <v>0</v>
      </c>
      <c r="F510" s="84">
        <f>INDEX('PEER GROUP'!F:F,MATCH($A510,'PEER GROUP'!$A:$A,0))</f>
        <v>0</v>
      </c>
      <c r="G510" s="84">
        <f>INDEX('PEER GROUP'!G:G,MATCH($A510,'PEER GROUP'!$A:$A,0))</f>
        <v>0</v>
      </c>
      <c r="H510" s="85"/>
      <c r="I510" s="85"/>
      <c r="J510" s="70">
        <f>INDEX('PEER GROUP'!K:K,MATCH($A510,'PEER GROUP'!$A:$A,0))</f>
        <v>0</v>
      </c>
      <c r="K510" s="70">
        <f>INDEX('PEER GROUP'!L:L,MATCH($A510,'PEER GROUP'!$A:$A,0))</f>
        <v>0</v>
      </c>
      <c r="L510" s="81">
        <f>INDEX('PEER GROUP'!N:N,MATCH($A510,'PEER GROUP'!$A:$A,0))</f>
        <v>0</v>
      </c>
      <c r="M510" s="118"/>
      <c r="N510" s="115"/>
      <c r="O510" s="117"/>
      <c r="P510" s="87"/>
      <c r="Q510" s="87"/>
      <c r="R510" s="87">
        <f t="shared" si="71"/>
        <v>0</v>
      </c>
      <c r="S510" s="113">
        <f t="shared" si="69"/>
        <v>36.913096727263202</v>
      </c>
      <c r="T510" s="69">
        <f t="shared" si="72"/>
        <v>0</v>
      </c>
      <c r="U510" s="70">
        <f t="shared" si="73"/>
        <v>0</v>
      </c>
      <c r="V510" s="70">
        <f t="shared" si="74"/>
        <v>0</v>
      </c>
      <c r="W510" s="71">
        <f t="shared" si="75"/>
        <v>0</v>
      </c>
      <c r="X510" s="49"/>
      <c r="Y510" s="151"/>
      <c r="Z510" s="69"/>
      <c r="AA510" s="70"/>
      <c r="AB510" s="70"/>
      <c r="AC510" s="70" t="str">
        <f t="shared" si="76"/>
        <v>---</v>
      </c>
      <c r="AD510" s="70" t="str">
        <f>IFERROR(P510/#REF!-1,"---")</f>
        <v>---</v>
      </c>
      <c r="AE510" s="70" t="str">
        <f>IFERROR(#REF!/#REF!-1,"---")</f>
        <v>---</v>
      </c>
      <c r="AF510" s="70" t="str">
        <f>IFERROR(Q510/#REF!-1,"---")</f>
        <v>---</v>
      </c>
      <c r="AG510" s="70" t="str">
        <f>IFERROR(#REF!/#REF!-1,"---")</f>
        <v>---</v>
      </c>
      <c r="AH510" s="70" t="str">
        <f>IFERROR(#REF!/AA510-1,"---")</f>
        <v>---</v>
      </c>
      <c r="AI510" s="71" t="str">
        <f t="shared" si="77"/>
        <v>---</v>
      </c>
    </row>
    <row r="511" spans="1:35" ht="30" customHeight="1" x14ac:dyDescent="0.3">
      <c r="A511" s="123">
        <f t="shared" si="70"/>
        <v>507</v>
      </c>
      <c r="B511" s="140">
        <f>INDEX('PEER GROUP'!B:B,MATCH($A511,'PEER GROUP'!$A:$A,0))</f>
        <v>0</v>
      </c>
      <c r="C511" s="83">
        <f>INDEX('PEER GROUP'!C:C,MATCH($A511,'PEER GROUP'!$A:$A,0))</f>
        <v>0</v>
      </c>
      <c r="D511" s="83">
        <f>INDEX('PEER GROUP'!D:D,MATCH($A511,'PEER GROUP'!$A:$A,0))</f>
        <v>0</v>
      </c>
      <c r="E511" s="83">
        <f>INDEX('PEER GROUP'!E:E,MATCH(A511,'PEER GROUP'!$A:$A,0))</f>
        <v>0</v>
      </c>
      <c r="F511" s="84">
        <f>INDEX('PEER GROUP'!F:F,MATCH($A511,'PEER GROUP'!$A:$A,0))</f>
        <v>0</v>
      </c>
      <c r="G511" s="84">
        <f>INDEX('PEER GROUP'!G:G,MATCH($A511,'PEER GROUP'!$A:$A,0))</f>
        <v>0</v>
      </c>
      <c r="H511" s="85"/>
      <c r="I511" s="85"/>
      <c r="J511" s="70">
        <f>INDEX('PEER GROUP'!K:K,MATCH($A511,'PEER GROUP'!$A:$A,0))</f>
        <v>0</v>
      </c>
      <c r="K511" s="70">
        <f>INDEX('PEER GROUP'!L:L,MATCH($A511,'PEER GROUP'!$A:$A,0))</f>
        <v>0</v>
      </c>
      <c r="L511" s="81">
        <f>INDEX('PEER GROUP'!N:N,MATCH($A511,'PEER GROUP'!$A:$A,0))</f>
        <v>0</v>
      </c>
      <c r="M511" s="118"/>
      <c r="N511" s="115"/>
      <c r="O511" s="117"/>
      <c r="P511" s="87"/>
      <c r="Q511" s="87"/>
      <c r="R511" s="87">
        <f t="shared" si="71"/>
        <v>0</v>
      </c>
      <c r="S511" s="113">
        <f t="shared" si="69"/>
        <v>36.913096727263202</v>
      </c>
      <c r="T511" s="69">
        <f t="shared" si="72"/>
        <v>0</v>
      </c>
      <c r="U511" s="70">
        <f t="shared" si="73"/>
        <v>0</v>
      </c>
      <c r="V511" s="70">
        <f t="shared" si="74"/>
        <v>0</v>
      </c>
      <c r="W511" s="71">
        <f t="shared" si="75"/>
        <v>0</v>
      </c>
      <c r="X511" s="49"/>
      <c r="Y511" s="151"/>
      <c r="Z511" s="69"/>
      <c r="AA511" s="70"/>
      <c r="AB511" s="70"/>
      <c r="AC511" s="70" t="str">
        <f t="shared" si="76"/>
        <v>---</v>
      </c>
      <c r="AD511" s="70" t="str">
        <f>IFERROR(P511/#REF!-1,"---")</f>
        <v>---</v>
      </c>
      <c r="AE511" s="70" t="str">
        <f>IFERROR(#REF!/#REF!-1,"---")</f>
        <v>---</v>
      </c>
      <c r="AF511" s="70" t="str">
        <f>IFERROR(Q511/#REF!-1,"---")</f>
        <v>---</v>
      </c>
      <c r="AG511" s="70" t="str">
        <f>IFERROR(#REF!/#REF!-1,"---")</f>
        <v>---</v>
      </c>
      <c r="AH511" s="70" t="str">
        <f>IFERROR(#REF!/AA511-1,"---")</f>
        <v>---</v>
      </c>
      <c r="AI511" s="71" t="str">
        <f t="shared" si="77"/>
        <v>---</v>
      </c>
    </row>
    <row r="512" spans="1:35" ht="30" customHeight="1" x14ac:dyDescent="0.3">
      <c r="A512" s="123">
        <f t="shared" si="70"/>
        <v>508</v>
      </c>
      <c r="B512" s="140">
        <f>INDEX('PEER GROUP'!B:B,MATCH($A512,'PEER GROUP'!$A:$A,0))</f>
        <v>0</v>
      </c>
      <c r="C512" s="83">
        <f>INDEX('PEER GROUP'!C:C,MATCH($A512,'PEER GROUP'!$A:$A,0))</f>
        <v>0</v>
      </c>
      <c r="D512" s="83">
        <f>INDEX('PEER GROUP'!D:D,MATCH($A512,'PEER GROUP'!$A:$A,0))</f>
        <v>0</v>
      </c>
      <c r="E512" s="83">
        <f>INDEX('PEER GROUP'!E:E,MATCH(A512,'PEER GROUP'!$A:$A,0))</f>
        <v>0</v>
      </c>
      <c r="F512" s="84">
        <f>INDEX('PEER GROUP'!F:F,MATCH($A512,'PEER GROUP'!$A:$A,0))</f>
        <v>0</v>
      </c>
      <c r="G512" s="84">
        <f>INDEX('PEER GROUP'!G:G,MATCH($A512,'PEER GROUP'!$A:$A,0))</f>
        <v>0</v>
      </c>
      <c r="H512" s="85"/>
      <c r="I512" s="85"/>
      <c r="J512" s="70">
        <f>INDEX('PEER GROUP'!K:K,MATCH($A512,'PEER GROUP'!$A:$A,0))</f>
        <v>0</v>
      </c>
      <c r="K512" s="70">
        <f>INDEX('PEER GROUP'!L:L,MATCH($A512,'PEER GROUP'!$A:$A,0))</f>
        <v>0</v>
      </c>
      <c r="L512" s="81">
        <f>INDEX('PEER GROUP'!N:N,MATCH($A512,'PEER GROUP'!$A:$A,0))</f>
        <v>0</v>
      </c>
      <c r="M512" s="118"/>
      <c r="N512" s="115"/>
      <c r="O512" s="117"/>
      <c r="P512" s="87"/>
      <c r="Q512" s="87"/>
      <c r="R512" s="87">
        <f t="shared" si="71"/>
        <v>0</v>
      </c>
      <c r="S512" s="113">
        <f t="shared" si="69"/>
        <v>36.913096727263202</v>
      </c>
      <c r="T512" s="69">
        <f t="shared" si="72"/>
        <v>0</v>
      </c>
      <c r="U512" s="70">
        <f t="shared" si="73"/>
        <v>0</v>
      </c>
      <c r="V512" s="70">
        <f t="shared" si="74"/>
        <v>0</v>
      </c>
      <c r="W512" s="71">
        <f t="shared" si="75"/>
        <v>0</v>
      </c>
      <c r="X512" s="49"/>
      <c r="Y512" s="151"/>
      <c r="Z512" s="69"/>
      <c r="AA512" s="70"/>
      <c r="AB512" s="70"/>
      <c r="AC512" s="70" t="str">
        <f t="shared" si="76"/>
        <v>---</v>
      </c>
      <c r="AD512" s="70" t="str">
        <f>IFERROR(P512/#REF!-1,"---")</f>
        <v>---</v>
      </c>
      <c r="AE512" s="70" t="str">
        <f>IFERROR(#REF!/#REF!-1,"---")</f>
        <v>---</v>
      </c>
      <c r="AF512" s="70" t="str">
        <f>IFERROR(Q512/#REF!-1,"---")</f>
        <v>---</v>
      </c>
      <c r="AG512" s="70" t="str">
        <f>IFERROR(#REF!/#REF!-1,"---")</f>
        <v>---</v>
      </c>
      <c r="AH512" s="70" t="str">
        <f>IFERROR(#REF!/AA512-1,"---")</f>
        <v>---</v>
      </c>
      <c r="AI512" s="71" t="str">
        <f t="shared" si="77"/>
        <v>---</v>
      </c>
    </row>
    <row r="513" spans="1:35" ht="30" customHeight="1" x14ac:dyDescent="0.3">
      <c r="A513" s="123">
        <f t="shared" si="70"/>
        <v>509</v>
      </c>
      <c r="B513" s="140">
        <f>INDEX('PEER GROUP'!B:B,MATCH($A513,'PEER GROUP'!$A:$A,0))</f>
        <v>0</v>
      </c>
      <c r="C513" s="83">
        <f>INDEX('PEER GROUP'!C:C,MATCH($A513,'PEER GROUP'!$A:$A,0))</f>
        <v>0</v>
      </c>
      <c r="D513" s="83">
        <f>INDEX('PEER GROUP'!D:D,MATCH($A513,'PEER GROUP'!$A:$A,0))</f>
        <v>0</v>
      </c>
      <c r="E513" s="83">
        <f>INDEX('PEER GROUP'!E:E,MATCH(A513,'PEER GROUP'!$A:$A,0))</f>
        <v>0</v>
      </c>
      <c r="F513" s="84">
        <f>INDEX('PEER GROUP'!F:F,MATCH($A513,'PEER GROUP'!$A:$A,0))</f>
        <v>0</v>
      </c>
      <c r="G513" s="84">
        <f>INDEX('PEER GROUP'!G:G,MATCH($A513,'PEER GROUP'!$A:$A,0))</f>
        <v>0</v>
      </c>
      <c r="H513" s="85"/>
      <c r="I513" s="85"/>
      <c r="J513" s="70">
        <f>INDEX('PEER GROUP'!K:K,MATCH($A513,'PEER GROUP'!$A:$A,0))</f>
        <v>0</v>
      </c>
      <c r="K513" s="70">
        <f>INDEX('PEER GROUP'!L:L,MATCH($A513,'PEER GROUP'!$A:$A,0))</f>
        <v>0</v>
      </c>
      <c r="L513" s="81">
        <f>INDEX('PEER GROUP'!N:N,MATCH($A513,'PEER GROUP'!$A:$A,0))</f>
        <v>0</v>
      </c>
      <c r="M513" s="118"/>
      <c r="N513" s="115"/>
      <c r="O513" s="117"/>
      <c r="P513" s="87"/>
      <c r="Q513" s="87"/>
      <c r="R513" s="87">
        <f t="shared" si="71"/>
        <v>0</v>
      </c>
      <c r="S513" s="113">
        <f t="shared" si="69"/>
        <v>36.913096727263202</v>
      </c>
      <c r="T513" s="69">
        <f t="shared" si="72"/>
        <v>0</v>
      </c>
      <c r="U513" s="70">
        <f t="shared" si="73"/>
        <v>0</v>
      </c>
      <c r="V513" s="70">
        <f t="shared" si="74"/>
        <v>0</v>
      </c>
      <c r="W513" s="71">
        <f t="shared" si="75"/>
        <v>0</v>
      </c>
      <c r="X513" s="49"/>
      <c r="Y513" s="151"/>
      <c r="Z513" s="69"/>
      <c r="AA513" s="70"/>
      <c r="AB513" s="70"/>
      <c r="AC513" s="70" t="str">
        <f t="shared" si="76"/>
        <v>---</v>
      </c>
      <c r="AD513" s="70" t="str">
        <f>IFERROR(P513/#REF!-1,"---")</f>
        <v>---</v>
      </c>
      <c r="AE513" s="70" t="str">
        <f>IFERROR(#REF!/#REF!-1,"---")</f>
        <v>---</v>
      </c>
      <c r="AF513" s="70" t="str">
        <f>IFERROR(Q513/#REF!-1,"---")</f>
        <v>---</v>
      </c>
      <c r="AG513" s="70" t="str">
        <f>IFERROR(#REF!/#REF!-1,"---")</f>
        <v>---</v>
      </c>
      <c r="AH513" s="70" t="str">
        <f>IFERROR(#REF!/AA513-1,"---")</f>
        <v>---</v>
      </c>
      <c r="AI513" s="71" t="str">
        <f t="shared" si="77"/>
        <v>---</v>
      </c>
    </row>
    <row r="514" spans="1:35" ht="30" customHeight="1" x14ac:dyDescent="0.3">
      <c r="A514" s="123">
        <f t="shared" si="70"/>
        <v>510</v>
      </c>
      <c r="B514" s="140">
        <f>INDEX('PEER GROUP'!B:B,MATCH($A514,'PEER GROUP'!$A:$A,0))</f>
        <v>0</v>
      </c>
      <c r="C514" s="83">
        <f>INDEX('PEER GROUP'!C:C,MATCH($A514,'PEER GROUP'!$A:$A,0))</f>
        <v>0</v>
      </c>
      <c r="D514" s="83">
        <f>INDEX('PEER GROUP'!D:D,MATCH($A514,'PEER GROUP'!$A:$A,0))</f>
        <v>0</v>
      </c>
      <c r="E514" s="83">
        <f>INDEX('PEER GROUP'!E:E,MATCH(A514,'PEER GROUP'!$A:$A,0))</f>
        <v>0</v>
      </c>
      <c r="F514" s="84">
        <f>INDEX('PEER GROUP'!F:F,MATCH($A514,'PEER GROUP'!$A:$A,0))</f>
        <v>0</v>
      </c>
      <c r="G514" s="84">
        <f>INDEX('PEER GROUP'!G:G,MATCH($A514,'PEER GROUP'!$A:$A,0))</f>
        <v>0</v>
      </c>
      <c r="H514" s="85"/>
      <c r="I514" s="85"/>
      <c r="J514" s="70">
        <f>INDEX('PEER GROUP'!K:K,MATCH($A514,'PEER GROUP'!$A:$A,0))</f>
        <v>0</v>
      </c>
      <c r="K514" s="70">
        <f>INDEX('PEER GROUP'!L:L,MATCH($A514,'PEER GROUP'!$A:$A,0))</f>
        <v>0</v>
      </c>
      <c r="L514" s="81">
        <f>INDEX('PEER GROUP'!N:N,MATCH($A514,'PEER GROUP'!$A:$A,0))</f>
        <v>0</v>
      </c>
      <c r="M514" s="118"/>
      <c r="N514" s="115"/>
      <c r="O514" s="117"/>
      <c r="P514" s="87"/>
      <c r="Q514" s="87"/>
      <c r="R514" s="87">
        <f t="shared" si="71"/>
        <v>0</v>
      </c>
      <c r="S514" s="113">
        <f t="shared" si="69"/>
        <v>36.913096727263202</v>
      </c>
      <c r="T514" s="69">
        <f t="shared" si="72"/>
        <v>0</v>
      </c>
      <c r="U514" s="70">
        <f t="shared" si="73"/>
        <v>0</v>
      </c>
      <c r="V514" s="70">
        <f t="shared" si="74"/>
        <v>0</v>
      </c>
      <c r="W514" s="71">
        <f t="shared" si="75"/>
        <v>0</v>
      </c>
      <c r="X514" s="49"/>
      <c r="Y514" s="151"/>
      <c r="Z514" s="69"/>
      <c r="AA514" s="70"/>
      <c r="AB514" s="70"/>
      <c r="AC514" s="70" t="str">
        <f t="shared" si="76"/>
        <v>---</v>
      </c>
      <c r="AD514" s="70" t="str">
        <f>IFERROR(P514/#REF!-1,"---")</f>
        <v>---</v>
      </c>
      <c r="AE514" s="70" t="str">
        <f>IFERROR(#REF!/#REF!-1,"---")</f>
        <v>---</v>
      </c>
      <c r="AF514" s="70" t="str">
        <f>IFERROR(Q514/#REF!-1,"---")</f>
        <v>---</v>
      </c>
      <c r="AG514" s="70" t="str">
        <f>IFERROR(#REF!/#REF!-1,"---")</f>
        <v>---</v>
      </c>
      <c r="AH514" s="70" t="str">
        <f>IFERROR(#REF!/AA514-1,"---")</f>
        <v>---</v>
      </c>
      <c r="AI514" s="71" t="str">
        <f t="shared" si="77"/>
        <v>---</v>
      </c>
    </row>
    <row r="515" spans="1:35" ht="30" customHeight="1" x14ac:dyDescent="0.3">
      <c r="A515" s="123">
        <f t="shared" si="70"/>
        <v>511</v>
      </c>
      <c r="B515" s="140">
        <f>INDEX('PEER GROUP'!B:B,MATCH($A515,'PEER GROUP'!$A:$A,0))</f>
        <v>0</v>
      </c>
      <c r="C515" s="83">
        <f>INDEX('PEER GROUP'!C:C,MATCH($A515,'PEER GROUP'!$A:$A,0))</f>
        <v>0</v>
      </c>
      <c r="D515" s="83">
        <f>INDEX('PEER GROUP'!D:D,MATCH($A515,'PEER GROUP'!$A:$A,0))</f>
        <v>0</v>
      </c>
      <c r="E515" s="83">
        <f>INDEX('PEER GROUP'!E:E,MATCH(A515,'PEER GROUP'!$A:$A,0))</f>
        <v>0</v>
      </c>
      <c r="F515" s="84">
        <f>INDEX('PEER GROUP'!F:F,MATCH($A515,'PEER GROUP'!$A:$A,0))</f>
        <v>0</v>
      </c>
      <c r="G515" s="84">
        <f>INDEX('PEER GROUP'!G:G,MATCH($A515,'PEER GROUP'!$A:$A,0))</f>
        <v>0</v>
      </c>
      <c r="H515" s="85"/>
      <c r="I515" s="85"/>
      <c r="J515" s="70">
        <f>INDEX('PEER GROUP'!K:K,MATCH($A515,'PEER GROUP'!$A:$A,0))</f>
        <v>0</v>
      </c>
      <c r="K515" s="70">
        <f>INDEX('PEER GROUP'!L:L,MATCH($A515,'PEER GROUP'!$A:$A,0))</f>
        <v>0</v>
      </c>
      <c r="L515" s="81">
        <f>INDEX('PEER GROUP'!N:N,MATCH($A515,'PEER GROUP'!$A:$A,0))</f>
        <v>0</v>
      </c>
      <c r="M515" s="118"/>
      <c r="N515" s="115"/>
      <c r="O515" s="117"/>
      <c r="P515" s="87"/>
      <c r="Q515" s="87"/>
      <c r="R515" s="87">
        <f t="shared" si="71"/>
        <v>0</v>
      </c>
      <c r="S515" s="113">
        <f t="shared" si="69"/>
        <v>36.913096727263202</v>
      </c>
      <c r="T515" s="69">
        <f t="shared" si="72"/>
        <v>0</v>
      </c>
      <c r="U515" s="70">
        <f t="shared" si="73"/>
        <v>0</v>
      </c>
      <c r="V515" s="70">
        <f t="shared" si="74"/>
        <v>0</v>
      </c>
      <c r="W515" s="71">
        <f t="shared" si="75"/>
        <v>0</v>
      </c>
      <c r="X515" s="49"/>
      <c r="Y515" s="151"/>
      <c r="Z515" s="69"/>
      <c r="AA515" s="70"/>
      <c r="AB515" s="70"/>
      <c r="AC515" s="70" t="str">
        <f t="shared" si="76"/>
        <v>---</v>
      </c>
      <c r="AD515" s="70" t="str">
        <f>IFERROR(P515/#REF!-1,"---")</f>
        <v>---</v>
      </c>
      <c r="AE515" s="70" t="str">
        <f>IFERROR(#REF!/#REF!-1,"---")</f>
        <v>---</v>
      </c>
      <c r="AF515" s="70" t="str">
        <f>IFERROR(Q515/#REF!-1,"---")</f>
        <v>---</v>
      </c>
      <c r="AG515" s="70" t="str">
        <f>IFERROR(#REF!/#REF!-1,"---")</f>
        <v>---</v>
      </c>
      <c r="AH515" s="70" t="str">
        <f>IFERROR(#REF!/AA515-1,"---")</f>
        <v>---</v>
      </c>
      <c r="AI515" s="71" t="str">
        <f t="shared" si="77"/>
        <v>---</v>
      </c>
    </row>
    <row r="516" spans="1:35" ht="30" customHeight="1" x14ac:dyDescent="0.3">
      <c r="A516" s="123">
        <f t="shared" si="70"/>
        <v>512</v>
      </c>
      <c r="B516" s="140">
        <f>INDEX('PEER GROUP'!B:B,MATCH($A516,'PEER GROUP'!$A:$A,0))</f>
        <v>0</v>
      </c>
      <c r="C516" s="83">
        <f>INDEX('PEER GROUP'!C:C,MATCH($A516,'PEER GROUP'!$A:$A,0))</f>
        <v>0</v>
      </c>
      <c r="D516" s="83">
        <f>INDEX('PEER GROUP'!D:D,MATCH($A516,'PEER GROUP'!$A:$A,0))</f>
        <v>0</v>
      </c>
      <c r="E516" s="83">
        <f>INDEX('PEER GROUP'!E:E,MATCH(A516,'PEER GROUP'!$A:$A,0))</f>
        <v>0</v>
      </c>
      <c r="F516" s="84">
        <f>INDEX('PEER GROUP'!F:F,MATCH($A516,'PEER GROUP'!$A:$A,0))</f>
        <v>0</v>
      </c>
      <c r="G516" s="84">
        <f>INDEX('PEER GROUP'!G:G,MATCH($A516,'PEER GROUP'!$A:$A,0))</f>
        <v>0</v>
      </c>
      <c r="H516" s="85"/>
      <c r="I516" s="85"/>
      <c r="J516" s="70">
        <f>INDEX('PEER GROUP'!K:K,MATCH($A516,'PEER GROUP'!$A:$A,0))</f>
        <v>0</v>
      </c>
      <c r="K516" s="70">
        <f>INDEX('PEER GROUP'!L:L,MATCH($A516,'PEER GROUP'!$A:$A,0))</f>
        <v>0</v>
      </c>
      <c r="L516" s="81">
        <f>INDEX('PEER GROUP'!N:N,MATCH($A516,'PEER GROUP'!$A:$A,0))</f>
        <v>0</v>
      </c>
      <c r="M516" s="118"/>
      <c r="N516" s="115"/>
      <c r="O516" s="117"/>
      <c r="P516" s="87"/>
      <c r="Q516" s="87"/>
      <c r="R516" s="87">
        <f t="shared" si="71"/>
        <v>0</v>
      </c>
      <c r="S516" s="113">
        <f t="shared" si="69"/>
        <v>36.913096727263202</v>
      </c>
      <c r="T516" s="69">
        <f t="shared" si="72"/>
        <v>0</v>
      </c>
      <c r="U516" s="70">
        <f t="shared" si="73"/>
        <v>0</v>
      </c>
      <c r="V516" s="70">
        <f t="shared" si="74"/>
        <v>0</v>
      </c>
      <c r="W516" s="71">
        <f t="shared" si="75"/>
        <v>0</v>
      </c>
      <c r="X516" s="49"/>
      <c r="Y516" s="151"/>
      <c r="Z516" s="69"/>
      <c r="AA516" s="70"/>
      <c r="AB516" s="70"/>
      <c r="AC516" s="70" t="str">
        <f t="shared" si="76"/>
        <v>---</v>
      </c>
      <c r="AD516" s="70" t="str">
        <f>IFERROR(P516/#REF!-1,"---")</f>
        <v>---</v>
      </c>
      <c r="AE516" s="70" t="str">
        <f>IFERROR(#REF!/#REF!-1,"---")</f>
        <v>---</v>
      </c>
      <c r="AF516" s="70" t="str">
        <f>IFERROR(Q516/#REF!-1,"---")</f>
        <v>---</v>
      </c>
      <c r="AG516" s="70" t="str">
        <f>IFERROR(#REF!/#REF!-1,"---")</f>
        <v>---</v>
      </c>
      <c r="AH516" s="70" t="str">
        <f>IFERROR(#REF!/AA516-1,"---")</f>
        <v>---</v>
      </c>
      <c r="AI516" s="71" t="str">
        <f t="shared" si="77"/>
        <v>---</v>
      </c>
    </row>
    <row r="517" spans="1:35" ht="30" customHeight="1" x14ac:dyDescent="0.3">
      <c r="A517" s="123">
        <f t="shared" si="70"/>
        <v>513</v>
      </c>
      <c r="B517" s="140">
        <f>INDEX('PEER GROUP'!B:B,MATCH($A517,'PEER GROUP'!$A:$A,0))</f>
        <v>0</v>
      </c>
      <c r="C517" s="83">
        <f>INDEX('PEER GROUP'!C:C,MATCH($A517,'PEER GROUP'!$A:$A,0))</f>
        <v>0</v>
      </c>
      <c r="D517" s="83">
        <f>INDEX('PEER GROUP'!D:D,MATCH($A517,'PEER GROUP'!$A:$A,0))</f>
        <v>0</v>
      </c>
      <c r="E517" s="83">
        <f>INDEX('PEER GROUP'!E:E,MATCH(A517,'PEER GROUP'!$A:$A,0))</f>
        <v>0</v>
      </c>
      <c r="F517" s="84">
        <f>INDEX('PEER GROUP'!F:F,MATCH($A517,'PEER GROUP'!$A:$A,0))</f>
        <v>0</v>
      </c>
      <c r="G517" s="84">
        <f>INDEX('PEER GROUP'!G:G,MATCH($A517,'PEER GROUP'!$A:$A,0))</f>
        <v>0</v>
      </c>
      <c r="H517" s="85"/>
      <c r="I517" s="85"/>
      <c r="J517" s="70">
        <f>INDEX('PEER GROUP'!K:K,MATCH($A517,'PEER GROUP'!$A:$A,0))</f>
        <v>0</v>
      </c>
      <c r="K517" s="70">
        <f>INDEX('PEER GROUP'!L:L,MATCH($A517,'PEER GROUP'!$A:$A,0))</f>
        <v>0</v>
      </c>
      <c r="L517" s="81">
        <f>INDEX('PEER GROUP'!N:N,MATCH($A517,'PEER GROUP'!$A:$A,0))</f>
        <v>0</v>
      </c>
      <c r="M517" s="118"/>
      <c r="N517" s="115"/>
      <c r="O517" s="117"/>
      <c r="P517" s="87"/>
      <c r="Q517" s="87"/>
      <c r="R517" s="87">
        <f t="shared" si="71"/>
        <v>0</v>
      </c>
      <c r="S517" s="113">
        <f t="shared" si="69"/>
        <v>36.913096727263202</v>
      </c>
      <c r="T517" s="69">
        <f t="shared" si="72"/>
        <v>0</v>
      </c>
      <c r="U517" s="70">
        <f t="shared" si="73"/>
        <v>0</v>
      </c>
      <c r="V517" s="70">
        <f t="shared" si="74"/>
        <v>0</v>
      </c>
      <c r="W517" s="71">
        <f t="shared" si="75"/>
        <v>0</v>
      </c>
      <c r="X517" s="49"/>
      <c r="Y517" s="151"/>
      <c r="Z517" s="69"/>
      <c r="AA517" s="70"/>
      <c r="AB517" s="70"/>
      <c r="AC517" s="70" t="str">
        <f t="shared" si="76"/>
        <v>---</v>
      </c>
      <c r="AD517" s="70" t="str">
        <f>IFERROR(P517/#REF!-1,"---")</f>
        <v>---</v>
      </c>
      <c r="AE517" s="70" t="str">
        <f>IFERROR(#REF!/#REF!-1,"---")</f>
        <v>---</v>
      </c>
      <c r="AF517" s="70" t="str">
        <f>IFERROR(Q517/#REF!-1,"---")</f>
        <v>---</v>
      </c>
      <c r="AG517" s="70" t="str">
        <f>IFERROR(#REF!/#REF!-1,"---")</f>
        <v>---</v>
      </c>
      <c r="AH517" s="70" t="str">
        <f>IFERROR(#REF!/AA517-1,"---")</f>
        <v>---</v>
      </c>
      <c r="AI517" s="71" t="str">
        <f t="shared" si="77"/>
        <v>---</v>
      </c>
    </row>
    <row r="518" spans="1:35" ht="30" customHeight="1" x14ac:dyDescent="0.3">
      <c r="A518" s="123">
        <f t="shared" si="70"/>
        <v>514</v>
      </c>
      <c r="B518" s="140">
        <f>INDEX('PEER GROUP'!B:B,MATCH($A518,'PEER GROUP'!$A:$A,0))</f>
        <v>0</v>
      </c>
      <c r="C518" s="83">
        <f>INDEX('PEER GROUP'!C:C,MATCH($A518,'PEER GROUP'!$A:$A,0))</f>
        <v>0</v>
      </c>
      <c r="D518" s="83">
        <f>INDEX('PEER GROUP'!D:D,MATCH($A518,'PEER GROUP'!$A:$A,0))</f>
        <v>0</v>
      </c>
      <c r="E518" s="83">
        <f>INDEX('PEER GROUP'!E:E,MATCH(A518,'PEER GROUP'!$A:$A,0))</f>
        <v>0</v>
      </c>
      <c r="F518" s="84">
        <f>INDEX('PEER GROUP'!F:F,MATCH($A518,'PEER GROUP'!$A:$A,0))</f>
        <v>0</v>
      </c>
      <c r="G518" s="84">
        <f>INDEX('PEER GROUP'!G:G,MATCH($A518,'PEER GROUP'!$A:$A,0))</f>
        <v>0</v>
      </c>
      <c r="H518" s="85"/>
      <c r="I518" s="85"/>
      <c r="J518" s="70">
        <f>INDEX('PEER GROUP'!K:K,MATCH($A518,'PEER GROUP'!$A:$A,0))</f>
        <v>0</v>
      </c>
      <c r="K518" s="70">
        <f>INDEX('PEER GROUP'!L:L,MATCH($A518,'PEER GROUP'!$A:$A,0))</f>
        <v>0</v>
      </c>
      <c r="L518" s="81">
        <f>INDEX('PEER GROUP'!N:N,MATCH($A518,'PEER GROUP'!$A:$A,0))</f>
        <v>0</v>
      </c>
      <c r="M518" s="118"/>
      <c r="N518" s="115"/>
      <c r="O518" s="117"/>
      <c r="P518" s="87"/>
      <c r="Q518" s="87"/>
      <c r="R518" s="87">
        <f t="shared" si="71"/>
        <v>0</v>
      </c>
      <c r="S518" s="113">
        <f t="shared" si="69"/>
        <v>36.913096727263202</v>
      </c>
      <c r="T518" s="69">
        <f t="shared" si="72"/>
        <v>0</v>
      </c>
      <c r="U518" s="70">
        <f t="shared" si="73"/>
        <v>0</v>
      </c>
      <c r="V518" s="70">
        <f t="shared" si="74"/>
        <v>0</v>
      </c>
      <c r="W518" s="71">
        <f t="shared" si="75"/>
        <v>0</v>
      </c>
      <c r="X518" s="49"/>
      <c r="Y518" s="151"/>
      <c r="Z518" s="69"/>
      <c r="AA518" s="70"/>
      <c r="AB518" s="70"/>
      <c r="AC518" s="70" t="str">
        <f t="shared" si="76"/>
        <v>---</v>
      </c>
      <c r="AD518" s="70" t="str">
        <f>IFERROR(P518/#REF!-1,"---")</f>
        <v>---</v>
      </c>
      <c r="AE518" s="70" t="str">
        <f>IFERROR(#REF!/#REF!-1,"---")</f>
        <v>---</v>
      </c>
      <c r="AF518" s="70" t="str">
        <f>IFERROR(Q518/#REF!-1,"---")</f>
        <v>---</v>
      </c>
      <c r="AG518" s="70" t="str">
        <f>IFERROR(#REF!/#REF!-1,"---")</f>
        <v>---</v>
      </c>
      <c r="AH518" s="70" t="str">
        <f>IFERROR(#REF!/AA518-1,"---")</f>
        <v>---</v>
      </c>
      <c r="AI518" s="71" t="str">
        <f t="shared" si="77"/>
        <v>---</v>
      </c>
    </row>
    <row r="519" spans="1:35" ht="30" customHeight="1" x14ac:dyDescent="0.3">
      <c r="A519" s="123">
        <f t="shared" si="70"/>
        <v>515</v>
      </c>
      <c r="B519" s="140">
        <f>INDEX('PEER GROUP'!B:B,MATCH($A519,'PEER GROUP'!$A:$A,0))</f>
        <v>0</v>
      </c>
      <c r="C519" s="83">
        <f>INDEX('PEER GROUP'!C:C,MATCH($A519,'PEER GROUP'!$A:$A,0))</f>
        <v>0</v>
      </c>
      <c r="D519" s="83">
        <f>INDEX('PEER GROUP'!D:D,MATCH($A519,'PEER GROUP'!$A:$A,0))</f>
        <v>0</v>
      </c>
      <c r="E519" s="83">
        <f>INDEX('PEER GROUP'!E:E,MATCH(A519,'PEER GROUP'!$A:$A,0))</f>
        <v>0</v>
      </c>
      <c r="F519" s="84">
        <f>INDEX('PEER GROUP'!F:F,MATCH($A519,'PEER GROUP'!$A:$A,0))</f>
        <v>0</v>
      </c>
      <c r="G519" s="84">
        <f>INDEX('PEER GROUP'!G:G,MATCH($A519,'PEER GROUP'!$A:$A,0))</f>
        <v>0</v>
      </c>
      <c r="H519" s="85"/>
      <c r="I519" s="85"/>
      <c r="J519" s="70">
        <f>INDEX('PEER GROUP'!K:K,MATCH($A519,'PEER GROUP'!$A:$A,0))</f>
        <v>0</v>
      </c>
      <c r="K519" s="70">
        <f>INDEX('PEER GROUP'!L:L,MATCH($A519,'PEER GROUP'!$A:$A,0))</f>
        <v>0</v>
      </c>
      <c r="L519" s="81">
        <f>INDEX('PEER GROUP'!N:N,MATCH($A519,'PEER GROUP'!$A:$A,0))</f>
        <v>0</v>
      </c>
      <c r="M519" s="118"/>
      <c r="N519" s="115"/>
      <c r="O519" s="117"/>
      <c r="P519" s="87"/>
      <c r="Q519" s="87"/>
      <c r="R519" s="87">
        <f t="shared" si="71"/>
        <v>0</v>
      </c>
      <c r="S519" s="113">
        <f t="shared" si="69"/>
        <v>36.913096727263202</v>
      </c>
      <c r="T519" s="69">
        <f t="shared" si="72"/>
        <v>0</v>
      </c>
      <c r="U519" s="70">
        <f t="shared" si="73"/>
        <v>0</v>
      </c>
      <c r="V519" s="70">
        <f t="shared" si="74"/>
        <v>0</v>
      </c>
      <c r="W519" s="71">
        <f t="shared" si="75"/>
        <v>0</v>
      </c>
      <c r="X519" s="49"/>
      <c r="Y519" s="151"/>
      <c r="Z519" s="69"/>
      <c r="AA519" s="70"/>
      <c r="AB519" s="70"/>
      <c r="AC519" s="70" t="str">
        <f t="shared" si="76"/>
        <v>---</v>
      </c>
      <c r="AD519" s="70" t="str">
        <f>IFERROR(P519/#REF!-1,"---")</f>
        <v>---</v>
      </c>
      <c r="AE519" s="70" t="str">
        <f>IFERROR(#REF!/#REF!-1,"---")</f>
        <v>---</v>
      </c>
      <c r="AF519" s="70" t="str">
        <f>IFERROR(Q519/#REF!-1,"---")</f>
        <v>---</v>
      </c>
      <c r="AG519" s="70" t="str">
        <f>IFERROR(#REF!/#REF!-1,"---")</f>
        <v>---</v>
      </c>
      <c r="AH519" s="70" t="str">
        <f>IFERROR(#REF!/AA519-1,"---")</f>
        <v>---</v>
      </c>
      <c r="AI519" s="71" t="str">
        <f t="shared" si="77"/>
        <v>---</v>
      </c>
    </row>
    <row r="520" spans="1:35" ht="30" customHeight="1" x14ac:dyDescent="0.3">
      <c r="A520" s="123">
        <f t="shared" si="70"/>
        <v>516</v>
      </c>
      <c r="B520" s="140">
        <f>INDEX('PEER GROUP'!B:B,MATCH($A520,'PEER GROUP'!$A:$A,0))</f>
        <v>0</v>
      </c>
      <c r="C520" s="83">
        <f>INDEX('PEER GROUP'!C:C,MATCH($A520,'PEER GROUP'!$A:$A,0))</f>
        <v>0</v>
      </c>
      <c r="D520" s="83">
        <f>INDEX('PEER GROUP'!D:D,MATCH($A520,'PEER GROUP'!$A:$A,0))</f>
        <v>0</v>
      </c>
      <c r="E520" s="83">
        <f>INDEX('PEER GROUP'!E:E,MATCH(A520,'PEER GROUP'!$A:$A,0))</f>
        <v>0</v>
      </c>
      <c r="F520" s="84">
        <f>INDEX('PEER GROUP'!F:F,MATCH($A520,'PEER GROUP'!$A:$A,0))</f>
        <v>0</v>
      </c>
      <c r="G520" s="84">
        <f>INDEX('PEER GROUP'!G:G,MATCH($A520,'PEER GROUP'!$A:$A,0))</f>
        <v>0</v>
      </c>
      <c r="H520" s="85"/>
      <c r="I520" s="85"/>
      <c r="J520" s="70">
        <f>INDEX('PEER GROUP'!K:K,MATCH($A520,'PEER GROUP'!$A:$A,0))</f>
        <v>0</v>
      </c>
      <c r="K520" s="70">
        <f>INDEX('PEER GROUP'!L:L,MATCH($A520,'PEER GROUP'!$A:$A,0))</f>
        <v>0</v>
      </c>
      <c r="L520" s="81">
        <f>INDEX('PEER GROUP'!N:N,MATCH($A520,'PEER GROUP'!$A:$A,0))</f>
        <v>0</v>
      </c>
      <c r="M520" s="118"/>
      <c r="N520" s="115"/>
      <c r="O520" s="117"/>
      <c r="P520" s="87"/>
      <c r="Q520" s="87"/>
      <c r="R520" s="87">
        <f t="shared" si="71"/>
        <v>0</v>
      </c>
      <c r="S520" s="113">
        <f t="shared" si="69"/>
        <v>36.913096727263202</v>
      </c>
      <c r="T520" s="69">
        <f t="shared" si="72"/>
        <v>0</v>
      </c>
      <c r="U520" s="70">
        <f t="shared" si="73"/>
        <v>0</v>
      </c>
      <c r="V520" s="70">
        <f t="shared" si="74"/>
        <v>0</v>
      </c>
      <c r="W520" s="71">
        <f t="shared" si="75"/>
        <v>0</v>
      </c>
      <c r="X520" s="49"/>
      <c r="Y520" s="151"/>
      <c r="Z520" s="69"/>
      <c r="AA520" s="70"/>
      <c r="AB520" s="70"/>
      <c r="AC520" s="70" t="str">
        <f t="shared" si="76"/>
        <v>---</v>
      </c>
      <c r="AD520" s="70" t="str">
        <f>IFERROR(P520/#REF!-1,"---")</f>
        <v>---</v>
      </c>
      <c r="AE520" s="70" t="str">
        <f>IFERROR(#REF!/#REF!-1,"---")</f>
        <v>---</v>
      </c>
      <c r="AF520" s="70" t="str">
        <f>IFERROR(Q520/#REF!-1,"---")</f>
        <v>---</v>
      </c>
      <c r="AG520" s="70" t="str">
        <f>IFERROR(#REF!/#REF!-1,"---")</f>
        <v>---</v>
      </c>
      <c r="AH520" s="70" t="str">
        <f>IFERROR(#REF!/AA520-1,"---")</f>
        <v>---</v>
      </c>
      <c r="AI520" s="71" t="str">
        <f t="shared" si="77"/>
        <v>---</v>
      </c>
    </row>
    <row r="521" spans="1:35" ht="30" customHeight="1" x14ac:dyDescent="0.3">
      <c r="A521" s="123">
        <f t="shared" si="70"/>
        <v>517</v>
      </c>
      <c r="B521" s="140">
        <f>INDEX('PEER GROUP'!B:B,MATCH($A521,'PEER GROUP'!$A:$A,0))</f>
        <v>0</v>
      </c>
      <c r="C521" s="83">
        <f>INDEX('PEER GROUP'!C:C,MATCH($A521,'PEER GROUP'!$A:$A,0))</f>
        <v>0</v>
      </c>
      <c r="D521" s="83">
        <f>INDEX('PEER GROUP'!D:D,MATCH($A521,'PEER GROUP'!$A:$A,0))</f>
        <v>0</v>
      </c>
      <c r="E521" s="83">
        <f>INDEX('PEER GROUP'!E:E,MATCH(A521,'PEER GROUP'!$A:$A,0))</f>
        <v>0</v>
      </c>
      <c r="F521" s="84">
        <f>INDEX('PEER GROUP'!F:F,MATCH($A521,'PEER GROUP'!$A:$A,0))</f>
        <v>0</v>
      </c>
      <c r="G521" s="84">
        <f>INDEX('PEER GROUP'!G:G,MATCH($A521,'PEER GROUP'!$A:$A,0))</f>
        <v>0</v>
      </c>
      <c r="H521" s="85"/>
      <c r="I521" s="85"/>
      <c r="J521" s="70">
        <f>INDEX('PEER GROUP'!K:K,MATCH($A521,'PEER GROUP'!$A:$A,0))</f>
        <v>0</v>
      </c>
      <c r="K521" s="70">
        <f>INDEX('PEER GROUP'!L:L,MATCH($A521,'PEER GROUP'!$A:$A,0))</f>
        <v>0</v>
      </c>
      <c r="L521" s="81">
        <f>INDEX('PEER GROUP'!N:N,MATCH($A521,'PEER GROUP'!$A:$A,0))</f>
        <v>0</v>
      </c>
      <c r="M521" s="118"/>
      <c r="N521" s="115"/>
      <c r="O521" s="117"/>
      <c r="P521" s="87"/>
      <c r="Q521" s="87"/>
      <c r="R521" s="87">
        <f t="shared" si="71"/>
        <v>0</v>
      </c>
      <c r="S521" s="113">
        <f t="shared" si="69"/>
        <v>36.913096727263202</v>
      </c>
      <c r="T521" s="69">
        <f t="shared" si="72"/>
        <v>0</v>
      </c>
      <c r="U521" s="70">
        <f t="shared" si="73"/>
        <v>0</v>
      </c>
      <c r="V521" s="70">
        <f t="shared" si="74"/>
        <v>0</v>
      </c>
      <c r="W521" s="71">
        <f t="shared" si="75"/>
        <v>0</v>
      </c>
      <c r="X521" s="49"/>
      <c r="Y521" s="151"/>
      <c r="Z521" s="69"/>
      <c r="AA521" s="70"/>
      <c r="AB521" s="70"/>
      <c r="AC521" s="70" t="str">
        <f t="shared" si="76"/>
        <v>---</v>
      </c>
      <c r="AD521" s="70" t="str">
        <f>IFERROR(P521/#REF!-1,"---")</f>
        <v>---</v>
      </c>
      <c r="AE521" s="70" t="str">
        <f>IFERROR(#REF!/#REF!-1,"---")</f>
        <v>---</v>
      </c>
      <c r="AF521" s="70" t="str">
        <f>IFERROR(Q521/#REF!-1,"---")</f>
        <v>---</v>
      </c>
      <c r="AG521" s="70" t="str">
        <f>IFERROR(#REF!/#REF!-1,"---")</f>
        <v>---</v>
      </c>
      <c r="AH521" s="70" t="str">
        <f>IFERROR(#REF!/AA521-1,"---")</f>
        <v>---</v>
      </c>
      <c r="AI521" s="71" t="str">
        <f t="shared" si="77"/>
        <v>---</v>
      </c>
    </row>
    <row r="522" spans="1:35" ht="30" customHeight="1" x14ac:dyDescent="0.3">
      <c r="A522" s="123">
        <f t="shared" si="70"/>
        <v>518</v>
      </c>
      <c r="B522" s="140">
        <f>INDEX('PEER GROUP'!B:B,MATCH($A522,'PEER GROUP'!$A:$A,0))</f>
        <v>0</v>
      </c>
      <c r="C522" s="83">
        <f>INDEX('PEER GROUP'!C:C,MATCH($A522,'PEER GROUP'!$A:$A,0))</f>
        <v>0</v>
      </c>
      <c r="D522" s="83">
        <f>INDEX('PEER GROUP'!D:D,MATCH($A522,'PEER GROUP'!$A:$A,0))</f>
        <v>0</v>
      </c>
      <c r="E522" s="83">
        <f>INDEX('PEER GROUP'!E:E,MATCH(A522,'PEER GROUP'!$A:$A,0))</f>
        <v>0</v>
      </c>
      <c r="F522" s="84">
        <f>INDEX('PEER GROUP'!F:F,MATCH($A522,'PEER GROUP'!$A:$A,0))</f>
        <v>0</v>
      </c>
      <c r="G522" s="84">
        <f>INDEX('PEER GROUP'!G:G,MATCH($A522,'PEER GROUP'!$A:$A,0))</f>
        <v>0</v>
      </c>
      <c r="H522" s="85"/>
      <c r="I522" s="85"/>
      <c r="J522" s="70">
        <f>INDEX('PEER GROUP'!K:K,MATCH($A522,'PEER GROUP'!$A:$A,0))</f>
        <v>0</v>
      </c>
      <c r="K522" s="70">
        <f>INDEX('PEER GROUP'!L:L,MATCH($A522,'PEER GROUP'!$A:$A,0))</f>
        <v>0</v>
      </c>
      <c r="L522" s="81">
        <f>INDEX('PEER GROUP'!N:N,MATCH($A522,'PEER GROUP'!$A:$A,0))</f>
        <v>0</v>
      </c>
      <c r="M522" s="118"/>
      <c r="N522" s="115"/>
      <c r="O522" s="117"/>
      <c r="P522" s="87"/>
      <c r="Q522" s="87"/>
      <c r="R522" s="87">
        <f t="shared" si="71"/>
        <v>0</v>
      </c>
      <c r="S522" s="113">
        <f t="shared" si="69"/>
        <v>36.913096727263202</v>
      </c>
      <c r="T522" s="69">
        <f t="shared" si="72"/>
        <v>0</v>
      </c>
      <c r="U522" s="70">
        <f t="shared" si="73"/>
        <v>0</v>
      </c>
      <c r="V522" s="70">
        <f t="shared" si="74"/>
        <v>0</v>
      </c>
      <c r="W522" s="71">
        <f t="shared" si="75"/>
        <v>0</v>
      </c>
      <c r="X522" s="49"/>
      <c r="Y522" s="151"/>
      <c r="Z522" s="69"/>
      <c r="AA522" s="70"/>
      <c r="AB522" s="70"/>
      <c r="AC522" s="70" t="str">
        <f t="shared" si="76"/>
        <v>---</v>
      </c>
      <c r="AD522" s="70" t="str">
        <f>IFERROR(P522/#REF!-1,"---")</f>
        <v>---</v>
      </c>
      <c r="AE522" s="70" t="str">
        <f>IFERROR(#REF!/#REF!-1,"---")</f>
        <v>---</v>
      </c>
      <c r="AF522" s="70" t="str">
        <f>IFERROR(Q522/#REF!-1,"---")</f>
        <v>---</v>
      </c>
      <c r="AG522" s="70" t="str">
        <f>IFERROR(#REF!/#REF!-1,"---")</f>
        <v>---</v>
      </c>
      <c r="AH522" s="70" t="str">
        <f>IFERROR(#REF!/AA522-1,"---")</f>
        <v>---</v>
      </c>
      <c r="AI522" s="71" t="str">
        <f t="shared" si="77"/>
        <v>---</v>
      </c>
    </row>
    <row r="523" spans="1:35" ht="30" customHeight="1" x14ac:dyDescent="0.3">
      <c r="A523" s="123">
        <f t="shared" si="70"/>
        <v>519</v>
      </c>
      <c r="B523" s="140">
        <f>INDEX('PEER GROUP'!B:B,MATCH($A523,'PEER GROUP'!$A:$A,0))</f>
        <v>0</v>
      </c>
      <c r="C523" s="83">
        <f>INDEX('PEER GROUP'!C:C,MATCH($A523,'PEER GROUP'!$A:$A,0))</f>
        <v>0</v>
      </c>
      <c r="D523" s="83">
        <f>INDEX('PEER GROUP'!D:D,MATCH($A523,'PEER GROUP'!$A:$A,0))</f>
        <v>0</v>
      </c>
      <c r="E523" s="83">
        <f>INDEX('PEER GROUP'!E:E,MATCH(A523,'PEER GROUP'!$A:$A,0))</f>
        <v>0</v>
      </c>
      <c r="F523" s="84">
        <f>INDEX('PEER GROUP'!F:F,MATCH($A523,'PEER GROUP'!$A:$A,0))</f>
        <v>0</v>
      </c>
      <c r="G523" s="84">
        <f>INDEX('PEER GROUP'!G:G,MATCH($A523,'PEER GROUP'!$A:$A,0))</f>
        <v>0</v>
      </c>
      <c r="H523" s="85"/>
      <c r="I523" s="85"/>
      <c r="J523" s="70">
        <f>INDEX('PEER GROUP'!K:K,MATCH($A523,'PEER GROUP'!$A:$A,0))</f>
        <v>0</v>
      </c>
      <c r="K523" s="70">
        <f>INDEX('PEER GROUP'!L:L,MATCH($A523,'PEER GROUP'!$A:$A,0))</f>
        <v>0</v>
      </c>
      <c r="L523" s="81">
        <f>INDEX('PEER GROUP'!N:N,MATCH($A523,'PEER GROUP'!$A:$A,0))</f>
        <v>0</v>
      </c>
      <c r="M523" s="118"/>
      <c r="N523" s="115"/>
      <c r="O523" s="117"/>
      <c r="P523" s="87"/>
      <c r="Q523" s="87"/>
      <c r="R523" s="87">
        <f t="shared" si="71"/>
        <v>0</v>
      </c>
      <c r="S523" s="113">
        <f t="shared" si="69"/>
        <v>36.913096727263202</v>
      </c>
      <c r="T523" s="69">
        <f t="shared" si="72"/>
        <v>0</v>
      </c>
      <c r="U523" s="70">
        <f t="shared" si="73"/>
        <v>0</v>
      </c>
      <c r="V523" s="70">
        <f t="shared" si="74"/>
        <v>0</v>
      </c>
      <c r="W523" s="71">
        <f t="shared" si="75"/>
        <v>0</v>
      </c>
      <c r="X523" s="49"/>
      <c r="Y523" s="151"/>
      <c r="Z523" s="69"/>
      <c r="AA523" s="70"/>
      <c r="AB523" s="70"/>
      <c r="AC523" s="70" t="str">
        <f t="shared" si="76"/>
        <v>---</v>
      </c>
      <c r="AD523" s="70" t="str">
        <f>IFERROR(P523/#REF!-1,"---")</f>
        <v>---</v>
      </c>
      <c r="AE523" s="70" t="str">
        <f>IFERROR(#REF!/#REF!-1,"---")</f>
        <v>---</v>
      </c>
      <c r="AF523" s="70" t="str">
        <f>IFERROR(Q523/#REF!-1,"---")</f>
        <v>---</v>
      </c>
      <c r="AG523" s="70" t="str">
        <f>IFERROR(#REF!/#REF!-1,"---")</f>
        <v>---</v>
      </c>
      <c r="AH523" s="70" t="str">
        <f>IFERROR(#REF!/AA523-1,"---")</f>
        <v>---</v>
      </c>
      <c r="AI523" s="71" t="str">
        <f t="shared" si="77"/>
        <v>---</v>
      </c>
    </row>
    <row r="524" spans="1:35" ht="30" customHeight="1" x14ac:dyDescent="0.3">
      <c r="A524" s="123">
        <f t="shared" si="70"/>
        <v>520</v>
      </c>
      <c r="B524" s="140">
        <f>INDEX('PEER GROUP'!B:B,MATCH($A524,'PEER GROUP'!$A:$A,0))</f>
        <v>0</v>
      </c>
      <c r="C524" s="83">
        <f>INDEX('PEER GROUP'!C:C,MATCH($A524,'PEER GROUP'!$A:$A,0))</f>
        <v>0</v>
      </c>
      <c r="D524" s="83">
        <f>INDEX('PEER GROUP'!D:D,MATCH($A524,'PEER GROUP'!$A:$A,0))</f>
        <v>0</v>
      </c>
      <c r="E524" s="83">
        <f>INDEX('PEER GROUP'!E:E,MATCH(A524,'PEER GROUP'!$A:$A,0))</f>
        <v>0</v>
      </c>
      <c r="F524" s="84">
        <f>INDEX('PEER GROUP'!F:F,MATCH($A524,'PEER GROUP'!$A:$A,0))</f>
        <v>0</v>
      </c>
      <c r="G524" s="84">
        <f>INDEX('PEER GROUP'!G:G,MATCH($A524,'PEER GROUP'!$A:$A,0))</f>
        <v>0</v>
      </c>
      <c r="H524" s="85"/>
      <c r="I524" s="85"/>
      <c r="J524" s="70">
        <f>INDEX('PEER GROUP'!K:K,MATCH($A524,'PEER GROUP'!$A:$A,0))</f>
        <v>0</v>
      </c>
      <c r="K524" s="70">
        <f>INDEX('PEER GROUP'!L:L,MATCH($A524,'PEER GROUP'!$A:$A,0))</f>
        <v>0</v>
      </c>
      <c r="L524" s="81">
        <f>INDEX('PEER GROUP'!N:N,MATCH($A524,'PEER GROUP'!$A:$A,0))</f>
        <v>0</v>
      </c>
      <c r="M524" s="118"/>
      <c r="N524" s="115"/>
      <c r="O524" s="117"/>
      <c r="P524" s="87"/>
      <c r="Q524" s="87"/>
      <c r="R524" s="87">
        <f t="shared" si="71"/>
        <v>0</v>
      </c>
      <c r="S524" s="113">
        <f t="shared" si="69"/>
        <v>36.913096727263202</v>
      </c>
      <c r="T524" s="69">
        <f t="shared" si="72"/>
        <v>0</v>
      </c>
      <c r="U524" s="70">
        <f t="shared" si="73"/>
        <v>0</v>
      </c>
      <c r="V524" s="70">
        <f t="shared" si="74"/>
        <v>0</v>
      </c>
      <c r="W524" s="71">
        <f t="shared" si="75"/>
        <v>0</v>
      </c>
      <c r="X524" s="49"/>
      <c r="Y524" s="151"/>
      <c r="Z524" s="69"/>
      <c r="AA524" s="70"/>
      <c r="AB524" s="70"/>
      <c r="AC524" s="70" t="str">
        <f t="shared" si="76"/>
        <v>---</v>
      </c>
      <c r="AD524" s="70" t="str">
        <f>IFERROR(P524/#REF!-1,"---")</f>
        <v>---</v>
      </c>
      <c r="AE524" s="70" t="str">
        <f>IFERROR(#REF!/#REF!-1,"---")</f>
        <v>---</v>
      </c>
      <c r="AF524" s="70" t="str">
        <f>IFERROR(Q524/#REF!-1,"---")</f>
        <v>---</v>
      </c>
      <c r="AG524" s="70" t="str">
        <f>IFERROR(#REF!/#REF!-1,"---")</f>
        <v>---</v>
      </c>
      <c r="AH524" s="70" t="str">
        <f>IFERROR(#REF!/AA524-1,"---")</f>
        <v>---</v>
      </c>
      <c r="AI524" s="71" t="str">
        <f t="shared" si="77"/>
        <v>---</v>
      </c>
    </row>
    <row r="525" spans="1:35" ht="30" customHeight="1" x14ac:dyDescent="0.3">
      <c r="A525" s="123">
        <f t="shared" si="70"/>
        <v>521</v>
      </c>
      <c r="B525" s="140">
        <f>INDEX('PEER GROUP'!B:B,MATCH($A525,'PEER GROUP'!$A:$A,0))</f>
        <v>0</v>
      </c>
      <c r="C525" s="83">
        <f>INDEX('PEER GROUP'!C:C,MATCH($A525,'PEER GROUP'!$A:$A,0))</f>
        <v>0</v>
      </c>
      <c r="D525" s="83">
        <f>INDEX('PEER GROUP'!D:D,MATCH($A525,'PEER GROUP'!$A:$A,0))</f>
        <v>0</v>
      </c>
      <c r="E525" s="83">
        <f>INDEX('PEER GROUP'!E:E,MATCH(A525,'PEER GROUP'!$A:$A,0))</f>
        <v>0</v>
      </c>
      <c r="F525" s="84">
        <f>INDEX('PEER GROUP'!F:F,MATCH($A525,'PEER GROUP'!$A:$A,0))</f>
        <v>0</v>
      </c>
      <c r="G525" s="84">
        <f>INDEX('PEER GROUP'!G:G,MATCH($A525,'PEER GROUP'!$A:$A,0))</f>
        <v>0</v>
      </c>
      <c r="H525" s="85"/>
      <c r="I525" s="85"/>
      <c r="J525" s="70">
        <f>INDEX('PEER GROUP'!K:K,MATCH($A525,'PEER GROUP'!$A:$A,0))</f>
        <v>0</v>
      </c>
      <c r="K525" s="70">
        <f>INDEX('PEER GROUP'!L:L,MATCH($A525,'PEER GROUP'!$A:$A,0))</f>
        <v>0</v>
      </c>
      <c r="L525" s="81">
        <f>INDEX('PEER GROUP'!N:N,MATCH($A525,'PEER GROUP'!$A:$A,0))</f>
        <v>0</v>
      </c>
      <c r="M525" s="118"/>
      <c r="N525" s="115"/>
      <c r="O525" s="117"/>
      <c r="P525" s="87"/>
      <c r="Q525" s="87"/>
      <c r="R525" s="87">
        <f t="shared" si="71"/>
        <v>0</v>
      </c>
      <c r="S525" s="113">
        <f t="shared" si="69"/>
        <v>36.913096727263202</v>
      </c>
      <c r="T525" s="69">
        <f t="shared" si="72"/>
        <v>0</v>
      </c>
      <c r="U525" s="70">
        <f t="shared" si="73"/>
        <v>0</v>
      </c>
      <c r="V525" s="70">
        <f t="shared" si="74"/>
        <v>0</v>
      </c>
      <c r="W525" s="71">
        <f t="shared" si="75"/>
        <v>0</v>
      </c>
      <c r="X525" s="49"/>
      <c r="Y525" s="151"/>
      <c r="Z525" s="69"/>
      <c r="AA525" s="70"/>
      <c r="AB525" s="70"/>
      <c r="AC525" s="70" t="str">
        <f t="shared" si="76"/>
        <v>---</v>
      </c>
      <c r="AD525" s="70" t="str">
        <f>IFERROR(P525/#REF!-1,"---")</f>
        <v>---</v>
      </c>
      <c r="AE525" s="70" t="str">
        <f>IFERROR(#REF!/#REF!-1,"---")</f>
        <v>---</v>
      </c>
      <c r="AF525" s="70" t="str">
        <f>IFERROR(Q525/#REF!-1,"---")</f>
        <v>---</v>
      </c>
      <c r="AG525" s="70" t="str">
        <f>IFERROR(#REF!/#REF!-1,"---")</f>
        <v>---</v>
      </c>
      <c r="AH525" s="70" t="str">
        <f>IFERROR(#REF!/AA525-1,"---")</f>
        <v>---</v>
      </c>
      <c r="AI525" s="71" t="str">
        <f t="shared" si="77"/>
        <v>---</v>
      </c>
    </row>
    <row r="526" spans="1:35" ht="30" customHeight="1" x14ac:dyDescent="0.3">
      <c r="A526" s="123">
        <f t="shared" si="70"/>
        <v>522</v>
      </c>
      <c r="B526" s="140">
        <f>INDEX('PEER GROUP'!B:B,MATCH($A526,'PEER GROUP'!$A:$A,0))</f>
        <v>0</v>
      </c>
      <c r="C526" s="83">
        <f>INDEX('PEER GROUP'!C:C,MATCH($A526,'PEER GROUP'!$A:$A,0))</f>
        <v>0</v>
      </c>
      <c r="D526" s="83">
        <f>INDEX('PEER GROUP'!D:D,MATCH($A526,'PEER GROUP'!$A:$A,0))</f>
        <v>0</v>
      </c>
      <c r="E526" s="83">
        <f>INDEX('PEER GROUP'!E:E,MATCH(A526,'PEER GROUP'!$A:$A,0))</f>
        <v>0</v>
      </c>
      <c r="F526" s="84">
        <f>INDEX('PEER GROUP'!F:F,MATCH($A526,'PEER GROUP'!$A:$A,0))</f>
        <v>0</v>
      </c>
      <c r="G526" s="84">
        <f>INDEX('PEER GROUP'!G:G,MATCH($A526,'PEER GROUP'!$A:$A,0))</f>
        <v>0</v>
      </c>
      <c r="H526" s="85"/>
      <c r="I526" s="85"/>
      <c r="J526" s="70">
        <f>INDEX('PEER GROUP'!K:K,MATCH($A526,'PEER GROUP'!$A:$A,0))</f>
        <v>0</v>
      </c>
      <c r="K526" s="70">
        <f>INDEX('PEER GROUP'!L:L,MATCH($A526,'PEER GROUP'!$A:$A,0))</f>
        <v>0</v>
      </c>
      <c r="L526" s="81">
        <f>INDEX('PEER GROUP'!N:N,MATCH($A526,'PEER GROUP'!$A:$A,0))</f>
        <v>0</v>
      </c>
      <c r="M526" s="118"/>
      <c r="N526" s="115"/>
      <c r="O526" s="117"/>
      <c r="P526" s="87"/>
      <c r="Q526" s="87"/>
      <c r="R526" s="87">
        <f t="shared" si="71"/>
        <v>0</v>
      </c>
      <c r="S526" s="113">
        <f t="shared" si="69"/>
        <v>36.913096727263202</v>
      </c>
      <c r="T526" s="69">
        <f t="shared" si="72"/>
        <v>0</v>
      </c>
      <c r="U526" s="70">
        <f t="shared" si="73"/>
        <v>0</v>
      </c>
      <c r="V526" s="70">
        <f t="shared" si="74"/>
        <v>0</v>
      </c>
      <c r="W526" s="71">
        <f t="shared" si="75"/>
        <v>0</v>
      </c>
      <c r="X526" s="49"/>
      <c r="Y526" s="151"/>
      <c r="Z526" s="69"/>
      <c r="AA526" s="70"/>
      <c r="AB526" s="70"/>
      <c r="AC526" s="70" t="str">
        <f t="shared" si="76"/>
        <v>---</v>
      </c>
      <c r="AD526" s="70" t="str">
        <f>IFERROR(P526/#REF!-1,"---")</f>
        <v>---</v>
      </c>
      <c r="AE526" s="70" t="str">
        <f>IFERROR(#REF!/#REF!-1,"---")</f>
        <v>---</v>
      </c>
      <c r="AF526" s="70" t="str">
        <f>IFERROR(Q526/#REF!-1,"---")</f>
        <v>---</v>
      </c>
      <c r="AG526" s="70" t="str">
        <f>IFERROR(#REF!/#REF!-1,"---")</f>
        <v>---</v>
      </c>
      <c r="AH526" s="70" t="str">
        <f>IFERROR(#REF!/AA526-1,"---")</f>
        <v>---</v>
      </c>
      <c r="AI526" s="71" t="str">
        <f t="shared" si="77"/>
        <v>---</v>
      </c>
    </row>
    <row r="527" spans="1:35" ht="30" customHeight="1" x14ac:dyDescent="0.3">
      <c r="A527" s="123">
        <f t="shared" si="70"/>
        <v>523</v>
      </c>
      <c r="B527" s="140">
        <f>INDEX('PEER GROUP'!B:B,MATCH($A527,'PEER GROUP'!$A:$A,0))</f>
        <v>0</v>
      </c>
      <c r="C527" s="83">
        <f>INDEX('PEER GROUP'!C:C,MATCH($A527,'PEER GROUP'!$A:$A,0))</f>
        <v>0</v>
      </c>
      <c r="D527" s="83">
        <f>INDEX('PEER GROUP'!D:D,MATCH($A527,'PEER GROUP'!$A:$A,0))</f>
        <v>0</v>
      </c>
      <c r="E527" s="83">
        <f>INDEX('PEER GROUP'!E:E,MATCH(A527,'PEER GROUP'!$A:$A,0))</f>
        <v>0</v>
      </c>
      <c r="F527" s="84">
        <f>INDEX('PEER GROUP'!F:F,MATCH($A527,'PEER GROUP'!$A:$A,0))</f>
        <v>0</v>
      </c>
      <c r="G527" s="84">
        <f>INDEX('PEER GROUP'!G:G,MATCH($A527,'PEER GROUP'!$A:$A,0))</f>
        <v>0</v>
      </c>
      <c r="H527" s="85"/>
      <c r="I527" s="85"/>
      <c r="J527" s="70">
        <f>INDEX('PEER GROUP'!K:K,MATCH($A527,'PEER GROUP'!$A:$A,0))</f>
        <v>0</v>
      </c>
      <c r="K527" s="70">
        <f>INDEX('PEER GROUP'!L:L,MATCH($A527,'PEER GROUP'!$A:$A,0))</f>
        <v>0</v>
      </c>
      <c r="L527" s="81">
        <f>INDEX('PEER GROUP'!N:N,MATCH($A527,'PEER GROUP'!$A:$A,0))</f>
        <v>0</v>
      </c>
      <c r="M527" s="118"/>
      <c r="N527" s="115"/>
      <c r="O527" s="117"/>
      <c r="P527" s="87"/>
      <c r="Q527" s="87"/>
      <c r="R527" s="87">
        <f t="shared" si="71"/>
        <v>0</v>
      </c>
      <c r="S527" s="113">
        <f t="shared" si="69"/>
        <v>36.913096727263202</v>
      </c>
      <c r="T527" s="69">
        <f t="shared" si="72"/>
        <v>0</v>
      </c>
      <c r="U527" s="70">
        <f t="shared" si="73"/>
        <v>0</v>
      </c>
      <c r="V527" s="70">
        <f t="shared" si="74"/>
        <v>0</v>
      </c>
      <c r="W527" s="71">
        <f t="shared" si="75"/>
        <v>0</v>
      </c>
      <c r="X527" s="49"/>
      <c r="Y527" s="151"/>
      <c r="Z527" s="69"/>
      <c r="AA527" s="70"/>
      <c r="AB527" s="70"/>
      <c r="AC527" s="70" t="str">
        <f t="shared" si="76"/>
        <v>---</v>
      </c>
      <c r="AD527" s="70" t="str">
        <f>IFERROR(P527/#REF!-1,"---")</f>
        <v>---</v>
      </c>
      <c r="AE527" s="70" t="str">
        <f>IFERROR(#REF!/#REF!-1,"---")</f>
        <v>---</v>
      </c>
      <c r="AF527" s="70" t="str">
        <f>IFERROR(Q527/#REF!-1,"---")</f>
        <v>---</v>
      </c>
      <c r="AG527" s="70" t="str">
        <f>IFERROR(#REF!/#REF!-1,"---")</f>
        <v>---</v>
      </c>
      <c r="AH527" s="70" t="str">
        <f>IFERROR(#REF!/AA527-1,"---")</f>
        <v>---</v>
      </c>
      <c r="AI527" s="71" t="str">
        <f t="shared" si="77"/>
        <v>---</v>
      </c>
    </row>
    <row r="528" spans="1:35" ht="30" customHeight="1" x14ac:dyDescent="0.3">
      <c r="A528" s="123">
        <f t="shared" si="70"/>
        <v>524</v>
      </c>
      <c r="B528" s="140">
        <f>INDEX('PEER GROUP'!B:B,MATCH($A528,'PEER GROUP'!$A:$A,0))</f>
        <v>0</v>
      </c>
      <c r="C528" s="83">
        <f>INDEX('PEER GROUP'!C:C,MATCH($A528,'PEER GROUP'!$A:$A,0))</f>
        <v>0</v>
      </c>
      <c r="D528" s="83">
        <f>INDEX('PEER GROUP'!D:D,MATCH($A528,'PEER GROUP'!$A:$A,0))</f>
        <v>0</v>
      </c>
      <c r="E528" s="83">
        <f>INDEX('PEER GROUP'!E:E,MATCH(A528,'PEER GROUP'!$A:$A,0))</f>
        <v>0</v>
      </c>
      <c r="F528" s="84">
        <f>INDEX('PEER GROUP'!F:F,MATCH($A528,'PEER GROUP'!$A:$A,0))</f>
        <v>0</v>
      </c>
      <c r="G528" s="84">
        <f>INDEX('PEER GROUP'!G:G,MATCH($A528,'PEER GROUP'!$A:$A,0))</f>
        <v>0</v>
      </c>
      <c r="H528" s="85"/>
      <c r="I528" s="85"/>
      <c r="J528" s="70">
        <f>INDEX('PEER GROUP'!K:K,MATCH($A528,'PEER GROUP'!$A:$A,0))</f>
        <v>0</v>
      </c>
      <c r="K528" s="70">
        <f>INDEX('PEER GROUP'!L:L,MATCH($A528,'PEER GROUP'!$A:$A,0))</f>
        <v>0</v>
      </c>
      <c r="L528" s="81">
        <f>INDEX('PEER GROUP'!N:N,MATCH($A528,'PEER GROUP'!$A:$A,0))</f>
        <v>0</v>
      </c>
      <c r="M528" s="118"/>
      <c r="N528" s="115"/>
      <c r="O528" s="117"/>
      <c r="P528" s="87"/>
      <c r="Q528" s="87"/>
      <c r="R528" s="87">
        <f t="shared" si="71"/>
        <v>0</v>
      </c>
      <c r="S528" s="113">
        <f t="shared" si="69"/>
        <v>36.913096727263202</v>
      </c>
      <c r="T528" s="69">
        <f t="shared" si="72"/>
        <v>0</v>
      </c>
      <c r="U528" s="70">
        <f t="shared" si="73"/>
        <v>0</v>
      </c>
      <c r="V528" s="70">
        <f t="shared" si="74"/>
        <v>0</v>
      </c>
      <c r="W528" s="71">
        <f t="shared" si="75"/>
        <v>0</v>
      </c>
      <c r="X528" s="49"/>
      <c r="Y528" s="151"/>
      <c r="Z528" s="69"/>
      <c r="AA528" s="70"/>
      <c r="AB528" s="70"/>
      <c r="AC528" s="70" t="str">
        <f t="shared" si="76"/>
        <v>---</v>
      </c>
      <c r="AD528" s="70" t="str">
        <f>IFERROR(P528/#REF!-1,"---")</f>
        <v>---</v>
      </c>
      <c r="AE528" s="70" t="str">
        <f>IFERROR(#REF!/#REF!-1,"---")</f>
        <v>---</v>
      </c>
      <c r="AF528" s="70" t="str">
        <f>IFERROR(Q528/#REF!-1,"---")</f>
        <v>---</v>
      </c>
      <c r="AG528" s="70" t="str">
        <f>IFERROR(#REF!/#REF!-1,"---")</f>
        <v>---</v>
      </c>
      <c r="AH528" s="70" t="str">
        <f>IFERROR(#REF!/AA528-1,"---")</f>
        <v>---</v>
      </c>
      <c r="AI528" s="71" t="str">
        <f t="shared" si="77"/>
        <v>---</v>
      </c>
    </row>
    <row r="529" spans="1:35" ht="30" customHeight="1" x14ac:dyDescent="0.3">
      <c r="A529" s="123">
        <f t="shared" si="70"/>
        <v>525</v>
      </c>
      <c r="B529" s="140">
        <f>INDEX('PEER GROUP'!B:B,MATCH($A529,'PEER GROUP'!$A:$A,0))</f>
        <v>0</v>
      </c>
      <c r="C529" s="83">
        <f>INDEX('PEER GROUP'!C:C,MATCH($A529,'PEER GROUP'!$A:$A,0))</f>
        <v>0</v>
      </c>
      <c r="D529" s="83">
        <f>INDEX('PEER GROUP'!D:D,MATCH($A529,'PEER GROUP'!$A:$A,0))</f>
        <v>0</v>
      </c>
      <c r="E529" s="83">
        <f>INDEX('PEER GROUP'!E:E,MATCH(A529,'PEER GROUP'!$A:$A,0))</f>
        <v>0</v>
      </c>
      <c r="F529" s="84">
        <f>INDEX('PEER GROUP'!F:F,MATCH($A529,'PEER GROUP'!$A:$A,0))</f>
        <v>0</v>
      </c>
      <c r="G529" s="84">
        <f>INDEX('PEER GROUP'!G:G,MATCH($A529,'PEER GROUP'!$A:$A,0))</f>
        <v>0</v>
      </c>
      <c r="H529" s="85"/>
      <c r="I529" s="85"/>
      <c r="J529" s="70">
        <f>INDEX('PEER GROUP'!K:K,MATCH($A529,'PEER GROUP'!$A:$A,0))</f>
        <v>0</v>
      </c>
      <c r="K529" s="70">
        <f>INDEX('PEER GROUP'!L:L,MATCH($A529,'PEER GROUP'!$A:$A,0))</f>
        <v>0</v>
      </c>
      <c r="L529" s="81">
        <f>INDEX('PEER GROUP'!N:N,MATCH($A529,'PEER GROUP'!$A:$A,0))</f>
        <v>0</v>
      </c>
      <c r="M529" s="118"/>
      <c r="N529" s="115"/>
      <c r="O529" s="117"/>
      <c r="P529" s="87"/>
      <c r="Q529" s="87"/>
      <c r="R529" s="87">
        <f t="shared" si="71"/>
        <v>0</v>
      </c>
      <c r="S529" s="113">
        <f t="shared" si="69"/>
        <v>36.913096727263202</v>
      </c>
      <c r="T529" s="69">
        <f t="shared" si="72"/>
        <v>0</v>
      </c>
      <c r="U529" s="70">
        <f t="shared" si="73"/>
        <v>0</v>
      </c>
      <c r="V529" s="70">
        <f t="shared" si="74"/>
        <v>0</v>
      </c>
      <c r="W529" s="71">
        <f t="shared" si="75"/>
        <v>0</v>
      </c>
      <c r="X529" s="49"/>
      <c r="Y529" s="151"/>
      <c r="Z529" s="69"/>
      <c r="AA529" s="70"/>
      <c r="AB529" s="70"/>
      <c r="AC529" s="70" t="str">
        <f t="shared" si="76"/>
        <v>---</v>
      </c>
      <c r="AD529" s="70" t="str">
        <f>IFERROR(P529/#REF!-1,"---")</f>
        <v>---</v>
      </c>
      <c r="AE529" s="70" t="str">
        <f>IFERROR(#REF!/#REF!-1,"---")</f>
        <v>---</v>
      </c>
      <c r="AF529" s="70" t="str">
        <f>IFERROR(Q529/#REF!-1,"---")</f>
        <v>---</v>
      </c>
      <c r="AG529" s="70" t="str">
        <f>IFERROR(#REF!/#REF!-1,"---")</f>
        <v>---</v>
      </c>
      <c r="AH529" s="70" t="str">
        <f>IFERROR(#REF!/AA529-1,"---")</f>
        <v>---</v>
      </c>
      <c r="AI529" s="71" t="str">
        <f t="shared" si="77"/>
        <v>---</v>
      </c>
    </row>
    <row r="530" spans="1:35" ht="30" customHeight="1" x14ac:dyDescent="0.3">
      <c r="A530" s="123">
        <f t="shared" si="70"/>
        <v>526</v>
      </c>
      <c r="B530" s="140">
        <f>INDEX('PEER GROUP'!B:B,MATCH($A530,'PEER GROUP'!$A:$A,0))</f>
        <v>0</v>
      </c>
      <c r="C530" s="83">
        <f>INDEX('PEER GROUP'!C:C,MATCH($A530,'PEER GROUP'!$A:$A,0))</f>
        <v>0</v>
      </c>
      <c r="D530" s="83">
        <f>INDEX('PEER GROUP'!D:D,MATCH($A530,'PEER GROUP'!$A:$A,0))</f>
        <v>0</v>
      </c>
      <c r="E530" s="83">
        <f>INDEX('PEER GROUP'!E:E,MATCH(A530,'PEER GROUP'!$A:$A,0))</f>
        <v>0</v>
      </c>
      <c r="F530" s="84">
        <f>INDEX('PEER GROUP'!F:F,MATCH($A530,'PEER GROUP'!$A:$A,0))</f>
        <v>0</v>
      </c>
      <c r="G530" s="84">
        <f>INDEX('PEER GROUP'!G:G,MATCH($A530,'PEER GROUP'!$A:$A,0))</f>
        <v>0</v>
      </c>
      <c r="H530" s="85"/>
      <c r="I530" s="85"/>
      <c r="J530" s="70">
        <f>INDEX('PEER GROUP'!K:K,MATCH($A530,'PEER GROUP'!$A:$A,0))</f>
        <v>0</v>
      </c>
      <c r="K530" s="70">
        <f>INDEX('PEER GROUP'!L:L,MATCH($A530,'PEER GROUP'!$A:$A,0))</f>
        <v>0</v>
      </c>
      <c r="L530" s="81">
        <f>INDEX('PEER GROUP'!N:N,MATCH($A530,'PEER GROUP'!$A:$A,0))</f>
        <v>0</v>
      </c>
      <c r="M530" s="118"/>
      <c r="N530" s="115"/>
      <c r="O530" s="117"/>
      <c r="P530" s="87"/>
      <c r="Q530" s="87"/>
      <c r="R530" s="87">
        <f t="shared" si="71"/>
        <v>0</v>
      </c>
      <c r="S530" s="113">
        <f t="shared" si="69"/>
        <v>36.913096727263202</v>
      </c>
      <c r="T530" s="69">
        <f t="shared" si="72"/>
        <v>0</v>
      </c>
      <c r="U530" s="70">
        <f t="shared" si="73"/>
        <v>0</v>
      </c>
      <c r="V530" s="70">
        <f t="shared" si="74"/>
        <v>0</v>
      </c>
      <c r="W530" s="71">
        <f t="shared" si="75"/>
        <v>0</v>
      </c>
      <c r="X530" s="49"/>
      <c r="Y530" s="151"/>
      <c r="Z530" s="69"/>
      <c r="AA530" s="70"/>
      <c r="AB530" s="70"/>
      <c r="AC530" s="70" t="str">
        <f t="shared" si="76"/>
        <v>---</v>
      </c>
      <c r="AD530" s="70" t="str">
        <f>IFERROR(P530/#REF!-1,"---")</f>
        <v>---</v>
      </c>
      <c r="AE530" s="70" t="str">
        <f>IFERROR(#REF!/#REF!-1,"---")</f>
        <v>---</v>
      </c>
      <c r="AF530" s="70" t="str">
        <f>IFERROR(Q530/#REF!-1,"---")</f>
        <v>---</v>
      </c>
      <c r="AG530" s="70" t="str">
        <f>IFERROR(#REF!/#REF!-1,"---")</f>
        <v>---</v>
      </c>
      <c r="AH530" s="70" t="str">
        <f>IFERROR(#REF!/AA530-1,"---")</f>
        <v>---</v>
      </c>
      <c r="AI530" s="71" t="str">
        <f t="shared" si="77"/>
        <v>---</v>
      </c>
    </row>
    <row r="531" spans="1:35" ht="30" customHeight="1" x14ac:dyDescent="0.3">
      <c r="A531" s="123">
        <f t="shared" si="70"/>
        <v>527</v>
      </c>
      <c r="B531" s="140">
        <f>INDEX('PEER GROUP'!B:B,MATCH($A531,'PEER GROUP'!$A:$A,0))</f>
        <v>0</v>
      </c>
      <c r="C531" s="83">
        <f>INDEX('PEER GROUP'!C:C,MATCH($A531,'PEER GROUP'!$A:$A,0))</f>
        <v>0</v>
      </c>
      <c r="D531" s="83">
        <f>INDEX('PEER GROUP'!D:D,MATCH($A531,'PEER GROUP'!$A:$A,0))</f>
        <v>0</v>
      </c>
      <c r="E531" s="83">
        <f>INDEX('PEER GROUP'!E:E,MATCH(A531,'PEER GROUP'!$A:$A,0))</f>
        <v>0</v>
      </c>
      <c r="F531" s="84">
        <f>INDEX('PEER GROUP'!F:F,MATCH($A531,'PEER GROUP'!$A:$A,0))</f>
        <v>0</v>
      </c>
      <c r="G531" s="84">
        <f>INDEX('PEER GROUP'!G:G,MATCH($A531,'PEER GROUP'!$A:$A,0))</f>
        <v>0</v>
      </c>
      <c r="H531" s="85"/>
      <c r="I531" s="85"/>
      <c r="J531" s="70">
        <f>INDEX('PEER GROUP'!K:K,MATCH($A531,'PEER GROUP'!$A:$A,0))</f>
        <v>0</v>
      </c>
      <c r="K531" s="70">
        <f>INDEX('PEER GROUP'!L:L,MATCH($A531,'PEER GROUP'!$A:$A,0))</f>
        <v>0</v>
      </c>
      <c r="L531" s="81">
        <f>INDEX('PEER GROUP'!N:N,MATCH($A531,'PEER GROUP'!$A:$A,0))</f>
        <v>0</v>
      </c>
      <c r="M531" s="118"/>
      <c r="N531" s="115"/>
      <c r="O531" s="117"/>
      <c r="P531" s="87"/>
      <c r="Q531" s="87"/>
      <c r="R531" s="87">
        <f t="shared" si="71"/>
        <v>0</v>
      </c>
      <c r="S531" s="113">
        <f t="shared" si="69"/>
        <v>36.913096727263202</v>
      </c>
      <c r="T531" s="69">
        <f t="shared" si="72"/>
        <v>0</v>
      </c>
      <c r="U531" s="70">
        <f t="shared" si="73"/>
        <v>0</v>
      </c>
      <c r="V531" s="70">
        <f t="shared" si="74"/>
        <v>0</v>
      </c>
      <c r="W531" s="71">
        <f t="shared" si="75"/>
        <v>0</v>
      </c>
      <c r="X531" s="49"/>
      <c r="Y531" s="151"/>
      <c r="Z531" s="69"/>
      <c r="AA531" s="70"/>
      <c r="AB531" s="70"/>
      <c r="AC531" s="70" t="str">
        <f t="shared" si="76"/>
        <v>---</v>
      </c>
      <c r="AD531" s="70" t="str">
        <f>IFERROR(P531/#REF!-1,"---")</f>
        <v>---</v>
      </c>
      <c r="AE531" s="70" t="str">
        <f>IFERROR(#REF!/#REF!-1,"---")</f>
        <v>---</v>
      </c>
      <c r="AF531" s="70" t="str">
        <f>IFERROR(Q531/#REF!-1,"---")</f>
        <v>---</v>
      </c>
      <c r="AG531" s="70" t="str">
        <f>IFERROR(#REF!/#REF!-1,"---")</f>
        <v>---</v>
      </c>
      <c r="AH531" s="70" t="str">
        <f>IFERROR(#REF!/AA531-1,"---")</f>
        <v>---</v>
      </c>
      <c r="AI531" s="71" t="str">
        <f t="shared" si="77"/>
        <v>---</v>
      </c>
    </row>
    <row r="532" spans="1:35" ht="30" customHeight="1" x14ac:dyDescent="0.3">
      <c r="A532" s="123">
        <f t="shared" si="70"/>
        <v>528</v>
      </c>
      <c r="B532" s="140">
        <f>INDEX('PEER GROUP'!B:B,MATCH($A532,'PEER GROUP'!$A:$A,0))</f>
        <v>0</v>
      </c>
      <c r="C532" s="83">
        <f>INDEX('PEER GROUP'!C:C,MATCH($A532,'PEER GROUP'!$A:$A,0))</f>
        <v>0</v>
      </c>
      <c r="D532" s="83">
        <f>INDEX('PEER GROUP'!D:D,MATCH($A532,'PEER GROUP'!$A:$A,0))</f>
        <v>0</v>
      </c>
      <c r="E532" s="83">
        <f>INDEX('PEER GROUP'!E:E,MATCH(A532,'PEER GROUP'!$A:$A,0))</f>
        <v>0</v>
      </c>
      <c r="F532" s="84">
        <f>INDEX('PEER GROUP'!F:F,MATCH($A532,'PEER GROUP'!$A:$A,0))</f>
        <v>0</v>
      </c>
      <c r="G532" s="84">
        <f>INDEX('PEER GROUP'!G:G,MATCH($A532,'PEER GROUP'!$A:$A,0))</f>
        <v>0</v>
      </c>
      <c r="H532" s="85"/>
      <c r="I532" s="85"/>
      <c r="J532" s="70">
        <f>INDEX('PEER GROUP'!K:K,MATCH($A532,'PEER GROUP'!$A:$A,0))</f>
        <v>0</v>
      </c>
      <c r="K532" s="70">
        <f>INDEX('PEER GROUP'!L:L,MATCH($A532,'PEER GROUP'!$A:$A,0))</f>
        <v>0</v>
      </c>
      <c r="L532" s="81">
        <f>INDEX('PEER GROUP'!N:N,MATCH($A532,'PEER GROUP'!$A:$A,0))</f>
        <v>0</v>
      </c>
      <c r="M532" s="118"/>
      <c r="N532" s="115"/>
      <c r="O532" s="117"/>
      <c r="P532" s="87"/>
      <c r="Q532" s="87"/>
      <c r="R532" s="87">
        <f t="shared" si="71"/>
        <v>0</v>
      </c>
      <c r="S532" s="113">
        <f t="shared" si="69"/>
        <v>36.913096727263202</v>
      </c>
      <c r="T532" s="69">
        <f t="shared" si="72"/>
        <v>0</v>
      </c>
      <c r="U532" s="70">
        <f t="shared" si="73"/>
        <v>0</v>
      </c>
      <c r="V532" s="70">
        <f t="shared" si="74"/>
        <v>0</v>
      </c>
      <c r="W532" s="71">
        <f t="shared" si="75"/>
        <v>0</v>
      </c>
      <c r="X532" s="49"/>
      <c r="Y532" s="151"/>
      <c r="Z532" s="69"/>
      <c r="AA532" s="70"/>
      <c r="AB532" s="70"/>
      <c r="AC532" s="70" t="str">
        <f t="shared" si="76"/>
        <v>---</v>
      </c>
      <c r="AD532" s="70" t="str">
        <f>IFERROR(P532/#REF!-1,"---")</f>
        <v>---</v>
      </c>
      <c r="AE532" s="70" t="str">
        <f>IFERROR(#REF!/#REF!-1,"---")</f>
        <v>---</v>
      </c>
      <c r="AF532" s="70" t="str">
        <f>IFERROR(Q532/#REF!-1,"---")</f>
        <v>---</v>
      </c>
      <c r="AG532" s="70" t="str">
        <f>IFERROR(#REF!/#REF!-1,"---")</f>
        <v>---</v>
      </c>
      <c r="AH532" s="70" t="str">
        <f>IFERROR(#REF!/AA532-1,"---")</f>
        <v>---</v>
      </c>
      <c r="AI532" s="71" t="str">
        <f t="shared" si="77"/>
        <v>---</v>
      </c>
    </row>
    <row r="533" spans="1:35" ht="30" customHeight="1" x14ac:dyDescent="0.3">
      <c r="A533" s="123">
        <f t="shared" si="70"/>
        <v>529</v>
      </c>
      <c r="B533" s="140">
        <f>INDEX('PEER GROUP'!B:B,MATCH($A533,'PEER GROUP'!$A:$A,0))</f>
        <v>0</v>
      </c>
      <c r="C533" s="83">
        <f>INDEX('PEER GROUP'!C:C,MATCH($A533,'PEER GROUP'!$A:$A,0))</f>
        <v>0</v>
      </c>
      <c r="D533" s="83">
        <f>INDEX('PEER GROUP'!D:D,MATCH($A533,'PEER GROUP'!$A:$A,0))</f>
        <v>0</v>
      </c>
      <c r="E533" s="83">
        <f>INDEX('PEER GROUP'!E:E,MATCH(A533,'PEER GROUP'!$A:$A,0))</f>
        <v>0</v>
      </c>
      <c r="F533" s="84">
        <f>INDEX('PEER GROUP'!F:F,MATCH($A533,'PEER GROUP'!$A:$A,0))</f>
        <v>0</v>
      </c>
      <c r="G533" s="84">
        <f>INDEX('PEER GROUP'!G:G,MATCH($A533,'PEER GROUP'!$A:$A,0))</f>
        <v>0</v>
      </c>
      <c r="H533" s="85"/>
      <c r="I533" s="85"/>
      <c r="J533" s="70">
        <f>INDEX('PEER GROUP'!K:K,MATCH($A533,'PEER GROUP'!$A:$A,0))</f>
        <v>0</v>
      </c>
      <c r="K533" s="70">
        <f>INDEX('PEER GROUP'!L:L,MATCH($A533,'PEER GROUP'!$A:$A,0))</f>
        <v>0</v>
      </c>
      <c r="L533" s="81">
        <f>INDEX('PEER GROUP'!N:N,MATCH($A533,'PEER GROUP'!$A:$A,0))</f>
        <v>0</v>
      </c>
      <c r="M533" s="118"/>
      <c r="N533" s="115"/>
      <c r="O533" s="117"/>
      <c r="P533" s="87"/>
      <c r="Q533" s="87"/>
      <c r="R533" s="87">
        <f t="shared" si="71"/>
        <v>0</v>
      </c>
      <c r="S533" s="113">
        <f t="shared" si="69"/>
        <v>36.913096727263202</v>
      </c>
      <c r="T533" s="69">
        <f t="shared" si="72"/>
        <v>0</v>
      </c>
      <c r="U533" s="70">
        <f t="shared" si="73"/>
        <v>0</v>
      </c>
      <c r="V533" s="70">
        <f t="shared" si="74"/>
        <v>0</v>
      </c>
      <c r="W533" s="71">
        <f t="shared" si="75"/>
        <v>0</v>
      </c>
      <c r="X533" s="49"/>
      <c r="Y533" s="151"/>
      <c r="Z533" s="69"/>
      <c r="AA533" s="70"/>
      <c r="AB533" s="70"/>
      <c r="AC533" s="70" t="str">
        <f t="shared" si="76"/>
        <v>---</v>
      </c>
      <c r="AD533" s="70" t="str">
        <f>IFERROR(P533/#REF!-1,"---")</f>
        <v>---</v>
      </c>
      <c r="AE533" s="70" t="str">
        <f>IFERROR(#REF!/#REF!-1,"---")</f>
        <v>---</v>
      </c>
      <c r="AF533" s="70" t="str">
        <f>IFERROR(Q533/#REF!-1,"---")</f>
        <v>---</v>
      </c>
      <c r="AG533" s="70" t="str">
        <f>IFERROR(#REF!/#REF!-1,"---")</f>
        <v>---</v>
      </c>
      <c r="AH533" s="70" t="str">
        <f>IFERROR(#REF!/AA533-1,"---")</f>
        <v>---</v>
      </c>
      <c r="AI533" s="71" t="str">
        <f t="shared" si="77"/>
        <v>---</v>
      </c>
    </row>
    <row r="534" spans="1:35" ht="30" customHeight="1" x14ac:dyDescent="0.3">
      <c r="A534" s="123">
        <f t="shared" si="70"/>
        <v>530</v>
      </c>
      <c r="B534" s="140">
        <f>INDEX('PEER GROUP'!B:B,MATCH($A534,'PEER GROUP'!$A:$A,0))</f>
        <v>0</v>
      </c>
      <c r="C534" s="83">
        <f>INDEX('PEER GROUP'!C:C,MATCH($A534,'PEER GROUP'!$A:$A,0))</f>
        <v>0</v>
      </c>
      <c r="D534" s="83">
        <f>INDEX('PEER GROUP'!D:D,MATCH($A534,'PEER GROUP'!$A:$A,0))</f>
        <v>0</v>
      </c>
      <c r="E534" s="83">
        <f>INDEX('PEER GROUP'!E:E,MATCH(A534,'PEER GROUP'!$A:$A,0))</f>
        <v>0</v>
      </c>
      <c r="F534" s="84">
        <f>INDEX('PEER GROUP'!F:F,MATCH($A534,'PEER GROUP'!$A:$A,0))</f>
        <v>0</v>
      </c>
      <c r="G534" s="84">
        <f>INDEX('PEER GROUP'!G:G,MATCH($A534,'PEER GROUP'!$A:$A,0))</f>
        <v>0</v>
      </c>
      <c r="H534" s="85"/>
      <c r="I534" s="85"/>
      <c r="J534" s="70">
        <f>INDEX('PEER GROUP'!K:K,MATCH($A534,'PEER GROUP'!$A:$A,0))</f>
        <v>0</v>
      </c>
      <c r="K534" s="70">
        <f>INDEX('PEER GROUP'!L:L,MATCH($A534,'PEER GROUP'!$A:$A,0))</f>
        <v>0</v>
      </c>
      <c r="L534" s="81">
        <f>INDEX('PEER GROUP'!N:N,MATCH($A534,'PEER GROUP'!$A:$A,0))</f>
        <v>0</v>
      </c>
      <c r="M534" s="118"/>
      <c r="N534" s="115"/>
      <c r="O534" s="117"/>
      <c r="P534" s="87"/>
      <c r="Q534" s="87"/>
      <c r="R534" s="87">
        <f t="shared" si="71"/>
        <v>0</v>
      </c>
      <c r="S534" s="113">
        <f t="shared" si="69"/>
        <v>36.913096727263202</v>
      </c>
      <c r="T534" s="69">
        <f t="shared" si="72"/>
        <v>0</v>
      </c>
      <c r="U534" s="70">
        <f t="shared" si="73"/>
        <v>0</v>
      </c>
      <c r="V534" s="70">
        <f t="shared" si="74"/>
        <v>0</v>
      </c>
      <c r="W534" s="71">
        <f t="shared" si="75"/>
        <v>0</v>
      </c>
      <c r="X534" s="49"/>
      <c r="Y534" s="151"/>
      <c r="Z534" s="69"/>
      <c r="AA534" s="70"/>
      <c r="AB534" s="70"/>
      <c r="AC534" s="70" t="str">
        <f t="shared" si="76"/>
        <v>---</v>
      </c>
      <c r="AD534" s="70" t="str">
        <f>IFERROR(P534/#REF!-1,"---")</f>
        <v>---</v>
      </c>
      <c r="AE534" s="70" t="str">
        <f>IFERROR(#REF!/#REF!-1,"---")</f>
        <v>---</v>
      </c>
      <c r="AF534" s="70" t="str">
        <f>IFERROR(Q534/#REF!-1,"---")</f>
        <v>---</v>
      </c>
      <c r="AG534" s="70" t="str">
        <f>IFERROR(#REF!/#REF!-1,"---")</f>
        <v>---</v>
      </c>
      <c r="AH534" s="70" t="str">
        <f>IFERROR(#REF!/AA534-1,"---")</f>
        <v>---</v>
      </c>
      <c r="AI534" s="71" t="str">
        <f t="shared" si="77"/>
        <v>---</v>
      </c>
    </row>
    <row r="535" spans="1:35" ht="30" customHeight="1" x14ac:dyDescent="0.3">
      <c r="A535" s="123">
        <f t="shared" si="70"/>
        <v>531</v>
      </c>
      <c r="B535" s="140">
        <f>INDEX('PEER GROUP'!B:B,MATCH($A535,'PEER GROUP'!$A:$A,0))</f>
        <v>0</v>
      </c>
      <c r="C535" s="83">
        <f>INDEX('PEER GROUP'!C:C,MATCH($A535,'PEER GROUP'!$A:$A,0))</f>
        <v>0</v>
      </c>
      <c r="D535" s="83">
        <f>INDEX('PEER GROUP'!D:D,MATCH($A535,'PEER GROUP'!$A:$A,0))</f>
        <v>0</v>
      </c>
      <c r="E535" s="83">
        <f>INDEX('PEER GROUP'!E:E,MATCH(A535,'PEER GROUP'!$A:$A,0))</f>
        <v>0</v>
      </c>
      <c r="F535" s="84">
        <f>INDEX('PEER GROUP'!F:F,MATCH($A535,'PEER GROUP'!$A:$A,0))</f>
        <v>0</v>
      </c>
      <c r="G535" s="84">
        <f>INDEX('PEER GROUP'!G:G,MATCH($A535,'PEER GROUP'!$A:$A,0))</f>
        <v>0</v>
      </c>
      <c r="H535" s="85"/>
      <c r="I535" s="85"/>
      <c r="J535" s="70">
        <f>INDEX('PEER GROUP'!K:K,MATCH($A535,'PEER GROUP'!$A:$A,0))</f>
        <v>0</v>
      </c>
      <c r="K535" s="70">
        <f>INDEX('PEER GROUP'!L:L,MATCH($A535,'PEER GROUP'!$A:$A,0))</f>
        <v>0</v>
      </c>
      <c r="L535" s="81">
        <f>INDEX('PEER GROUP'!N:N,MATCH($A535,'PEER GROUP'!$A:$A,0))</f>
        <v>0</v>
      </c>
      <c r="M535" s="118"/>
      <c r="N535" s="115"/>
      <c r="O535" s="117"/>
      <c r="P535" s="87"/>
      <c r="Q535" s="87"/>
      <c r="R535" s="87">
        <f t="shared" si="71"/>
        <v>0</v>
      </c>
      <c r="S535" s="113">
        <f t="shared" si="69"/>
        <v>36.913096727263202</v>
      </c>
      <c r="T535" s="69">
        <f t="shared" si="72"/>
        <v>0</v>
      </c>
      <c r="U535" s="70">
        <f t="shared" si="73"/>
        <v>0</v>
      </c>
      <c r="V535" s="70">
        <f t="shared" si="74"/>
        <v>0</v>
      </c>
      <c r="W535" s="71">
        <f t="shared" si="75"/>
        <v>0</v>
      </c>
      <c r="X535" s="49"/>
      <c r="Y535" s="151"/>
      <c r="Z535" s="69"/>
      <c r="AA535" s="70"/>
      <c r="AB535" s="70"/>
      <c r="AC535" s="70" t="str">
        <f t="shared" si="76"/>
        <v>---</v>
      </c>
      <c r="AD535" s="70" t="str">
        <f>IFERROR(P535/#REF!-1,"---")</f>
        <v>---</v>
      </c>
      <c r="AE535" s="70" t="str">
        <f>IFERROR(#REF!/#REF!-1,"---")</f>
        <v>---</v>
      </c>
      <c r="AF535" s="70" t="str">
        <f>IFERROR(Q535/#REF!-1,"---")</f>
        <v>---</v>
      </c>
      <c r="AG535" s="70" t="str">
        <f>IFERROR(#REF!/#REF!-1,"---")</f>
        <v>---</v>
      </c>
      <c r="AH535" s="70" t="str">
        <f>IFERROR(#REF!/AA535-1,"---")</f>
        <v>---</v>
      </c>
      <c r="AI535" s="71" t="str">
        <f t="shared" si="77"/>
        <v>---</v>
      </c>
    </row>
    <row r="536" spans="1:35" ht="30" customHeight="1" x14ac:dyDescent="0.3">
      <c r="A536" s="123">
        <f t="shared" si="70"/>
        <v>532</v>
      </c>
      <c r="B536" s="140">
        <f>INDEX('PEER GROUP'!B:B,MATCH($A536,'PEER GROUP'!$A:$A,0))</f>
        <v>0</v>
      </c>
      <c r="C536" s="83">
        <f>INDEX('PEER GROUP'!C:C,MATCH($A536,'PEER GROUP'!$A:$A,0))</f>
        <v>0</v>
      </c>
      <c r="D536" s="83">
        <f>INDEX('PEER GROUP'!D:D,MATCH($A536,'PEER GROUP'!$A:$A,0))</f>
        <v>0</v>
      </c>
      <c r="E536" s="83">
        <f>INDEX('PEER GROUP'!E:E,MATCH(A536,'PEER GROUP'!$A:$A,0))</f>
        <v>0</v>
      </c>
      <c r="F536" s="84">
        <f>INDEX('PEER GROUP'!F:F,MATCH($A536,'PEER GROUP'!$A:$A,0))</f>
        <v>0</v>
      </c>
      <c r="G536" s="84">
        <f>INDEX('PEER GROUP'!G:G,MATCH($A536,'PEER GROUP'!$A:$A,0))</f>
        <v>0</v>
      </c>
      <c r="H536" s="85"/>
      <c r="I536" s="85"/>
      <c r="J536" s="70">
        <f>INDEX('PEER GROUP'!K:K,MATCH($A536,'PEER GROUP'!$A:$A,0))</f>
        <v>0</v>
      </c>
      <c r="K536" s="70">
        <f>INDEX('PEER GROUP'!L:L,MATCH($A536,'PEER GROUP'!$A:$A,0))</f>
        <v>0</v>
      </c>
      <c r="L536" s="81">
        <f>INDEX('PEER GROUP'!N:N,MATCH($A536,'PEER GROUP'!$A:$A,0))</f>
        <v>0</v>
      </c>
      <c r="M536" s="118"/>
      <c r="N536" s="115"/>
      <c r="O536" s="117"/>
      <c r="P536" s="87"/>
      <c r="Q536" s="87"/>
      <c r="R536" s="87">
        <f t="shared" si="71"/>
        <v>0</v>
      </c>
      <c r="S536" s="113">
        <f t="shared" si="69"/>
        <v>36.913096727263202</v>
      </c>
      <c r="T536" s="69">
        <f t="shared" si="72"/>
        <v>0</v>
      </c>
      <c r="U536" s="70">
        <f t="shared" si="73"/>
        <v>0</v>
      </c>
      <c r="V536" s="70">
        <f t="shared" si="74"/>
        <v>0</v>
      </c>
      <c r="W536" s="71">
        <f t="shared" si="75"/>
        <v>0</v>
      </c>
      <c r="X536" s="49"/>
      <c r="Y536" s="151"/>
      <c r="Z536" s="69"/>
      <c r="AA536" s="70"/>
      <c r="AB536" s="70"/>
      <c r="AC536" s="70" t="str">
        <f t="shared" si="76"/>
        <v>---</v>
      </c>
      <c r="AD536" s="70" t="str">
        <f>IFERROR(P536/#REF!-1,"---")</f>
        <v>---</v>
      </c>
      <c r="AE536" s="70" t="str">
        <f>IFERROR(#REF!/#REF!-1,"---")</f>
        <v>---</v>
      </c>
      <c r="AF536" s="70" t="str">
        <f>IFERROR(Q536/#REF!-1,"---")</f>
        <v>---</v>
      </c>
      <c r="AG536" s="70" t="str">
        <f>IFERROR(#REF!/#REF!-1,"---")</f>
        <v>---</v>
      </c>
      <c r="AH536" s="70" t="str">
        <f>IFERROR(#REF!/AA536-1,"---")</f>
        <v>---</v>
      </c>
      <c r="AI536" s="71" t="str">
        <f t="shared" si="77"/>
        <v>---</v>
      </c>
    </row>
    <row r="537" spans="1:35" ht="30" customHeight="1" x14ac:dyDescent="0.3">
      <c r="A537" s="123">
        <f t="shared" si="70"/>
        <v>533</v>
      </c>
      <c r="B537" s="140">
        <f>INDEX('PEER GROUP'!B:B,MATCH($A537,'PEER GROUP'!$A:$A,0))</f>
        <v>0</v>
      </c>
      <c r="C537" s="83">
        <f>INDEX('PEER GROUP'!C:C,MATCH($A537,'PEER GROUP'!$A:$A,0))</f>
        <v>0</v>
      </c>
      <c r="D537" s="83">
        <f>INDEX('PEER GROUP'!D:D,MATCH($A537,'PEER GROUP'!$A:$A,0))</f>
        <v>0</v>
      </c>
      <c r="E537" s="83">
        <f>INDEX('PEER GROUP'!E:E,MATCH(A537,'PEER GROUP'!$A:$A,0))</f>
        <v>0</v>
      </c>
      <c r="F537" s="84">
        <f>INDEX('PEER GROUP'!F:F,MATCH($A537,'PEER GROUP'!$A:$A,0))</f>
        <v>0</v>
      </c>
      <c r="G537" s="84">
        <f>INDEX('PEER GROUP'!G:G,MATCH($A537,'PEER GROUP'!$A:$A,0))</f>
        <v>0</v>
      </c>
      <c r="H537" s="85"/>
      <c r="I537" s="85"/>
      <c r="J537" s="70">
        <f>INDEX('PEER GROUP'!K:K,MATCH($A537,'PEER GROUP'!$A:$A,0))</f>
        <v>0</v>
      </c>
      <c r="K537" s="70">
        <f>INDEX('PEER GROUP'!L:L,MATCH($A537,'PEER GROUP'!$A:$A,0))</f>
        <v>0</v>
      </c>
      <c r="L537" s="81">
        <f>INDEX('PEER GROUP'!N:N,MATCH($A537,'PEER GROUP'!$A:$A,0))</f>
        <v>0</v>
      </c>
      <c r="M537" s="118"/>
      <c r="N537" s="115"/>
      <c r="O537" s="117"/>
      <c r="P537" s="87"/>
      <c r="Q537" s="87"/>
      <c r="R537" s="87">
        <f t="shared" si="71"/>
        <v>0</v>
      </c>
      <c r="S537" s="113">
        <f t="shared" si="69"/>
        <v>36.913096727263202</v>
      </c>
      <c r="T537" s="69">
        <f t="shared" si="72"/>
        <v>0</v>
      </c>
      <c r="U537" s="70">
        <f t="shared" si="73"/>
        <v>0</v>
      </c>
      <c r="V537" s="70">
        <f t="shared" si="74"/>
        <v>0</v>
      </c>
      <c r="W537" s="71">
        <f t="shared" si="75"/>
        <v>0</v>
      </c>
      <c r="X537" s="49"/>
      <c r="Y537" s="151"/>
      <c r="Z537" s="69"/>
      <c r="AA537" s="70"/>
      <c r="AB537" s="70"/>
      <c r="AC537" s="70" t="str">
        <f t="shared" si="76"/>
        <v>---</v>
      </c>
      <c r="AD537" s="70" t="str">
        <f>IFERROR(P537/#REF!-1,"---")</f>
        <v>---</v>
      </c>
      <c r="AE537" s="70" t="str">
        <f>IFERROR(#REF!/#REF!-1,"---")</f>
        <v>---</v>
      </c>
      <c r="AF537" s="70" t="str">
        <f>IFERROR(Q537/#REF!-1,"---")</f>
        <v>---</v>
      </c>
      <c r="AG537" s="70" t="str">
        <f>IFERROR(#REF!/#REF!-1,"---")</f>
        <v>---</v>
      </c>
      <c r="AH537" s="70" t="str">
        <f>IFERROR(#REF!/AA537-1,"---")</f>
        <v>---</v>
      </c>
      <c r="AI537" s="71" t="str">
        <f t="shared" si="77"/>
        <v>---</v>
      </c>
    </row>
    <row r="538" spans="1:35" ht="30" customHeight="1" x14ac:dyDescent="0.3">
      <c r="A538" s="123">
        <f t="shared" si="70"/>
        <v>534</v>
      </c>
      <c r="B538" s="140">
        <f>INDEX('PEER GROUP'!B:B,MATCH($A538,'PEER GROUP'!$A:$A,0))</f>
        <v>0</v>
      </c>
      <c r="C538" s="83">
        <f>INDEX('PEER GROUP'!C:C,MATCH($A538,'PEER GROUP'!$A:$A,0))</f>
        <v>0</v>
      </c>
      <c r="D538" s="83">
        <f>INDEX('PEER GROUP'!D:D,MATCH($A538,'PEER GROUP'!$A:$A,0))</f>
        <v>0</v>
      </c>
      <c r="E538" s="83">
        <f>INDEX('PEER GROUP'!E:E,MATCH(A538,'PEER GROUP'!$A:$A,0))</f>
        <v>0</v>
      </c>
      <c r="F538" s="84">
        <f>INDEX('PEER GROUP'!F:F,MATCH($A538,'PEER GROUP'!$A:$A,0))</f>
        <v>0</v>
      </c>
      <c r="G538" s="84">
        <f>INDEX('PEER GROUP'!G:G,MATCH($A538,'PEER GROUP'!$A:$A,0))</f>
        <v>0</v>
      </c>
      <c r="H538" s="85"/>
      <c r="I538" s="85"/>
      <c r="J538" s="70">
        <f>INDEX('PEER GROUP'!K:K,MATCH($A538,'PEER GROUP'!$A:$A,0))</f>
        <v>0</v>
      </c>
      <c r="K538" s="70">
        <f>INDEX('PEER GROUP'!L:L,MATCH($A538,'PEER GROUP'!$A:$A,0))</f>
        <v>0</v>
      </c>
      <c r="L538" s="81">
        <f>INDEX('PEER GROUP'!N:N,MATCH($A538,'PEER GROUP'!$A:$A,0))</f>
        <v>0</v>
      </c>
      <c r="M538" s="118"/>
      <c r="N538" s="115"/>
      <c r="O538" s="117"/>
      <c r="P538" s="87"/>
      <c r="Q538" s="87"/>
      <c r="R538" s="87">
        <f t="shared" si="71"/>
        <v>0</v>
      </c>
      <c r="S538" s="113">
        <f t="shared" si="69"/>
        <v>36.913096727263202</v>
      </c>
      <c r="T538" s="69">
        <f t="shared" si="72"/>
        <v>0</v>
      </c>
      <c r="U538" s="70">
        <f t="shared" si="73"/>
        <v>0</v>
      </c>
      <c r="V538" s="70">
        <f t="shared" si="74"/>
        <v>0</v>
      </c>
      <c r="W538" s="71">
        <f t="shared" si="75"/>
        <v>0</v>
      </c>
      <c r="X538" s="49"/>
      <c r="Y538" s="151"/>
      <c r="Z538" s="69"/>
      <c r="AA538" s="70"/>
      <c r="AB538" s="70"/>
      <c r="AC538" s="70" t="str">
        <f t="shared" si="76"/>
        <v>---</v>
      </c>
      <c r="AD538" s="70" t="str">
        <f>IFERROR(P538/#REF!-1,"---")</f>
        <v>---</v>
      </c>
      <c r="AE538" s="70" t="str">
        <f>IFERROR(#REF!/#REF!-1,"---")</f>
        <v>---</v>
      </c>
      <c r="AF538" s="70" t="str">
        <f>IFERROR(Q538/#REF!-1,"---")</f>
        <v>---</v>
      </c>
      <c r="AG538" s="70" t="str">
        <f>IFERROR(#REF!/#REF!-1,"---")</f>
        <v>---</v>
      </c>
      <c r="AH538" s="70" t="str">
        <f>IFERROR(#REF!/AA538-1,"---")</f>
        <v>---</v>
      </c>
      <c r="AI538" s="71" t="str">
        <f t="shared" si="77"/>
        <v>---</v>
      </c>
    </row>
    <row r="539" spans="1:35" ht="30" customHeight="1" x14ac:dyDescent="0.3">
      <c r="A539" s="123">
        <f t="shared" si="70"/>
        <v>535</v>
      </c>
      <c r="B539" s="140">
        <f>INDEX('PEER GROUP'!B:B,MATCH($A539,'PEER GROUP'!$A:$A,0))</f>
        <v>0</v>
      </c>
      <c r="C539" s="83">
        <f>INDEX('PEER GROUP'!C:C,MATCH($A539,'PEER GROUP'!$A:$A,0))</f>
        <v>0</v>
      </c>
      <c r="D539" s="83">
        <f>INDEX('PEER GROUP'!D:D,MATCH($A539,'PEER GROUP'!$A:$A,0))</f>
        <v>0</v>
      </c>
      <c r="E539" s="83">
        <f>INDEX('PEER GROUP'!E:E,MATCH(A539,'PEER GROUP'!$A:$A,0))</f>
        <v>0</v>
      </c>
      <c r="F539" s="84">
        <f>INDEX('PEER GROUP'!F:F,MATCH($A539,'PEER GROUP'!$A:$A,0))</f>
        <v>0</v>
      </c>
      <c r="G539" s="84">
        <f>INDEX('PEER GROUP'!G:G,MATCH($A539,'PEER GROUP'!$A:$A,0))</f>
        <v>0</v>
      </c>
      <c r="H539" s="85"/>
      <c r="I539" s="85"/>
      <c r="J539" s="70">
        <f>INDEX('PEER GROUP'!K:K,MATCH($A539,'PEER GROUP'!$A:$A,0))</f>
        <v>0</v>
      </c>
      <c r="K539" s="70">
        <f>INDEX('PEER GROUP'!L:L,MATCH($A539,'PEER GROUP'!$A:$A,0))</f>
        <v>0</v>
      </c>
      <c r="L539" s="81">
        <f>INDEX('PEER GROUP'!N:N,MATCH($A539,'PEER GROUP'!$A:$A,0))</f>
        <v>0</v>
      </c>
      <c r="M539" s="118"/>
      <c r="N539" s="115"/>
      <c r="O539" s="117"/>
      <c r="P539" s="87"/>
      <c r="Q539" s="87"/>
      <c r="R539" s="87">
        <f t="shared" si="71"/>
        <v>0</v>
      </c>
      <c r="S539" s="113">
        <f t="shared" si="69"/>
        <v>36.913096727263202</v>
      </c>
      <c r="T539" s="69">
        <f t="shared" si="72"/>
        <v>0</v>
      </c>
      <c r="U539" s="70">
        <f t="shared" si="73"/>
        <v>0</v>
      </c>
      <c r="V539" s="70">
        <f t="shared" si="74"/>
        <v>0</v>
      </c>
      <c r="W539" s="71">
        <f t="shared" si="75"/>
        <v>0</v>
      </c>
      <c r="X539" s="49"/>
      <c r="Y539" s="151"/>
      <c r="Z539" s="69"/>
      <c r="AA539" s="70"/>
      <c r="AB539" s="70"/>
      <c r="AC539" s="70" t="str">
        <f t="shared" si="76"/>
        <v>---</v>
      </c>
      <c r="AD539" s="70" t="str">
        <f>IFERROR(P539/#REF!-1,"---")</f>
        <v>---</v>
      </c>
      <c r="AE539" s="70" t="str">
        <f>IFERROR(#REF!/#REF!-1,"---")</f>
        <v>---</v>
      </c>
      <c r="AF539" s="70" t="str">
        <f>IFERROR(Q539/#REF!-1,"---")</f>
        <v>---</v>
      </c>
      <c r="AG539" s="70" t="str">
        <f>IFERROR(#REF!/#REF!-1,"---")</f>
        <v>---</v>
      </c>
      <c r="AH539" s="70" t="str">
        <f>IFERROR(#REF!/AA539-1,"---")</f>
        <v>---</v>
      </c>
      <c r="AI539" s="71" t="str">
        <f t="shared" si="77"/>
        <v>---</v>
      </c>
    </row>
    <row r="540" spans="1:35" ht="30" customHeight="1" x14ac:dyDescent="0.3">
      <c r="A540" s="123">
        <f t="shared" si="70"/>
        <v>536</v>
      </c>
      <c r="B540" s="140">
        <f>INDEX('PEER GROUP'!B:B,MATCH($A540,'PEER GROUP'!$A:$A,0))</f>
        <v>0</v>
      </c>
      <c r="C540" s="83">
        <f>INDEX('PEER GROUP'!C:C,MATCH($A540,'PEER GROUP'!$A:$A,0))</f>
        <v>0</v>
      </c>
      <c r="D540" s="83">
        <f>INDEX('PEER GROUP'!D:D,MATCH($A540,'PEER GROUP'!$A:$A,0))</f>
        <v>0</v>
      </c>
      <c r="E540" s="83">
        <f>INDEX('PEER GROUP'!E:E,MATCH(A540,'PEER GROUP'!$A:$A,0))</f>
        <v>0</v>
      </c>
      <c r="F540" s="84">
        <f>INDEX('PEER GROUP'!F:F,MATCH($A540,'PEER GROUP'!$A:$A,0))</f>
        <v>0</v>
      </c>
      <c r="G540" s="84">
        <f>INDEX('PEER GROUP'!G:G,MATCH($A540,'PEER GROUP'!$A:$A,0))</f>
        <v>0</v>
      </c>
      <c r="H540" s="85"/>
      <c r="I540" s="85"/>
      <c r="J540" s="70">
        <f>INDEX('PEER GROUP'!K:K,MATCH($A540,'PEER GROUP'!$A:$A,0))</f>
        <v>0</v>
      </c>
      <c r="K540" s="70">
        <f>INDEX('PEER GROUP'!L:L,MATCH($A540,'PEER GROUP'!$A:$A,0))</f>
        <v>0</v>
      </c>
      <c r="L540" s="81">
        <f>INDEX('PEER GROUP'!N:N,MATCH($A540,'PEER GROUP'!$A:$A,0))</f>
        <v>0</v>
      </c>
      <c r="M540" s="118"/>
      <c r="N540" s="115"/>
      <c r="O540" s="117"/>
      <c r="P540" s="87"/>
      <c r="Q540" s="87"/>
      <c r="R540" s="87">
        <f t="shared" si="71"/>
        <v>0</v>
      </c>
      <c r="S540" s="113">
        <f t="shared" si="69"/>
        <v>36.913096727263202</v>
      </c>
      <c r="T540" s="69">
        <f t="shared" si="72"/>
        <v>0</v>
      </c>
      <c r="U540" s="70">
        <f t="shared" si="73"/>
        <v>0</v>
      </c>
      <c r="V540" s="70">
        <f t="shared" si="74"/>
        <v>0</v>
      </c>
      <c r="W540" s="71">
        <f t="shared" si="75"/>
        <v>0</v>
      </c>
      <c r="X540" s="49"/>
      <c r="Y540" s="151"/>
      <c r="Z540" s="69"/>
      <c r="AA540" s="70"/>
      <c r="AB540" s="70"/>
      <c r="AC540" s="70" t="str">
        <f t="shared" si="76"/>
        <v>---</v>
      </c>
      <c r="AD540" s="70" t="str">
        <f>IFERROR(P540/#REF!-1,"---")</f>
        <v>---</v>
      </c>
      <c r="AE540" s="70" t="str">
        <f>IFERROR(#REF!/#REF!-1,"---")</f>
        <v>---</v>
      </c>
      <c r="AF540" s="70" t="str">
        <f>IFERROR(Q540/#REF!-1,"---")</f>
        <v>---</v>
      </c>
      <c r="AG540" s="70" t="str">
        <f>IFERROR(#REF!/#REF!-1,"---")</f>
        <v>---</v>
      </c>
      <c r="AH540" s="70" t="str">
        <f>IFERROR(#REF!/AA540-1,"---")</f>
        <v>---</v>
      </c>
      <c r="AI540" s="71" t="str">
        <f t="shared" si="77"/>
        <v>---</v>
      </c>
    </row>
    <row r="541" spans="1:35" ht="30" customHeight="1" x14ac:dyDescent="0.3">
      <c r="A541" s="123">
        <f t="shared" si="70"/>
        <v>537</v>
      </c>
      <c r="B541" s="140">
        <f>INDEX('PEER GROUP'!B:B,MATCH($A541,'PEER GROUP'!$A:$A,0))</f>
        <v>0</v>
      </c>
      <c r="C541" s="83">
        <f>INDEX('PEER GROUP'!C:C,MATCH($A541,'PEER GROUP'!$A:$A,0))</f>
        <v>0</v>
      </c>
      <c r="D541" s="83">
        <f>INDEX('PEER GROUP'!D:D,MATCH($A541,'PEER GROUP'!$A:$A,0))</f>
        <v>0</v>
      </c>
      <c r="E541" s="83">
        <f>INDEX('PEER GROUP'!E:E,MATCH(A541,'PEER GROUP'!$A:$A,0))</f>
        <v>0</v>
      </c>
      <c r="F541" s="84">
        <f>INDEX('PEER GROUP'!F:F,MATCH($A541,'PEER GROUP'!$A:$A,0))</f>
        <v>0</v>
      </c>
      <c r="G541" s="84">
        <f>INDEX('PEER GROUP'!G:G,MATCH($A541,'PEER GROUP'!$A:$A,0))</f>
        <v>0</v>
      </c>
      <c r="H541" s="85"/>
      <c r="I541" s="85"/>
      <c r="J541" s="70">
        <f>INDEX('PEER GROUP'!K:K,MATCH($A541,'PEER GROUP'!$A:$A,0))</f>
        <v>0</v>
      </c>
      <c r="K541" s="70">
        <f>INDEX('PEER GROUP'!L:L,MATCH($A541,'PEER GROUP'!$A:$A,0))</f>
        <v>0</v>
      </c>
      <c r="L541" s="81">
        <f>INDEX('PEER GROUP'!N:N,MATCH($A541,'PEER GROUP'!$A:$A,0))</f>
        <v>0</v>
      </c>
      <c r="M541" s="118"/>
      <c r="N541" s="115"/>
      <c r="O541" s="117"/>
      <c r="P541" s="87"/>
      <c r="Q541" s="87"/>
      <c r="R541" s="87">
        <f t="shared" si="71"/>
        <v>0</v>
      </c>
      <c r="S541" s="113">
        <f t="shared" si="69"/>
        <v>36.913096727263202</v>
      </c>
      <c r="T541" s="69">
        <f t="shared" si="72"/>
        <v>0</v>
      </c>
      <c r="U541" s="70">
        <f t="shared" si="73"/>
        <v>0</v>
      </c>
      <c r="V541" s="70">
        <f t="shared" si="74"/>
        <v>0</v>
      </c>
      <c r="W541" s="71">
        <f t="shared" si="75"/>
        <v>0</v>
      </c>
      <c r="X541" s="49"/>
      <c r="Y541" s="151"/>
      <c r="Z541" s="69"/>
      <c r="AA541" s="70"/>
      <c r="AB541" s="70"/>
      <c r="AC541" s="70" t="str">
        <f t="shared" si="76"/>
        <v>---</v>
      </c>
      <c r="AD541" s="70" t="str">
        <f>IFERROR(P541/#REF!-1,"---")</f>
        <v>---</v>
      </c>
      <c r="AE541" s="70" t="str">
        <f>IFERROR(#REF!/#REF!-1,"---")</f>
        <v>---</v>
      </c>
      <c r="AF541" s="70" t="str">
        <f>IFERROR(Q541/#REF!-1,"---")</f>
        <v>---</v>
      </c>
      <c r="AG541" s="70" t="str">
        <f>IFERROR(#REF!/#REF!-1,"---")</f>
        <v>---</v>
      </c>
      <c r="AH541" s="70" t="str">
        <f>IFERROR(#REF!/AA541-1,"---")</f>
        <v>---</v>
      </c>
      <c r="AI541" s="71" t="str">
        <f t="shared" si="77"/>
        <v>---</v>
      </c>
    </row>
    <row r="542" spans="1:35" ht="30" customHeight="1" x14ac:dyDescent="0.3">
      <c r="A542" s="123">
        <f t="shared" si="70"/>
        <v>538</v>
      </c>
      <c r="B542" s="140">
        <f>INDEX('PEER GROUP'!B:B,MATCH($A542,'PEER GROUP'!$A:$A,0))</f>
        <v>0</v>
      </c>
      <c r="C542" s="83">
        <f>INDEX('PEER GROUP'!C:C,MATCH($A542,'PEER GROUP'!$A:$A,0))</f>
        <v>0</v>
      </c>
      <c r="D542" s="83">
        <f>INDEX('PEER GROUP'!D:D,MATCH($A542,'PEER GROUP'!$A:$A,0))</f>
        <v>0</v>
      </c>
      <c r="E542" s="83">
        <f>INDEX('PEER GROUP'!E:E,MATCH(A542,'PEER GROUP'!$A:$A,0))</f>
        <v>0</v>
      </c>
      <c r="F542" s="84">
        <f>INDEX('PEER GROUP'!F:F,MATCH($A542,'PEER GROUP'!$A:$A,0))</f>
        <v>0</v>
      </c>
      <c r="G542" s="84">
        <f>INDEX('PEER GROUP'!G:G,MATCH($A542,'PEER GROUP'!$A:$A,0))</f>
        <v>0</v>
      </c>
      <c r="H542" s="85"/>
      <c r="I542" s="85"/>
      <c r="J542" s="70">
        <f>INDEX('PEER GROUP'!K:K,MATCH($A542,'PEER GROUP'!$A:$A,0))</f>
        <v>0</v>
      </c>
      <c r="K542" s="70">
        <f>INDEX('PEER GROUP'!L:L,MATCH($A542,'PEER GROUP'!$A:$A,0))</f>
        <v>0</v>
      </c>
      <c r="L542" s="81">
        <f>INDEX('PEER GROUP'!N:N,MATCH($A542,'PEER GROUP'!$A:$A,0))</f>
        <v>0</v>
      </c>
      <c r="M542" s="118"/>
      <c r="N542" s="115"/>
      <c r="O542" s="117"/>
      <c r="P542" s="87"/>
      <c r="Q542" s="87"/>
      <c r="R542" s="87">
        <f t="shared" si="71"/>
        <v>0</v>
      </c>
      <c r="S542" s="113">
        <f t="shared" si="69"/>
        <v>36.913096727263202</v>
      </c>
      <c r="T542" s="69">
        <f t="shared" si="72"/>
        <v>0</v>
      </c>
      <c r="U542" s="70">
        <f t="shared" si="73"/>
        <v>0</v>
      </c>
      <c r="V542" s="70">
        <f t="shared" si="74"/>
        <v>0</v>
      </c>
      <c r="W542" s="71">
        <f t="shared" si="75"/>
        <v>0</v>
      </c>
      <c r="X542" s="49"/>
      <c r="Y542" s="151"/>
      <c r="Z542" s="69"/>
      <c r="AA542" s="70"/>
      <c r="AB542" s="70"/>
      <c r="AC542" s="70" t="str">
        <f t="shared" si="76"/>
        <v>---</v>
      </c>
      <c r="AD542" s="70" t="str">
        <f>IFERROR(P542/#REF!-1,"---")</f>
        <v>---</v>
      </c>
      <c r="AE542" s="70" t="str">
        <f>IFERROR(#REF!/#REF!-1,"---")</f>
        <v>---</v>
      </c>
      <c r="AF542" s="70" t="str">
        <f>IFERROR(Q542/#REF!-1,"---")</f>
        <v>---</v>
      </c>
      <c r="AG542" s="70" t="str">
        <f>IFERROR(#REF!/#REF!-1,"---")</f>
        <v>---</v>
      </c>
      <c r="AH542" s="70" t="str">
        <f>IFERROR(#REF!/AA542-1,"---")</f>
        <v>---</v>
      </c>
      <c r="AI542" s="71" t="str">
        <f t="shared" si="77"/>
        <v>---</v>
      </c>
    </row>
    <row r="543" spans="1:35" ht="30" customHeight="1" x14ac:dyDescent="0.3">
      <c r="A543" s="123">
        <f t="shared" si="70"/>
        <v>539</v>
      </c>
      <c r="B543" s="140">
        <f>INDEX('PEER GROUP'!B:B,MATCH($A543,'PEER GROUP'!$A:$A,0))</f>
        <v>0</v>
      </c>
      <c r="C543" s="83">
        <f>INDEX('PEER GROUP'!C:C,MATCH($A543,'PEER GROUP'!$A:$A,0))</f>
        <v>0</v>
      </c>
      <c r="D543" s="83">
        <f>INDEX('PEER GROUP'!D:D,MATCH($A543,'PEER GROUP'!$A:$A,0))</f>
        <v>0</v>
      </c>
      <c r="E543" s="83">
        <f>INDEX('PEER GROUP'!E:E,MATCH(A543,'PEER GROUP'!$A:$A,0))</f>
        <v>0</v>
      </c>
      <c r="F543" s="84">
        <f>INDEX('PEER GROUP'!F:F,MATCH($A543,'PEER GROUP'!$A:$A,0))</f>
        <v>0</v>
      </c>
      <c r="G543" s="84">
        <f>INDEX('PEER GROUP'!G:G,MATCH($A543,'PEER GROUP'!$A:$A,0))</f>
        <v>0</v>
      </c>
      <c r="H543" s="85"/>
      <c r="I543" s="85"/>
      <c r="J543" s="70">
        <f>INDEX('PEER GROUP'!K:K,MATCH($A543,'PEER GROUP'!$A:$A,0))</f>
        <v>0</v>
      </c>
      <c r="K543" s="70">
        <f>INDEX('PEER GROUP'!L:L,MATCH($A543,'PEER GROUP'!$A:$A,0))</f>
        <v>0</v>
      </c>
      <c r="L543" s="81">
        <f>INDEX('PEER GROUP'!N:N,MATCH($A543,'PEER GROUP'!$A:$A,0))</f>
        <v>0</v>
      </c>
      <c r="M543" s="118"/>
      <c r="N543" s="115"/>
      <c r="O543" s="117"/>
      <c r="P543" s="87"/>
      <c r="Q543" s="87"/>
      <c r="R543" s="87">
        <f t="shared" si="71"/>
        <v>0</v>
      </c>
      <c r="S543" s="113">
        <f t="shared" si="69"/>
        <v>36.913096727263202</v>
      </c>
      <c r="T543" s="69">
        <f t="shared" si="72"/>
        <v>0</v>
      </c>
      <c r="U543" s="70">
        <f t="shared" si="73"/>
        <v>0</v>
      </c>
      <c r="V543" s="70">
        <f t="shared" si="74"/>
        <v>0</v>
      </c>
      <c r="W543" s="71">
        <f t="shared" si="75"/>
        <v>0</v>
      </c>
      <c r="X543" s="49"/>
      <c r="Y543" s="151"/>
      <c r="Z543" s="69"/>
      <c r="AA543" s="70"/>
      <c r="AB543" s="70"/>
      <c r="AC543" s="70" t="str">
        <f t="shared" si="76"/>
        <v>---</v>
      </c>
      <c r="AD543" s="70" t="str">
        <f>IFERROR(P543/#REF!-1,"---")</f>
        <v>---</v>
      </c>
      <c r="AE543" s="70" t="str">
        <f>IFERROR(#REF!/#REF!-1,"---")</f>
        <v>---</v>
      </c>
      <c r="AF543" s="70" t="str">
        <f>IFERROR(Q543/#REF!-1,"---")</f>
        <v>---</v>
      </c>
      <c r="AG543" s="70" t="str">
        <f>IFERROR(#REF!/#REF!-1,"---")</f>
        <v>---</v>
      </c>
      <c r="AH543" s="70" t="str">
        <f>IFERROR(#REF!/AA543-1,"---")</f>
        <v>---</v>
      </c>
      <c r="AI543" s="71" t="str">
        <f t="shared" si="77"/>
        <v>---</v>
      </c>
    </row>
    <row r="544" spans="1:35" ht="30" customHeight="1" x14ac:dyDescent="0.3">
      <c r="A544" s="123">
        <f t="shared" si="70"/>
        <v>540</v>
      </c>
      <c r="B544" s="140">
        <f>INDEX('PEER GROUP'!B:B,MATCH($A544,'PEER GROUP'!$A:$A,0))</f>
        <v>0</v>
      </c>
      <c r="C544" s="83">
        <f>INDEX('PEER GROUP'!C:C,MATCH($A544,'PEER GROUP'!$A:$A,0))</f>
        <v>0</v>
      </c>
      <c r="D544" s="83">
        <f>INDEX('PEER GROUP'!D:D,MATCH($A544,'PEER GROUP'!$A:$A,0))</f>
        <v>0</v>
      </c>
      <c r="E544" s="83">
        <f>INDEX('PEER GROUP'!E:E,MATCH(A544,'PEER GROUP'!$A:$A,0))</f>
        <v>0</v>
      </c>
      <c r="F544" s="84">
        <f>INDEX('PEER GROUP'!F:F,MATCH($A544,'PEER GROUP'!$A:$A,0))</f>
        <v>0</v>
      </c>
      <c r="G544" s="84">
        <f>INDEX('PEER GROUP'!G:G,MATCH($A544,'PEER GROUP'!$A:$A,0))</f>
        <v>0</v>
      </c>
      <c r="H544" s="85"/>
      <c r="I544" s="85"/>
      <c r="J544" s="70">
        <f>INDEX('PEER GROUP'!K:K,MATCH($A544,'PEER GROUP'!$A:$A,0))</f>
        <v>0</v>
      </c>
      <c r="K544" s="70">
        <f>INDEX('PEER GROUP'!L:L,MATCH($A544,'PEER GROUP'!$A:$A,0))</f>
        <v>0</v>
      </c>
      <c r="L544" s="81">
        <f>INDEX('PEER GROUP'!N:N,MATCH($A544,'PEER GROUP'!$A:$A,0))</f>
        <v>0</v>
      </c>
      <c r="M544" s="118"/>
      <c r="N544" s="115"/>
      <c r="O544" s="117"/>
      <c r="P544" s="87"/>
      <c r="Q544" s="87"/>
      <c r="R544" s="87">
        <f t="shared" si="71"/>
        <v>0</v>
      </c>
      <c r="S544" s="113">
        <f t="shared" si="69"/>
        <v>36.913096727263202</v>
      </c>
      <c r="T544" s="69">
        <f t="shared" si="72"/>
        <v>0</v>
      </c>
      <c r="U544" s="70">
        <f t="shared" si="73"/>
        <v>0</v>
      </c>
      <c r="V544" s="70">
        <f t="shared" si="74"/>
        <v>0</v>
      </c>
      <c r="W544" s="71">
        <f t="shared" si="75"/>
        <v>0</v>
      </c>
      <c r="X544" s="49"/>
      <c r="Y544" s="151"/>
      <c r="Z544" s="69"/>
      <c r="AA544" s="70"/>
      <c r="AB544" s="70"/>
      <c r="AC544" s="70" t="str">
        <f t="shared" si="76"/>
        <v>---</v>
      </c>
      <c r="AD544" s="70" t="str">
        <f>IFERROR(P544/#REF!-1,"---")</f>
        <v>---</v>
      </c>
      <c r="AE544" s="70" t="str">
        <f>IFERROR(#REF!/#REF!-1,"---")</f>
        <v>---</v>
      </c>
      <c r="AF544" s="70" t="str">
        <f>IFERROR(Q544/#REF!-1,"---")</f>
        <v>---</v>
      </c>
      <c r="AG544" s="70" t="str">
        <f>IFERROR(#REF!/#REF!-1,"---")</f>
        <v>---</v>
      </c>
      <c r="AH544" s="70" t="str">
        <f>IFERROR(#REF!/AA544-1,"---")</f>
        <v>---</v>
      </c>
      <c r="AI544" s="71" t="str">
        <f t="shared" si="77"/>
        <v>---</v>
      </c>
    </row>
    <row r="545" spans="1:35" ht="30" customHeight="1" x14ac:dyDescent="0.3">
      <c r="A545" s="123">
        <f t="shared" si="70"/>
        <v>541</v>
      </c>
      <c r="B545" s="140">
        <f>INDEX('PEER GROUP'!B:B,MATCH($A545,'PEER GROUP'!$A:$A,0))</f>
        <v>0</v>
      </c>
      <c r="C545" s="83">
        <f>INDEX('PEER GROUP'!C:C,MATCH($A545,'PEER GROUP'!$A:$A,0))</f>
        <v>0</v>
      </c>
      <c r="D545" s="83">
        <f>INDEX('PEER GROUP'!D:D,MATCH($A545,'PEER GROUP'!$A:$A,0))</f>
        <v>0</v>
      </c>
      <c r="E545" s="83">
        <f>INDEX('PEER GROUP'!E:E,MATCH(A545,'PEER GROUP'!$A:$A,0))</f>
        <v>0</v>
      </c>
      <c r="F545" s="84">
        <f>INDEX('PEER GROUP'!F:F,MATCH($A545,'PEER GROUP'!$A:$A,0))</f>
        <v>0</v>
      </c>
      <c r="G545" s="84">
        <f>INDEX('PEER GROUP'!G:G,MATCH($A545,'PEER GROUP'!$A:$A,0))</f>
        <v>0</v>
      </c>
      <c r="H545" s="85"/>
      <c r="I545" s="85"/>
      <c r="J545" s="70">
        <f>INDEX('PEER GROUP'!K:K,MATCH($A545,'PEER GROUP'!$A:$A,0))</f>
        <v>0</v>
      </c>
      <c r="K545" s="70">
        <f>INDEX('PEER GROUP'!L:L,MATCH($A545,'PEER GROUP'!$A:$A,0))</f>
        <v>0</v>
      </c>
      <c r="L545" s="81">
        <f>INDEX('PEER GROUP'!N:N,MATCH($A545,'PEER GROUP'!$A:$A,0))</f>
        <v>0</v>
      </c>
      <c r="M545" s="118"/>
      <c r="N545" s="115"/>
      <c r="O545" s="117"/>
      <c r="P545" s="87"/>
      <c r="Q545" s="87"/>
      <c r="R545" s="87">
        <f t="shared" si="71"/>
        <v>0</v>
      </c>
      <c r="S545" s="113">
        <f t="shared" si="69"/>
        <v>36.913096727263202</v>
      </c>
      <c r="T545" s="69">
        <f t="shared" si="72"/>
        <v>0</v>
      </c>
      <c r="U545" s="70">
        <f t="shared" si="73"/>
        <v>0</v>
      </c>
      <c r="V545" s="70">
        <f t="shared" si="74"/>
        <v>0</v>
      </c>
      <c r="W545" s="71">
        <f t="shared" si="75"/>
        <v>0</v>
      </c>
      <c r="X545" s="49"/>
      <c r="Y545" s="151"/>
      <c r="Z545" s="69"/>
      <c r="AA545" s="70"/>
      <c r="AB545" s="70"/>
      <c r="AC545" s="70" t="str">
        <f t="shared" si="76"/>
        <v>---</v>
      </c>
      <c r="AD545" s="70" t="str">
        <f>IFERROR(P545/#REF!-1,"---")</f>
        <v>---</v>
      </c>
      <c r="AE545" s="70" t="str">
        <f>IFERROR(#REF!/#REF!-1,"---")</f>
        <v>---</v>
      </c>
      <c r="AF545" s="70" t="str">
        <f>IFERROR(Q545/#REF!-1,"---")</f>
        <v>---</v>
      </c>
      <c r="AG545" s="70" t="str">
        <f>IFERROR(#REF!/#REF!-1,"---")</f>
        <v>---</v>
      </c>
      <c r="AH545" s="70" t="str">
        <f>IFERROR(#REF!/AA545-1,"---")</f>
        <v>---</v>
      </c>
      <c r="AI545" s="71" t="str">
        <f t="shared" si="77"/>
        <v>---</v>
      </c>
    </row>
    <row r="546" spans="1:35" ht="30" customHeight="1" x14ac:dyDescent="0.3">
      <c r="A546" s="123">
        <f t="shared" si="70"/>
        <v>542</v>
      </c>
      <c r="B546" s="140">
        <f>INDEX('PEER GROUP'!B:B,MATCH($A546,'PEER GROUP'!$A:$A,0))</f>
        <v>0</v>
      </c>
      <c r="C546" s="83">
        <f>INDEX('PEER GROUP'!C:C,MATCH($A546,'PEER GROUP'!$A:$A,0))</f>
        <v>0</v>
      </c>
      <c r="D546" s="83">
        <f>INDEX('PEER GROUP'!D:D,MATCH($A546,'PEER GROUP'!$A:$A,0))</f>
        <v>0</v>
      </c>
      <c r="E546" s="83">
        <f>INDEX('PEER GROUP'!E:E,MATCH(A546,'PEER GROUP'!$A:$A,0))</f>
        <v>0</v>
      </c>
      <c r="F546" s="84">
        <f>INDEX('PEER GROUP'!F:F,MATCH($A546,'PEER GROUP'!$A:$A,0))</f>
        <v>0</v>
      </c>
      <c r="G546" s="84">
        <f>INDEX('PEER GROUP'!G:G,MATCH($A546,'PEER GROUP'!$A:$A,0))</f>
        <v>0</v>
      </c>
      <c r="H546" s="85"/>
      <c r="I546" s="85"/>
      <c r="J546" s="70">
        <f>INDEX('PEER GROUP'!K:K,MATCH($A546,'PEER GROUP'!$A:$A,0))</f>
        <v>0</v>
      </c>
      <c r="K546" s="70">
        <f>INDEX('PEER GROUP'!L:L,MATCH($A546,'PEER GROUP'!$A:$A,0))</f>
        <v>0</v>
      </c>
      <c r="L546" s="81">
        <f>INDEX('PEER GROUP'!N:N,MATCH($A546,'PEER GROUP'!$A:$A,0))</f>
        <v>0</v>
      </c>
      <c r="M546" s="118"/>
      <c r="N546" s="115"/>
      <c r="O546" s="117"/>
      <c r="P546" s="87"/>
      <c r="Q546" s="87"/>
      <c r="R546" s="87">
        <f t="shared" si="71"/>
        <v>0</v>
      </c>
      <c r="S546" s="113">
        <f t="shared" si="69"/>
        <v>36.913096727263202</v>
      </c>
      <c r="T546" s="69">
        <f t="shared" si="72"/>
        <v>0</v>
      </c>
      <c r="U546" s="70">
        <f t="shared" si="73"/>
        <v>0</v>
      </c>
      <c r="V546" s="70">
        <f t="shared" si="74"/>
        <v>0</v>
      </c>
      <c r="W546" s="71">
        <f t="shared" si="75"/>
        <v>0</v>
      </c>
      <c r="X546" s="49"/>
      <c r="Y546" s="151"/>
      <c r="Z546" s="69"/>
      <c r="AA546" s="70"/>
      <c r="AB546" s="70"/>
      <c r="AC546" s="70" t="str">
        <f t="shared" si="76"/>
        <v>---</v>
      </c>
      <c r="AD546" s="70" t="str">
        <f>IFERROR(P546/#REF!-1,"---")</f>
        <v>---</v>
      </c>
      <c r="AE546" s="70" t="str">
        <f>IFERROR(#REF!/#REF!-1,"---")</f>
        <v>---</v>
      </c>
      <c r="AF546" s="70" t="str">
        <f>IFERROR(Q546/#REF!-1,"---")</f>
        <v>---</v>
      </c>
      <c r="AG546" s="70" t="str">
        <f>IFERROR(#REF!/#REF!-1,"---")</f>
        <v>---</v>
      </c>
      <c r="AH546" s="70" t="str">
        <f>IFERROR(#REF!/AA546-1,"---")</f>
        <v>---</v>
      </c>
      <c r="AI546" s="71" t="str">
        <f t="shared" si="77"/>
        <v>---</v>
      </c>
    </row>
    <row r="547" spans="1:35" ht="30" customHeight="1" x14ac:dyDescent="0.3">
      <c r="A547" s="123">
        <f t="shared" si="70"/>
        <v>543</v>
      </c>
      <c r="B547" s="140">
        <f>INDEX('PEER GROUP'!B:B,MATCH($A547,'PEER GROUP'!$A:$A,0))</f>
        <v>0</v>
      </c>
      <c r="C547" s="83">
        <f>INDEX('PEER GROUP'!C:C,MATCH($A547,'PEER GROUP'!$A:$A,0))</f>
        <v>0</v>
      </c>
      <c r="D547" s="83">
        <f>INDEX('PEER GROUP'!D:D,MATCH($A547,'PEER GROUP'!$A:$A,0))</f>
        <v>0</v>
      </c>
      <c r="E547" s="83">
        <f>INDEX('PEER GROUP'!E:E,MATCH(A547,'PEER GROUP'!$A:$A,0))</f>
        <v>0</v>
      </c>
      <c r="F547" s="84">
        <f>INDEX('PEER GROUP'!F:F,MATCH($A547,'PEER GROUP'!$A:$A,0))</f>
        <v>0</v>
      </c>
      <c r="G547" s="84">
        <f>INDEX('PEER GROUP'!G:G,MATCH($A547,'PEER GROUP'!$A:$A,0))</f>
        <v>0</v>
      </c>
      <c r="H547" s="85"/>
      <c r="I547" s="85"/>
      <c r="J547" s="70">
        <f>INDEX('PEER GROUP'!K:K,MATCH($A547,'PEER GROUP'!$A:$A,0))</f>
        <v>0</v>
      </c>
      <c r="K547" s="70">
        <f>INDEX('PEER GROUP'!L:L,MATCH($A547,'PEER GROUP'!$A:$A,0))</f>
        <v>0</v>
      </c>
      <c r="L547" s="81">
        <f>INDEX('PEER GROUP'!N:N,MATCH($A547,'PEER GROUP'!$A:$A,0))</f>
        <v>0</v>
      </c>
      <c r="M547" s="118"/>
      <c r="N547" s="115"/>
      <c r="O547" s="117"/>
      <c r="P547" s="87"/>
      <c r="Q547" s="87"/>
      <c r="R547" s="87">
        <f t="shared" si="71"/>
        <v>0</v>
      </c>
      <c r="S547" s="113">
        <f t="shared" ref="S547:S610" si="78">IF(DataEffDate&gt;DATE(2022,1,1),
IF(E547&lt;DATE(2022,1,1),
(1+UpdateFactor)^(IF(E547&lt;DataEffDate,1,-1)*YEARFRAC(E547,DATE(2022,1,1),1))+(1+UpdateFactor_TEMP)^(IF(DATE(2022,1,1)&lt;DataEffDate,1,-1)*YEARFRAC(DATE(2022,1,1),DataEffDate,1))-1,
(1+UpdateFactor_TEMP)^(IF(E547&lt;DataEffDate,1,-1)*YEARFRAC(E547,DataEffDate,1))),
(1+UpdateFactor)^(IF(E547&lt;DataEffDate,1,-1)*YEARFRAC(E547,DataEffDate,1)))</f>
        <v>36.913096727263202</v>
      </c>
      <c r="T547" s="69">
        <f t="shared" si="72"/>
        <v>0</v>
      </c>
      <c r="U547" s="70">
        <f t="shared" si="73"/>
        <v>0</v>
      </c>
      <c r="V547" s="70">
        <f t="shared" si="74"/>
        <v>0</v>
      </c>
      <c r="W547" s="71">
        <f t="shared" si="75"/>
        <v>0</v>
      </c>
      <c r="X547" s="49"/>
      <c r="Y547" s="151"/>
      <c r="Z547" s="69"/>
      <c r="AA547" s="70"/>
      <c r="AB547" s="70"/>
      <c r="AC547" s="70" t="str">
        <f t="shared" si="76"/>
        <v>---</v>
      </c>
      <c r="AD547" s="70" t="str">
        <f>IFERROR(P547/#REF!-1,"---")</f>
        <v>---</v>
      </c>
      <c r="AE547" s="70" t="str">
        <f>IFERROR(#REF!/#REF!-1,"---")</f>
        <v>---</v>
      </c>
      <c r="AF547" s="70" t="str">
        <f>IFERROR(Q547/#REF!-1,"---")</f>
        <v>---</v>
      </c>
      <c r="AG547" s="70" t="str">
        <f>IFERROR(#REF!/#REF!-1,"---")</f>
        <v>---</v>
      </c>
      <c r="AH547" s="70" t="str">
        <f>IFERROR(#REF!/AA547-1,"---")</f>
        <v>---</v>
      </c>
      <c r="AI547" s="71" t="str">
        <f t="shared" si="77"/>
        <v>---</v>
      </c>
    </row>
    <row r="548" spans="1:35" ht="30" customHeight="1" x14ac:dyDescent="0.3">
      <c r="A548" s="123">
        <f t="shared" ref="A548:A611" si="79">A547+1</f>
        <v>544</v>
      </c>
      <c r="B548" s="140">
        <f>INDEX('PEER GROUP'!B:B,MATCH($A548,'PEER GROUP'!$A:$A,0))</f>
        <v>0</v>
      </c>
      <c r="C548" s="83">
        <f>INDEX('PEER GROUP'!C:C,MATCH($A548,'PEER GROUP'!$A:$A,0))</f>
        <v>0</v>
      </c>
      <c r="D548" s="83">
        <f>INDEX('PEER GROUP'!D:D,MATCH($A548,'PEER GROUP'!$A:$A,0))</f>
        <v>0</v>
      </c>
      <c r="E548" s="83">
        <f>INDEX('PEER GROUP'!E:E,MATCH(A548,'PEER GROUP'!$A:$A,0))</f>
        <v>0</v>
      </c>
      <c r="F548" s="84">
        <f>INDEX('PEER GROUP'!F:F,MATCH($A548,'PEER GROUP'!$A:$A,0))</f>
        <v>0</v>
      </c>
      <c r="G548" s="84">
        <f>INDEX('PEER GROUP'!G:G,MATCH($A548,'PEER GROUP'!$A:$A,0))</f>
        <v>0</v>
      </c>
      <c r="H548" s="85"/>
      <c r="I548" s="85"/>
      <c r="J548" s="70">
        <f>INDEX('PEER GROUP'!K:K,MATCH($A548,'PEER GROUP'!$A:$A,0))</f>
        <v>0</v>
      </c>
      <c r="K548" s="70">
        <f>INDEX('PEER GROUP'!L:L,MATCH($A548,'PEER GROUP'!$A:$A,0))</f>
        <v>0</v>
      </c>
      <c r="L548" s="81">
        <f>INDEX('PEER GROUP'!N:N,MATCH($A548,'PEER GROUP'!$A:$A,0))</f>
        <v>0</v>
      </c>
      <c r="M548" s="118"/>
      <c r="N548" s="115"/>
      <c r="O548" s="117"/>
      <c r="P548" s="87"/>
      <c r="Q548" s="87"/>
      <c r="R548" s="87">
        <f t="shared" ref="R548:R611" si="80">SUM(O548:Q548)</f>
        <v>0</v>
      </c>
      <c r="S548" s="113">
        <f t="shared" si="78"/>
        <v>36.913096727263202</v>
      </c>
      <c r="T548" s="69">
        <f t="shared" ref="T548:T611" si="81">O548*$S548</f>
        <v>0</v>
      </c>
      <c r="U548" s="70">
        <f t="shared" ref="U548:U611" si="82">P548*$S548</f>
        <v>0</v>
      </c>
      <c r="V548" s="70">
        <f t="shared" ref="V548:V611" si="83">Q548*$S548</f>
        <v>0</v>
      </c>
      <c r="W548" s="71">
        <f t="shared" ref="W548:W611" si="84">SUM(T548:V548)</f>
        <v>0</v>
      </c>
      <c r="X548" s="49"/>
      <c r="Y548" s="151"/>
      <c r="Z548" s="69"/>
      <c r="AA548" s="70"/>
      <c r="AB548" s="70"/>
      <c r="AC548" s="70" t="str">
        <f t="shared" ref="AC548:AC611" si="85">IFERROR(O548/Z548-1,"---")</f>
        <v>---</v>
      </c>
      <c r="AD548" s="70" t="str">
        <f>IFERROR(P548/#REF!-1,"---")</f>
        <v>---</v>
      </c>
      <c r="AE548" s="70" t="str">
        <f>IFERROR(#REF!/#REF!-1,"---")</f>
        <v>---</v>
      </c>
      <c r="AF548" s="70" t="str">
        <f>IFERROR(Q548/#REF!-1,"---")</f>
        <v>---</v>
      </c>
      <c r="AG548" s="70" t="str">
        <f>IFERROR(#REF!/#REF!-1,"---")</f>
        <v>---</v>
      </c>
      <c r="AH548" s="70" t="str">
        <f>IFERROR(#REF!/AA548-1,"---")</f>
        <v>---</v>
      </c>
      <c r="AI548" s="71" t="str">
        <f t="shared" ref="AI548:AI611" si="86">IFERROR(R548/AB548-1,"---")</f>
        <v>---</v>
      </c>
    </row>
    <row r="549" spans="1:35" ht="30" customHeight="1" x14ac:dyDescent="0.3">
      <c r="A549" s="123">
        <f t="shared" si="79"/>
        <v>545</v>
      </c>
      <c r="B549" s="140">
        <f>INDEX('PEER GROUP'!B:B,MATCH($A549,'PEER GROUP'!$A:$A,0))</f>
        <v>0</v>
      </c>
      <c r="C549" s="83">
        <f>INDEX('PEER GROUP'!C:C,MATCH($A549,'PEER GROUP'!$A:$A,0))</f>
        <v>0</v>
      </c>
      <c r="D549" s="83">
        <f>INDEX('PEER GROUP'!D:D,MATCH($A549,'PEER GROUP'!$A:$A,0))</f>
        <v>0</v>
      </c>
      <c r="E549" s="83">
        <f>INDEX('PEER GROUP'!E:E,MATCH(A549,'PEER GROUP'!$A:$A,0))</f>
        <v>0</v>
      </c>
      <c r="F549" s="84">
        <f>INDEX('PEER GROUP'!F:F,MATCH($A549,'PEER GROUP'!$A:$A,0))</f>
        <v>0</v>
      </c>
      <c r="G549" s="84">
        <f>INDEX('PEER GROUP'!G:G,MATCH($A549,'PEER GROUP'!$A:$A,0))</f>
        <v>0</v>
      </c>
      <c r="H549" s="85"/>
      <c r="I549" s="85"/>
      <c r="J549" s="70">
        <f>INDEX('PEER GROUP'!K:K,MATCH($A549,'PEER GROUP'!$A:$A,0))</f>
        <v>0</v>
      </c>
      <c r="K549" s="70">
        <f>INDEX('PEER GROUP'!L:L,MATCH($A549,'PEER GROUP'!$A:$A,0))</f>
        <v>0</v>
      </c>
      <c r="L549" s="81">
        <f>INDEX('PEER GROUP'!N:N,MATCH($A549,'PEER GROUP'!$A:$A,0))</f>
        <v>0</v>
      </c>
      <c r="M549" s="118"/>
      <c r="N549" s="115"/>
      <c r="O549" s="117"/>
      <c r="P549" s="87"/>
      <c r="Q549" s="87"/>
      <c r="R549" s="87">
        <f t="shared" si="80"/>
        <v>0</v>
      </c>
      <c r="S549" s="113">
        <f t="shared" si="78"/>
        <v>36.913096727263202</v>
      </c>
      <c r="T549" s="69">
        <f t="shared" si="81"/>
        <v>0</v>
      </c>
      <c r="U549" s="70">
        <f t="shared" si="82"/>
        <v>0</v>
      </c>
      <c r="V549" s="70">
        <f t="shared" si="83"/>
        <v>0</v>
      </c>
      <c r="W549" s="71">
        <f t="shared" si="84"/>
        <v>0</v>
      </c>
      <c r="X549" s="49"/>
      <c r="Y549" s="151"/>
      <c r="Z549" s="69"/>
      <c r="AA549" s="70"/>
      <c r="AB549" s="70"/>
      <c r="AC549" s="70" t="str">
        <f t="shared" si="85"/>
        <v>---</v>
      </c>
      <c r="AD549" s="70" t="str">
        <f>IFERROR(P549/#REF!-1,"---")</f>
        <v>---</v>
      </c>
      <c r="AE549" s="70" t="str">
        <f>IFERROR(#REF!/#REF!-1,"---")</f>
        <v>---</v>
      </c>
      <c r="AF549" s="70" t="str">
        <f>IFERROR(Q549/#REF!-1,"---")</f>
        <v>---</v>
      </c>
      <c r="AG549" s="70" t="str">
        <f>IFERROR(#REF!/#REF!-1,"---")</f>
        <v>---</v>
      </c>
      <c r="AH549" s="70" t="str">
        <f>IFERROR(#REF!/AA549-1,"---")</f>
        <v>---</v>
      </c>
      <c r="AI549" s="71" t="str">
        <f t="shared" si="86"/>
        <v>---</v>
      </c>
    </row>
    <row r="550" spans="1:35" ht="30" customHeight="1" x14ac:dyDescent="0.3">
      <c r="A550" s="123">
        <f t="shared" si="79"/>
        <v>546</v>
      </c>
      <c r="B550" s="140">
        <f>INDEX('PEER GROUP'!B:B,MATCH($A550,'PEER GROUP'!$A:$A,0))</f>
        <v>0</v>
      </c>
      <c r="C550" s="83">
        <f>INDEX('PEER GROUP'!C:C,MATCH($A550,'PEER GROUP'!$A:$A,0))</f>
        <v>0</v>
      </c>
      <c r="D550" s="83">
        <f>INDEX('PEER GROUP'!D:D,MATCH($A550,'PEER GROUP'!$A:$A,0))</f>
        <v>0</v>
      </c>
      <c r="E550" s="83">
        <f>INDEX('PEER GROUP'!E:E,MATCH(A550,'PEER GROUP'!$A:$A,0))</f>
        <v>0</v>
      </c>
      <c r="F550" s="84">
        <f>INDEX('PEER GROUP'!F:F,MATCH($A550,'PEER GROUP'!$A:$A,0))</f>
        <v>0</v>
      </c>
      <c r="G550" s="84">
        <f>INDEX('PEER GROUP'!G:G,MATCH($A550,'PEER GROUP'!$A:$A,0))</f>
        <v>0</v>
      </c>
      <c r="H550" s="85"/>
      <c r="I550" s="85"/>
      <c r="J550" s="70">
        <f>INDEX('PEER GROUP'!K:K,MATCH($A550,'PEER GROUP'!$A:$A,0))</f>
        <v>0</v>
      </c>
      <c r="K550" s="70">
        <f>INDEX('PEER GROUP'!L:L,MATCH($A550,'PEER GROUP'!$A:$A,0))</f>
        <v>0</v>
      </c>
      <c r="L550" s="81">
        <f>INDEX('PEER GROUP'!N:N,MATCH($A550,'PEER GROUP'!$A:$A,0))</f>
        <v>0</v>
      </c>
      <c r="M550" s="118"/>
      <c r="N550" s="115"/>
      <c r="O550" s="117"/>
      <c r="P550" s="87"/>
      <c r="Q550" s="87"/>
      <c r="R550" s="87">
        <f t="shared" si="80"/>
        <v>0</v>
      </c>
      <c r="S550" s="113">
        <f t="shared" si="78"/>
        <v>36.913096727263202</v>
      </c>
      <c r="T550" s="69">
        <f t="shared" si="81"/>
        <v>0</v>
      </c>
      <c r="U550" s="70">
        <f t="shared" si="82"/>
        <v>0</v>
      </c>
      <c r="V550" s="70">
        <f t="shared" si="83"/>
        <v>0</v>
      </c>
      <c r="W550" s="71">
        <f t="shared" si="84"/>
        <v>0</v>
      </c>
      <c r="X550" s="49"/>
      <c r="Y550" s="151"/>
      <c r="Z550" s="69"/>
      <c r="AA550" s="70"/>
      <c r="AB550" s="70"/>
      <c r="AC550" s="70" t="str">
        <f t="shared" si="85"/>
        <v>---</v>
      </c>
      <c r="AD550" s="70" t="str">
        <f>IFERROR(P550/#REF!-1,"---")</f>
        <v>---</v>
      </c>
      <c r="AE550" s="70" t="str">
        <f>IFERROR(#REF!/#REF!-1,"---")</f>
        <v>---</v>
      </c>
      <c r="AF550" s="70" t="str">
        <f>IFERROR(Q550/#REF!-1,"---")</f>
        <v>---</v>
      </c>
      <c r="AG550" s="70" t="str">
        <f>IFERROR(#REF!/#REF!-1,"---")</f>
        <v>---</v>
      </c>
      <c r="AH550" s="70" t="str">
        <f>IFERROR(#REF!/AA550-1,"---")</f>
        <v>---</v>
      </c>
      <c r="AI550" s="71" t="str">
        <f t="shared" si="86"/>
        <v>---</v>
      </c>
    </row>
    <row r="551" spans="1:35" ht="30" customHeight="1" x14ac:dyDescent="0.3">
      <c r="A551" s="123">
        <f t="shared" si="79"/>
        <v>547</v>
      </c>
      <c r="B551" s="140">
        <f>INDEX('PEER GROUP'!B:B,MATCH($A551,'PEER GROUP'!$A:$A,0))</f>
        <v>0</v>
      </c>
      <c r="C551" s="83">
        <f>INDEX('PEER GROUP'!C:C,MATCH($A551,'PEER GROUP'!$A:$A,0))</f>
        <v>0</v>
      </c>
      <c r="D551" s="83">
        <f>INDEX('PEER GROUP'!D:D,MATCH($A551,'PEER GROUP'!$A:$A,0))</f>
        <v>0</v>
      </c>
      <c r="E551" s="83">
        <f>INDEX('PEER GROUP'!E:E,MATCH(A551,'PEER GROUP'!$A:$A,0))</f>
        <v>0</v>
      </c>
      <c r="F551" s="84">
        <f>INDEX('PEER GROUP'!F:F,MATCH($A551,'PEER GROUP'!$A:$A,0))</f>
        <v>0</v>
      </c>
      <c r="G551" s="84">
        <f>INDEX('PEER GROUP'!G:G,MATCH($A551,'PEER GROUP'!$A:$A,0))</f>
        <v>0</v>
      </c>
      <c r="H551" s="85"/>
      <c r="I551" s="85"/>
      <c r="J551" s="70">
        <f>INDEX('PEER GROUP'!K:K,MATCH($A551,'PEER GROUP'!$A:$A,0))</f>
        <v>0</v>
      </c>
      <c r="K551" s="70">
        <f>INDEX('PEER GROUP'!L:L,MATCH($A551,'PEER GROUP'!$A:$A,0))</f>
        <v>0</v>
      </c>
      <c r="L551" s="81">
        <f>INDEX('PEER GROUP'!N:N,MATCH($A551,'PEER GROUP'!$A:$A,0))</f>
        <v>0</v>
      </c>
      <c r="M551" s="118"/>
      <c r="N551" s="115"/>
      <c r="O551" s="117"/>
      <c r="P551" s="87"/>
      <c r="Q551" s="87"/>
      <c r="R551" s="87">
        <f t="shared" si="80"/>
        <v>0</v>
      </c>
      <c r="S551" s="113">
        <f t="shared" si="78"/>
        <v>36.913096727263202</v>
      </c>
      <c r="T551" s="69">
        <f t="shared" si="81"/>
        <v>0</v>
      </c>
      <c r="U551" s="70">
        <f t="shared" si="82"/>
        <v>0</v>
      </c>
      <c r="V551" s="70">
        <f t="shared" si="83"/>
        <v>0</v>
      </c>
      <c r="W551" s="71">
        <f t="shared" si="84"/>
        <v>0</v>
      </c>
      <c r="X551" s="49"/>
      <c r="Y551" s="151"/>
      <c r="Z551" s="69"/>
      <c r="AA551" s="70"/>
      <c r="AB551" s="70"/>
      <c r="AC551" s="70" t="str">
        <f t="shared" si="85"/>
        <v>---</v>
      </c>
      <c r="AD551" s="70" t="str">
        <f>IFERROR(P551/#REF!-1,"---")</f>
        <v>---</v>
      </c>
      <c r="AE551" s="70" t="str">
        <f>IFERROR(#REF!/#REF!-1,"---")</f>
        <v>---</v>
      </c>
      <c r="AF551" s="70" t="str">
        <f>IFERROR(Q551/#REF!-1,"---")</f>
        <v>---</v>
      </c>
      <c r="AG551" s="70" t="str">
        <f>IFERROR(#REF!/#REF!-1,"---")</f>
        <v>---</v>
      </c>
      <c r="AH551" s="70" t="str">
        <f>IFERROR(#REF!/AA551-1,"---")</f>
        <v>---</v>
      </c>
      <c r="AI551" s="71" t="str">
        <f t="shared" si="86"/>
        <v>---</v>
      </c>
    </row>
    <row r="552" spans="1:35" ht="30" customHeight="1" x14ac:dyDescent="0.3">
      <c r="A552" s="123">
        <f t="shared" si="79"/>
        <v>548</v>
      </c>
      <c r="B552" s="140">
        <f>INDEX('PEER GROUP'!B:B,MATCH($A552,'PEER GROUP'!$A:$A,0))</f>
        <v>0</v>
      </c>
      <c r="C552" s="83">
        <f>INDEX('PEER GROUP'!C:C,MATCH($A552,'PEER GROUP'!$A:$A,0))</f>
        <v>0</v>
      </c>
      <c r="D552" s="83">
        <f>INDEX('PEER GROUP'!D:D,MATCH($A552,'PEER GROUP'!$A:$A,0))</f>
        <v>0</v>
      </c>
      <c r="E552" s="83">
        <f>INDEX('PEER GROUP'!E:E,MATCH(A552,'PEER GROUP'!$A:$A,0))</f>
        <v>0</v>
      </c>
      <c r="F552" s="84">
        <f>INDEX('PEER GROUP'!F:F,MATCH($A552,'PEER GROUP'!$A:$A,0))</f>
        <v>0</v>
      </c>
      <c r="G552" s="84">
        <f>INDEX('PEER GROUP'!G:G,MATCH($A552,'PEER GROUP'!$A:$A,0))</f>
        <v>0</v>
      </c>
      <c r="H552" s="85"/>
      <c r="I552" s="85"/>
      <c r="J552" s="70">
        <f>INDEX('PEER GROUP'!K:K,MATCH($A552,'PEER GROUP'!$A:$A,0))</f>
        <v>0</v>
      </c>
      <c r="K552" s="70">
        <f>INDEX('PEER GROUP'!L:L,MATCH($A552,'PEER GROUP'!$A:$A,0))</f>
        <v>0</v>
      </c>
      <c r="L552" s="81">
        <f>INDEX('PEER GROUP'!N:N,MATCH($A552,'PEER GROUP'!$A:$A,0))</f>
        <v>0</v>
      </c>
      <c r="M552" s="118"/>
      <c r="N552" s="115"/>
      <c r="O552" s="117"/>
      <c r="P552" s="87"/>
      <c r="Q552" s="87"/>
      <c r="R552" s="87">
        <f t="shared" si="80"/>
        <v>0</v>
      </c>
      <c r="S552" s="113">
        <f t="shared" si="78"/>
        <v>36.913096727263202</v>
      </c>
      <c r="T552" s="69">
        <f t="shared" si="81"/>
        <v>0</v>
      </c>
      <c r="U552" s="70">
        <f t="shared" si="82"/>
        <v>0</v>
      </c>
      <c r="V552" s="70">
        <f t="shared" si="83"/>
        <v>0</v>
      </c>
      <c r="W552" s="71">
        <f t="shared" si="84"/>
        <v>0</v>
      </c>
      <c r="X552" s="49"/>
      <c r="Y552" s="151"/>
      <c r="Z552" s="69"/>
      <c r="AA552" s="70"/>
      <c r="AB552" s="70"/>
      <c r="AC552" s="70" t="str">
        <f t="shared" si="85"/>
        <v>---</v>
      </c>
      <c r="AD552" s="70" t="str">
        <f>IFERROR(P552/#REF!-1,"---")</f>
        <v>---</v>
      </c>
      <c r="AE552" s="70" t="str">
        <f>IFERROR(#REF!/#REF!-1,"---")</f>
        <v>---</v>
      </c>
      <c r="AF552" s="70" t="str">
        <f>IFERROR(Q552/#REF!-1,"---")</f>
        <v>---</v>
      </c>
      <c r="AG552" s="70" t="str">
        <f>IFERROR(#REF!/#REF!-1,"---")</f>
        <v>---</v>
      </c>
      <c r="AH552" s="70" t="str">
        <f>IFERROR(#REF!/AA552-1,"---")</f>
        <v>---</v>
      </c>
      <c r="AI552" s="71" t="str">
        <f t="shared" si="86"/>
        <v>---</v>
      </c>
    </row>
    <row r="553" spans="1:35" ht="30" customHeight="1" x14ac:dyDescent="0.3">
      <c r="A553" s="123">
        <f t="shared" si="79"/>
        <v>549</v>
      </c>
      <c r="B553" s="140">
        <f>INDEX('PEER GROUP'!B:B,MATCH($A553,'PEER GROUP'!$A:$A,0))</f>
        <v>0</v>
      </c>
      <c r="C553" s="83">
        <f>INDEX('PEER GROUP'!C:C,MATCH($A553,'PEER GROUP'!$A:$A,0))</f>
        <v>0</v>
      </c>
      <c r="D553" s="83">
        <f>INDEX('PEER GROUP'!D:D,MATCH($A553,'PEER GROUP'!$A:$A,0))</f>
        <v>0</v>
      </c>
      <c r="E553" s="83">
        <f>INDEX('PEER GROUP'!E:E,MATCH(A553,'PEER GROUP'!$A:$A,0))</f>
        <v>0</v>
      </c>
      <c r="F553" s="84">
        <f>INDEX('PEER GROUP'!F:F,MATCH($A553,'PEER GROUP'!$A:$A,0))</f>
        <v>0</v>
      </c>
      <c r="G553" s="84">
        <f>INDEX('PEER GROUP'!G:G,MATCH($A553,'PEER GROUP'!$A:$A,0))</f>
        <v>0</v>
      </c>
      <c r="H553" s="85"/>
      <c r="I553" s="85"/>
      <c r="J553" s="70">
        <f>INDEX('PEER GROUP'!K:K,MATCH($A553,'PEER GROUP'!$A:$A,0))</f>
        <v>0</v>
      </c>
      <c r="K553" s="70">
        <f>INDEX('PEER GROUP'!L:L,MATCH($A553,'PEER GROUP'!$A:$A,0))</f>
        <v>0</v>
      </c>
      <c r="L553" s="81">
        <f>INDEX('PEER GROUP'!N:N,MATCH($A553,'PEER GROUP'!$A:$A,0))</f>
        <v>0</v>
      </c>
      <c r="M553" s="118"/>
      <c r="N553" s="115"/>
      <c r="O553" s="117"/>
      <c r="P553" s="87"/>
      <c r="Q553" s="87"/>
      <c r="R553" s="87">
        <f t="shared" si="80"/>
        <v>0</v>
      </c>
      <c r="S553" s="113">
        <f t="shared" si="78"/>
        <v>36.913096727263202</v>
      </c>
      <c r="T553" s="69">
        <f t="shared" si="81"/>
        <v>0</v>
      </c>
      <c r="U553" s="70">
        <f t="shared" si="82"/>
        <v>0</v>
      </c>
      <c r="V553" s="70">
        <f t="shared" si="83"/>
        <v>0</v>
      </c>
      <c r="W553" s="71">
        <f t="shared" si="84"/>
        <v>0</v>
      </c>
      <c r="X553" s="49"/>
      <c r="Y553" s="151"/>
      <c r="Z553" s="69"/>
      <c r="AA553" s="70"/>
      <c r="AB553" s="70"/>
      <c r="AC553" s="70" t="str">
        <f t="shared" si="85"/>
        <v>---</v>
      </c>
      <c r="AD553" s="70" t="str">
        <f>IFERROR(P553/#REF!-1,"---")</f>
        <v>---</v>
      </c>
      <c r="AE553" s="70" t="str">
        <f>IFERROR(#REF!/#REF!-1,"---")</f>
        <v>---</v>
      </c>
      <c r="AF553" s="70" t="str">
        <f>IFERROR(Q553/#REF!-1,"---")</f>
        <v>---</v>
      </c>
      <c r="AG553" s="70" t="str">
        <f>IFERROR(#REF!/#REF!-1,"---")</f>
        <v>---</v>
      </c>
      <c r="AH553" s="70" t="str">
        <f>IFERROR(#REF!/AA553-1,"---")</f>
        <v>---</v>
      </c>
      <c r="AI553" s="71" t="str">
        <f t="shared" si="86"/>
        <v>---</v>
      </c>
    </row>
    <row r="554" spans="1:35" ht="30" customHeight="1" x14ac:dyDescent="0.3">
      <c r="A554" s="123">
        <f t="shared" si="79"/>
        <v>550</v>
      </c>
      <c r="B554" s="140">
        <f>INDEX('PEER GROUP'!B:B,MATCH($A554,'PEER GROUP'!$A:$A,0))</f>
        <v>0</v>
      </c>
      <c r="C554" s="83">
        <f>INDEX('PEER GROUP'!C:C,MATCH($A554,'PEER GROUP'!$A:$A,0))</f>
        <v>0</v>
      </c>
      <c r="D554" s="83">
        <f>INDEX('PEER GROUP'!D:D,MATCH($A554,'PEER GROUP'!$A:$A,0))</f>
        <v>0</v>
      </c>
      <c r="E554" s="83">
        <f>INDEX('PEER GROUP'!E:E,MATCH(A554,'PEER GROUP'!$A:$A,0))</f>
        <v>0</v>
      </c>
      <c r="F554" s="84">
        <f>INDEX('PEER GROUP'!F:F,MATCH($A554,'PEER GROUP'!$A:$A,0))</f>
        <v>0</v>
      </c>
      <c r="G554" s="84">
        <f>INDEX('PEER GROUP'!G:G,MATCH($A554,'PEER GROUP'!$A:$A,0))</f>
        <v>0</v>
      </c>
      <c r="H554" s="85"/>
      <c r="I554" s="85"/>
      <c r="J554" s="70">
        <f>INDEX('PEER GROUP'!K:K,MATCH($A554,'PEER GROUP'!$A:$A,0))</f>
        <v>0</v>
      </c>
      <c r="K554" s="70">
        <f>INDEX('PEER GROUP'!L:L,MATCH($A554,'PEER GROUP'!$A:$A,0))</f>
        <v>0</v>
      </c>
      <c r="L554" s="81">
        <f>INDEX('PEER GROUP'!N:N,MATCH($A554,'PEER GROUP'!$A:$A,0))</f>
        <v>0</v>
      </c>
      <c r="M554" s="118"/>
      <c r="N554" s="115"/>
      <c r="O554" s="117"/>
      <c r="P554" s="87"/>
      <c r="Q554" s="87"/>
      <c r="R554" s="87">
        <f t="shared" si="80"/>
        <v>0</v>
      </c>
      <c r="S554" s="113">
        <f t="shared" si="78"/>
        <v>36.913096727263202</v>
      </c>
      <c r="T554" s="69">
        <f t="shared" si="81"/>
        <v>0</v>
      </c>
      <c r="U554" s="70">
        <f t="shared" si="82"/>
        <v>0</v>
      </c>
      <c r="V554" s="70">
        <f t="shared" si="83"/>
        <v>0</v>
      </c>
      <c r="W554" s="71">
        <f t="shared" si="84"/>
        <v>0</v>
      </c>
      <c r="X554" s="49"/>
      <c r="Y554" s="151"/>
      <c r="Z554" s="69"/>
      <c r="AA554" s="70"/>
      <c r="AB554" s="70"/>
      <c r="AC554" s="70" t="str">
        <f t="shared" si="85"/>
        <v>---</v>
      </c>
      <c r="AD554" s="70" t="str">
        <f>IFERROR(P554/#REF!-1,"---")</f>
        <v>---</v>
      </c>
      <c r="AE554" s="70" t="str">
        <f>IFERROR(#REF!/#REF!-1,"---")</f>
        <v>---</v>
      </c>
      <c r="AF554" s="70" t="str">
        <f>IFERROR(Q554/#REF!-1,"---")</f>
        <v>---</v>
      </c>
      <c r="AG554" s="70" t="str">
        <f>IFERROR(#REF!/#REF!-1,"---")</f>
        <v>---</v>
      </c>
      <c r="AH554" s="70" t="str">
        <f>IFERROR(#REF!/AA554-1,"---")</f>
        <v>---</v>
      </c>
      <c r="AI554" s="71" t="str">
        <f t="shared" si="86"/>
        <v>---</v>
      </c>
    </row>
    <row r="555" spans="1:35" ht="30" customHeight="1" x14ac:dyDescent="0.3">
      <c r="A555" s="123">
        <f t="shared" si="79"/>
        <v>551</v>
      </c>
      <c r="B555" s="140">
        <f>INDEX('PEER GROUP'!B:B,MATCH($A555,'PEER GROUP'!$A:$A,0))</f>
        <v>0</v>
      </c>
      <c r="C555" s="83">
        <f>INDEX('PEER GROUP'!C:C,MATCH($A555,'PEER GROUP'!$A:$A,0))</f>
        <v>0</v>
      </c>
      <c r="D555" s="83">
        <f>INDEX('PEER GROUP'!D:D,MATCH($A555,'PEER GROUP'!$A:$A,0))</f>
        <v>0</v>
      </c>
      <c r="E555" s="83">
        <f>INDEX('PEER GROUP'!E:E,MATCH(A555,'PEER GROUP'!$A:$A,0))</f>
        <v>0</v>
      </c>
      <c r="F555" s="84">
        <f>INDEX('PEER GROUP'!F:F,MATCH($A555,'PEER GROUP'!$A:$A,0))</f>
        <v>0</v>
      </c>
      <c r="G555" s="84">
        <f>INDEX('PEER GROUP'!G:G,MATCH($A555,'PEER GROUP'!$A:$A,0))</f>
        <v>0</v>
      </c>
      <c r="H555" s="85"/>
      <c r="I555" s="85"/>
      <c r="J555" s="70">
        <f>INDEX('PEER GROUP'!K:K,MATCH($A555,'PEER GROUP'!$A:$A,0))</f>
        <v>0</v>
      </c>
      <c r="K555" s="70">
        <f>INDEX('PEER GROUP'!L:L,MATCH($A555,'PEER GROUP'!$A:$A,0))</f>
        <v>0</v>
      </c>
      <c r="L555" s="81">
        <f>INDEX('PEER GROUP'!N:N,MATCH($A555,'PEER GROUP'!$A:$A,0))</f>
        <v>0</v>
      </c>
      <c r="M555" s="118"/>
      <c r="N555" s="115"/>
      <c r="O555" s="117"/>
      <c r="P555" s="87"/>
      <c r="Q555" s="87"/>
      <c r="R555" s="87">
        <f t="shared" si="80"/>
        <v>0</v>
      </c>
      <c r="S555" s="113">
        <f t="shared" si="78"/>
        <v>36.913096727263202</v>
      </c>
      <c r="T555" s="69">
        <f t="shared" si="81"/>
        <v>0</v>
      </c>
      <c r="U555" s="70">
        <f t="shared" si="82"/>
        <v>0</v>
      </c>
      <c r="V555" s="70">
        <f t="shared" si="83"/>
        <v>0</v>
      </c>
      <c r="W555" s="71">
        <f t="shared" si="84"/>
        <v>0</v>
      </c>
      <c r="X555" s="49"/>
      <c r="Y555" s="151"/>
      <c r="Z555" s="69"/>
      <c r="AA555" s="70"/>
      <c r="AB555" s="70"/>
      <c r="AC555" s="70" t="str">
        <f t="shared" si="85"/>
        <v>---</v>
      </c>
      <c r="AD555" s="70" t="str">
        <f>IFERROR(P555/#REF!-1,"---")</f>
        <v>---</v>
      </c>
      <c r="AE555" s="70" t="str">
        <f>IFERROR(#REF!/#REF!-1,"---")</f>
        <v>---</v>
      </c>
      <c r="AF555" s="70" t="str">
        <f>IFERROR(Q555/#REF!-1,"---")</f>
        <v>---</v>
      </c>
      <c r="AG555" s="70" t="str">
        <f>IFERROR(#REF!/#REF!-1,"---")</f>
        <v>---</v>
      </c>
      <c r="AH555" s="70" t="str">
        <f>IFERROR(#REF!/AA555-1,"---")</f>
        <v>---</v>
      </c>
      <c r="AI555" s="71" t="str">
        <f t="shared" si="86"/>
        <v>---</v>
      </c>
    </row>
    <row r="556" spans="1:35" ht="30" customHeight="1" x14ac:dyDescent="0.3">
      <c r="A556" s="123">
        <f t="shared" si="79"/>
        <v>552</v>
      </c>
      <c r="B556" s="140">
        <f>INDEX('PEER GROUP'!B:B,MATCH($A556,'PEER GROUP'!$A:$A,0))</f>
        <v>0</v>
      </c>
      <c r="C556" s="83">
        <f>INDEX('PEER GROUP'!C:C,MATCH($A556,'PEER GROUP'!$A:$A,0))</f>
        <v>0</v>
      </c>
      <c r="D556" s="83">
        <f>INDEX('PEER GROUP'!D:D,MATCH($A556,'PEER GROUP'!$A:$A,0))</f>
        <v>0</v>
      </c>
      <c r="E556" s="83">
        <f>INDEX('PEER GROUP'!E:E,MATCH(A556,'PEER GROUP'!$A:$A,0))</f>
        <v>0</v>
      </c>
      <c r="F556" s="84">
        <f>INDEX('PEER GROUP'!F:F,MATCH($A556,'PEER GROUP'!$A:$A,0))</f>
        <v>0</v>
      </c>
      <c r="G556" s="84">
        <f>INDEX('PEER GROUP'!G:G,MATCH($A556,'PEER GROUP'!$A:$A,0))</f>
        <v>0</v>
      </c>
      <c r="H556" s="85"/>
      <c r="I556" s="85"/>
      <c r="J556" s="70">
        <f>INDEX('PEER GROUP'!K:K,MATCH($A556,'PEER GROUP'!$A:$A,0))</f>
        <v>0</v>
      </c>
      <c r="K556" s="70">
        <f>INDEX('PEER GROUP'!L:L,MATCH($A556,'PEER GROUP'!$A:$A,0))</f>
        <v>0</v>
      </c>
      <c r="L556" s="81">
        <f>INDEX('PEER GROUP'!N:N,MATCH($A556,'PEER GROUP'!$A:$A,0))</f>
        <v>0</v>
      </c>
      <c r="M556" s="118"/>
      <c r="N556" s="115"/>
      <c r="O556" s="117"/>
      <c r="P556" s="87"/>
      <c r="Q556" s="87"/>
      <c r="R556" s="87">
        <f t="shared" si="80"/>
        <v>0</v>
      </c>
      <c r="S556" s="113">
        <f t="shared" si="78"/>
        <v>36.913096727263202</v>
      </c>
      <c r="T556" s="69">
        <f t="shared" si="81"/>
        <v>0</v>
      </c>
      <c r="U556" s="70">
        <f t="shared" si="82"/>
        <v>0</v>
      </c>
      <c r="V556" s="70">
        <f t="shared" si="83"/>
        <v>0</v>
      </c>
      <c r="W556" s="71">
        <f t="shared" si="84"/>
        <v>0</v>
      </c>
      <c r="X556" s="49"/>
      <c r="Y556" s="151"/>
      <c r="Z556" s="69"/>
      <c r="AA556" s="70"/>
      <c r="AB556" s="70"/>
      <c r="AC556" s="70" t="str">
        <f t="shared" si="85"/>
        <v>---</v>
      </c>
      <c r="AD556" s="70" t="str">
        <f>IFERROR(P556/#REF!-1,"---")</f>
        <v>---</v>
      </c>
      <c r="AE556" s="70" t="str">
        <f>IFERROR(#REF!/#REF!-1,"---")</f>
        <v>---</v>
      </c>
      <c r="AF556" s="70" t="str">
        <f>IFERROR(Q556/#REF!-1,"---")</f>
        <v>---</v>
      </c>
      <c r="AG556" s="70" t="str">
        <f>IFERROR(#REF!/#REF!-1,"---")</f>
        <v>---</v>
      </c>
      <c r="AH556" s="70" t="str">
        <f>IFERROR(#REF!/AA556-1,"---")</f>
        <v>---</v>
      </c>
      <c r="AI556" s="71" t="str">
        <f t="shared" si="86"/>
        <v>---</v>
      </c>
    </row>
    <row r="557" spans="1:35" ht="30" customHeight="1" x14ac:dyDescent="0.3">
      <c r="A557" s="123">
        <f t="shared" si="79"/>
        <v>553</v>
      </c>
      <c r="B557" s="140">
        <f>INDEX('PEER GROUP'!B:B,MATCH($A557,'PEER GROUP'!$A:$A,0))</f>
        <v>0</v>
      </c>
      <c r="C557" s="83">
        <f>INDEX('PEER GROUP'!C:C,MATCH($A557,'PEER GROUP'!$A:$A,0))</f>
        <v>0</v>
      </c>
      <c r="D557" s="83">
        <f>INDEX('PEER GROUP'!D:D,MATCH($A557,'PEER GROUP'!$A:$A,0))</f>
        <v>0</v>
      </c>
      <c r="E557" s="83">
        <f>INDEX('PEER GROUP'!E:E,MATCH(A557,'PEER GROUP'!$A:$A,0))</f>
        <v>0</v>
      </c>
      <c r="F557" s="84">
        <f>INDEX('PEER GROUP'!F:F,MATCH($A557,'PEER GROUP'!$A:$A,0))</f>
        <v>0</v>
      </c>
      <c r="G557" s="84">
        <f>INDEX('PEER GROUP'!G:G,MATCH($A557,'PEER GROUP'!$A:$A,0))</f>
        <v>0</v>
      </c>
      <c r="H557" s="85"/>
      <c r="I557" s="85"/>
      <c r="J557" s="70">
        <f>INDEX('PEER GROUP'!K:K,MATCH($A557,'PEER GROUP'!$A:$A,0))</f>
        <v>0</v>
      </c>
      <c r="K557" s="70">
        <f>INDEX('PEER GROUP'!L:L,MATCH($A557,'PEER GROUP'!$A:$A,0))</f>
        <v>0</v>
      </c>
      <c r="L557" s="81">
        <f>INDEX('PEER GROUP'!N:N,MATCH($A557,'PEER GROUP'!$A:$A,0))</f>
        <v>0</v>
      </c>
      <c r="M557" s="118"/>
      <c r="N557" s="115"/>
      <c r="O557" s="117"/>
      <c r="P557" s="87"/>
      <c r="Q557" s="87"/>
      <c r="R557" s="87">
        <f t="shared" si="80"/>
        <v>0</v>
      </c>
      <c r="S557" s="113">
        <f t="shared" si="78"/>
        <v>36.913096727263202</v>
      </c>
      <c r="T557" s="69">
        <f t="shared" si="81"/>
        <v>0</v>
      </c>
      <c r="U557" s="70">
        <f t="shared" si="82"/>
        <v>0</v>
      </c>
      <c r="V557" s="70">
        <f t="shared" si="83"/>
        <v>0</v>
      </c>
      <c r="W557" s="71">
        <f t="shared" si="84"/>
        <v>0</v>
      </c>
      <c r="X557" s="49"/>
      <c r="Y557" s="151"/>
      <c r="Z557" s="69"/>
      <c r="AA557" s="70"/>
      <c r="AB557" s="70"/>
      <c r="AC557" s="70" t="str">
        <f t="shared" si="85"/>
        <v>---</v>
      </c>
      <c r="AD557" s="70" t="str">
        <f>IFERROR(P557/#REF!-1,"---")</f>
        <v>---</v>
      </c>
      <c r="AE557" s="70" t="str">
        <f>IFERROR(#REF!/#REF!-1,"---")</f>
        <v>---</v>
      </c>
      <c r="AF557" s="70" t="str">
        <f>IFERROR(Q557/#REF!-1,"---")</f>
        <v>---</v>
      </c>
      <c r="AG557" s="70" t="str">
        <f>IFERROR(#REF!/#REF!-1,"---")</f>
        <v>---</v>
      </c>
      <c r="AH557" s="70" t="str">
        <f>IFERROR(#REF!/AA557-1,"---")</f>
        <v>---</v>
      </c>
      <c r="AI557" s="71" t="str">
        <f t="shared" si="86"/>
        <v>---</v>
      </c>
    </row>
    <row r="558" spans="1:35" ht="30" customHeight="1" x14ac:dyDescent="0.3">
      <c r="A558" s="123">
        <f t="shared" si="79"/>
        <v>554</v>
      </c>
      <c r="B558" s="140">
        <f>INDEX('PEER GROUP'!B:B,MATCH($A558,'PEER GROUP'!$A:$A,0))</f>
        <v>0</v>
      </c>
      <c r="C558" s="83">
        <f>INDEX('PEER GROUP'!C:C,MATCH($A558,'PEER GROUP'!$A:$A,0))</f>
        <v>0</v>
      </c>
      <c r="D558" s="83">
        <f>INDEX('PEER GROUP'!D:D,MATCH($A558,'PEER GROUP'!$A:$A,0))</f>
        <v>0</v>
      </c>
      <c r="E558" s="83">
        <f>INDEX('PEER GROUP'!E:E,MATCH(A558,'PEER GROUP'!$A:$A,0))</f>
        <v>0</v>
      </c>
      <c r="F558" s="84">
        <f>INDEX('PEER GROUP'!F:F,MATCH($A558,'PEER GROUP'!$A:$A,0))</f>
        <v>0</v>
      </c>
      <c r="G558" s="84">
        <f>INDEX('PEER GROUP'!G:G,MATCH($A558,'PEER GROUP'!$A:$A,0))</f>
        <v>0</v>
      </c>
      <c r="H558" s="85"/>
      <c r="I558" s="85"/>
      <c r="J558" s="70">
        <f>INDEX('PEER GROUP'!K:K,MATCH($A558,'PEER GROUP'!$A:$A,0))</f>
        <v>0</v>
      </c>
      <c r="K558" s="70">
        <f>INDEX('PEER GROUP'!L:L,MATCH($A558,'PEER GROUP'!$A:$A,0))</f>
        <v>0</v>
      </c>
      <c r="L558" s="81">
        <f>INDEX('PEER GROUP'!N:N,MATCH($A558,'PEER GROUP'!$A:$A,0))</f>
        <v>0</v>
      </c>
      <c r="M558" s="118"/>
      <c r="N558" s="115"/>
      <c r="O558" s="117"/>
      <c r="P558" s="87"/>
      <c r="Q558" s="87"/>
      <c r="R558" s="87">
        <f t="shared" si="80"/>
        <v>0</v>
      </c>
      <c r="S558" s="113">
        <f t="shared" si="78"/>
        <v>36.913096727263202</v>
      </c>
      <c r="T558" s="69">
        <f t="shared" si="81"/>
        <v>0</v>
      </c>
      <c r="U558" s="70">
        <f t="shared" si="82"/>
        <v>0</v>
      </c>
      <c r="V558" s="70">
        <f t="shared" si="83"/>
        <v>0</v>
      </c>
      <c r="W558" s="71">
        <f t="shared" si="84"/>
        <v>0</v>
      </c>
      <c r="X558" s="49"/>
      <c r="Y558" s="151"/>
      <c r="Z558" s="69"/>
      <c r="AA558" s="70"/>
      <c r="AB558" s="70"/>
      <c r="AC558" s="70" t="str">
        <f t="shared" si="85"/>
        <v>---</v>
      </c>
      <c r="AD558" s="70" t="str">
        <f>IFERROR(P558/#REF!-1,"---")</f>
        <v>---</v>
      </c>
      <c r="AE558" s="70" t="str">
        <f>IFERROR(#REF!/#REF!-1,"---")</f>
        <v>---</v>
      </c>
      <c r="AF558" s="70" t="str">
        <f>IFERROR(Q558/#REF!-1,"---")</f>
        <v>---</v>
      </c>
      <c r="AG558" s="70" t="str">
        <f>IFERROR(#REF!/#REF!-1,"---")</f>
        <v>---</v>
      </c>
      <c r="AH558" s="70" t="str">
        <f>IFERROR(#REF!/AA558-1,"---")</f>
        <v>---</v>
      </c>
      <c r="AI558" s="71" t="str">
        <f t="shared" si="86"/>
        <v>---</v>
      </c>
    </row>
    <row r="559" spans="1:35" ht="30" customHeight="1" x14ac:dyDescent="0.3">
      <c r="A559" s="123">
        <f t="shared" si="79"/>
        <v>555</v>
      </c>
      <c r="B559" s="140">
        <f>INDEX('PEER GROUP'!B:B,MATCH($A559,'PEER GROUP'!$A:$A,0))</f>
        <v>0</v>
      </c>
      <c r="C559" s="83">
        <f>INDEX('PEER GROUP'!C:C,MATCH($A559,'PEER GROUP'!$A:$A,0))</f>
        <v>0</v>
      </c>
      <c r="D559" s="83">
        <f>INDEX('PEER GROUP'!D:D,MATCH($A559,'PEER GROUP'!$A:$A,0))</f>
        <v>0</v>
      </c>
      <c r="E559" s="83">
        <f>INDEX('PEER GROUP'!E:E,MATCH(A559,'PEER GROUP'!$A:$A,0))</f>
        <v>0</v>
      </c>
      <c r="F559" s="84">
        <f>INDEX('PEER GROUP'!F:F,MATCH($A559,'PEER GROUP'!$A:$A,0))</f>
        <v>0</v>
      </c>
      <c r="G559" s="84">
        <f>INDEX('PEER GROUP'!G:G,MATCH($A559,'PEER GROUP'!$A:$A,0))</f>
        <v>0</v>
      </c>
      <c r="H559" s="85"/>
      <c r="I559" s="85"/>
      <c r="J559" s="70">
        <f>INDEX('PEER GROUP'!K:K,MATCH($A559,'PEER GROUP'!$A:$A,0))</f>
        <v>0</v>
      </c>
      <c r="K559" s="70">
        <f>INDEX('PEER GROUP'!L:L,MATCH($A559,'PEER GROUP'!$A:$A,0))</f>
        <v>0</v>
      </c>
      <c r="L559" s="81">
        <f>INDEX('PEER GROUP'!N:N,MATCH($A559,'PEER GROUP'!$A:$A,0))</f>
        <v>0</v>
      </c>
      <c r="M559" s="118"/>
      <c r="N559" s="115"/>
      <c r="O559" s="117"/>
      <c r="P559" s="87"/>
      <c r="Q559" s="87"/>
      <c r="R559" s="87">
        <f t="shared" si="80"/>
        <v>0</v>
      </c>
      <c r="S559" s="113">
        <f t="shared" si="78"/>
        <v>36.913096727263202</v>
      </c>
      <c r="T559" s="69">
        <f t="shared" si="81"/>
        <v>0</v>
      </c>
      <c r="U559" s="70">
        <f t="shared" si="82"/>
        <v>0</v>
      </c>
      <c r="V559" s="70">
        <f t="shared" si="83"/>
        <v>0</v>
      </c>
      <c r="W559" s="71">
        <f t="shared" si="84"/>
        <v>0</v>
      </c>
      <c r="X559" s="49"/>
      <c r="Y559" s="151"/>
      <c r="Z559" s="69"/>
      <c r="AA559" s="70"/>
      <c r="AB559" s="70"/>
      <c r="AC559" s="70" t="str">
        <f t="shared" si="85"/>
        <v>---</v>
      </c>
      <c r="AD559" s="70" t="str">
        <f>IFERROR(P559/#REF!-1,"---")</f>
        <v>---</v>
      </c>
      <c r="AE559" s="70" t="str">
        <f>IFERROR(#REF!/#REF!-1,"---")</f>
        <v>---</v>
      </c>
      <c r="AF559" s="70" t="str">
        <f>IFERROR(Q559/#REF!-1,"---")</f>
        <v>---</v>
      </c>
      <c r="AG559" s="70" t="str">
        <f>IFERROR(#REF!/#REF!-1,"---")</f>
        <v>---</v>
      </c>
      <c r="AH559" s="70" t="str">
        <f>IFERROR(#REF!/AA559-1,"---")</f>
        <v>---</v>
      </c>
      <c r="AI559" s="71" t="str">
        <f t="shared" si="86"/>
        <v>---</v>
      </c>
    </row>
    <row r="560" spans="1:35" ht="30" customHeight="1" x14ac:dyDescent="0.3">
      <c r="A560" s="123">
        <f t="shared" si="79"/>
        <v>556</v>
      </c>
      <c r="B560" s="140">
        <f>INDEX('PEER GROUP'!B:B,MATCH($A560,'PEER GROUP'!$A:$A,0))</f>
        <v>0</v>
      </c>
      <c r="C560" s="83">
        <f>INDEX('PEER GROUP'!C:C,MATCH($A560,'PEER GROUP'!$A:$A,0))</f>
        <v>0</v>
      </c>
      <c r="D560" s="83">
        <f>INDEX('PEER GROUP'!D:D,MATCH($A560,'PEER GROUP'!$A:$A,0))</f>
        <v>0</v>
      </c>
      <c r="E560" s="83">
        <f>INDEX('PEER GROUP'!E:E,MATCH(A560,'PEER GROUP'!$A:$A,0))</f>
        <v>0</v>
      </c>
      <c r="F560" s="84">
        <f>INDEX('PEER GROUP'!F:F,MATCH($A560,'PEER GROUP'!$A:$A,0))</f>
        <v>0</v>
      </c>
      <c r="G560" s="84">
        <f>INDEX('PEER GROUP'!G:G,MATCH($A560,'PEER GROUP'!$A:$A,0))</f>
        <v>0</v>
      </c>
      <c r="H560" s="85"/>
      <c r="I560" s="85"/>
      <c r="J560" s="70">
        <f>INDEX('PEER GROUP'!K:K,MATCH($A560,'PEER GROUP'!$A:$A,0))</f>
        <v>0</v>
      </c>
      <c r="K560" s="70">
        <f>INDEX('PEER GROUP'!L:L,MATCH($A560,'PEER GROUP'!$A:$A,0))</f>
        <v>0</v>
      </c>
      <c r="L560" s="81">
        <f>INDEX('PEER GROUP'!N:N,MATCH($A560,'PEER GROUP'!$A:$A,0))</f>
        <v>0</v>
      </c>
      <c r="M560" s="118"/>
      <c r="N560" s="115"/>
      <c r="O560" s="117"/>
      <c r="P560" s="87"/>
      <c r="Q560" s="87"/>
      <c r="R560" s="87">
        <f t="shared" si="80"/>
        <v>0</v>
      </c>
      <c r="S560" s="113">
        <f t="shared" si="78"/>
        <v>36.913096727263202</v>
      </c>
      <c r="T560" s="69">
        <f t="shared" si="81"/>
        <v>0</v>
      </c>
      <c r="U560" s="70">
        <f t="shared" si="82"/>
        <v>0</v>
      </c>
      <c r="V560" s="70">
        <f t="shared" si="83"/>
        <v>0</v>
      </c>
      <c r="W560" s="71">
        <f t="shared" si="84"/>
        <v>0</v>
      </c>
      <c r="X560" s="49"/>
      <c r="Y560" s="151"/>
      <c r="Z560" s="69"/>
      <c r="AA560" s="70"/>
      <c r="AB560" s="70"/>
      <c r="AC560" s="70" t="str">
        <f t="shared" si="85"/>
        <v>---</v>
      </c>
      <c r="AD560" s="70" t="str">
        <f>IFERROR(P560/#REF!-1,"---")</f>
        <v>---</v>
      </c>
      <c r="AE560" s="70" t="str">
        <f>IFERROR(#REF!/#REF!-1,"---")</f>
        <v>---</v>
      </c>
      <c r="AF560" s="70" t="str">
        <f>IFERROR(Q560/#REF!-1,"---")</f>
        <v>---</v>
      </c>
      <c r="AG560" s="70" t="str">
        <f>IFERROR(#REF!/#REF!-1,"---")</f>
        <v>---</v>
      </c>
      <c r="AH560" s="70" t="str">
        <f>IFERROR(#REF!/AA560-1,"---")</f>
        <v>---</v>
      </c>
      <c r="AI560" s="71" t="str">
        <f t="shared" si="86"/>
        <v>---</v>
      </c>
    </row>
    <row r="561" spans="1:35" ht="30" customHeight="1" x14ac:dyDescent="0.3">
      <c r="A561" s="123">
        <f t="shared" si="79"/>
        <v>557</v>
      </c>
      <c r="B561" s="140">
        <f>INDEX('PEER GROUP'!B:B,MATCH($A561,'PEER GROUP'!$A:$A,0))</f>
        <v>0</v>
      </c>
      <c r="C561" s="83">
        <f>INDEX('PEER GROUP'!C:C,MATCH($A561,'PEER GROUP'!$A:$A,0))</f>
        <v>0</v>
      </c>
      <c r="D561" s="83">
        <f>INDEX('PEER GROUP'!D:D,MATCH($A561,'PEER GROUP'!$A:$A,0))</f>
        <v>0</v>
      </c>
      <c r="E561" s="83">
        <f>INDEX('PEER GROUP'!E:E,MATCH(A561,'PEER GROUP'!$A:$A,0))</f>
        <v>0</v>
      </c>
      <c r="F561" s="84">
        <f>INDEX('PEER GROUP'!F:F,MATCH($A561,'PEER GROUP'!$A:$A,0))</f>
        <v>0</v>
      </c>
      <c r="G561" s="84">
        <f>INDEX('PEER GROUP'!G:G,MATCH($A561,'PEER GROUP'!$A:$A,0))</f>
        <v>0</v>
      </c>
      <c r="H561" s="85"/>
      <c r="I561" s="85"/>
      <c r="J561" s="70">
        <f>INDEX('PEER GROUP'!K:K,MATCH($A561,'PEER GROUP'!$A:$A,0))</f>
        <v>0</v>
      </c>
      <c r="K561" s="70">
        <f>INDEX('PEER GROUP'!L:L,MATCH($A561,'PEER GROUP'!$A:$A,0))</f>
        <v>0</v>
      </c>
      <c r="L561" s="81">
        <f>INDEX('PEER GROUP'!N:N,MATCH($A561,'PEER GROUP'!$A:$A,0))</f>
        <v>0</v>
      </c>
      <c r="M561" s="118"/>
      <c r="N561" s="115"/>
      <c r="O561" s="117"/>
      <c r="P561" s="87"/>
      <c r="Q561" s="87"/>
      <c r="R561" s="87">
        <f t="shared" si="80"/>
        <v>0</v>
      </c>
      <c r="S561" s="113">
        <f t="shared" si="78"/>
        <v>36.913096727263202</v>
      </c>
      <c r="T561" s="69">
        <f t="shared" si="81"/>
        <v>0</v>
      </c>
      <c r="U561" s="70">
        <f t="shared" si="82"/>
        <v>0</v>
      </c>
      <c r="V561" s="70">
        <f t="shared" si="83"/>
        <v>0</v>
      </c>
      <c r="W561" s="71">
        <f t="shared" si="84"/>
        <v>0</v>
      </c>
      <c r="X561" s="49"/>
      <c r="Y561" s="151"/>
      <c r="Z561" s="69"/>
      <c r="AA561" s="70"/>
      <c r="AB561" s="70"/>
      <c r="AC561" s="70" t="str">
        <f t="shared" si="85"/>
        <v>---</v>
      </c>
      <c r="AD561" s="70" t="str">
        <f>IFERROR(P561/#REF!-1,"---")</f>
        <v>---</v>
      </c>
      <c r="AE561" s="70" t="str">
        <f>IFERROR(#REF!/#REF!-1,"---")</f>
        <v>---</v>
      </c>
      <c r="AF561" s="70" t="str">
        <f>IFERROR(Q561/#REF!-1,"---")</f>
        <v>---</v>
      </c>
      <c r="AG561" s="70" t="str">
        <f>IFERROR(#REF!/#REF!-1,"---")</f>
        <v>---</v>
      </c>
      <c r="AH561" s="70" t="str">
        <f>IFERROR(#REF!/AA561-1,"---")</f>
        <v>---</v>
      </c>
      <c r="AI561" s="71" t="str">
        <f t="shared" si="86"/>
        <v>---</v>
      </c>
    </row>
    <row r="562" spans="1:35" ht="30" customHeight="1" x14ac:dyDescent="0.3">
      <c r="A562" s="123">
        <f t="shared" si="79"/>
        <v>558</v>
      </c>
      <c r="B562" s="140">
        <f>INDEX('PEER GROUP'!B:B,MATCH($A562,'PEER GROUP'!$A:$A,0))</f>
        <v>0</v>
      </c>
      <c r="C562" s="83">
        <f>INDEX('PEER GROUP'!C:C,MATCH($A562,'PEER GROUP'!$A:$A,0))</f>
        <v>0</v>
      </c>
      <c r="D562" s="83">
        <f>INDEX('PEER GROUP'!D:D,MATCH($A562,'PEER GROUP'!$A:$A,0))</f>
        <v>0</v>
      </c>
      <c r="E562" s="83">
        <f>INDEX('PEER GROUP'!E:E,MATCH(A562,'PEER GROUP'!$A:$A,0))</f>
        <v>0</v>
      </c>
      <c r="F562" s="84">
        <f>INDEX('PEER GROUP'!F:F,MATCH($A562,'PEER GROUP'!$A:$A,0))</f>
        <v>0</v>
      </c>
      <c r="G562" s="84">
        <f>INDEX('PEER GROUP'!G:G,MATCH($A562,'PEER GROUP'!$A:$A,0))</f>
        <v>0</v>
      </c>
      <c r="H562" s="85"/>
      <c r="I562" s="85"/>
      <c r="J562" s="70">
        <f>INDEX('PEER GROUP'!K:K,MATCH($A562,'PEER GROUP'!$A:$A,0))</f>
        <v>0</v>
      </c>
      <c r="K562" s="70">
        <f>INDEX('PEER GROUP'!L:L,MATCH($A562,'PEER GROUP'!$A:$A,0))</f>
        <v>0</v>
      </c>
      <c r="L562" s="81">
        <f>INDEX('PEER GROUP'!N:N,MATCH($A562,'PEER GROUP'!$A:$A,0))</f>
        <v>0</v>
      </c>
      <c r="M562" s="118"/>
      <c r="N562" s="115"/>
      <c r="O562" s="117"/>
      <c r="P562" s="87"/>
      <c r="Q562" s="87"/>
      <c r="R562" s="87">
        <f t="shared" si="80"/>
        <v>0</v>
      </c>
      <c r="S562" s="113">
        <f t="shared" si="78"/>
        <v>36.913096727263202</v>
      </c>
      <c r="T562" s="69">
        <f t="shared" si="81"/>
        <v>0</v>
      </c>
      <c r="U562" s="70">
        <f t="shared" si="82"/>
        <v>0</v>
      </c>
      <c r="V562" s="70">
        <f t="shared" si="83"/>
        <v>0</v>
      </c>
      <c r="W562" s="71">
        <f t="shared" si="84"/>
        <v>0</v>
      </c>
      <c r="X562" s="49"/>
      <c r="Y562" s="151"/>
      <c r="Z562" s="69"/>
      <c r="AA562" s="70"/>
      <c r="AB562" s="70"/>
      <c r="AC562" s="70" t="str">
        <f t="shared" si="85"/>
        <v>---</v>
      </c>
      <c r="AD562" s="70" t="str">
        <f>IFERROR(P562/#REF!-1,"---")</f>
        <v>---</v>
      </c>
      <c r="AE562" s="70" t="str">
        <f>IFERROR(#REF!/#REF!-1,"---")</f>
        <v>---</v>
      </c>
      <c r="AF562" s="70" t="str">
        <f>IFERROR(Q562/#REF!-1,"---")</f>
        <v>---</v>
      </c>
      <c r="AG562" s="70" t="str">
        <f>IFERROR(#REF!/#REF!-1,"---")</f>
        <v>---</v>
      </c>
      <c r="AH562" s="70" t="str">
        <f>IFERROR(#REF!/AA562-1,"---")</f>
        <v>---</v>
      </c>
      <c r="AI562" s="71" t="str">
        <f t="shared" si="86"/>
        <v>---</v>
      </c>
    </row>
    <row r="563" spans="1:35" ht="30" customHeight="1" x14ac:dyDescent="0.3">
      <c r="A563" s="123">
        <f t="shared" si="79"/>
        <v>559</v>
      </c>
      <c r="B563" s="140">
        <f>INDEX('PEER GROUP'!B:B,MATCH($A563,'PEER GROUP'!$A:$A,0))</f>
        <v>0</v>
      </c>
      <c r="C563" s="83">
        <f>INDEX('PEER GROUP'!C:C,MATCH($A563,'PEER GROUP'!$A:$A,0))</f>
        <v>0</v>
      </c>
      <c r="D563" s="83">
        <f>INDEX('PEER GROUP'!D:D,MATCH($A563,'PEER GROUP'!$A:$A,0))</f>
        <v>0</v>
      </c>
      <c r="E563" s="83">
        <f>INDEX('PEER GROUP'!E:E,MATCH(A563,'PEER GROUP'!$A:$A,0))</f>
        <v>0</v>
      </c>
      <c r="F563" s="84">
        <f>INDEX('PEER GROUP'!F:F,MATCH($A563,'PEER GROUP'!$A:$A,0))</f>
        <v>0</v>
      </c>
      <c r="G563" s="84">
        <f>INDEX('PEER GROUP'!G:G,MATCH($A563,'PEER GROUP'!$A:$A,0))</f>
        <v>0</v>
      </c>
      <c r="H563" s="85"/>
      <c r="I563" s="85"/>
      <c r="J563" s="70">
        <f>INDEX('PEER GROUP'!K:K,MATCH($A563,'PEER GROUP'!$A:$A,0))</f>
        <v>0</v>
      </c>
      <c r="K563" s="70">
        <f>INDEX('PEER GROUP'!L:L,MATCH($A563,'PEER GROUP'!$A:$A,0))</f>
        <v>0</v>
      </c>
      <c r="L563" s="81">
        <f>INDEX('PEER GROUP'!N:N,MATCH($A563,'PEER GROUP'!$A:$A,0))</f>
        <v>0</v>
      </c>
      <c r="M563" s="118"/>
      <c r="N563" s="115"/>
      <c r="O563" s="117"/>
      <c r="P563" s="87"/>
      <c r="Q563" s="87"/>
      <c r="R563" s="87">
        <f t="shared" si="80"/>
        <v>0</v>
      </c>
      <c r="S563" s="113">
        <f t="shared" si="78"/>
        <v>36.913096727263202</v>
      </c>
      <c r="T563" s="69">
        <f t="shared" si="81"/>
        <v>0</v>
      </c>
      <c r="U563" s="70">
        <f t="shared" si="82"/>
        <v>0</v>
      </c>
      <c r="V563" s="70">
        <f t="shared" si="83"/>
        <v>0</v>
      </c>
      <c r="W563" s="71">
        <f t="shared" si="84"/>
        <v>0</v>
      </c>
      <c r="X563" s="49"/>
      <c r="Y563" s="151"/>
      <c r="Z563" s="69"/>
      <c r="AA563" s="70"/>
      <c r="AB563" s="70"/>
      <c r="AC563" s="70" t="str">
        <f t="shared" si="85"/>
        <v>---</v>
      </c>
      <c r="AD563" s="70" t="str">
        <f>IFERROR(P563/#REF!-1,"---")</f>
        <v>---</v>
      </c>
      <c r="AE563" s="70" t="str">
        <f>IFERROR(#REF!/#REF!-1,"---")</f>
        <v>---</v>
      </c>
      <c r="AF563" s="70" t="str">
        <f>IFERROR(Q563/#REF!-1,"---")</f>
        <v>---</v>
      </c>
      <c r="AG563" s="70" t="str">
        <f>IFERROR(#REF!/#REF!-1,"---")</f>
        <v>---</v>
      </c>
      <c r="AH563" s="70" t="str">
        <f>IFERROR(#REF!/AA563-1,"---")</f>
        <v>---</v>
      </c>
      <c r="AI563" s="71" t="str">
        <f t="shared" si="86"/>
        <v>---</v>
      </c>
    </row>
    <row r="564" spans="1:35" ht="30" customHeight="1" x14ac:dyDescent="0.3">
      <c r="A564" s="123">
        <f t="shared" si="79"/>
        <v>560</v>
      </c>
      <c r="B564" s="140">
        <f>INDEX('PEER GROUP'!B:B,MATCH($A564,'PEER GROUP'!$A:$A,0))</f>
        <v>0</v>
      </c>
      <c r="C564" s="83">
        <f>INDEX('PEER GROUP'!C:C,MATCH($A564,'PEER GROUP'!$A:$A,0))</f>
        <v>0</v>
      </c>
      <c r="D564" s="83">
        <f>INDEX('PEER GROUP'!D:D,MATCH($A564,'PEER GROUP'!$A:$A,0))</f>
        <v>0</v>
      </c>
      <c r="E564" s="83">
        <f>INDEX('PEER GROUP'!E:E,MATCH(A564,'PEER GROUP'!$A:$A,0))</f>
        <v>0</v>
      </c>
      <c r="F564" s="84">
        <f>INDEX('PEER GROUP'!F:F,MATCH($A564,'PEER GROUP'!$A:$A,0))</f>
        <v>0</v>
      </c>
      <c r="G564" s="84">
        <f>INDEX('PEER GROUP'!G:G,MATCH($A564,'PEER GROUP'!$A:$A,0))</f>
        <v>0</v>
      </c>
      <c r="H564" s="85"/>
      <c r="I564" s="85"/>
      <c r="J564" s="70">
        <f>INDEX('PEER GROUP'!K:K,MATCH($A564,'PEER GROUP'!$A:$A,0))</f>
        <v>0</v>
      </c>
      <c r="K564" s="70">
        <f>INDEX('PEER GROUP'!L:L,MATCH($A564,'PEER GROUP'!$A:$A,0))</f>
        <v>0</v>
      </c>
      <c r="L564" s="81">
        <f>INDEX('PEER GROUP'!N:N,MATCH($A564,'PEER GROUP'!$A:$A,0))</f>
        <v>0</v>
      </c>
      <c r="M564" s="118"/>
      <c r="N564" s="115"/>
      <c r="O564" s="117"/>
      <c r="P564" s="87"/>
      <c r="Q564" s="87"/>
      <c r="R564" s="87">
        <f t="shared" si="80"/>
        <v>0</v>
      </c>
      <c r="S564" s="113">
        <f t="shared" si="78"/>
        <v>36.913096727263202</v>
      </c>
      <c r="T564" s="69">
        <f t="shared" si="81"/>
        <v>0</v>
      </c>
      <c r="U564" s="70">
        <f t="shared" si="82"/>
        <v>0</v>
      </c>
      <c r="V564" s="70">
        <f t="shared" si="83"/>
        <v>0</v>
      </c>
      <c r="W564" s="71">
        <f t="shared" si="84"/>
        <v>0</v>
      </c>
      <c r="X564" s="49"/>
      <c r="Y564" s="151"/>
      <c r="Z564" s="69"/>
      <c r="AA564" s="70"/>
      <c r="AB564" s="70"/>
      <c r="AC564" s="70" t="str">
        <f t="shared" si="85"/>
        <v>---</v>
      </c>
      <c r="AD564" s="70" t="str">
        <f>IFERROR(P564/#REF!-1,"---")</f>
        <v>---</v>
      </c>
      <c r="AE564" s="70" t="str">
        <f>IFERROR(#REF!/#REF!-1,"---")</f>
        <v>---</v>
      </c>
      <c r="AF564" s="70" t="str">
        <f>IFERROR(Q564/#REF!-1,"---")</f>
        <v>---</v>
      </c>
      <c r="AG564" s="70" t="str">
        <f>IFERROR(#REF!/#REF!-1,"---")</f>
        <v>---</v>
      </c>
      <c r="AH564" s="70" t="str">
        <f>IFERROR(#REF!/AA564-1,"---")</f>
        <v>---</v>
      </c>
      <c r="AI564" s="71" t="str">
        <f t="shared" si="86"/>
        <v>---</v>
      </c>
    </row>
    <row r="565" spans="1:35" ht="30" customHeight="1" x14ac:dyDescent="0.3">
      <c r="A565" s="123">
        <f t="shared" si="79"/>
        <v>561</v>
      </c>
      <c r="B565" s="140">
        <f>INDEX('PEER GROUP'!B:B,MATCH($A565,'PEER GROUP'!$A:$A,0))</f>
        <v>0</v>
      </c>
      <c r="C565" s="83">
        <f>INDEX('PEER GROUP'!C:C,MATCH($A565,'PEER GROUP'!$A:$A,0))</f>
        <v>0</v>
      </c>
      <c r="D565" s="83">
        <f>INDEX('PEER GROUP'!D:D,MATCH($A565,'PEER GROUP'!$A:$A,0))</f>
        <v>0</v>
      </c>
      <c r="E565" s="83">
        <f>INDEX('PEER GROUP'!E:E,MATCH(A565,'PEER GROUP'!$A:$A,0))</f>
        <v>0</v>
      </c>
      <c r="F565" s="84">
        <f>INDEX('PEER GROUP'!F:F,MATCH($A565,'PEER GROUP'!$A:$A,0))</f>
        <v>0</v>
      </c>
      <c r="G565" s="84">
        <f>INDEX('PEER GROUP'!G:G,MATCH($A565,'PEER GROUP'!$A:$A,0))</f>
        <v>0</v>
      </c>
      <c r="H565" s="85"/>
      <c r="I565" s="85"/>
      <c r="J565" s="70">
        <f>INDEX('PEER GROUP'!K:K,MATCH($A565,'PEER GROUP'!$A:$A,0))</f>
        <v>0</v>
      </c>
      <c r="K565" s="70">
        <f>INDEX('PEER GROUP'!L:L,MATCH($A565,'PEER GROUP'!$A:$A,0))</f>
        <v>0</v>
      </c>
      <c r="L565" s="81">
        <f>INDEX('PEER GROUP'!N:N,MATCH($A565,'PEER GROUP'!$A:$A,0))</f>
        <v>0</v>
      </c>
      <c r="M565" s="118"/>
      <c r="N565" s="115"/>
      <c r="O565" s="117"/>
      <c r="P565" s="87"/>
      <c r="Q565" s="87"/>
      <c r="R565" s="87">
        <f t="shared" si="80"/>
        <v>0</v>
      </c>
      <c r="S565" s="113">
        <f t="shared" si="78"/>
        <v>36.913096727263202</v>
      </c>
      <c r="T565" s="69">
        <f t="shared" si="81"/>
        <v>0</v>
      </c>
      <c r="U565" s="70">
        <f t="shared" si="82"/>
        <v>0</v>
      </c>
      <c r="V565" s="70">
        <f t="shared" si="83"/>
        <v>0</v>
      </c>
      <c r="W565" s="71">
        <f t="shared" si="84"/>
        <v>0</v>
      </c>
      <c r="X565" s="49"/>
      <c r="Y565" s="151"/>
      <c r="Z565" s="69"/>
      <c r="AA565" s="70"/>
      <c r="AB565" s="70"/>
      <c r="AC565" s="70" t="str">
        <f t="shared" si="85"/>
        <v>---</v>
      </c>
      <c r="AD565" s="70" t="str">
        <f>IFERROR(P565/#REF!-1,"---")</f>
        <v>---</v>
      </c>
      <c r="AE565" s="70" t="str">
        <f>IFERROR(#REF!/#REF!-1,"---")</f>
        <v>---</v>
      </c>
      <c r="AF565" s="70" t="str">
        <f>IFERROR(Q565/#REF!-1,"---")</f>
        <v>---</v>
      </c>
      <c r="AG565" s="70" t="str">
        <f>IFERROR(#REF!/#REF!-1,"---")</f>
        <v>---</v>
      </c>
      <c r="AH565" s="70" t="str">
        <f>IFERROR(#REF!/AA565-1,"---")</f>
        <v>---</v>
      </c>
      <c r="AI565" s="71" t="str">
        <f t="shared" si="86"/>
        <v>---</v>
      </c>
    </row>
    <row r="566" spans="1:35" ht="30" customHeight="1" x14ac:dyDescent="0.3">
      <c r="A566" s="123">
        <f t="shared" si="79"/>
        <v>562</v>
      </c>
      <c r="B566" s="140">
        <f>INDEX('PEER GROUP'!B:B,MATCH($A566,'PEER GROUP'!$A:$A,0))</f>
        <v>0</v>
      </c>
      <c r="C566" s="83">
        <f>INDEX('PEER GROUP'!C:C,MATCH($A566,'PEER GROUP'!$A:$A,0))</f>
        <v>0</v>
      </c>
      <c r="D566" s="83">
        <f>INDEX('PEER GROUP'!D:D,MATCH($A566,'PEER GROUP'!$A:$A,0))</f>
        <v>0</v>
      </c>
      <c r="E566" s="83">
        <f>INDEX('PEER GROUP'!E:E,MATCH(A566,'PEER GROUP'!$A:$A,0))</f>
        <v>0</v>
      </c>
      <c r="F566" s="84">
        <f>INDEX('PEER GROUP'!F:F,MATCH($A566,'PEER GROUP'!$A:$A,0))</f>
        <v>0</v>
      </c>
      <c r="G566" s="84">
        <f>INDEX('PEER GROUP'!G:G,MATCH($A566,'PEER GROUP'!$A:$A,0))</f>
        <v>0</v>
      </c>
      <c r="H566" s="85"/>
      <c r="I566" s="85"/>
      <c r="J566" s="70">
        <f>INDEX('PEER GROUP'!K:K,MATCH($A566,'PEER GROUP'!$A:$A,0))</f>
        <v>0</v>
      </c>
      <c r="K566" s="70">
        <f>INDEX('PEER GROUP'!L:L,MATCH($A566,'PEER GROUP'!$A:$A,0))</f>
        <v>0</v>
      </c>
      <c r="L566" s="81">
        <f>INDEX('PEER GROUP'!N:N,MATCH($A566,'PEER GROUP'!$A:$A,0))</f>
        <v>0</v>
      </c>
      <c r="M566" s="118"/>
      <c r="N566" s="115"/>
      <c r="O566" s="117"/>
      <c r="P566" s="87"/>
      <c r="Q566" s="87"/>
      <c r="R566" s="87">
        <f t="shared" si="80"/>
        <v>0</v>
      </c>
      <c r="S566" s="113">
        <f t="shared" si="78"/>
        <v>36.913096727263202</v>
      </c>
      <c r="T566" s="69">
        <f t="shared" si="81"/>
        <v>0</v>
      </c>
      <c r="U566" s="70">
        <f t="shared" si="82"/>
        <v>0</v>
      </c>
      <c r="V566" s="70">
        <f t="shared" si="83"/>
        <v>0</v>
      </c>
      <c r="W566" s="71">
        <f t="shared" si="84"/>
        <v>0</v>
      </c>
      <c r="X566" s="49"/>
      <c r="Y566" s="151"/>
      <c r="Z566" s="69"/>
      <c r="AA566" s="70"/>
      <c r="AB566" s="70"/>
      <c r="AC566" s="70" t="str">
        <f t="shared" si="85"/>
        <v>---</v>
      </c>
      <c r="AD566" s="70" t="str">
        <f>IFERROR(P566/#REF!-1,"---")</f>
        <v>---</v>
      </c>
      <c r="AE566" s="70" t="str">
        <f>IFERROR(#REF!/#REF!-1,"---")</f>
        <v>---</v>
      </c>
      <c r="AF566" s="70" t="str">
        <f>IFERROR(Q566/#REF!-1,"---")</f>
        <v>---</v>
      </c>
      <c r="AG566" s="70" t="str">
        <f>IFERROR(#REF!/#REF!-1,"---")</f>
        <v>---</v>
      </c>
      <c r="AH566" s="70" t="str">
        <f>IFERROR(#REF!/AA566-1,"---")</f>
        <v>---</v>
      </c>
      <c r="AI566" s="71" t="str">
        <f t="shared" si="86"/>
        <v>---</v>
      </c>
    </row>
    <row r="567" spans="1:35" ht="30" customHeight="1" x14ac:dyDescent="0.3">
      <c r="A567" s="123">
        <f t="shared" si="79"/>
        <v>563</v>
      </c>
      <c r="B567" s="140">
        <f>INDEX('PEER GROUP'!B:B,MATCH($A567,'PEER GROUP'!$A:$A,0))</f>
        <v>0</v>
      </c>
      <c r="C567" s="83">
        <f>INDEX('PEER GROUP'!C:C,MATCH($A567,'PEER GROUP'!$A:$A,0))</f>
        <v>0</v>
      </c>
      <c r="D567" s="83">
        <f>INDEX('PEER GROUP'!D:D,MATCH($A567,'PEER GROUP'!$A:$A,0))</f>
        <v>0</v>
      </c>
      <c r="E567" s="83">
        <f>INDEX('PEER GROUP'!E:E,MATCH(A567,'PEER GROUP'!$A:$A,0))</f>
        <v>0</v>
      </c>
      <c r="F567" s="84">
        <f>INDEX('PEER GROUP'!F:F,MATCH($A567,'PEER GROUP'!$A:$A,0))</f>
        <v>0</v>
      </c>
      <c r="G567" s="84">
        <f>INDEX('PEER GROUP'!G:G,MATCH($A567,'PEER GROUP'!$A:$A,0))</f>
        <v>0</v>
      </c>
      <c r="H567" s="85"/>
      <c r="I567" s="85"/>
      <c r="J567" s="70">
        <f>INDEX('PEER GROUP'!K:K,MATCH($A567,'PEER GROUP'!$A:$A,0))</f>
        <v>0</v>
      </c>
      <c r="K567" s="70">
        <f>INDEX('PEER GROUP'!L:L,MATCH($A567,'PEER GROUP'!$A:$A,0))</f>
        <v>0</v>
      </c>
      <c r="L567" s="81">
        <f>INDEX('PEER GROUP'!N:N,MATCH($A567,'PEER GROUP'!$A:$A,0))</f>
        <v>0</v>
      </c>
      <c r="M567" s="118"/>
      <c r="N567" s="115"/>
      <c r="O567" s="117"/>
      <c r="P567" s="87"/>
      <c r="Q567" s="87"/>
      <c r="R567" s="87">
        <f t="shared" si="80"/>
        <v>0</v>
      </c>
      <c r="S567" s="113">
        <f t="shared" si="78"/>
        <v>36.913096727263202</v>
      </c>
      <c r="T567" s="69">
        <f t="shared" si="81"/>
        <v>0</v>
      </c>
      <c r="U567" s="70">
        <f t="shared" si="82"/>
        <v>0</v>
      </c>
      <c r="V567" s="70">
        <f t="shared" si="83"/>
        <v>0</v>
      </c>
      <c r="W567" s="71">
        <f t="shared" si="84"/>
        <v>0</v>
      </c>
      <c r="X567" s="49"/>
      <c r="Y567" s="151"/>
      <c r="Z567" s="69"/>
      <c r="AA567" s="70"/>
      <c r="AB567" s="70"/>
      <c r="AC567" s="70" t="str">
        <f t="shared" si="85"/>
        <v>---</v>
      </c>
      <c r="AD567" s="70" t="str">
        <f>IFERROR(P567/#REF!-1,"---")</f>
        <v>---</v>
      </c>
      <c r="AE567" s="70" t="str">
        <f>IFERROR(#REF!/#REF!-1,"---")</f>
        <v>---</v>
      </c>
      <c r="AF567" s="70" t="str">
        <f>IFERROR(Q567/#REF!-1,"---")</f>
        <v>---</v>
      </c>
      <c r="AG567" s="70" t="str">
        <f>IFERROR(#REF!/#REF!-1,"---")</f>
        <v>---</v>
      </c>
      <c r="AH567" s="70" t="str">
        <f>IFERROR(#REF!/AA567-1,"---")</f>
        <v>---</v>
      </c>
      <c r="AI567" s="71" t="str">
        <f t="shared" si="86"/>
        <v>---</v>
      </c>
    </row>
    <row r="568" spans="1:35" ht="30" customHeight="1" x14ac:dyDescent="0.3">
      <c r="A568" s="123">
        <f t="shared" si="79"/>
        <v>564</v>
      </c>
      <c r="B568" s="140">
        <f>INDEX('PEER GROUP'!B:B,MATCH($A568,'PEER GROUP'!$A:$A,0))</f>
        <v>0</v>
      </c>
      <c r="C568" s="83">
        <f>INDEX('PEER GROUP'!C:C,MATCH($A568,'PEER GROUP'!$A:$A,0))</f>
        <v>0</v>
      </c>
      <c r="D568" s="83">
        <f>INDEX('PEER GROUP'!D:D,MATCH($A568,'PEER GROUP'!$A:$A,0))</f>
        <v>0</v>
      </c>
      <c r="E568" s="83">
        <f>INDEX('PEER GROUP'!E:E,MATCH(A568,'PEER GROUP'!$A:$A,0))</f>
        <v>0</v>
      </c>
      <c r="F568" s="84">
        <f>INDEX('PEER GROUP'!F:F,MATCH($A568,'PEER GROUP'!$A:$A,0))</f>
        <v>0</v>
      </c>
      <c r="G568" s="84">
        <f>INDEX('PEER GROUP'!G:G,MATCH($A568,'PEER GROUP'!$A:$A,0))</f>
        <v>0</v>
      </c>
      <c r="H568" s="85"/>
      <c r="I568" s="85"/>
      <c r="J568" s="70">
        <f>INDEX('PEER GROUP'!K:K,MATCH($A568,'PEER GROUP'!$A:$A,0))</f>
        <v>0</v>
      </c>
      <c r="K568" s="70">
        <f>INDEX('PEER GROUP'!L:L,MATCH($A568,'PEER GROUP'!$A:$A,0))</f>
        <v>0</v>
      </c>
      <c r="L568" s="81">
        <f>INDEX('PEER GROUP'!N:N,MATCH($A568,'PEER GROUP'!$A:$A,0))</f>
        <v>0</v>
      </c>
      <c r="M568" s="118"/>
      <c r="N568" s="115"/>
      <c r="O568" s="117"/>
      <c r="P568" s="87"/>
      <c r="Q568" s="87"/>
      <c r="R568" s="87">
        <f t="shared" si="80"/>
        <v>0</v>
      </c>
      <c r="S568" s="113">
        <f t="shared" si="78"/>
        <v>36.913096727263202</v>
      </c>
      <c r="T568" s="69">
        <f t="shared" si="81"/>
        <v>0</v>
      </c>
      <c r="U568" s="70">
        <f t="shared" si="82"/>
        <v>0</v>
      </c>
      <c r="V568" s="70">
        <f t="shared" si="83"/>
        <v>0</v>
      </c>
      <c r="W568" s="71">
        <f t="shared" si="84"/>
        <v>0</v>
      </c>
      <c r="X568" s="49"/>
      <c r="Y568" s="151"/>
      <c r="Z568" s="69"/>
      <c r="AA568" s="70"/>
      <c r="AB568" s="70"/>
      <c r="AC568" s="70" t="str">
        <f t="shared" si="85"/>
        <v>---</v>
      </c>
      <c r="AD568" s="70" t="str">
        <f>IFERROR(P568/#REF!-1,"---")</f>
        <v>---</v>
      </c>
      <c r="AE568" s="70" t="str">
        <f>IFERROR(#REF!/#REF!-1,"---")</f>
        <v>---</v>
      </c>
      <c r="AF568" s="70" t="str">
        <f>IFERROR(Q568/#REF!-1,"---")</f>
        <v>---</v>
      </c>
      <c r="AG568" s="70" t="str">
        <f>IFERROR(#REF!/#REF!-1,"---")</f>
        <v>---</v>
      </c>
      <c r="AH568" s="70" t="str">
        <f>IFERROR(#REF!/AA568-1,"---")</f>
        <v>---</v>
      </c>
      <c r="AI568" s="71" t="str">
        <f t="shared" si="86"/>
        <v>---</v>
      </c>
    </row>
    <row r="569" spans="1:35" ht="30" customHeight="1" x14ac:dyDescent="0.3">
      <c r="A569" s="123">
        <f t="shared" si="79"/>
        <v>565</v>
      </c>
      <c r="B569" s="140">
        <f>INDEX('PEER GROUP'!B:B,MATCH($A569,'PEER GROUP'!$A:$A,0))</f>
        <v>0</v>
      </c>
      <c r="C569" s="83">
        <f>INDEX('PEER GROUP'!C:C,MATCH($A569,'PEER GROUP'!$A:$A,0))</f>
        <v>0</v>
      </c>
      <c r="D569" s="83">
        <f>INDEX('PEER GROUP'!D:D,MATCH($A569,'PEER GROUP'!$A:$A,0))</f>
        <v>0</v>
      </c>
      <c r="E569" s="83">
        <f>INDEX('PEER GROUP'!E:E,MATCH(A569,'PEER GROUP'!$A:$A,0))</f>
        <v>0</v>
      </c>
      <c r="F569" s="84">
        <f>INDEX('PEER GROUP'!F:F,MATCH($A569,'PEER GROUP'!$A:$A,0))</f>
        <v>0</v>
      </c>
      <c r="G569" s="84">
        <f>INDEX('PEER GROUP'!G:G,MATCH($A569,'PEER GROUP'!$A:$A,0))</f>
        <v>0</v>
      </c>
      <c r="H569" s="85"/>
      <c r="I569" s="85"/>
      <c r="J569" s="70">
        <f>INDEX('PEER GROUP'!K:K,MATCH($A569,'PEER GROUP'!$A:$A,0))</f>
        <v>0</v>
      </c>
      <c r="K569" s="70">
        <f>INDEX('PEER GROUP'!L:L,MATCH($A569,'PEER GROUP'!$A:$A,0))</f>
        <v>0</v>
      </c>
      <c r="L569" s="81">
        <f>INDEX('PEER GROUP'!N:N,MATCH($A569,'PEER GROUP'!$A:$A,0))</f>
        <v>0</v>
      </c>
      <c r="M569" s="118"/>
      <c r="N569" s="115"/>
      <c r="O569" s="117"/>
      <c r="P569" s="87"/>
      <c r="Q569" s="87"/>
      <c r="R569" s="87">
        <f t="shared" si="80"/>
        <v>0</v>
      </c>
      <c r="S569" s="113">
        <f t="shared" si="78"/>
        <v>36.913096727263202</v>
      </c>
      <c r="T569" s="69">
        <f t="shared" si="81"/>
        <v>0</v>
      </c>
      <c r="U569" s="70">
        <f t="shared" si="82"/>
        <v>0</v>
      </c>
      <c r="V569" s="70">
        <f t="shared" si="83"/>
        <v>0</v>
      </c>
      <c r="W569" s="71">
        <f t="shared" si="84"/>
        <v>0</v>
      </c>
      <c r="X569" s="49"/>
      <c r="Y569" s="151"/>
      <c r="Z569" s="69"/>
      <c r="AA569" s="70"/>
      <c r="AB569" s="70"/>
      <c r="AC569" s="70" t="str">
        <f t="shared" si="85"/>
        <v>---</v>
      </c>
      <c r="AD569" s="70" t="str">
        <f>IFERROR(P569/#REF!-1,"---")</f>
        <v>---</v>
      </c>
      <c r="AE569" s="70" t="str">
        <f>IFERROR(#REF!/#REF!-1,"---")</f>
        <v>---</v>
      </c>
      <c r="AF569" s="70" t="str">
        <f>IFERROR(Q569/#REF!-1,"---")</f>
        <v>---</v>
      </c>
      <c r="AG569" s="70" t="str">
        <f>IFERROR(#REF!/#REF!-1,"---")</f>
        <v>---</v>
      </c>
      <c r="AH569" s="70" t="str">
        <f>IFERROR(#REF!/AA569-1,"---")</f>
        <v>---</v>
      </c>
      <c r="AI569" s="71" t="str">
        <f t="shared" si="86"/>
        <v>---</v>
      </c>
    </row>
    <row r="570" spans="1:35" ht="30" customHeight="1" x14ac:dyDescent="0.3">
      <c r="A570" s="123">
        <f t="shared" si="79"/>
        <v>566</v>
      </c>
      <c r="B570" s="140">
        <f>INDEX('PEER GROUP'!B:B,MATCH($A570,'PEER GROUP'!$A:$A,0))</f>
        <v>0</v>
      </c>
      <c r="C570" s="83">
        <f>INDEX('PEER GROUP'!C:C,MATCH($A570,'PEER GROUP'!$A:$A,0))</f>
        <v>0</v>
      </c>
      <c r="D570" s="83">
        <f>INDEX('PEER GROUP'!D:D,MATCH($A570,'PEER GROUP'!$A:$A,0))</f>
        <v>0</v>
      </c>
      <c r="E570" s="83">
        <f>INDEX('PEER GROUP'!E:E,MATCH(A570,'PEER GROUP'!$A:$A,0))</f>
        <v>0</v>
      </c>
      <c r="F570" s="84">
        <f>INDEX('PEER GROUP'!F:F,MATCH($A570,'PEER GROUP'!$A:$A,0))</f>
        <v>0</v>
      </c>
      <c r="G570" s="84">
        <f>INDEX('PEER GROUP'!G:G,MATCH($A570,'PEER GROUP'!$A:$A,0))</f>
        <v>0</v>
      </c>
      <c r="H570" s="85"/>
      <c r="I570" s="85"/>
      <c r="J570" s="70">
        <f>INDEX('PEER GROUP'!K:K,MATCH($A570,'PEER GROUP'!$A:$A,0))</f>
        <v>0</v>
      </c>
      <c r="K570" s="70">
        <f>INDEX('PEER GROUP'!L:L,MATCH($A570,'PEER GROUP'!$A:$A,0))</f>
        <v>0</v>
      </c>
      <c r="L570" s="81">
        <f>INDEX('PEER GROUP'!N:N,MATCH($A570,'PEER GROUP'!$A:$A,0))</f>
        <v>0</v>
      </c>
      <c r="M570" s="118"/>
      <c r="N570" s="115"/>
      <c r="O570" s="117"/>
      <c r="P570" s="87"/>
      <c r="Q570" s="87"/>
      <c r="R570" s="87">
        <f t="shared" si="80"/>
        <v>0</v>
      </c>
      <c r="S570" s="113">
        <f t="shared" si="78"/>
        <v>36.913096727263202</v>
      </c>
      <c r="T570" s="69">
        <f t="shared" si="81"/>
        <v>0</v>
      </c>
      <c r="U570" s="70">
        <f t="shared" si="82"/>
        <v>0</v>
      </c>
      <c r="V570" s="70">
        <f t="shared" si="83"/>
        <v>0</v>
      </c>
      <c r="W570" s="71">
        <f t="shared" si="84"/>
        <v>0</v>
      </c>
      <c r="X570" s="49"/>
      <c r="Y570" s="151"/>
      <c r="Z570" s="69"/>
      <c r="AA570" s="70"/>
      <c r="AB570" s="70"/>
      <c r="AC570" s="70" t="str">
        <f t="shared" si="85"/>
        <v>---</v>
      </c>
      <c r="AD570" s="70" t="str">
        <f>IFERROR(P570/#REF!-1,"---")</f>
        <v>---</v>
      </c>
      <c r="AE570" s="70" t="str">
        <f>IFERROR(#REF!/#REF!-1,"---")</f>
        <v>---</v>
      </c>
      <c r="AF570" s="70" t="str">
        <f>IFERROR(Q570/#REF!-1,"---")</f>
        <v>---</v>
      </c>
      <c r="AG570" s="70" t="str">
        <f>IFERROR(#REF!/#REF!-1,"---")</f>
        <v>---</v>
      </c>
      <c r="AH570" s="70" t="str">
        <f>IFERROR(#REF!/AA570-1,"---")</f>
        <v>---</v>
      </c>
      <c r="AI570" s="71" t="str">
        <f t="shared" si="86"/>
        <v>---</v>
      </c>
    </row>
    <row r="571" spans="1:35" ht="30" customHeight="1" x14ac:dyDescent="0.3">
      <c r="A571" s="123">
        <f t="shared" si="79"/>
        <v>567</v>
      </c>
      <c r="B571" s="140">
        <f>INDEX('PEER GROUP'!B:B,MATCH($A571,'PEER GROUP'!$A:$A,0))</f>
        <v>0</v>
      </c>
      <c r="C571" s="83">
        <f>INDEX('PEER GROUP'!C:C,MATCH($A571,'PEER GROUP'!$A:$A,0))</f>
        <v>0</v>
      </c>
      <c r="D571" s="83">
        <f>INDEX('PEER GROUP'!D:D,MATCH($A571,'PEER GROUP'!$A:$A,0))</f>
        <v>0</v>
      </c>
      <c r="E571" s="83">
        <f>INDEX('PEER GROUP'!E:E,MATCH(A571,'PEER GROUP'!$A:$A,0))</f>
        <v>0</v>
      </c>
      <c r="F571" s="84">
        <f>INDEX('PEER GROUP'!F:F,MATCH($A571,'PEER GROUP'!$A:$A,0))</f>
        <v>0</v>
      </c>
      <c r="G571" s="84">
        <f>INDEX('PEER GROUP'!G:G,MATCH($A571,'PEER GROUP'!$A:$A,0))</f>
        <v>0</v>
      </c>
      <c r="H571" s="85"/>
      <c r="I571" s="85"/>
      <c r="J571" s="70">
        <f>INDEX('PEER GROUP'!K:K,MATCH($A571,'PEER GROUP'!$A:$A,0))</f>
        <v>0</v>
      </c>
      <c r="K571" s="70">
        <f>INDEX('PEER GROUP'!L:L,MATCH($A571,'PEER GROUP'!$A:$A,0))</f>
        <v>0</v>
      </c>
      <c r="L571" s="81">
        <f>INDEX('PEER GROUP'!N:N,MATCH($A571,'PEER GROUP'!$A:$A,0))</f>
        <v>0</v>
      </c>
      <c r="M571" s="118"/>
      <c r="N571" s="115"/>
      <c r="O571" s="117"/>
      <c r="P571" s="87"/>
      <c r="Q571" s="87"/>
      <c r="R571" s="87">
        <f t="shared" si="80"/>
        <v>0</v>
      </c>
      <c r="S571" s="113">
        <f t="shared" si="78"/>
        <v>36.913096727263202</v>
      </c>
      <c r="T571" s="69">
        <f t="shared" si="81"/>
        <v>0</v>
      </c>
      <c r="U571" s="70">
        <f t="shared" si="82"/>
        <v>0</v>
      </c>
      <c r="V571" s="70">
        <f t="shared" si="83"/>
        <v>0</v>
      </c>
      <c r="W571" s="71">
        <f t="shared" si="84"/>
        <v>0</v>
      </c>
      <c r="X571" s="49"/>
      <c r="Y571" s="151"/>
      <c r="Z571" s="69"/>
      <c r="AA571" s="70"/>
      <c r="AB571" s="70"/>
      <c r="AC571" s="70" t="str">
        <f t="shared" si="85"/>
        <v>---</v>
      </c>
      <c r="AD571" s="70" t="str">
        <f>IFERROR(P571/#REF!-1,"---")</f>
        <v>---</v>
      </c>
      <c r="AE571" s="70" t="str">
        <f>IFERROR(#REF!/#REF!-1,"---")</f>
        <v>---</v>
      </c>
      <c r="AF571" s="70" t="str">
        <f>IFERROR(Q571/#REF!-1,"---")</f>
        <v>---</v>
      </c>
      <c r="AG571" s="70" t="str">
        <f>IFERROR(#REF!/#REF!-1,"---")</f>
        <v>---</v>
      </c>
      <c r="AH571" s="70" t="str">
        <f>IFERROR(#REF!/AA571-1,"---")</f>
        <v>---</v>
      </c>
      <c r="AI571" s="71" t="str">
        <f t="shared" si="86"/>
        <v>---</v>
      </c>
    </row>
    <row r="572" spans="1:35" ht="30" customHeight="1" x14ac:dyDescent="0.3">
      <c r="A572" s="123">
        <f t="shared" si="79"/>
        <v>568</v>
      </c>
      <c r="B572" s="140">
        <f>INDEX('PEER GROUP'!B:B,MATCH($A572,'PEER GROUP'!$A:$A,0))</f>
        <v>0</v>
      </c>
      <c r="C572" s="83">
        <f>INDEX('PEER GROUP'!C:C,MATCH($A572,'PEER GROUP'!$A:$A,0))</f>
        <v>0</v>
      </c>
      <c r="D572" s="83">
        <f>INDEX('PEER GROUP'!D:D,MATCH($A572,'PEER GROUP'!$A:$A,0))</f>
        <v>0</v>
      </c>
      <c r="E572" s="83">
        <f>INDEX('PEER GROUP'!E:E,MATCH(A572,'PEER GROUP'!$A:$A,0))</f>
        <v>0</v>
      </c>
      <c r="F572" s="84">
        <f>INDEX('PEER GROUP'!F:F,MATCH($A572,'PEER GROUP'!$A:$A,0))</f>
        <v>0</v>
      </c>
      <c r="G572" s="84">
        <f>INDEX('PEER GROUP'!G:G,MATCH($A572,'PEER GROUP'!$A:$A,0))</f>
        <v>0</v>
      </c>
      <c r="H572" s="85"/>
      <c r="I572" s="85"/>
      <c r="J572" s="70">
        <f>INDEX('PEER GROUP'!K:K,MATCH($A572,'PEER GROUP'!$A:$A,0))</f>
        <v>0</v>
      </c>
      <c r="K572" s="70">
        <f>INDEX('PEER GROUP'!L:L,MATCH($A572,'PEER GROUP'!$A:$A,0))</f>
        <v>0</v>
      </c>
      <c r="L572" s="81">
        <f>INDEX('PEER GROUP'!N:N,MATCH($A572,'PEER GROUP'!$A:$A,0))</f>
        <v>0</v>
      </c>
      <c r="M572" s="118"/>
      <c r="N572" s="115"/>
      <c r="O572" s="117"/>
      <c r="P572" s="87"/>
      <c r="Q572" s="87"/>
      <c r="R572" s="87">
        <f t="shared" si="80"/>
        <v>0</v>
      </c>
      <c r="S572" s="113">
        <f t="shared" si="78"/>
        <v>36.913096727263202</v>
      </c>
      <c r="T572" s="69">
        <f t="shared" si="81"/>
        <v>0</v>
      </c>
      <c r="U572" s="70">
        <f t="shared" si="82"/>
        <v>0</v>
      </c>
      <c r="V572" s="70">
        <f t="shared" si="83"/>
        <v>0</v>
      </c>
      <c r="W572" s="71">
        <f t="shared" si="84"/>
        <v>0</v>
      </c>
      <c r="X572" s="49"/>
      <c r="Y572" s="151"/>
      <c r="Z572" s="69"/>
      <c r="AA572" s="70"/>
      <c r="AB572" s="70"/>
      <c r="AC572" s="70" t="str">
        <f t="shared" si="85"/>
        <v>---</v>
      </c>
      <c r="AD572" s="70" t="str">
        <f>IFERROR(P572/#REF!-1,"---")</f>
        <v>---</v>
      </c>
      <c r="AE572" s="70" t="str">
        <f>IFERROR(#REF!/#REF!-1,"---")</f>
        <v>---</v>
      </c>
      <c r="AF572" s="70" t="str">
        <f>IFERROR(Q572/#REF!-1,"---")</f>
        <v>---</v>
      </c>
      <c r="AG572" s="70" t="str">
        <f>IFERROR(#REF!/#REF!-1,"---")</f>
        <v>---</v>
      </c>
      <c r="AH572" s="70" t="str">
        <f>IFERROR(#REF!/AA572-1,"---")</f>
        <v>---</v>
      </c>
      <c r="AI572" s="71" t="str">
        <f t="shared" si="86"/>
        <v>---</v>
      </c>
    </row>
    <row r="573" spans="1:35" ht="30" customHeight="1" x14ac:dyDescent="0.3">
      <c r="A573" s="123">
        <f t="shared" si="79"/>
        <v>569</v>
      </c>
      <c r="B573" s="140">
        <f>INDEX('PEER GROUP'!B:B,MATCH($A573,'PEER GROUP'!$A:$A,0))</f>
        <v>0</v>
      </c>
      <c r="C573" s="83">
        <f>INDEX('PEER GROUP'!C:C,MATCH($A573,'PEER GROUP'!$A:$A,0))</f>
        <v>0</v>
      </c>
      <c r="D573" s="83">
        <f>INDEX('PEER GROUP'!D:D,MATCH($A573,'PEER GROUP'!$A:$A,0))</f>
        <v>0</v>
      </c>
      <c r="E573" s="83">
        <f>INDEX('PEER GROUP'!E:E,MATCH(A573,'PEER GROUP'!$A:$A,0))</f>
        <v>0</v>
      </c>
      <c r="F573" s="84">
        <f>INDEX('PEER GROUP'!F:F,MATCH($A573,'PEER GROUP'!$A:$A,0))</f>
        <v>0</v>
      </c>
      <c r="G573" s="84">
        <f>INDEX('PEER GROUP'!G:G,MATCH($A573,'PEER GROUP'!$A:$A,0))</f>
        <v>0</v>
      </c>
      <c r="H573" s="85"/>
      <c r="I573" s="85"/>
      <c r="J573" s="70">
        <f>INDEX('PEER GROUP'!K:K,MATCH($A573,'PEER GROUP'!$A:$A,0))</f>
        <v>0</v>
      </c>
      <c r="K573" s="70">
        <f>INDEX('PEER GROUP'!L:L,MATCH($A573,'PEER GROUP'!$A:$A,0))</f>
        <v>0</v>
      </c>
      <c r="L573" s="81">
        <f>INDEX('PEER GROUP'!N:N,MATCH($A573,'PEER GROUP'!$A:$A,0))</f>
        <v>0</v>
      </c>
      <c r="M573" s="118"/>
      <c r="N573" s="115"/>
      <c r="O573" s="117"/>
      <c r="P573" s="87"/>
      <c r="Q573" s="87"/>
      <c r="R573" s="87">
        <f t="shared" si="80"/>
        <v>0</v>
      </c>
      <c r="S573" s="113">
        <f t="shared" si="78"/>
        <v>36.913096727263202</v>
      </c>
      <c r="T573" s="69">
        <f t="shared" si="81"/>
        <v>0</v>
      </c>
      <c r="U573" s="70">
        <f t="shared" si="82"/>
        <v>0</v>
      </c>
      <c r="V573" s="70">
        <f t="shared" si="83"/>
        <v>0</v>
      </c>
      <c r="W573" s="71">
        <f t="shared" si="84"/>
        <v>0</v>
      </c>
      <c r="X573" s="49"/>
      <c r="Y573" s="151"/>
      <c r="Z573" s="69"/>
      <c r="AA573" s="70"/>
      <c r="AB573" s="70"/>
      <c r="AC573" s="70" t="str">
        <f t="shared" si="85"/>
        <v>---</v>
      </c>
      <c r="AD573" s="70" t="str">
        <f>IFERROR(P573/#REF!-1,"---")</f>
        <v>---</v>
      </c>
      <c r="AE573" s="70" t="str">
        <f>IFERROR(#REF!/#REF!-1,"---")</f>
        <v>---</v>
      </c>
      <c r="AF573" s="70" t="str">
        <f>IFERROR(Q573/#REF!-1,"---")</f>
        <v>---</v>
      </c>
      <c r="AG573" s="70" t="str">
        <f>IFERROR(#REF!/#REF!-1,"---")</f>
        <v>---</v>
      </c>
      <c r="AH573" s="70" t="str">
        <f>IFERROR(#REF!/AA573-1,"---")</f>
        <v>---</v>
      </c>
      <c r="AI573" s="71" t="str">
        <f t="shared" si="86"/>
        <v>---</v>
      </c>
    </row>
    <row r="574" spans="1:35" ht="30" customHeight="1" x14ac:dyDescent="0.3">
      <c r="A574" s="123">
        <f t="shared" si="79"/>
        <v>570</v>
      </c>
      <c r="B574" s="140">
        <f>INDEX('PEER GROUP'!B:B,MATCH($A574,'PEER GROUP'!$A:$A,0))</f>
        <v>0</v>
      </c>
      <c r="C574" s="83">
        <f>INDEX('PEER GROUP'!C:C,MATCH($A574,'PEER GROUP'!$A:$A,0))</f>
        <v>0</v>
      </c>
      <c r="D574" s="83">
        <f>INDEX('PEER GROUP'!D:D,MATCH($A574,'PEER GROUP'!$A:$A,0))</f>
        <v>0</v>
      </c>
      <c r="E574" s="83">
        <f>INDEX('PEER GROUP'!E:E,MATCH(A574,'PEER GROUP'!$A:$A,0))</f>
        <v>0</v>
      </c>
      <c r="F574" s="84">
        <f>INDEX('PEER GROUP'!F:F,MATCH($A574,'PEER GROUP'!$A:$A,0))</f>
        <v>0</v>
      </c>
      <c r="G574" s="84">
        <f>INDEX('PEER GROUP'!G:G,MATCH($A574,'PEER GROUP'!$A:$A,0))</f>
        <v>0</v>
      </c>
      <c r="H574" s="85"/>
      <c r="I574" s="85"/>
      <c r="J574" s="70">
        <f>INDEX('PEER GROUP'!K:K,MATCH($A574,'PEER GROUP'!$A:$A,0))</f>
        <v>0</v>
      </c>
      <c r="K574" s="70">
        <f>INDEX('PEER GROUP'!L:L,MATCH($A574,'PEER GROUP'!$A:$A,0))</f>
        <v>0</v>
      </c>
      <c r="L574" s="81">
        <f>INDEX('PEER GROUP'!N:N,MATCH($A574,'PEER GROUP'!$A:$A,0))</f>
        <v>0</v>
      </c>
      <c r="M574" s="118"/>
      <c r="N574" s="115"/>
      <c r="O574" s="117"/>
      <c r="P574" s="87"/>
      <c r="Q574" s="87"/>
      <c r="R574" s="87">
        <f t="shared" si="80"/>
        <v>0</v>
      </c>
      <c r="S574" s="113">
        <f t="shared" si="78"/>
        <v>36.913096727263202</v>
      </c>
      <c r="T574" s="69">
        <f t="shared" si="81"/>
        <v>0</v>
      </c>
      <c r="U574" s="70">
        <f t="shared" si="82"/>
        <v>0</v>
      </c>
      <c r="V574" s="70">
        <f t="shared" si="83"/>
        <v>0</v>
      </c>
      <c r="W574" s="71">
        <f t="shared" si="84"/>
        <v>0</v>
      </c>
      <c r="X574" s="49"/>
      <c r="Y574" s="151"/>
      <c r="Z574" s="69"/>
      <c r="AA574" s="70"/>
      <c r="AB574" s="70"/>
      <c r="AC574" s="70" t="str">
        <f t="shared" si="85"/>
        <v>---</v>
      </c>
      <c r="AD574" s="70" t="str">
        <f>IFERROR(P574/#REF!-1,"---")</f>
        <v>---</v>
      </c>
      <c r="AE574" s="70" t="str">
        <f>IFERROR(#REF!/#REF!-1,"---")</f>
        <v>---</v>
      </c>
      <c r="AF574" s="70" t="str">
        <f>IFERROR(Q574/#REF!-1,"---")</f>
        <v>---</v>
      </c>
      <c r="AG574" s="70" t="str">
        <f>IFERROR(#REF!/#REF!-1,"---")</f>
        <v>---</v>
      </c>
      <c r="AH574" s="70" t="str">
        <f>IFERROR(#REF!/AA574-1,"---")</f>
        <v>---</v>
      </c>
      <c r="AI574" s="71" t="str">
        <f t="shared" si="86"/>
        <v>---</v>
      </c>
    </row>
    <row r="575" spans="1:35" ht="30" customHeight="1" x14ac:dyDescent="0.3">
      <c r="A575" s="123">
        <f t="shared" si="79"/>
        <v>571</v>
      </c>
      <c r="B575" s="140">
        <f>INDEX('PEER GROUP'!B:B,MATCH($A575,'PEER GROUP'!$A:$A,0))</f>
        <v>0</v>
      </c>
      <c r="C575" s="83">
        <f>INDEX('PEER GROUP'!C:C,MATCH($A575,'PEER GROUP'!$A:$A,0))</f>
        <v>0</v>
      </c>
      <c r="D575" s="83">
        <f>INDEX('PEER GROUP'!D:D,MATCH($A575,'PEER GROUP'!$A:$A,0))</f>
        <v>0</v>
      </c>
      <c r="E575" s="83">
        <f>INDEX('PEER GROUP'!E:E,MATCH(A575,'PEER GROUP'!$A:$A,0))</f>
        <v>0</v>
      </c>
      <c r="F575" s="84">
        <f>INDEX('PEER GROUP'!F:F,MATCH($A575,'PEER GROUP'!$A:$A,0))</f>
        <v>0</v>
      </c>
      <c r="G575" s="84">
        <f>INDEX('PEER GROUP'!G:G,MATCH($A575,'PEER GROUP'!$A:$A,0))</f>
        <v>0</v>
      </c>
      <c r="H575" s="85"/>
      <c r="I575" s="85"/>
      <c r="J575" s="70">
        <f>INDEX('PEER GROUP'!K:K,MATCH($A575,'PEER GROUP'!$A:$A,0))</f>
        <v>0</v>
      </c>
      <c r="K575" s="70">
        <f>INDEX('PEER GROUP'!L:L,MATCH($A575,'PEER GROUP'!$A:$A,0))</f>
        <v>0</v>
      </c>
      <c r="L575" s="81">
        <f>INDEX('PEER GROUP'!N:N,MATCH($A575,'PEER GROUP'!$A:$A,0))</f>
        <v>0</v>
      </c>
      <c r="M575" s="118"/>
      <c r="N575" s="115"/>
      <c r="O575" s="117"/>
      <c r="P575" s="87"/>
      <c r="Q575" s="87"/>
      <c r="R575" s="87">
        <f t="shared" si="80"/>
        <v>0</v>
      </c>
      <c r="S575" s="113">
        <f t="shared" si="78"/>
        <v>36.913096727263202</v>
      </c>
      <c r="T575" s="69">
        <f t="shared" si="81"/>
        <v>0</v>
      </c>
      <c r="U575" s="70">
        <f t="shared" si="82"/>
        <v>0</v>
      </c>
      <c r="V575" s="70">
        <f t="shared" si="83"/>
        <v>0</v>
      </c>
      <c r="W575" s="71">
        <f t="shared" si="84"/>
        <v>0</v>
      </c>
      <c r="X575" s="49"/>
      <c r="Y575" s="151"/>
      <c r="Z575" s="69"/>
      <c r="AA575" s="70"/>
      <c r="AB575" s="70"/>
      <c r="AC575" s="70" t="str">
        <f t="shared" si="85"/>
        <v>---</v>
      </c>
      <c r="AD575" s="70" t="str">
        <f>IFERROR(P575/#REF!-1,"---")</f>
        <v>---</v>
      </c>
      <c r="AE575" s="70" t="str">
        <f>IFERROR(#REF!/#REF!-1,"---")</f>
        <v>---</v>
      </c>
      <c r="AF575" s="70" t="str">
        <f>IFERROR(Q575/#REF!-1,"---")</f>
        <v>---</v>
      </c>
      <c r="AG575" s="70" t="str">
        <f>IFERROR(#REF!/#REF!-1,"---")</f>
        <v>---</v>
      </c>
      <c r="AH575" s="70" t="str">
        <f>IFERROR(#REF!/AA575-1,"---")</f>
        <v>---</v>
      </c>
      <c r="AI575" s="71" t="str">
        <f t="shared" si="86"/>
        <v>---</v>
      </c>
    </row>
    <row r="576" spans="1:35" ht="30" customHeight="1" x14ac:dyDescent="0.3">
      <c r="A576" s="123">
        <f t="shared" si="79"/>
        <v>572</v>
      </c>
      <c r="B576" s="140">
        <f>INDEX('PEER GROUP'!B:B,MATCH($A576,'PEER GROUP'!$A:$A,0))</f>
        <v>0</v>
      </c>
      <c r="C576" s="83">
        <f>INDEX('PEER GROUP'!C:C,MATCH($A576,'PEER GROUP'!$A:$A,0))</f>
        <v>0</v>
      </c>
      <c r="D576" s="83">
        <f>INDEX('PEER GROUP'!D:D,MATCH($A576,'PEER GROUP'!$A:$A,0))</f>
        <v>0</v>
      </c>
      <c r="E576" s="83">
        <f>INDEX('PEER GROUP'!E:E,MATCH(A576,'PEER GROUP'!$A:$A,0))</f>
        <v>0</v>
      </c>
      <c r="F576" s="84">
        <f>INDEX('PEER GROUP'!F:F,MATCH($A576,'PEER GROUP'!$A:$A,0))</f>
        <v>0</v>
      </c>
      <c r="G576" s="84">
        <f>INDEX('PEER GROUP'!G:G,MATCH($A576,'PEER GROUP'!$A:$A,0))</f>
        <v>0</v>
      </c>
      <c r="H576" s="85"/>
      <c r="I576" s="85"/>
      <c r="J576" s="70">
        <f>INDEX('PEER GROUP'!K:K,MATCH($A576,'PEER GROUP'!$A:$A,0))</f>
        <v>0</v>
      </c>
      <c r="K576" s="70">
        <f>INDEX('PEER GROUP'!L:L,MATCH($A576,'PEER GROUP'!$A:$A,0))</f>
        <v>0</v>
      </c>
      <c r="L576" s="81">
        <f>INDEX('PEER GROUP'!N:N,MATCH($A576,'PEER GROUP'!$A:$A,0))</f>
        <v>0</v>
      </c>
      <c r="M576" s="118"/>
      <c r="N576" s="115"/>
      <c r="O576" s="117"/>
      <c r="P576" s="87"/>
      <c r="Q576" s="87"/>
      <c r="R576" s="87">
        <f t="shared" si="80"/>
        <v>0</v>
      </c>
      <c r="S576" s="113">
        <f t="shared" si="78"/>
        <v>36.913096727263202</v>
      </c>
      <c r="T576" s="69">
        <f t="shared" si="81"/>
        <v>0</v>
      </c>
      <c r="U576" s="70">
        <f t="shared" si="82"/>
        <v>0</v>
      </c>
      <c r="V576" s="70">
        <f t="shared" si="83"/>
        <v>0</v>
      </c>
      <c r="W576" s="71">
        <f t="shared" si="84"/>
        <v>0</v>
      </c>
      <c r="X576" s="49"/>
      <c r="Y576" s="151"/>
      <c r="Z576" s="69"/>
      <c r="AA576" s="70"/>
      <c r="AB576" s="70"/>
      <c r="AC576" s="70" t="str">
        <f t="shared" si="85"/>
        <v>---</v>
      </c>
      <c r="AD576" s="70" t="str">
        <f>IFERROR(P576/#REF!-1,"---")</f>
        <v>---</v>
      </c>
      <c r="AE576" s="70" t="str">
        <f>IFERROR(#REF!/#REF!-1,"---")</f>
        <v>---</v>
      </c>
      <c r="AF576" s="70" t="str">
        <f>IFERROR(Q576/#REF!-1,"---")</f>
        <v>---</v>
      </c>
      <c r="AG576" s="70" t="str">
        <f>IFERROR(#REF!/#REF!-1,"---")</f>
        <v>---</v>
      </c>
      <c r="AH576" s="70" t="str">
        <f>IFERROR(#REF!/AA576-1,"---")</f>
        <v>---</v>
      </c>
      <c r="AI576" s="71" t="str">
        <f t="shared" si="86"/>
        <v>---</v>
      </c>
    </row>
    <row r="577" spans="1:35" ht="30" customHeight="1" x14ac:dyDescent="0.3">
      <c r="A577" s="123">
        <f t="shared" si="79"/>
        <v>573</v>
      </c>
      <c r="B577" s="140">
        <f>INDEX('PEER GROUP'!B:B,MATCH($A577,'PEER GROUP'!$A:$A,0))</f>
        <v>0</v>
      </c>
      <c r="C577" s="83">
        <f>INDEX('PEER GROUP'!C:C,MATCH($A577,'PEER GROUP'!$A:$A,0))</f>
        <v>0</v>
      </c>
      <c r="D577" s="83">
        <f>INDEX('PEER GROUP'!D:D,MATCH($A577,'PEER GROUP'!$A:$A,0))</f>
        <v>0</v>
      </c>
      <c r="E577" s="83">
        <f>INDEX('PEER GROUP'!E:E,MATCH(A577,'PEER GROUP'!$A:$A,0))</f>
        <v>0</v>
      </c>
      <c r="F577" s="84">
        <f>INDEX('PEER GROUP'!F:F,MATCH($A577,'PEER GROUP'!$A:$A,0))</f>
        <v>0</v>
      </c>
      <c r="G577" s="84">
        <f>INDEX('PEER GROUP'!G:G,MATCH($A577,'PEER GROUP'!$A:$A,0))</f>
        <v>0</v>
      </c>
      <c r="H577" s="85"/>
      <c r="I577" s="85"/>
      <c r="J577" s="70">
        <f>INDEX('PEER GROUP'!K:K,MATCH($A577,'PEER GROUP'!$A:$A,0))</f>
        <v>0</v>
      </c>
      <c r="K577" s="70">
        <f>INDEX('PEER GROUP'!L:L,MATCH($A577,'PEER GROUP'!$A:$A,0))</f>
        <v>0</v>
      </c>
      <c r="L577" s="81">
        <f>INDEX('PEER GROUP'!N:N,MATCH($A577,'PEER GROUP'!$A:$A,0))</f>
        <v>0</v>
      </c>
      <c r="M577" s="118"/>
      <c r="N577" s="115"/>
      <c r="O577" s="117"/>
      <c r="P577" s="87"/>
      <c r="Q577" s="87"/>
      <c r="R577" s="87">
        <f t="shared" si="80"/>
        <v>0</v>
      </c>
      <c r="S577" s="113">
        <f t="shared" si="78"/>
        <v>36.913096727263202</v>
      </c>
      <c r="T577" s="69">
        <f t="shared" si="81"/>
        <v>0</v>
      </c>
      <c r="U577" s="70">
        <f t="shared" si="82"/>
        <v>0</v>
      </c>
      <c r="V577" s="70">
        <f t="shared" si="83"/>
        <v>0</v>
      </c>
      <c r="W577" s="71">
        <f t="shared" si="84"/>
        <v>0</v>
      </c>
      <c r="X577" s="49"/>
      <c r="Y577" s="151"/>
      <c r="Z577" s="69"/>
      <c r="AA577" s="70"/>
      <c r="AB577" s="70"/>
      <c r="AC577" s="70" t="str">
        <f t="shared" si="85"/>
        <v>---</v>
      </c>
      <c r="AD577" s="70" t="str">
        <f>IFERROR(P577/#REF!-1,"---")</f>
        <v>---</v>
      </c>
      <c r="AE577" s="70" t="str">
        <f>IFERROR(#REF!/#REF!-1,"---")</f>
        <v>---</v>
      </c>
      <c r="AF577" s="70" t="str">
        <f>IFERROR(Q577/#REF!-1,"---")</f>
        <v>---</v>
      </c>
      <c r="AG577" s="70" t="str">
        <f>IFERROR(#REF!/#REF!-1,"---")</f>
        <v>---</v>
      </c>
      <c r="AH577" s="70" t="str">
        <f>IFERROR(#REF!/AA577-1,"---")</f>
        <v>---</v>
      </c>
      <c r="AI577" s="71" t="str">
        <f t="shared" si="86"/>
        <v>---</v>
      </c>
    </row>
    <row r="578" spans="1:35" ht="30" customHeight="1" x14ac:dyDescent="0.3">
      <c r="A578" s="123">
        <f t="shared" si="79"/>
        <v>574</v>
      </c>
      <c r="B578" s="140">
        <f>INDEX('PEER GROUP'!B:B,MATCH($A578,'PEER GROUP'!$A:$A,0))</f>
        <v>0</v>
      </c>
      <c r="C578" s="83">
        <f>INDEX('PEER GROUP'!C:C,MATCH($A578,'PEER GROUP'!$A:$A,0))</f>
        <v>0</v>
      </c>
      <c r="D578" s="83">
        <f>INDEX('PEER GROUP'!D:D,MATCH($A578,'PEER GROUP'!$A:$A,0))</f>
        <v>0</v>
      </c>
      <c r="E578" s="83">
        <f>INDEX('PEER GROUP'!E:E,MATCH(A578,'PEER GROUP'!$A:$A,0))</f>
        <v>0</v>
      </c>
      <c r="F578" s="84">
        <f>INDEX('PEER GROUP'!F:F,MATCH($A578,'PEER GROUP'!$A:$A,0))</f>
        <v>0</v>
      </c>
      <c r="G578" s="84">
        <f>INDEX('PEER GROUP'!G:G,MATCH($A578,'PEER GROUP'!$A:$A,0))</f>
        <v>0</v>
      </c>
      <c r="H578" s="85"/>
      <c r="I578" s="85"/>
      <c r="J578" s="70">
        <f>INDEX('PEER GROUP'!K:K,MATCH($A578,'PEER GROUP'!$A:$A,0))</f>
        <v>0</v>
      </c>
      <c r="K578" s="70">
        <f>INDEX('PEER GROUP'!L:L,MATCH($A578,'PEER GROUP'!$A:$A,0))</f>
        <v>0</v>
      </c>
      <c r="L578" s="81">
        <f>INDEX('PEER GROUP'!N:N,MATCH($A578,'PEER GROUP'!$A:$A,0))</f>
        <v>0</v>
      </c>
      <c r="M578" s="118"/>
      <c r="N578" s="115"/>
      <c r="O578" s="117"/>
      <c r="P578" s="87"/>
      <c r="Q578" s="87"/>
      <c r="R578" s="87">
        <f t="shared" si="80"/>
        <v>0</v>
      </c>
      <c r="S578" s="113">
        <f t="shared" si="78"/>
        <v>36.913096727263202</v>
      </c>
      <c r="T578" s="69">
        <f t="shared" si="81"/>
        <v>0</v>
      </c>
      <c r="U578" s="70">
        <f t="shared" si="82"/>
        <v>0</v>
      </c>
      <c r="V578" s="70">
        <f t="shared" si="83"/>
        <v>0</v>
      </c>
      <c r="W578" s="71">
        <f t="shared" si="84"/>
        <v>0</v>
      </c>
      <c r="X578" s="49"/>
      <c r="Y578" s="151"/>
      <c r="Z578" s="69"/>
      <c r="AA578" s="70"/>
      <c r="AB578" s="70"/>
      <c r="AC578" s="70" t="str">
        <f t="shared" si="85"/>
        <v>---</v>
      </c>
      <c r="AD578" s="70" t="str">
        <f>IFERROR(P578/#REF!-1,"---")</f>
        <v>---</v>
      </c>
      <c r="AE578" s="70" t="str">
        <f>IFERROR(#REF!/#REF!-1,"---")</f>
        <v>---</v>
      </c>
      <c r="AF578" s="70" t="str">
        <f>IFERROR(Q578/#REF!-1,"---")</f>
        <v>---</v>
      </c>
      <c r="AG578" s="70" t="str">
        <f>IFERROR(#REF!/#REF!-1,"---")</f>
        <v>---</v>
      </c>
      <c r="AH578" s="70" t="str">
        <f>IFERROR(#REF!/AA578-1,"---")</f>
        <v>---</v>
      </c>
      <c r="AI578" s="71" t="str">
        <f t="shared" si="86"/>
        <v>---</v>
      </c>
    </row>
    <row r="579" spans="1:35" ht="30" customHeight="1" x14ac:dyDescent="0.3">
      <c r="A579" s="123">
        <f t="shared" si="79"/>
        <v>575</v>
      </c>
      <c r="B579" s="140">
        <f>INDEX('PEER GROUP'!B:B,MATCH($A579,'PEER GROUP'!$A:$A,0))</f>
        <v>0</v>
      </c>
      <c r="C579" s="83">
        <f>INDEX('PEER GROUP'!C:C,MATCH($A579,'PEER GROUP'!$A:$A,0))</f>
        <v>0</v>
      </c>
      <c r="D579" s="83">
        <f>INDEX('PEER GROUP'!D:D,MATCH($A579,'PEER GROUP'!$A:$A,0))</f>
        <v>0</v>
      </c>
      <c r="E579" s="83">
        <f>INDEX('PEER GROUP'!E:E,MATCH(A579,'PEER GROUP'!$A:$A,0))</f>
        <v>0</v>
      </c>
      <c r="F579" s="84">
        <f>INDEX('PEER GROUP'!F:F,MATCH($A579,'PEER GROUP'!$A:$A,0))</f>
        <v>0</v>
      </c>
      <c r="G579" s="84">
        <f>INDEX('PEER GROUP'!G:G,MATCH($A579,'PEER GROUP'!$A:$A,0))</f>
        <v>0</v>
      </c>
      <c r="H579" s="85"/>
      <c r="I579" s="85"/>
      <c r="J579" s="70">
        <f>INDEX('PEER GROUP'!K:K,MATCH($A579,'PEER GROUP'!$A:$A,0))</f>
        <v>0</v>
      </c>
      <c r="K579" s="70">
        <f>INDEX('PEER GROUP'!L:L,MATCH($A579,'PEER GROUP'!$A:$A,0))</f>
        <v>0</v>
      </c>
      <c r="L579" s="81">
        <f>INDEX('PEER GROUP'!N:N,MATCH($A579,'PEER GROUP'!$A:$A,0))</f>
        <v>0</v>
      </c>
      <c r="M579" s="118"/>
      <c r="N579" s="115"/>
      <c r="O579" s="117"/>
      <c r="P579" s="87"/>
      <c r="Q579" s="87"/>
      <c r="R579" s="87">
        <f t="shared" si="80"/>
        <v>0</v>
      </c>
      <c r="S579" s="113">
        <f t="shared" si="78"/>
        <v>36.913096727263202</v>
      </c>
      <c r="T579" s="69">
        <f t="shared" si="81"/>
        <v>0</v>
      </c>
      <c r="U579" s="70">
        <f t="shared" si="82"/>
        <v>0</v>
      </c>
      <c r="V579" s="70">
        <f t="shared" si="83"/>
        <v>0</v>
      </c>
      <c r="W579" s="71">
        <f t="shared" si="84"/>
        <v>0</v>
      </c>
      <c r="X579" s="49"/>
      <c r="Y579" s="151"/>
      <c r="Z579" s="69"/>
      <c r="AA579" s="70"/>
      <c r="AB579" s="70"/>
      <c r="AC579" s="70" t="str">
        <f t="shared" si="85"/>
        <v>---</v>
      </c>
      <c r="AD579" s="70" t="str">
        <f>IFERROR(P579/#REF!-1,"---")</f>
        <v>---</v>
      </c>
      <c r="AE579" s="70" t="str">
        <f>IFERROR(#REF!/#REF!-1,"---")</f>
        <v>---</v>
      </c>
      <c r="AF579" s="70" t="str">
        <f>IFERROR(Q579/#REF!-1,"---")</f>
        <v>---</v>
      </c>
      <c r="AG579" s="70" t="str">
        <f>IFERROR(#REF!/#REF!-1,"---")</f>
        <v>---</v>
      </c>
      <c r="AH579" s="70" t="str">
        <f>IFERROR(#REF!/AA579-1,"---")</f>
        <v>---</v>
      </c>
      <c r="AI579" s="71" t="str">
        <f t="shared" si="86"/>
        <v>---</v>
      </c>
    </row>
    <row r="580" spans="1:35" ht="30" customHeight="1" x14ac:dyDescent="0.3">
      <c r="A580" s="123">
        <f t="shared" si="79"/>
        <v>576</v>
      </c>
      <c r="B580" s="140">
        <f>INDEX('PEER GROUP'!B:B,MATCH($A580,'PEER GROUP'!$A:$A,0))</f>
        <v>0</v>
      </c>
      <c r="C580" s="83">
        <f>INDEX('PEER GROUP'!C:C,MATCH($A580,'PEER GROUP'!$A:$A,0))</f>
        <v>0</v>
      </c>
      <c r="D580" s="83">
        <f>INDEX('PEER GROUP'!D:D,MATCH($A580,'PEER GROUP'!$A:$A,0))</f>
        <v>0</v>
      </c>
      <c r="E580" s="83">
        <f>INDEX('PEER GROUP'!E:E,MATCH(A580,'PEER GROUP'!$A:$A,0))</f>
        <v>0</v>
      </c>
      <c r="F580" s="84">
        <f>INDEX('PEER GROUP'!F:F,MATCH($A580,'PEER GROUP'!$A:$A,0))</f>
        <v>0</v>
      </c>
      <c r="G580" s="84">
        <f>INDEX('PEER GROUP'!G:G,MATCH($A580,'PEER GROUP'!$A:$A,0))</f>
        <v>0</v>
      </c>
      <c r="H580" s="85"/>
      <c r="I580" s="85"/>
      <c r="J580" s="70">
        <f>INDEX('PEER GROUP'!K:K,MATCH($A580,'PEER GROUP'!$A:$A,0))</f>
        <v>0</v>
      </c>
      <c r="K580" s="70">
        <f>INDEX('PEER GROUP'!L:L,MATCH($A580,'PEER GROUP'!$A:$A,0))</f>
        <v>0</v>
      </c>
      <c r="L580" s="81">
        <f>INDEX('PEER GROUP'!N:N,MATCH($A580,'PEER GROUP'!$A:$A,0))</f>
        <v>0</v>
      </c>
      <c r="M580" s="118"/>
      <c r="N580" s="115"/>
      <c r="O580" s="117"/>
      <c r="P580" s="87"/>
      <c r="Q580" s="87"/>
      <c r="R580" s="87">
        <f t="shared" si="80"/>
        <v>0</v>
      </c>
      <c r="S580" s="113">
        <f t="shared" si="78"/>
        <v>36.913096727263202</v>
      </c>
      <c r="T580" s="69">
        <f t="shared" si="81"/>
        <v>0</v>
      </c>
      <c r="U580" s="70">
        <f t="shared" si="82"/>
        <v>0</v>
      </c>
      <c r="V580" s="70">
        <f t="shared" si="83"/>
        <v>0</v>
      </c>
      <c r="W580" s="71">
        <f t="shared" si="84"/>
        <v>0</v>
      </c>
      <c r="X580" s="49"/>
      <c r="Y580" s="151"/>
      <c r="Z580" s="69"/>
      <c r="AA580" s="70"/>
      <c r="AB580" s="70"/>
      <c r="AC580" s="70" t="str">
        <f t="shared" si="85"/>
        <v>---</v>
      </c>
      <c r="AD580" s="70" t="str">
        <f>IFERROR(P580/#REF!-1,"---")</f>
        <v>---</v>
      </c>
      <c r="AE580" s="70" t="str">
        <f>IFERROR(#REF!/#REF!-1,"---")</f>
        <v>---</v>
      </c>
      <c r="AF580" s="70" t="str">
        <f>IFERROR(Q580/#REF!-1,"---")</f>
        <v>---</v>
      </c>
      <c r="AG580" s="70" t="str">
        <f>IFERROR(#REF!/#REF!-1,"---")</f>
        <v>---</v>
      </c>
      <c r="AH580" s="70" t="str">
        <f>IFERROR(#REF!/AA580-1,"---")</f>
        <v>---</v>
      </c>
      <c r="AI580" s="71" t="str">
        <f t="shared" si="86"/>
        <v>---</v>
      </c>
    </row>
    <row r="581" spans="1:35" ht="30" customHeight="1" x14ac:dyDescent="0.3">
      <c r="A581" s="123">
        <f t="shared" si="79"/>
        <v>577</v>
      </c>
      <c r="B581" s="140">
        <f>INDEX('PEER GROUP'!B:B,MATCH($A581,'PEER GROUP'!$A:$A,0))</f>
        <v>0</v>
      </c>
      <c r="C581" s="83">
        <f>INDEX('PEER GROUP'!C:C,MATCH($A581,'PEER GROUP'!$A:$A,0))</f>
        <v>0</v>
      </c>
      <c r="D581" s="83">
        <f>INDEX('PEER GROUP'!D:D,MATCH($A581,'PEER GROUP'!$A:$A,0))</f>
        <v>0</v>
      </c>
      <c r="E581" s="83">
        <f>INDEX('PEER GROUP'!E:E,MATCH(A581,'PEER GROUP'!$A:$A,0))</f>
        <v>0</v>
      </c>
      <c r="F581" s="84">
        <f>INDEX('PEER GROUP'!F:F,MATCH($A581,'PEER GROUP'!$A:$A,0))</f>
        <v>0</v>
      </c>
      <c r="G581" s="84">
        <f>INDEX('PEER GROUP'!G:G,MATCH($A581,'PEER GROUP'!$A:$A,0))</f>
        <v>0</v>
      </c>
      <c r="H581" s="85"/>
      <c r="I581" s="85"/>
      <c r="J581" s="70">
        <f>INDEX('PEER GROUP'!K:K,MATCH($A581,'PEER GROUP'!$A:$A,0))</f>
        <v>0</v>
      </c>
      <c r="K581" s="70">
        <f>INDEX('PEER GROUP'!L:L,MATCH($A581,'PEER GROUP'!$A:$A,0))</f>
        <v>0</v>
      </c>
      <c r="L581" s="81">
        <f>INDEX('PEER GROUP'!N:N,MATCH($A581,'PEER GROUP'!$A:$A,0))</f>
        <v>0</v>
      </c>
      <c r="M581" s="118"/>
      <c r="N581" s="115"/>
      <c r="O581" s="117"/>
      <c r="P581" s="87"/>
      <c r="Q581" s="87"/>
      <c r="R581" s="87">
        <f t="shared" si="80"/>
        <v>0</v>
      </c>
      <c r="S581" s="113">
        <f t="shared" si="78"/>
        <v>36.913096727263202</v>
      </c>
      <c r="T581" s="69">
        <f t="shared" si="81"/>
        <v>0</v>
      </c>
      <c r="U581" s="70">
        <f t="shared" si="82"/>
        <v>0</v>
      </c>
      <c r="V581" s="70">
        <f t="shared" si="83"/>
        <v>0</v>
      </c>
      <c r="W581" s="71">
        <f t="shared" si="84"/>
        <v>0</v>
      </c>
      <c r="X581" s="49"/>
      <c r="Y581" s="151"/>
      <c r="Z581" s="69"/>
      <c r="AA581" s="70"/>
      <c r="AB581" s="70"/>
      <c r="AC581" s="70" t="str">
        <f t="shared" si="85"/>
        <v>---</v>
      </c>
      <c r="AD581" s="70" t="str">
        <f>IFERROR(P581/#REF!-1,"---")</f>
        <v>---</v>
      </c>
      <c r="AE581" s="70" t="str">
        <f>IFERROR(#REF!/#REF!-1,"---")</f>
        <v>---</v>
      </c>
      <c r="AF581" s="70" t="str">
        <f>IFERROR(Q581/#REF!-1,"---")</f>
        <v>---</v>
      </c>
      <c r="AG581" s="70" t="str">
        <f>IFERROR(#REF!/#REF!-1,"---")</f>
        <v>---</v>
      </c>
      <c r="AH581" s="70" t="str">
        <f>IFERROR(#REF!/AA581-1,"---")</f>
        <v>---</v>
      </c>
      <c r="AI581" s="71" t="str">
        <f t="shared" si="86"/>
        <v>---</v>
      </c>
    </row>
    <row r="582" spans="1:35" ht="30" customHeight="1" x14ac:dyDescent="0.3">
      <c r="A582" s="123">
        <f t="shared" si="79"/>
        <v>578</v>
      </c>
      <c r="B582" s="140">
        <f>INDEX('PEER GROUP'!B:B,MATCH($A582,'PEER GROUP'!$A:$A,0))</f>
        <v>0</v>
      </c>
      <c r="C582" s="83">
        <f>INDEX('PEER GROUP'!C:C,MATCH($A582,'PEER GROUP'!$A:$A,0))</f>
        <v>0</v>
      </c>
      <c r="D582" s="83">
        <f>INDEX('PEER GROUP'!D:D,MATCH($A582,'PEER GROUP'!$A:$A,0))</f>
        <v>0</v>
      </c>
      <c r="E582" s="83">
        <f>INDEX('PEER GROUP'!E:E,MATCH(A582,'PEER GROUP'!$A:$A,0))</f>
        <v>0</v>
      </c>
      <c r="F582" s="84">
        <f>INDEX('PEER GROUP'!F:F,MATCH($A582,'PEER GROUP'!$A:$A,0))</f>
        <v>0</v>
      </c>
      <c r="G582" s="84">
        <f>INDEX('PEER GROUP'!G:G,MATCH($A582,'PEER GROUP'!$A:$A,0))</f>
        <v>0</v>
      </c>
      <c r="H582" s="85"/>
      <c r="I582" s="85"/>
      <c r="J582" s="70">
        <f>INDEX('PEER GROUP'!K:K,MATCH($A582,'PEER GROUP'!$A:$A,0))</f>
        <v>0</v>
      </c>
      <c r="K582" s="70">
        <f>INDEX('PEER GROUP'!L:L,MATCH($A582,'PEER GROUP'!$A:$A,0))</f>
        <v>0</v>
      </c>
      <c r="L582" s="81">
        <f>INDEX('PEER GROUP'!N:N,MATCH($A582,'PEER GROUP'!$A:$A,0))</f>
        <v>0</v>
      </c>
      <c r="M582" s="118"/>
      <c r="N582" s="115"/>
      <c r="O582" s="117"/>
      <c r="P582" s="87"/>
      <c r="Q582" s="87"/>
      <c r="R582" s="87">
        <f t="shared" si="80"/>
        <v>0</v>
      </c>
      <c r="S582" s="113">
        <f t="shared" si="78"/>
        <v>36.913096727263202</v>
      </c>
      <c r="T582" s="69">
        <f t="shared" si="81"/>
        <v>0</v>
      </c>
      <c r="U582" s="70">
        <f t="shared" si="82"/>
        <v>0</v>
      </c>
      <c r="V582" s="70">
        <f t="shared" si="83"/>
        <v>0</v>
      </c>
      <c r="W582" s="71">
        <f t="shared" si="84"/>
        <v>0</v>
      </c>
      <c r="X582" s="49"/>
      <c r="Y582" s="151"/>
      <c r="Z582" s="69"/>
      <c r="AA582" s="70"/>
      <c r="AB582" s="70"/>
      <c r="AC582" s="70" t="str">
        <f t="shared" si="85"/>
        <v>---</v>
      </c>
      <c r="AD582" s="70" t="str">
        <f>IFERROR(P582/#REF!-1,"---")</f>
        <v>---</v>
      </c>
      <c r="AE582" s="70" t="str">
        <f>IFERROR(#REF!/#REF!-1,"---")</f>
        <v>---</v>
      </c>
      <c r="AF582" s="70" t="str">
        <f>IFERROR(Q582/#REF!-1,"---")</f>
        <v>---</v>
      </c>
      <c r="AG582" s="70" t="str">
        <f>IFERROR(#REF!/#REF!-1,"---")</f>
        <v>---</v>
      </c>
      <c r="AH582" s="70" t="str">
        <f>IFERROR(#REF!/AA582-1,"---")</f>
        <v>---</v>
      </c>
      <c r="AI582" s="71" t="str">
        <f t="shared" si="86"/>
        <v>---</v>
      </c>
    </row>
    <row r="583" spans="1:35" ht="30" customHeight="1" x14ac:dyDescent="0.3">
      <c r="A583" s="123">
        <f t="shared" si="79"/>
        <v>579</v>
      </c>
      <c r="B583" s="140">
        <f>INDEX('PEER GROUP'!B:B,MATCH($A583,'PEER GROUP'!$A:$A,0))</f>
        <v>0</v>
      </c>
      <c r="C583" s="83">
        <f>INDEX('PEER GROUP'!C:C,MATCH($A583,'PEER GROUP'!$A:$A,0))</f>
        <v>0</v>
      </c>
      <c r="D583" s="83">
        <f>INDEX('PEER GROUP'!D:D,MATCH($A583,'PEER GROUP'!$A:$A,0))</f>
        <v>0</v>
      </c>
      <c r="E583" s="83">
        <f>INDEX('PEER GROUP'!E:E,MATCH(A583,'PEER GROUP'!$A:$A,0))</f>
        <v>0</v>
      </c>
      <c r="F583" s="84">
        <f>INDEX('PEER GROUP'!F:F,MATCH($A583,'PEER GROUP'!$A:$A,0))</f>
        <v>0</v>
      </c>
      <c r="G583" s="84">
        <f>INDEX('PEER GROUP'!G:G,MATCH($A583,'PEER GROUP'!$A:$A,0))</f>
        <v>0</v>
      </c>
      <c r="H583" s="85"/>
      <c r="I583" s="85"/>
      <c r="J583" s="70">
        <f>INDEX('PEER GROUP'!K:K,MATCH($A583,'PEER GROUP'!$A:$A,0))</f>
        <v>0</v>
      </c>
      <c r="K583" s="70">
        <f>INDEX('PEER GROUP'!L:L,MATCH($A583,'PEER GROUP'!$A:$A,0))</f>
        <v>0</v>
      </c>
      <c r="L583" s="81">
        <f>INDEX('PEER GROUP'!N:N,MATCH($A583,'PEER GROUP'!$A:$A,0))</f>
        <v>0</v>
      </c>
      <c r="M583" s="118"/>
      <c r="N583" s="115"/>
      <c r="O583" s="117"/>
      <c r="P583" s="87"/>
      <c r="Q583" s="87"/>
      <c r="R583" s="87">
        <f t="shared" si="80"/>
        <v>0</v>
      </c>
      <c r="S583" s="113">
        <f t="shared" si="78"/>
        <v>36.913096727263202</v>
      </c>
      <c r="T583" s="69">
        <f t="shared" si="81"/>
        <v>0</v>
      </c>
      <c r="U583" s="70">
        <f t="shared" si="82"/>
        <v>0</v>
      </c>
      <c r="V583" s="70">
        <f t="shared" si="83"/>
        <v>0</v>
      </c>
      <c r="W583" s="71">
        <f t="shared" si="84"/>
        <v>0</v>
      </c>
      <c r="X583" s="49"/>
      <c r="Y583" s="151"/>
      <c r="Z583" s="69"/>
      <c r="AA583" s="70"/>
      <c r="AB583" s="70"/>
      <c r="AC583" s="70" t="str">
        <f t="shared" si="85"/>
        <v>---</v>
      </c>
      <c r="AD583" s="70" t="str">
        <f>IFERROR(P583/#REF!-1,"---")</f>
        <v>---</v>
      </c>
      <c r="AE583" s="70" t="str">
        <f>IFERROR(#REF!/#REF!-1,"---")</f>
        <v>---</v>
      </c>
      <c r="AF583" s="70" t="str">
        <f>IFERROR(Q583/#REF!-1,"---")</f>
        <v>---</v>
      </c>
      <c r="AG583" s="70" t="str">
        <f>IFERROR(#REF!/#REF!-1,"---")</f>
        <v>---</v>
      </c>
      <c r="AH583" s="70" t="str">
        <f>IFERROR(#REF!/AA583-1,"---")</f>
        <v>---</v>
      </c>
      <c r="AI583" s="71" t="str">
        <f t="shared" si="86"/>
        <v>---</v>
      </c>
    </row>
    <row r="584" spans="1:35" ht="30" customHeight="1" x14ac:dyDescent="0.3">
      <c r="A584" s="123">
        <f t="shared" si="79"/>
        <v>580</v>
      </c>
      <c r="B584" s="140">
        <f>INDEX('PEER GROUP'!B:B,MATCH($A584,'PEER GROUP'!$A:$A,0))</f>
        <v>0</v>
      </c>
      <c r="C584" s="83">
        <f>INDEX('PEER GROUP'!C:C,MATCH($A584,'PEER GROUP'!$A:$A,0))</f>
        <v>0</v>
      </c>
      <c r="D584" s="83">
        <f>INDEX('PEER GROUP'!D:D,MATCH($A584,'PEER GROUP'!$A:$A,0))</f>
        <v>0</v>
      </c>
      <c r="E584" s="83">
        <f>INDEX('PEER GROUP'!E:E,MATCH(A584,'PEER GROUP'!$A:$A,0))</f>
        <v>0</v>
      </c>
      <c r="F584" s="84">
        <f>INDEX('PEER GROUP'!F:F,MATCH($A584,'PEER GROUP'!$A:$A,0))</f>
        <v>0</v>
      </c>
      <c r="G584" s="84">
        <f>INDEX('PEER GROUP'!G:G,MATCH($A584,'PEER GROUP'!$A:$A,0))</f>
        <v>0</v>
      </c>
      <c r="H584" s="85"/>
      <c r="I584" s="85"/>
      <c r="J584" s="70">
        <f>INDEX('PEER GROUP'!K:K,MATCH($A584,'PEER GROUP'!$A:$A,0))</f>
        <v>0</v>
      </c>
      <c r="K584" s="70">
        <f>INDEX('PEER GROUP'!L:L,MATCH($A584,'PEER GROUP'!$A:$A,0))</f>
        <v>0</v>
      </c>
      <c r="L584" s="81">
        <f>INDEX('PEER GROUP'!N:N,MATCH($A584,'PEER GROUP'!$A:$A,0))</f>
        <v>0</v>
      </c>
      <c r="M584" s="118"/>
      <c r="N584" s="115"/>
      <c r="O584" s="117"/>
      <c r="P584" s="87"/>
      <c r="Q584" s="87"/>
      <c r="R584" s="87">
        <f t="shared" si="80"/>
        <v>0</v>
      </c>
      <c r="S584" s="113">
        <f t="shared" si="78"/>
        <v>36.913096727263202</v>
      </c>
      <c r="T584" s="69">
        <f t="shared" si="81"/>
        <v>0</v>
      </c>
      <c r="U584" s="70">
        <f t="shared" si="82"/>
        <v>0</v>
      </c>
      <c r="V584" s="70">
        <f t="shared" si="83"/>
        <v>0</v>
      </c>
      <c r="W584" s="71">
        <f t="shared" si="84"/>
        <v>0</v>
      </c>
      <c r="X584" s="49"/>
      <c r="Y584" s="151"/>
      <c r="Z584" s="69"/>
      <c r="AA584" s="70"/>
      <c r="AB584" s="70"/>
      <c r="AC584" s="70" t="str">
        <f t="shared" si="85"/>
        <v>---</v>
      </c>
      <c r="AD584" s="70" t="str">
        <f>IFERROR(P584/#REF!-1,"---")</f>
        <v>---</v>
      </c>
      <c r="AE584" s="70" t="str">
        <f>IFERROR(#REF!/#REF!-1,"---")</f>
        <v>---</v>
      </c>
      <c r="AF584" s="70" t="str">
        <f>IFERROR(Q584/#REF!-1,"---")</f>
        <v>---</v>
      </c>
      <c r="AG584" s="70" t="str">
        <f>IFERROR(#REF!/#REF!-1,"---")</f>
        <v>---</v>
      </c>
      <c r="AH584" s="70" t="str">
        <f>IFERROR(#REF!/AA584-1,"---")</f>
        <v>---</v>
      </c>
      <c r="AI584" s="71" t="str">
        <f t="shared" si="86"/>
        <v>---</v>
      </c>
    </row>
    <row r="585" spans="1:35" ht="30" customHeight="1" x14ac:dyDescent="0.3">
      <c r="A585" s="123">
        <f t="shared" si="79"/>
        <v>581</v>
      </c>
      <c r="B585" s="140">
        <f>INDEX('PEER GROUP'!B:B,MATCH($A585,'PEER GROUP'!$A:$A,0))</f>
        <v>0</v>
      </c>
      <c r="C585" s="83">
        <f>INDEX('PEER GROUP'!C:C,MATCH($A585,'PEER GROUP'!$A:$A,0))</f>
        <v>0</v>
      </c>
      <c r="D585" s="83">
        <f>INDEX('PEER GROUP'!D:D,MATCH($A585,'PEER GROUP'!$A:$A,0))</f>
        <v>0</v>
      </c>
      <c r="E585" s="83">
        <f>INDEX('PEER GROUP'!E:E,MATCH(A585,'PEER GROUP'!$A:$A,0))</f>
        <v>0</v>
      </c>
      <c r="F585" s="84">
        <f>INDEX('PEER GROUP'!F:F,MATCH($A585,'PEER GROUP'!$A:$A,0))</f>
        <v>0</v>
      </c>
      <c r="G585" s="84">
        <f>INDEX('PEER GROUP'!G:G,MATCH($A585,'PEER GROUP'!$A:$A,0))</f>
        <v>0</v>
      </c>
      <c r="H585" s="85"/>
      <c r="I585" s="85"/>
      <c r="J585" s="70">
        <f>INDEX('PEER GROUP'!K:K,MATCH($A585,'PEER GROUP'!$A:$A,0))</f>
        <v>0</v>
      </c>
      <c r="K585" s="70">
        <f>INDEX('PEER GROUP'!L:L,MATCH($A585,'PEER GROUP'!$A:$A,0))</f>
        <v>0</v>
      </c>
      <c r="L585" s="81">
        <f>INDEX('PEER GROUP'!N:N,MATCH($A585,'PEER GROUP'!$A:$A,0))</f>
        <v>0</v>
      </c>
      <c r="M585" s="118"/>
      <c r="N585" s="115"/>
      <c r="O585" s="117"/>
      <c r="P585" s="87"/>
      <c r="Q585" s="87"/>
      <c r="R585" s="87">
        <f t="shared" si="80"/>
        <v>0</v>
      </c>
      <c r="S585" s="113">
        <f t="shared" si="78"/>
        <v>36.913096727263202</v>
      </c>
      <c r="T585" s="69">
        <f t="shared" si="81"/>
        <v>0</v>
      </c>
      <c r="U585" s="70">
        <f t="shared" si="82"/>
        <v>0</v>
      </c>
      <c r="V585" s="70">
        <f t="shared" si="83"/>
        <v>0</v>
      </c>
      <c r="W585" s="71">
        <f t="shared" si="84"/>
        <v>0</v>
      </c>
      <c r="X585" s="49"/>
      <c r="Y585" s="151"/>
      <c r="Z585" s="69"/>
      <c r="AA585" s="70"/>
      <c r="AB585" s="70"/>
      <c r="AC585" s="70" t="str">
        <f t="shared" si="85"/>
        <v>---</v>
      </c>
      <c r="AD585" s="70" t="str">
        <f>IFERROR(P585/#REF!-1,"---")</f>
        <v>---</v>
      </c>
      <c r="AE585" s="70" t="str">
        <f>IFERROR(#REF!/#REF!-1,"---")</f>
        <v>---</v>
      </c>
      <c r="AF585" s="70" t="str">
        <f>IFERROR(Q585/#REF!-1,"---")</f>
        <v>---</v>
      </c>
      <c r="AG585" s="70" t="str">
        <f>IFERROR(#REF!/#REF!-1,"---")</f>
        <v>---</v>
      </c>
      <c r="AH585" s="70" t="str">
        <f>IFERROR(#REF!/AA585-1,"---")</f>
        <v>---</v>
      </c>
      <c r="AI585" s="71" t="str">
        <f t="shared" si="86"/>
        <v>---</v>
      </c>
    </row>
    <row r="586" spans="1:35" ht="30" customHeight="1" x14ac:dyDescent="0.3">
      <c r="A586" s="123">
        <f t="shared" si="79"/>
        <v>582</v>
      </c>
      <c r="B586" s="140">
        <f>INDEX('PEER GROUP'!B:B,MATCH($A586,'PEER GROUP'!$A:$A,0))</f>
        <v>0</v>
      </c>
      <c r="C586" s="83">
        <f>INDEX('PEER GROUP'!C:C,MATCH($A586,'PEER GROUP'!$A:$A,0))</f>
        <v>0</v>
      </c>
      <c r="D586" s="83">
        <f>INDEX('PEER GROUP'!D:D,MATCH($A586,'PEER GROUP'!$A:$A,0))</f>
        <v>0</v>
      </c>
      <c r="E586" s="83">
        <f>INDEX('PEER GROUP'!E:E,MATCH(A586,'PEER GROUP'!$A:$A,0))</f>
        <v>0</v>
      </c>
      <c r="F586" s="84">
        <f>INDEX('PEER GROUP'!F:F,MATCH($A586,'PEER GROUP'!$A:$A,0))</f>
        <v>0</v>
      </c>
      <c r="G586" s="84">
        <f>INDEX('PEER GROUP'!G:G,MATCH($A586,'PEER GROUP'!$A:$A,0))</f>
        <v>0</v>
      </c>
      <c r="H586" s="85"/>
      <c r="I586" s="85"/>
      <c r="J586" s="70">
        <f>INDEX('PEER GROUP'!K:K,MATCH($A586,'PEER GROUP'!$A:$A,0))</f>
        <v>0</v>
      </c>
      <c r="K586" s="70">
        <f>INDEX('PEER GROUP'!L:L,MATCH($A586,'PEER GROUP'!$A:$A,0))</f>
        <v>0</v>
      </c>
      <c r="L586" s="81">
        <f>INDEX('PEER GROUP'!N:N,MATCH($A586,'PEER GROUP'!$A:$A,0))</f>
        <v>0</v>
      </c>
      <c r="M586" s="118"/>
      <c r="N586" s="115"/>
      <c r="O586" s="117"/>
      <c r="P586" s="87"/>
      <c r="Q586" s="87"/>
      <c r="R586" s="87">
        <f t="shared" si="80"/>
        <v>0</v>
      </c>
      <c r="S586" s="113">
        <f t="shared" si="78"/>
        <v>36.913096727263202</v>
      </c>
      <c r="T586" s="69">
        <f t="shared" si="81"/>
        <v>0</v>
      </c>
      <c r="U586" s="70">
        <f t="shared" si="82"/>
        <v>0</v>
      </c>
      <c r="V586" s="70">
        <f t="shared" si="83"/>
        <v>0</v>
      </c>
      <c r="W586" s="71">
        <f t="shared" si="84"/>
        <v>0</v>
      </c>
      <c r="X586" s="49"/>
      <c r="Y586" s="151"/>
      <c r="Z586" s="69"/>
      <c r="AA586" s="70"/>
      <c r="AB586" s="70"/>
      <c r="AC586" s="70" t="str">
        <f t="shared" si="85"/>
        <v>---</v>
      </c>
      <c r="AD586" s="70" t="str">
        <f>IFERROR(P586/#REF!-1,"---")</f>
        <v>---</v>
      </c>
      <c r="AE586" s="70" t="str">
        <f>IFERROR(#REF!/#REF!-1,"---")</f>
        <v>---</v>
      </c>
      <c r="AF586" s="70" t="str">
        <f>IFERROR(Q586/#REF!-1,"---")</f>
        <v>---</v>
      </c>
      <c r="AG586" s="70" t="str">
        <f>IFERROR(#REF!/#REF!-1,"---")</f>
        <v>---</v>
      </c>
      <c r="AH586" s="70" t="str">
        <f>IFERROR(#REF!/AA586-1,"---")</f>
        <v>---</v>
      </c>
      <c r="AI586" s="71" t="str">
        <f t="shared" si="86"/>
        <v>---</v>
      </c>
    </row>
    <row r="587" spans="1:35" ht="30" customHeight="1" x14ac:dyDescent="0.3">
      <c r="A587" s="123">
        <f t="shared" si="79"/>
        <v>583</v>
      </c>
      <c r="B587" s="140">
        <f>INDEX('PEER GROUP'!B:B,MATCH($A587,'PEER GROUP'!$A:$A,0))</f>
        <v>0</v>
      </c>
      <c r="C587" s="83">
        <f>INDEX('PEER GROUP'!C:C,MATCH($A587,'PEER GROUP'!$A:$A,0))</f>
        <v>0</v>
      </c>
      <c r="D587" s="83">
        <f>INDEX('PEER GROUP'!D:D,MATCH($A587,'PEER GROUP'!$A:$A,0))</f>
        <v>0</v>
      </c>
      <c r="E587" s="83">
        <f>INDEX('PEER GROUP'!E:E,MATCH(A587,'PEER GROUP'!$A:$A,0))</f>
        <v>0</v>
      </c>
      <c r="F587" s="84">
        <f>INDEX('PEER GROUP'!F:F,MATCH($A587,'PEER GROUP'!$A:$A,0))</f>
        <v>0</v>
      </c>
      <c r="G587" s="84">
        <f>INDEX('PEER GROUP'!G:G,MATCH($A587,'PEER GROUP'!$A:$A,0))</f>
        <v>0</v>
      </c>
      <c r="H587" s="85"/>
      <c r="I587" s="85"/>
      <c r="J587" s="70">
        <f>INDEX('PEER GROUP'!K:K,MATCH($A587,'PEER GROUP'!$A:$A,0))</f>
        <v>0</v>
      </c>
      <c r="K587" s="70">
        <f>INDEX('PEER GROUP'!L:L,MATCH($A587,'PEER GROUP'!$A:$A,0))</f>
        <v>0</v>
      </c>
      <c r="L587" s="81">
        <f>INDEX('PEER GROUP'!N:N,MATCH($A587,'PEER GROUP'!$A:$A,0))</f>
        <v>0</v>
      </c>
      <c r="M587" s="118"/>
      <c r="N587" s="115"/>
      <c r="O587" s="117"/>
      <c r="P587" s="87"/>
      <c r="Q587" s="87"/>
      <c r="R587" s="87">
        <f t="shared" si="80"/>
        <v>0</v>
      </c>
      <c r="S587" s="113">
        <f t="shared" si="78"/>
        <v>36.913096727263202</v>
      </c>
      <c r="T587" s="69">
        <f t="shared" si="81"/>
        <v>0</v>
      </c>
      <c r="U587" s="70">
        <f t="shared" si="82"/>
        <v>0</v>
      </c>
      <c r="V587" s="70">
        <f t="shared" si="83"/>
        <v>0</v>
      </c>
      <c r="W587" s="71">
        <f t="shared" si="84"/>
        <v>0</v>
      </c>
      <c r="X587" s="49"/>
      <c r="Y587" s="151"/>
      <c r="Z587" s="69"/>
      <c r="AA587" s="70"/>
      <c r="AB587" s="70"/>
      <c r="AC587" s="70" t="str">
        <f t="shared" si="85"/>
        <v>---</v>
      </c>
      <c r="AD587" s="70" t="str">
        <f>IFERROR(P587/#REF!-1,"---")</f>
        <v>---</v>
      </c>
      <c r="AE587" s="70" t="str">
        <f>IFERROR(#REF!/#REF!-1,"---")</f>
        <v>---</v>
      </c>
      <c r="AF587" s="70" t="str">
        <f>IFERROR(Q587/#REF!-1,"---")</f>
        <v>---</v>
      </c>
      <c r="AG587" s="70" t="str">
        <f>IFERROR(#REF!/#REF!-1,"---")</f>
        <v>---</v>
      </c>
      <c r="AH587" s="70" t="str">
        <f>IFERROR(#REF!/AA587-1,"---")</f>
        <v>---</v>
      </c>
      <c r="AI587" s="71" t="str">
        <f t="shared" si="86"/>
        <v>---</v>
      </c>
    </row>
    <row r="588" spans="1:35" ht="30" customHeight="1" x14ac:dyDescent="0.3">
      <c r="A588" s="123">
        <f t="shared" si="79"/>
        <v>584</v>
      </c>
      <c r="B588" s="140">
        <f>INDEX('PEER GROUP'!B:B,MATCH($A588,'PEER GROUP'!$A:$A,0))</f>
        <v>0</v>
      </c>
      <c r="C588" s="83">
        <f>INDEX('PEER GROUP'!C:C,MATCH($A588,'PEER GROUP'!$A:$A,0))</f>
        <v>0</v>
      </c>
      <c r="D588" s="83">
        <f>INDEX('PEER GROUP'!D:D,MATCH($A588,'PEER GROUP'!$A:$A,0))</f>
        <v>0</v>
      </c>
      <c r="E588" s="83">
        <f>INDEX('PEER GROUP'!E:E,MATCH(A588,'PEER GROUP'!$A:$A,0))</f>
        <v>0</v>
      </c>
      <c r="F588" s="84">
        <f>INDEX('PEER GROUP'!F:F,MATCH($A588,'PEER GROUP'!$A:$A,0))</f>
        <v>0</v>
      </c>
      <c r="G588" s="84">
        <f>INDEX('PEER GROUP'!G:G,MATCH($A588,'PEER GROUP'!$A:$A,0))</f>
        <v>0</v>
      </c>
      <c r="H588" s="85"/>
      <c r="I588" s="85"/>
      <c r="J588" s="70">
        <f>INDEX('PEER GROUP'!K:K,MATCH($A588,'PEER GROUP'!$A:$A,0))</f>
        <v>0</v>
      </c>
      <c r="K588" s="70">
        <f>INDEX('PEER GROUP'!L:L,MATCH($A588,'PEER GROUP'!$A:$A,0))</f>
        <v>0</v>
      </c>
      <c r="L588" s="81">
        <f>INDEX('PEER GROUP'!N:N,MATCH($A588,'PEER GROUP'!$A:$A,0))</f>
        <v>0</v>
      </c>
      <c r="M588" s="118"/>
      <c r="N588" s="115"/>
      <c r="O588" s="117"/>
      <c r="P588" s="87"/>
      <c r="Q588" s="87"/>
      <c r="R588" s="87">
        <f t="shared" si="80"/>
        <v>0</v>
      </c>
      <c r="S588" s="113">
        <f t="shared" si="78"/>
        <v>36.913096727263202</v>
      </c>
      <c r="T588" s="69">
        <f t="shared" si="81"/>
        <v>0</v>
      </c>
      <c r="U588" s="70">
        <f t="shared" si="82"/>
        <v>0</v>
      </c>
      <c r="V588" s="70">
        <f t="shared" si="83"/>
        <v>0</v>
      </c>
      <c r="W588" s="71">
        <f t="shared" si="84"/>
        <v>0</v>
      </c>
      <c r="X588" s="49"/>
      <c r="Y588" s="151"/>
      <c r="Z588" s="69"/>
      <c r="AA588" s="70"/>
      <c r="AB588" s="70"/>
      <c r="AC588" s="70" t="str">
        <f t="shared" si="85"/>
        <v>---</v>
      </c>
      <c r="AD588" s="70" t="str">
        <f>IFERROR(P588/#REF!-1,"---")</f>
        <v>---</v>
      </c>
      <c r="AE588" s="70" t="str">
        <f>IFERROR(#REF!/#REF!-1,"---")</f>
        <v>---</v>
      </c>
      <c r="AF588" s="70" t="str">
        <f>IFERROR(Q588/#REF!-1,"---")</f>
        <v>---</v>
      </c>
      <c r="AG588" s="70" t="str">
        <f>IFERROR(#REF!/#REF!-1,"---")</f>
        <v>---</v>
      </c>
      <c r="AH588" s="70" t="str">
        <f>IFERROR(#REF!/AA588-1,"---")</f>
        <v>---</v>
      </c>
      <c r="AI588" s="71" t="str">
        <f t="shared" si="86"/>
        <v>---</v>
      </c>
    </row>
    <row r="589" spans="1:35" ht="30" customHeight="1" x14ac:dyDescent="0.3">
      <c r="A589" s="123">
        <f t="shared" si="79"/>
        <v>585</v>
      </c>
      <c r="B589" s="140">
        <f>INDEX('PEER GROUP'!B:B,MATCH($A589,'PEER GROUP'!$A:$A,0))</f>
        <v>0</v>
      </c>
      <c r="C589" s="83">
        <f>INDEX('PEER GROUP'!C:C,MATCH($A589,'PEER GROUP'!$A:$A,0))</f>
        <v>0</v>
      </c>
      <c r="D589" s="83">
        <f>INDEX('PEER GROUP'!D:D,MATCH($A589,'PEER GROUP'!$A:$A,0))</f>
        <v>0</v>
      </c>
      <c r="E589" s="83">
        <f>INDEX('PEER GROUP'!E:E,MATCH(A589,'PEER GROUP'!$A:$A,0))</f>
        <v>0</v>
      </c>
      <c r="F589" s="84">
        <f>INDEX('PEER GROUP'!F:F,MATCH($A589,'PEER GROUP'!$A:$A,0))</f>
        <v>0</v>
      </c>
      <c r="G589" s="84">
        <f>INDEX('PEER GROUP'!G:G,MATCH($A589,'PEER GROUP'!$A:$A,0))</f>
        <v>0</v>
      </c>
      <c r="H589" s="85"/>
      <c r="I589" s="85"/>
      <c r="J589" s="70">
        <f>INDEX('PEER GROUP'!K:K,MATCH($A589,'PEER GROUP'!$A:$A,0))</f>
        <v>0</v>
      </c>
      <c r="K589" s="70">
        <f>INDEX('PEER GROUP'!L:L,MATCH($A589,'PEER GROUP'!$A:$A,0))</f>
        <v>0</v>
      </c>
      <c r="L589" s="81">
        <f>INDEX('PEER GROUP'!N:N,MATCH($A589,'PEER GROUP'!$A:$A,0))</f>
        <v>0</v>
      </c>
      <c r="M589" s="118"/>
      <c r="N589" s="115"/>
      <c r="O589" s="117"/>
      <c r="P589" s="87"/>
      <c r="Q589" s="87"/>
      <c r="R589" s="87">
        <f t="shared" si="80"/>
        <v>0</v>
      </c>
      <c r="S589" s="113">
        <f t="shared" si="78"/>
        <v>36.913096727263202</v>
      </c>
      <c r="T589" s="69">
        <f t="shared" si="81"/>
        <v>0</v>
      </c>
      <c r="U589" s="70">
        <f t="shared" si="82"/>
        <v>0</v>
      </c>
      <c r="V589" s="70">
        <f t="shared" si="83"/>
        <v>0</v>
      </c>
      <c r="W589" s="71">
        <f t="shared" si="84"/>
        <v>0</v>
      </c>
      <c r="X589" s="49"/>
      <c r="Y589" s="151"/>
      <c r="Z589" s="69"/>
      <c r="AA589" s="70"/>
      <c r="AB589" s="70"/>
      <c r="AC589" s="70" t="str">
        <f t="shared" si="85"/>
        <v>---</v>
      </c>
      <c r="AD589" s="70" t="str">
        <f>IFERROR(P589/#REF!-1,"---")</f>
        <v>---</v>
      </c>
      <c r="AE589" s="70" t="str">
        <f>IFERROR(#REF!/#REF!-1,"---")</f>
        <v>---</v>
      </c>
      <c r="AF589" s="70" t="str">
        <f>IFERROR(Q589/#REF!-1,"---")</f>
        <v>---</v>
      </c>
      <c r="AG589" s="70" t="str">
        <f>IFERROR(#REF!/#REF!-1,"---")</f>
        <v>---</v>
      </c>
      <c r="AH589" s="70" t="str">
        <f>IFERROR(#REF!/AA589-1,"---")</f>
        <v>---</v>
      </c>
      <c r="AI589" s="71" t="str">
        <f t="shared" si="86"/>
        <v>---</v>
      </c>
    </row>
    <row r="590" spans="1:35" ht="30" customHeight="1" x14ac:dyDescent="0.3">
      <c r="A590" s="123">
        <f t="shared" si="79"/>
        <v>586</v>
      </c>
      <c r="B590" s="140">
        <f>INDEX('PEER GROUP'!B:B,MATCH($A590,'PEER GROUP'!$A:$A,0))</f>
        <v>0</v>
      </c>
      <c r="C590" s="83">
        <f>INDEX('PEER GROUP'!C:C,MATCH($A590,'PEER GROUP'!$A:$A,0))</f>
        <v>0</v>
      </c>
      <c r="D590" s="83">
        <f>INDEX('PEER GROUP'!D:D,MATCH($A590,'PEER GROUP'!$A:$A,0))</f>
        <v>0</v>
      </c>
      <c r="E590" s="83">
        <f>INDEX('PEER GROUP'!E:E,MATCH(A590,'PEER GROUP'!$A:$A,0))</f>
        <v>0</v>
      </c>
      <c r="F590" s="84">
        <f>INDEX('PEER GROUP'!F:F,MATCH($A590,'PEER GROUP'!$A:$A,0))</f>
        <v>0</v>
      </c>
      <c r="G590" s="84">
        <f>INDEX('PEER GROUP'!G:G,MATCH($A590,'PEER GROUP'!$A:$A,0))</f>
        <v>0</v>
      </c>
      <c r="H590" s="85"/>
      <c r="I590" s="85"/>
      <c r="J590" s="70">
        <f>INDEX('PEER GROUP'!K:K,MATCH($A590,'PEER GROUP'!$A:$A,0))</f>
        <v>0</v>
      </c>
      <c r="K590" s="70">
        <f>INDEX('PEER GROUP'!L:L,MATCH($A590,'PEER GROUP'!$A:$A,0))</f>
        <v>0</v>
      </c>
      <c r="L590" s="81">
        <f>INDEX('PEER GROUP'!N:N,MATCH($A590,'PEER GROUP'!$A:$A,0))</f>
        <v>0</v>
      </c>
      <c r="M590" s="118"/>
      <c r="N590" s="115"/>
      <c r="O590" s="117"/>
      <c r="P590" s="87"/>
      <c r="Q590" s="87"/>
      <c r="R590" s="87">
        <f t="shared" si="80"/>
        <v>0</v>
      </c>
      <c r="S590" s="113">
        <f t="shared" si="78"/>
        <v>36.913096727263202</v>
      </c>
      <c r="T590" s="69">
        <f t="shared" si="81"/>
        <v>0</v>
      </c>
      <c r="U590" s="70">
        <f t="shared" si="82"/>
        <v>0</v>
      </c>
      <c r="V590" s="70">
        <f t="shared" si="83"/>
        <v>0</v>
      </c>
      <c r="W590" s="71">
        <f t="shared" si="84"/>
        <v>0</v>
      </c>
      <c r="X590" s="49"/>
      <c r="Y590" s="151"/>
      <c r="Z590" s="69"/>
      <c r="AA590" s="70"/>
      <c r="AB590" s="70"/>
      <c r="AC590" s="70" t="str">
        <f t="shared" si="85"/>
        <v>---</v>
      </c>
      <c r="AD590" s="70" t="str">
        <f>IFERROR(P590/#REF!-1,"---")</f>
        <v>---</v>
      </c>
      <c r="AE590" s="70" t="str">
        <f>IFERROR(#REF!/#REF!-1,"---")</f>
        <v>---</v>
      </c>
      <c r="AF590" s="70" t="str">
        <f>IFERROR(Q590/#REF!-1,"---")</f>
        <v>---</v>
      </c>
      <c r="AG590" s="70" t="str">
        <f>IFERROR(#REF!/#REF!-1,"---")</f>
        <v>---</v>
      </c>
      <c r="AH590" s="70" t="str">
        <f>IFERROR(#REF!/AA590-1,"---")</f>
        <v>---</v>
      </c>
      <c r="AI590" s="71" t="str">
        <f t="shared" si="86"/>
        <v>---</v>
      </c>
    </row>
    <row r="591" spans="1:35" ht="30" customHeight="1" x14ac:dyDescent="0.3">
      <c r="A591" s="123">
        <f t="shared" si="79"/>
        <v>587</v>
      </c>
      <c r="B591" s="140">
        <f>INDEX('PEER GROUP'!B:B,MATCH($A591,'PEER GROUP'!$A:$A,0))</f>
        <v>0</v>
      </c>
      <c r="C591" s="83">
        <f>INDEX('PEER GROUP'!C:C,MATCH($A591,'PEER GROUP'!$A:$A,0))</f>
        <v>0</v>
      </c>
      <c r="D591" s="83">
        <f>INDEX('PEER GROUP'!D:D,MATCH($A591,'PEER GROUP'!$A:$A,0))</f>
        <v>0</v>
      </c>
      <c r="E591" s="83">
        <f>INDEX('PEER GROUP'!E:E,MATCH(A591,'PEER GROUP'!$A:$A,0))</f>
        <v>0</v>
      </c>
      <c r="F591" s="84">
        <f>INDEX('PEER GROUP'!F:F,MATCH($A591,'PEER GROUP'!$A:$A,0))</f>
        <v>0</v>
      </c>
      <c r="G591" s="84">
        <f>INDEX('PEER GROUP'!G:G,MATCH($A591,'PEER GROUP'!$A:$A,0))</f>
        <v>0</v>
      </c>
      <c r="H591" s="85"/>
      <c r="I591" s="85"/>
      <c r="J591" s="70">
        <f>INDEX('PEER GROUP'!K:K,MATCH($A591,'PEER GROUP'!$A:$A,0))</f>
        <v>0</v>
      </c>
      <c r="K591" s="70">
        <f>INDEX('PEER GROUP'!L:L,MATCH($A591,'PEER GROUP'!$A:$A,0))</f>
        <v>0</v>
      </c>
      <c r="L591" s="81">
        <f>INDEX('PEER GROUP'!N:N,MATCH($A591,'PEER GROUP'!$A:$A,0))</f>
        <v>0</v>
      </c>
      <c r="M591" s="118"/>
      <c r="N591" s="115"/>
      <c r="O591" s="117"/>
      <c r="P591" s="87"/>
      <c r="Q591" s="87"/>
      <c r="R591" s="87">
        <f t="shared" si="80"/>
        <v>0</v>
      </c>
      <c r="S591" s="113">
        <f t="shared" si="78"/>
        <v>36.913096727263202</v>
      </c>
      <c r="T591" s="69">
        <f t="shared" si="81"/>
        <v>0</v>
      </c>
      <c r="U591" s="70">
        <f t="shared" si="82"/>
        <v>0</v>
      </c>
      <c r="V591" s="70">
        <f t="shared" si="83"/>
        <v>0</v>
      </c>
      <c r="W591" s="71">
        <f t="shared" si="84"/>
        <v>0</v>
      </c>
      <c r="X591" s="49"/>
      <c r="Y591" s="151"/>
      <c r="Z591" s="69"/>
      <c r="AA591" s="70"/>
      <c r="AB591" s="70"/>
      <c r="AC591" s="70" t="str">
        <f t="shared" si="85"/>
        <v>---</v>
      </c>
      <c r="AD591" s="70" t="str">
        <f>IFERROR(P591/#REF!-1,"---")</f>
        <v>---</v>
      </c>
      <c r="AE591" s="70" t="str">
        <f>IFERROR(#REF!/#REF!-1,"---")</f>
        <v>---</v>
      </c>
      <c r="AF591" s="70" t="str">
        <f>IFERROR(Q591/#REF!-1,"---")</f>
        <v>---</v>
      </c>
      <c r="AG591" s="70" t="str">
        <f>IFERROR(#REF!/#REF!-1,"---")</f>
        <v>---</v>
      </c>
      <c r="AH591" s="70" t="str">
        <f>IFERROR(#REF!/AA591-1,"---")</f>
        <v>---</v>
      </c>
      <c r="AI591" s="71" t="str">
        <f t="shared" si="86"/>
        <v>---</v>
      </c>
    </row>
    <row r="592" spans="1:35" ht="30" customHeight="1" x14ac:dyDescent="0.3">
      <c r="A592" s="123">
        <f t="shared" si="79"/>
        <v>588</v>
      </c>
      <c r="B592" s="140">
        <f>INDEX('PEER GROUP'!B:B,MATCH($A592,'PEER GROUP'!$A:$A,0))</f>
        <v>0</v>
      </c>
      <c r="C592" s="83">
        <f>INDEX('PEER GROUP'!C:C,MATCH($A592,'PEER GROUP'!$A:$A,0))</f>
        <v>0</v>
      </c>
      <c r="D592" s="83">
        <f>INDEX('PEER GROUP'!D:D,MATCH($A592,'PEER GROUP'!$A:$A,0))</f>
        <v>0</v>
      </c>
      <c r="E592" s="83">
        <f>INDEX('PEER GROUP'!E:E,MATCH(A592,'PEER GROUP'!$A:$A,0))</f>
        <v>0</v>
      </c>
      <c r="F592" s="84">
        <f>INDEX('PEER GROUP'!F:F,MATCH($A592,'PEER GROUP'!$A:$A,0))</f>
        <v>0</v>
      </c>
      <c r="G592" s="84">
        <f>INDEX('PEER GROUP'!G:G,MATCH($A592,'PEER GROUP'!$A:$A,0))</f>
        <v>0</v>
      </c>
      <c r="H592" s="85"/>
      <c r="I592" s="85"/>
      <c r="J592" s="70">
        <f>INDEX('PEER GROUP'!K:K,MATCH($A592,'PEER GROUP'!$A:$A,0))</f>
        <v>0</v>
      </c>
      <c r="K592" s="70">
        <f>INDEX('PEER GROUP'!L:L,MATCH($A592,'PEER GROUP'!$A:$A,0))</f>
        <v>0</v>
      </c>
      <c r="L592" s="81">
        <f>INDEX('PEER GROUP'!N:N,MATCH($A592,'PEER GROUP'!$A:$A,0))</f>
        <v>0</v>
      </c>
      <c r="M592" s="118"/>
      <c r="N592" s="115"/>
      <c r="O592" s="117"/>
      <c r="P592" s="87"/>
      <c r="Q592" s="87"/>
      <c r="R592" s="87">
        <f t="shared" si="80"/>
        <v>0</v>
      </c>
      <c r="S592" s="113">
        <f t="shared" si="78"/>
        <v>36.913096727263202</v>
      </c>
      <c r="T592" s="69">
        <f t="shared" si="81"/>
        <v>0</v>
      </c>
      <c r="U592" s="70">
        <f t="shared" si="82"/>
        <v>0</v>
      </c>
      <c r="V592" s="70">
        <f t="shared" si="83"/>
        <v>0</v>
      </c>
      <c r="W592" s="71">
        <f t="shared" si="84"/>
        <v>0</v>
      </c>
      <c r="X592" s="49"/>
      <c r="Y592" s="151"/>
      <c r="Z592" s="69"/>
      <c r="AA592" s="70"/>
      <c r="AB592" s="70"/>
      <c r="AC592" s="70" t="str">
        <f t="shared" si="85"/>
        <v>---</v>
      </c>
      <c r="AD592" s="70" t="str">
        <f>IFERROR(P592/#REF!-1,"---")</f>
        <v>---</v>
      </c>
      <c r="AE592" s="70" t="str">
        <f>IFERROR(#REF!/#REF!-1,"---")</f>
        <v>---</v>
      </c>
      <c r="AF592" s="70" t="str">
        <f>IFERROR(Q592/#REF!-1,"---")</f>
        <v>---</v>
      </c>
      <c r="AG592" s="70" t="str">
        <f>IFERROR(#REF!/#REF!-1,"---")</f>
        <v>---</v>
      </c>
      <c r="AH592" s="70" t="str">
        <f>IFERROR(#REF!/AA592-1,"---")</f>
        <v>---</v>
      </c>
      <c r="AI592" s="71" t="str">
        <f t="shared" si="86"/>
        <v>---</v>
      </c>
    </row>
    <row r="593" spans="1:35" ht="30" customHeight="1" x14ac:dyDescent="0.3">
      <c r="A593" s="123">
        <f t="shared" si="79"/>
        <v>589</v>
      </c>
      <c r="B593" s="140">
        <f>INDEX('PEER GROUP'!B:B,MATCH($A593,'PEER GROUP'!$A:$A,0))</f>
        <v>0</v>
      </c>
      <c r="C593" s="83">
        <f>INDEX('PEER GROUP'!C:C,MATCH($A593,'PEER GROUP'!$A:$A,0))</f>
        <v>0</v>
      </c>
      <c r="D593" s="83">
        <f>INDEX('PEER GROUP'!D:D,MATCH($A593,'PEER GROUP'!$A:$A,0))</f>
        <v>0</v>
      </c>
      <c r="E593" s="83">
        <f>INDEX('PEER GROUP'!E:E,MATCH(A593,'PEER GROUP'!$A:$A,0))</f>
        <v>0</v>
      </c>
      <c r="F593" s="84">
        <f>INDEX('PEER GROUP'!F:F,MATCH($A593,'PEER GROUP'!$A:$A,0))</f>
        <v>0</v>
      </c>
      <c r="G593" s="84">
        <f>INDEX('PEER GROUP'!G:G,MATCH($A593,'PEER GROUP'!$A:$A,0))</f>
        <v>0</v>
      </c>
      <c r="H593" s="85"/>
      <c r="I593" s="85"/>
      <c r="J593" s="70">
        <f>INDEX('PEER GROUP'!K:K,MATCH($A593,'PEER GROUP'!$A:$A,0))</f>
        <v>0</v>
      </c>
      <c r="K593" s="70">
        <f>INDEX('PEER GROUP'!L:L,MATCH($A593,'PEER GROUP'!$A:$A,0))</f>
        <v>0</v>
      </c>
      <c r="L593" s="81">
        <f>INDEX('PEER GROUP'!N:N,MATCH($A593,'PEER GROUP'!$A:$A,0))</f>
        <v>0</v>
      </c>
      <c r="M593" s="118"/>
      <c r="N593" s="115"/>
      <c r="O593" s="117"/>
      <c r="P593" s="87"/>
      <c r="Q593" s="87"/>
      <c r="R593" s="87">
        <f t="shared" si="80"/>
        <v>0</v>
      </c>
      <c r="S593" s="113">
        <f t="shared" si="78"/>
        <v>36.913096727263202</v>
      </c>
      <c r="T593" s="69">
        <f t="shared" si="81"/>
        <v>0</v>
      </c>
      <c r="U593" s="70">
        <f t="shared" si="82"/>
        <v>0</v>
      </c>
      <c r="V593" s="70">
        <f t="shared" si="83"/>
        <v>0</v>
      </c>
      <c r="W593" s="71">
        <f t="shared" si="84"/>
        <v>0</v>
      </c>
      <c r="X593" s="49"/>
      <c r="Y593" s="151"/>
      <c r="Z593" s="69"/>
      <c r="AA593" s="70"/>
      <c r="AB593" s="70"/>
      <c r="AC593" s="70" t="str">
        <f t="shared" si="85"/>
        <v>---</v>
      </c>
      <c r="AD593" s="70" t="str">
        <f>IFERROR(P593/#REF!-1,"---")</f>
        <v>---</v>
      </c>
      <c r="AE593" s="70" t="str">
        <f>IFERROR(#REF!/#REF!-1,"---")</f>
        <v>---</v>
      </c>
      <c r="AF593" s="70" t="str">
        <f>IFERROR(Q593/#REF!-1,"---")</f>
        <v>---</v>
      </c>
      <c r="AG593" s="70" t="str">
        <f>IFERROR(#REF!/#REF!-1,"---")</f>
        <v>---</v>
      </c>
      <c r="AH593" s="70" t="str">
        <f>IFERROR(#REF!/AA593-1,"---")</f>
        <v>---</v>
      </c>
      <c r="AI593" s="71" t="str">
        <f t="shared" si="86"/>
        <v>---</v>
      </c>
    </row>
    <row r="594" spans="1:35" ht="30" customHeight="1" x14ac:dyDescent="0.3">
      <c r="A594" s="123">
        <f t="shared" si="79"/>
        <v>590</v>
      </c>
      <c r="B594" s="140">
        <f>INDEX('PEER GROUP'!B:B,MATCH($A594,'PEER GROUP'!$A:$A,0))</f>
        <v>0</v>
      </c>
      <c r="C594" s="83">
        <f>INDEX('PEER GROUP'!C:C,MATCH($A594,'PEER GROUP'!$A:$A,0))</f>
        <v>0</v>
      </c>
      <c r="D594" s="83">
        <f>INDEX('PEER GROUP'!D:D,MATCH($A594,'PEER GROUP'!$A:$A,0))</f>
        <v>0</v>
      </c>
      <c r="E594" s="83">
        <f>INDEX('PEER GROUP'!E:E,MATCH(A594,'PEER GROUP'!$A:$A,0))</f>
        <v>0</v>
      </c>
      <c r="F594" s="84">
        <f>INDEX('PEER GROUP'!F:F,MATCH($A594,'PEER GROUP'!$A:$A,0))</f>
        <v>0</v>
      </c>
      <c r="G594" s="84">
        <f>INDEX('PEER GROUP'!G:G,MATCH($A594,'PEER GROUP'!$A:$A,0))</f>
        <v>0</v>
      </c>
      <c r="H594" s="85"/>
      <c r="I594" s="85"/>
      <c r="J594" s="70">
        <f>INDEX('PEER GROUP'!K:K,MATCH($A594,'PEER GROUP'!$A:$A,0))</f>
        <v>0</v>
      </c>
      <c r="K594" s="70">
        <f>INDEX('PEER GROUP'!L:L,MATCH($A594,'PEER GROUP'!$A:$A,0))</f>
        <v>0</v>
      </c>
      <c r="L594" s="81">
        <f>INDEX('PEER GROUP'!N:N,MATCH($A594,'PEER GROUP'!$A:$A,0))</f>
        <v>0</v>
      </c>
      <c r="M594" s="118"/>
      <c r="N594" s="115"/>
      <c r="O594" s="117"/>
      <c r="P594" s="87"/>
      <c r="Q594" s="87"/>
      <c r="R594" s="87">
        <f t="shared" si="80"/>
        <v>0</v>
      </c>
      <c r="S594" s="113">
        <f t="shared" si="78"/>
        <v>36.913096727263202</v>
      </c>
      <c r="T594" s="69">
        <f t="shared" si="81"/>
        <v>0</v>
      </c>
      <c r="U594" s="70">
        <f t="shared" si="82"/>
        <v>0</v>
      </c>
      <c r="V594" s="70">
        <f t="shared" si="83"/>
        <v>0</v>
      </c>
      <c r="W594" s="71">
        <f t="shared" si="84"/>
        <v>0</v>
      </c>
      <c r="X594" s="49"/>
      <c r="Y594" s="151"/>
      <c r="Z594" s="69"/>
      <c r="AA594" s="70"/>
      <c r="AB594" s="70"/>
      <c r="AC594" s="70" t="str">
        <f t="shared" si="85"/>
        <v>---</v>
      </c>
      <c r="AD594" s="70" t="str">
        <f>IFERROR(P594/#REF!-1,"---")</f>
        <v>---</v>
      </c>
      <c r="AE594" s="70" t="str">
        <f>IFERROR(#REF!/#REF!-1,"---")</f>
        <v>---</v>
      </c>
      <c r="AF594" s="70" t="str">
        <f>IFERROR(Q594/#REF!-1,"---")</f>
        <v>---</v>
      </c>
      <c r="AG594" s="70" t="str">
        <f>IFERROR(#REF!/#REF!-1,"---")</f>
        <v>---</v>
      </c>
      <c r="AH594" s="70" t="str">
        <f>IFERROR(#REF!/AA594-1,"---")</f>
        <v>---</v>
      </c>
      <c r="AI594" s="71" t="str">
        <f t="shared" si="86"/>
        <v>---</v>
      </c>
    </row>
    <row r="595" spans="1:35" ht="30" customHeight="1" x14ac:dyDescent="0.3">
      <c r="A595" s="123">
        <f t="shared" si="79"/>
        <v>591</v>
      </c>
      <c r="B595" s="140">
        <f>INDEX('PEER GROUP'!B:B,MATCH($A595,'PEER GROUP'!$A:$A,0))</f>
        <v>0</v>
      </c>
      <c r="C595" s="83">
        <f>INDEX('PEER GROUP'!C:C,MATCH($A595,'PEER GROUP'!$A:$A,0))</f>
        <v>0</v>
      </c>
      <c r="D595" s="83">
        <f>INDEX('PEER GROUP'!D:D,MATCH($A595,'PEER GROUP'!$A:$A,0))</f>
        <v>0</v>
      </c>
      <c r="E595" s="83">
        <f>INDEX('PEER GROUP'!E:E,MATCH(A595,'PEER GROUP'!$A:$A,0))</f>
        <v>0</v>
      </c>
      <c r="F595" s="84">
        <f>INDEX('PEER GROUP'!F:F,MATCH($A595,'PEER GROUP'!$A:$A,0))</f>
        <v>0</v>
      </c>
      <c r="G595" s="84">
        <f>INDEX('PEER GROUP'!G:G,MATCH($A595,'PEER GROUP'!$A:$A,0))</f>
        <v>0</v>
      </c>
      <c r="H595" s="85"/>
      <c r="I595" s="85"/>
      <c r="J595" s="70">
        <f>INDEX('PEER GROUP'!K:K,MATCH($A595,'PEER GROUP'!$A:$A,0))</f>
        <v>0</v>
      </c>
      <c r="K595" s="70">
        <f>INDEX('PEER GROUP'!L:L,MATCH($A595,'PEER GROUP'!$A:$A,0))</f>
        <v>0</v>
      </c>
      <c r="L595" s="81">
        <f>INDEX('PEER GROUP'!N:N,MATCH($A595,'PEER GROUP'!$A:$A,0))</f>
        <v>0</v>
      </c>
      <c r="M595" s="118"/>
      <c r="N595" s="115"/>
      <c r="O595" s="117"/>
      <c r="P595" s="87"/>
      <c r="Q595" s="87"/>
      <c r="R595" s="87">
        <f t="shared" si="80"/>
        <v>0</v>
      </c>
      <c r="S595" s="113">
        <f t="shared" si="78"/>
        <v>36.913096727263202</v>
      </c>
      <c r="T595" s="69">
        <f t="shared" si="81"/>
        <v>0</v>
      </c>
      <c r="U595" s="70">
        <f t="shared" si="82"/>
        <v>0</v>
      </c>
      <c r="V595" s="70">
        <f t="shared" si="83"/>
        <v>0</v>
      </c>
      <c r="W595" s="71">
        <f t="shared" si="84"/>
        <v>0</v>
      </c>
      <c r="X595" s="49"/>
      <c r="Y595" s="151"/>
      <c r="Z595" s="69"/>
      <c r="AA595" s="70"/>
      <c r="AB595" s="70"/>
      <c r="AC595" s="70" t="str">
        <f t="shared" si="85"/>
        <v>---</v>
      </c>
      <c r="AD595" s="70" t="str">
        <f>IFERROR(P595/#REF!-1,"---")</f>
        <v>---</v>
      </c>
      <c r="AE595" s="70" t="str">
        <f>IFERROR(#REF!/#REF!-1,"---")</f>
        <v>---</v>
      </c>
      <c r="AF595" s="70" t="str">
        <f>IFERROR(Q595/#REF!-1,"---")</f>
        <v>---</v>
      </c>
      <c r="AG595" s="70" t="str">
        <f>IFERROR(#REF!/#REF!-1,"---")</f>
        <v>---</v>
      </c>
      <c r="AH595" s="70" t="str">
        <f>IFERROR(#REF!/AA595-1,"---")</f>
        <v>---</v>
      </c>
      <c r="AI595" s="71" t="str">
        <f t="shared" si="86"/>
        <v>---</v>
      </c>
    </row>
    <row r="596" spans="1:35" ht="30" customHeight="1" x14ac:dyDescent="0.3">
      <c r="A596" s="123">
        <f t="shared" si="79"/>
        <v>592</v>
      </c>
      <c r="B596" s="140">
        <f>INDEX('PEER GROUP'!B:B,MATCH($A596,'PEER GROUP'!$A:$A,0))</f>
        <v>0</v>
      </c>
      <c r="C596" s="83">
        <f>INDEX('PEER GROUP'!C:C,MATCH($A596,'PEER GROUP'!$A:$A,0))</f>
        <v>0</v>
      </c>
      <c r="D596" s="83">
        <f>INDEX('PEER GROUP'!D:D,MATCH($A596,'PEER GROUP'!$A:$A,0))</f>
        <v>0</v>
      </c>
      <c r="E596" s="83">
        <f>INDEX('PEER GROUP'!E:E,MATCH(A596,'PEER GROUP'!$A:$A,0))</f>
        <v>0</v>
      </c>
      <c r="F596" s="84">
        <f>INDEX('PEER GROUP'!F:F,MATCH($A596,'PEER GROUP'!$A:$A,0))</f>
        <v>0</v>
      </c>
      <c r="G596" s="84">
        <f>INDEX('PEER GROUP'!G:G,MATCH($A596,'PEER GROUP'!$A:$A,0))</f>
        <v>0</v>
      </c>
      <c r="H596" s="85"/>
      <c r="I596" s="85"/>
      <c r="J596" s="70">
        <f>INDEX('PEER GROUP'!K:K,MATCH($A596,'PEER GROUP'!$A:$A,0))</f>
        <v>0</v>
      </c>
      <c r="K596" s="70">
        <f>INDEX('PEER GROUP'!L:L,MATCH($A596,'PEER GROUP'!$A:$A,0))</f>
        <v>0</v>
      </c>
      <c r="L596" s="81">
        <f>INDEX('PEER GROUP'!N:N,MATCH($A596,'PEER GROUP'!$A:$A,0))</f>
        <v>0</v>
      </c>
      <c r="M596" s="118"/>
      <c r="N596" s="115"/>
      <c r="O596" s="117"/>
      <c r="P596" s="87"/>
      <c r="Q596" s="87"/>
      <c r="R596" s="87">
        <f t="shared" si="80"/>
        <v>0</v>
      </c>
      <c r="S596" s="113">
        <f t="shared" si="78"/>
        <v>36.913096727263202</v>
      </c>
      <c r="T596" s="69">
        <f t="shared" si="81"/>
        <v>0</v>
      </c>
      <c r="U596" s="70">
        <f t="shared" si="82"/>
        <v>0</v>
      </c>
      <c r="V596" s="70">
        <f t="shared" si="83"/>
        <v>0</v>
      </c>
      <c r="W596" s="71">
        <f t="shared" si="84"/>
        <v>0</v>
      </c>
      <c r="X596" s="49"/>
      <c r="Y596" s="151"/>
      <c r="Z596" s="69"/>
      <c r="AA596" s="70"/>
      <c r="AB596" s="70"/>
      <c r="AC596" s="70" t="str">
        <f t="shared" si="85"/>
        <v>---</v>
      </c>
      <c r="AD596" s="70" t="str">
        <f>IFERROR(P596/#REF!-1,"---")</f>
        <v>---</v>
      </c>
      <c r="AE596" s="70" t="str">
        <f>IFERROR(#REF!/#REF!-1,"---")</f>
        <v>---</v>
      </c>
      <c r="AF596" s="70" t="str">
        <f>IFERROR(Q596/#REF!-1,"---")</f>
        <v>---</v>
      </c>
      <c r="AG596" s="70" t="str">
        <f>IFERROR(#REF!/#REF!-1,"---")</f>
        <v>---</v>
      </c>
      <c r="AH596" s="70" t="str">
        <f>IFERROR(#REF!/AA596-1,"---")</f>
        <v>---</v>
      </c>
      <c r="AI596" s="71" t="str">
        <f t="shared" si="86"/>
        <v>---</v>
      </c>
    </row>
    <row r="597" spans="1:35" ht="30" customHeight="1" x14ac:dyDescent="0.3">
      <c r="A597" s="123">
        <f t="shared" si="79"/>
        <v>593</v>
      </c>
      <c r="B597" s="140">
        <f>INDEX('PEER GROUP'!B:B,MATCH($A597,'PEER GROUP'!$A:$A,0))</f>
        <v>0</v>
      </c>
      <c r="C597" s="83">
        <f>INDEX('PEER GROUP'!C:C,MATCH($A597,'PEER GROUP'!$A:$A,0))</f>
        <v>0</v>
      </c>
      <c r="D597" s="83">
        <f>INDEX('PEER GROUP'!D:D,MATCH($A597,'PEER GROUP'!$A:$A,0))</f>
        <v>0</v>
      </c>
      <c r="E597" s="83">
        <f>INDEX('PEER GROUP'!E:E,MATCH(A597,'PEER GROUP'!$A:$A,0))</f>
        <v>0</v>
      </c>
      <c r="F597" s="84">
        <f>INDEX('PEER GROUP'!F:F,MATCH($A597,'PEER GROUP'!$A:$A,0))</f>
        <v>0</v>
      </c>
      <c r="G597" s="84">
        <f>INDEX('PEER GROUP'!G:G,MATCH($A597,'PEER GROUP'!$A:$A,0))</f>
        <v>0</v>
      </c>
      <c r="H597" s="85"/>
      <c r="I597" s="85"/>
      <c r="J597" s="70">
        <f>INDEX('PEER GROUP'!K:K,MATCH($A597,'PEER GROUP'!$A:$A,0))</f>
        <v>0</v>
      </c>
      <c r="K597" s="70">
        <f>INDEX('PEER GROUP'!L:L,MATCH($A597,'PEER GROUP'!$A:$A,0))</f>
        <v>0</v>
      </c>
      <c r="L597" s="81">
        <f>INDEX('PEER GROUP'!N:N,MATCH($A597,'PEER GROUP'!$A:$A,0))</f>
        <v>0</v>
      </c>
      <c r="M597" s="118"/>
      <c r="N597" s="115"/>
      <c r="O597" s="117"/>
      <c r="P597" s="87"/>
      <c r="Q597" s="87"/>
      <c r="R597" s="87">
        <f t="shared" si="80"/>
        <v>0</v>
      </c>
      <c r="S597" s="113">
        <f t="shared" si="78"/>
        <v>36.913096727263202</v>
      </c>
      <c r="T597" s="69">
        <f t="shared" si="81"/>
        <v>0</v>
      </c>
      <c r="U597" s="70">
        <f t="shared" si="82"/>
        <v>0</v>
      </c>
      <c r="V597" s="70">
        <f t="shared" si="83"/>
        <v>0</v>
      </c>
      <c r="W597" s="71">
        <f t="shared" si="84"/>
        <v>0</v>
      </c>
      <c r="X597" s="49"/>
      <c r="Y597" s="151"/>
      <c r="Z597" s="69"/>
      <c r="AA597" s="70"/>
      <c r="AB597" s="70"/>
      <c r="AC597" s="70" t="str">
        <f t="shared" si="85"/>
        <v>---</v>
      </c>
      <c r="AD597" s="70" t="str">
        <f>IFERROR(P597/#REF!-1,"---")</f>
        <v>---</v>
      </c>
      <c r="AE597" s="70" t="str">
        <f>IFERROR(#REF!/#REF!-1,"---")</f>
        <v>---</v>
      </c>
      <c r="AF597" s="70" t="str">
        <f>IFERROR(Q597/#REF!-1,"---")</f>
        <v>---</v>
      </c>
      <c r="AG597" s="70" t="str">
        <f>IFERROR(#REF!/#REF!-1,"---")</f>
        <v>---</v>
      </c>
      <c r="AH597" s="70" t="str">
        <f>IFERROR(#REF!/AA597-1,"---")</f>
        <v>---</v>
      </c>
      <c r="AI597" s="71" t="str">
        <f t="shared" si="86"/>
        <v>---</v>
      </c>
    </row>
    <row r="598" spans="1:35" ht="30" customHeight="1" x14ac:dyDescent="0.3">
      <c r="A598" s="123">
        <f t="shared" si="79"/>
        <v>594</v>
      </c>
      <c r="B598" s="140">
        <f>INDEX('PEER GROUP'!B:B,MATCH($A598,'PEER GROUP'!$A:$A,0))</f>
        <v>0</v>
      </c>
      <c r="C598" s="83">
        <f>INDEX('PEER GROUP'!C:C,MATCH($A598,'PEER GROUP'!$A:$A,0))</f>
        <v>0</v>
      </c>
      <c r="D598" s="83">
        <f>INDEX('PEER GROUP'!D:D,MATCH($A598,'PEER GROUP'!$A:$A,0))</f>
        <v>0</v>
      </c>
      <c r="E598" s="83">
        <f>INDEX('PEER GROUP'!E:E,MATCH(A598,'PEER GROUP'!$A:$A,0))</f>
        <v>0</v>
      </c>
      <c r="F598" s="84">
        <f>INDEX('PEER GROUP'!F:F,MATCH($A598,'PEER GROUP'!$A:$A,0))</f>
        <v>0</v>
      </c>
      <c r="G598" s="84">
        <f>INDEX('PEER GROUP'!G:G,MATCH($A598,'PEER GROUP'!$A:$A,0))</f>
        <v>0</v>
      </c>
      <c r="H598" s="85"/>
      <c r="I598" s="85"/>
      <c r="J598" s="70">
        <f>INDEX('PEER GROUP'!K:K,MATCH($A598,'PEER GROUP'!$A:$A,0))</f>
        <v>0</v>
      </c>
      <c r="K598" s="70">
        <f>INDEX('PEER GROUP'!L:L,MATCH($A598,'PEER GROUP'!$A:$A,0))</f>
        <v>0</v>
      </c>
      <c r="L598" s="81">
        <f>INDEX('PEER GROUP'!N:N,MATCH($A598,'PEER GROUP'!$A:$A,0))</f>
        <v>0</v>
      </c>
      <c r="M598" s="118"/>
      <c r="N598" s="115"/>
      <c r="O598" s="117"/>
      <c r="P598" s="87"/>
      <c r="Q598" s="87"/>
      <c r="R598" s="87">
        <f t="shared" si="80"/>
        <v>0</v>
      </c>
      <c r="S598" s="113">
        <f t="shared" si="78"/>
        <v>36.913096727263202</v>
      </c>
      <c r="T598" s="69">
        <f t="shared" si="81"/>
        <v>0</v>
      </c>
      <c r="U598" s="70">
        <f t="shared" si="82"/>
        <v>0</v>
      </c>
      <c r="V598" s="70">
        <f t="shared" si="83"/>
        <v>0</v>
      </c>
      <c r="W598" s="71">
        <f t="shared" si="84"/>
        <v>0</v>
      </c>
      <c r="X598" s="49"/>
      <c r="Y598" s="151"/>
      <c r="Z598" s="69"/>
      <c r="AA598" s="70"/>
      <c r="AB598" s="70"/>
      <c r="AC598" s="70" t="str">
        <f t="shared" si="85"/>
        <v>---</v>
      </c>
      <c r="AD598" s="70" t="str">
        <f>IFERROR(P598/#REF!-1,"---")</f>
        <v>---</v>
      </c>
      <c r="AE598" s="70" t="str">
        <f>IFERROR(#REF!/#REF!-1,"---")</f>
        <v>---</v>
      </c>
      <c r="AF598" s="70" t="str">
        <f>IFERROR(Q598/#REF!-1,"---")</f>
        <v>---</v>
      </c>
      <c r="AG598" s="70" t="str">
        <f>IFERROR(#REF!/#REF!-1,"---")</f>
        <v>---</v>
      </c>
      <c r="AH598" s="70" t="str">
        <f>IFERROR(#REF!/AA598-1,"---")</f>
        <v>---</v>
      </c>
      <c r="AI598" s="71" t="str">
        <f t="shared" si="86"/>
        <v>---</v>
      </c>
    </row>
    <row r="599" spans="1:35" ht="30" customHeight="1" x14ac:dyDescent="0.3">
      <c r="A599" s="123">
        <f t="shared" si="79"/>
        <v>595</v>
      </c>
      <c r="B599" s="140">
        <f>INDEX('PEER GROUP'!B:B,MATCH($A599,'PEER GROUP'!$A:$A,0))</f>
        <v>0</v>
      </c>
      <c r="C599" s="83">
        <f>INDEX('PEER GROUP'!C:C,MATCH($A599,'PEER GROUP'!$A:$A,0))</f>
        <v>0</v>
      </c>
      <c r="D599" s="83">
        <f>INDEX('PEER GROUP'!D:D,MATCH($A599,'PEER GROUP'!$A:$A,0))</f>
        <v>0</v>
      </c>
      <c r="E599" s="83">
        <f>INDEX('PEER GROUP'!E:E,MATCH(A599,'PEER GROUP'!$A:$A,0))</f>
        <v>0</v>
      </c>
      <c r="F599" s="84">
        <f>INDEX('PEER GROUP'!F:F,MATCH($A599,'PEER GROUP'!$A:$A,0))</f>
        <v>0</v>
      </c>
      <c r="G599" s="84">
        <f>INDEX('PEER GROUP'!G:G,MATCH($A599,'PEER GROUP'!$A:$A,0))</f>
        <v>0</v>
      </c>
      <c r="H599" s="85"/>
      <c r="I599" s="85"/>
      <c r="J599" s="70">
        <f>INDEX('PEER GROUP'!K:K,MATCH($A599,'PEER GROUP'!$A:$A,0))</f>
        <v>0</v>
      </c>
      <c r="K599" s="70">
        <f>INDEX('PEER GROUP'!L:L,MATCH($A599,'PEER GROUP'!$A:$A,0))</f>
        <v>0</v>
      </c>
      <c r="L599" s="81">
        <f>INDEX('PEER GROUP'!N:N,MATCH($A599,'PEER GROUP'!$A:$A,0))</f>
        <v>0</v>
      </c>
      <c r="M599" s="118"/>
      <c r="N599" s="115"/>
      <c r="O599" s="117"/>
      <c r="P599" s="87"/>
      <c r="Q599" s="87"/>
      <c r="R599" s="87">
        <f t="shared" si="80"/>
        <v>0</v>
      </c>
      <c r="S599" s="113">
        <f t="shared" si="78"/>
        <v>36.913096727263202</v>
      </c>
      <c r="T599" s="69">
        <f t="shared" si="81"/>
        <v>0</v>
      </c>
      <c r="U599" s="70">
        <f t="shared" si="82"/>
        <v>0</v>
      </c>
      <c r="V599" s="70">
        <f t="shared" si="83"/>
        <v>0</v>
      </c>
      <c r="W599" s="71">
        <f t="shared" si="84"/>
        <v>0</v>
      </c>
      <c r="X599" s="49"/>
      <c r="Y599" s="151"/>
      <c r="Z599" s="69"/>
      <c r="AA599" s="70"/>
      <c r="AB599" s="70"/>
      <c r="AC599" s="70" t="str">
        <f t="shared" si="85"/>
        <v>---</v>
      </c>
      <c r="AD599" s="70" t="str">
        <f>IFERROR(P599/#REF!-1,"---")</f>
        <v>---</v>
      </c>
      <c r="AE599" s="70" t="str">
        <f>IFERROR(#REF!/#REF!-1,"---")</f>
        <v>---</v>
      </c>
      <c r="AF599" s="70" t="str">
        <f>IFERROR(Q599/#REF!-1,"---")</f>
        <v>---</v>
      </c>
      <c r="AG599" s="70" t="str">
        <f>IFERROR(#REF!/#REF!-1,"---")</f>
        <v>---</v>
      </c>
      <c r="AH599" s="70" t="str">
        <f>IFERROR(#REF!/AA599-1,"---")</f>
        <v>---</v>
      </c>
      <c r="AI599" s="71" t="str">
        <f t="shared" si="86"/>
        <v>---</v>
      </c>
    </row>
    <row r="600" spans="1:35" ht="30" customHeight="1" x14ac:dyDescent="0.3">
      <c r="A600" s="123">
        <f t="shared" si="79"/>
        <v>596</v>
      </c>
      <c r="B600" s="140">
        <f>INDEX('PEER GROUP'!B:B,MATCH($A600,'PEER GROUP'!$A:$A,0))</f>
        <v>0</v>
      </c>
      <c r="C600" s="83">
        <f>INDEX('PEER GROUP'!C:C,MATCH($A600,'PEER GROUP'!$A:$A,0))</f>
        <v>0</v>
      </c>
      <c r="D600" s="83">
        <f>INDEX('PEER GROUP'!D:D,MATCH($A600,'PEER GROUP'!$A:$A,0))</f>
        <v>0</v>
      </c>
      <c r="E600" s="83">
        <f>INDEX('PEER GROUP'!E:E,MATCH(A600,'PEER GROUP'!$A:$A,0))</f>
        <v>0</v>
      </c>
      <c r="F600" s="84">
        <f>INDEX('PEER GROUP'!F:F,MATCH($A600,'PEER GROUP'!$A:$A,0))</f>
        <v>0</v>
      </c>
      <c r="G600" s="84">
        <f>INDEX('PEER GROUP'!G:G,MATCH($A600,'PEER GROUP'!$A:$A,0))</f>
        <v>0</v>
      </c>
      <c r="H600" s="85"/>
      <c r="I600" s="85"/>
      <c r="J600" s="70">
        <f>INDEX('PEER GROUP'!K:K,MATCH($A600,'PEER GROUP'!$A:$A,0))</f>
        <v>0</v>
      </c>
      <c r="K600" s="70">
        <f>INDEX('PEER GROUP'!L:L,MATCH($A600,'PEER GROUP'!$A:$A,0))</f>
        <v>0</v>
      </c>
      <c r="L600" s="81">
        <f>INDEX('PEER GROUP'!N:N,MATCH($A600,'PEER GROUP'!$A:$A,0))</f>
        <v>0</v>
      </c>
      <c r="M600" s="118"/>
      <c r="N600" s="115"/>
      <c r="O600" s="117"/>
      <c r="P600" s="87"/>
      <c r="Q600" s="87"/>
      <c r="R600" s="87">
        <f t="shared" si="80"/>
        <v>0</v>
      </c>
      <c r="S600" s="113">
        <f t="shared" si="78"/>
        <v>36.913096727263202</v>
      </c>
      <c r="T600" s="69">
        <f t="shared" si="81"/>
        <v>0</v>
      </c>
      <c r="U600" s="70">
        <f t="shared" si="82"/>
        <v>0</v>
      </c>
      <c r="V600" s="70">
        <f t="shared" si="83"/>
        <v>0</v>
      </c>
      <c r="W600" s="71">
        <f t="shared" si="84"/>
        <v>0</v>
      </c>
      <c r="X600" s="49"/>
      <c r="Y600" s="151"/>
      <c r="Z600" s="69"/>
      <c r="AA600" s="70"/>
      <c r="AB600" s="70"/>
      <c r="AC600" s="70" t="str">
        <f t="shared" si="85"/>
        <v>---</v>
      </c>
      <c r="AD600" s="70" t="str">
        <f>IFERROR(P600/#REF!-1,"---")</f>
        <v>---</v>
      </c>
      <c r="AE600" s="70" t="str">
        <f>IFERROR(#REF!/#REF!-1,"---")</f>
        <v>---</v>
      </c>
      <c r="AF600" s="70" t="str">
        <f>IFERROR(Q600/#REF!-1,"---")</f>
        <v>---</v>
      </c>
      <c r="AG600" s="70" t="str">
        <f>IFERROR(#REF!/#REF!-1,"---")</f>
        <v>---</v>
      </c>
      <c r="AH600" s="70" t="str">
        <f>IFERROR(#REF!/AA600-1,"---")</f>
        <v>---</v>
      </c>
      <c r="AI600" s="71" t="str">
        <f t="shared" si="86"/>
        <v>---</v>
      </c>
    </row>
    <row r="601" spans="1:35" ht="30" customHeight="1" x14ac:dyDescent="0.3">
      <c r="A601" s="123">
        <f t="shared" si="79"/>
        <v>597</v>
      </c>
      <c r="B601" s="140">
        <f>INDEX('PEER GROUP'!B:B,MATCH($A601,'PEER GROUP'!$A:$A,0))</f>
        <v>0</v>
      </c>
      <c r="C601" s="83">
        <f>INDEX('PEER GROUP'!C:C,MATCH($A601,'PEER GROUP'!$A:$A,0))</f>
        <v>0</v>
      </c>
      <c r="D601" s="83">
        <f>INDEX('PEER GROUP'!D:D,MATCH($A601,'PEER GROUP'!$A:$A,0))</f>
        <v>0</v>
      </c>
      <c r="E601" s="83">
        <f>INDEX('PEER GROUP'!E:E,MATCH(A601,'PEER GROUP'!$A:$A,0))</f>
        <v>0</v>
      </c>
      <c r="F601" s="84">
        <f>INDEX('PEER GROUP'!F:F,MATCH($A601,'PEER GROUP'!$A:$A,0))</f>
        <v>0</v>
      </c>
      <c r="G601" s="84">
        <f>INDEX('PEER GROUP'!G:G,MATCH($A601,'PEER GROUP'!$A:$A,0))</f>
        <v>0</v>
      </c>
      <c r="H601" s="85"/>
      <c r="I601" s="85"/>
      <c r="J601" s="70">
        <f>INDEX('PEER GROUP'!K:K,MATCH($A601,'PEER GROUP'!$A:$A,0))</f>
        <v>0</v>
      </c>
      <c r="K601" s="70">
        <f>INDEX('PEER GROUP'!L:L,MATCH($A601,'PEER GROUP'!$A:$A,0))</f>
        <v>0</v>
      </c>
      <c r="L601" s="81">
        <f>INDEX('PEER GROUP'!N:N,MATCH($A601,'PEER GROUP'!$A:$A,0))</f>
        <v>0</v>
      </c>
      <c r="M601" s="118"/>
      <c r="N601" s="115"/>
      <c r="O601" s="117"/>
      <c r="P601" s="87"/>
      <c r="Q601" s="87"/>
      <c r="R601" s="87">
        <f t="shared" si="80"/>
        <v>0</v>
      </c>
      <c r="S601" s="113">
        <f t="shared" si="78"/>
        <v>36.913096727263202</v>
      </c>
      <c r="T601" s="69">
        <f t="shared" si="81"/>
        <v>0</v>
      </c>
      <c r="U601" s="70">
        <f t="shared" si="82"/>
        <v>0</v>
      </c>
      <c r="V601" s="70">
        <f t="shared" si="83"/>
        <v>0</v>
      </c>
      <c r="W601" s="71">
        <f t="shared" si="84"/>
        <v>0</v>
      </c>
      <c r="X601" s="49"/>
      <c r="Y601" s="151"/>
      <c r="Z601" s="69"/>
      <c r="AA601" s="70"/>
      <c r="AB601" s="70"/>
      <c r="AC601" s="70" t="str">
        <f t="shared" si="85"/>
        <v>---</v>
      </c>
      <c r="AD601" s="70" t="str">
        <f>IFERROR(P601/#REF!-1,"---")</f>
        <v>---</v>
      </c>
      <c r="AE601" s="70" t="str">
        <f>IFERROR(#REF!/#REF!-1,"---")</f>
        <v>---</v>
      </c>
      <c r="AF601" s="70" t="str">
        <f>IFERROR(Q601/#REF!-1,"---")</f>
        <v>---</v>
      </c>
      <c r="AG601" s="70" t="str">
        <f>IFERROR(#REF!/#REF!-1,"---")</f>
        <v>---</v>
      </c>
      <c r="AH601" s="70" t="str">
        <f>IFERROR(#REF!/AA601-1,"---")</f>
        <v>---</v>
      </c>
      <c r="AI601" s="71" t="str">
        <f t="shared" si="86"/>
        <v>---</v>
      </c>
    </row>
    <row r="602" spans="1:35" ht="30" customHeight="1" x14ac:dyDescent="0.3">
      <c r="A602" s="123">
        <f t="shared" si="79"/>
        <v>598</v>
      </c>
      <c r="B602" s="140">
        <f>INDEX('PEER GROUP'!B:B,MATCH($A602,'PEER GROUP'!$A:$A,0))</f>
        <v>0</v>
      </c>
      <c r="C602" s="83">
        <f>INDEX('PEER GROUP'!C:C,MATCH($A602,'PEER GROUP'!$A:$A,0))</f>
        <v>0</v>
      </c>
      <c r="D602" s="83">
        <f>INDEX('PEER GROUP'!D:D,MATCH($A602,'PEER GROUP'!$A:$A,0))</f>
        <v>0</v>
      </c>
      <c r="E602" s="83">
        <f>INDEX('PEER GROUP'!E:E,MATCH(A602,'PEER GROUP'!$A:$A,0))</f>
        <v>0</v>
      </c>
      <c r="F602" s="84">
        <f>INDEX('PEER GROUP'!F:F,MATCH($A602,'PEER GROUP'!$A:$A,0))</f>
        <v>0</v>
      </c>
      <c r="G602" s="84">
        <f>INDEX('PEER GROUP'!G:G,MATCH($A602,'PEER GROUP'!$A:$A,0))</f>
        <v>0</v>
      </c>
      <c r="H602" s="85"/>
      <c r="I602" s="85"/>
      <c r="J602" s="70">
        <f>INDEX('PEER GROUP'!K:K,MATCH($A602,'PEER GROUP'!$A:$A,0))</f>
        <v>0</v>
      </c>
      <c r="K602" s="70">
        <f>INDEX('PEER GROUP'!L:L,MATCH($A602,'PEER GROUP'!$A:$A,0))</f>
        <v>0</v>
      </c>
      <c r="L602" s="81">
        <f>INDEX('PEER GROUP'!N:N,MATCH($A602,'PEER GROUP'!$A:$A,0))</f>
        <v>0</v>
      </c>
      <c r="M602" s="118"/>
      <c r="N602" s="115"/>
      <c r="O602" s="117"/>
      <c r="P602" s="87"/>
      <c r="Q602" s="87"/>
      <c r="R602" s="87">
        <f t="shared" si="80"/>
        <v>0</v>
      </c>
      <c r="S602" s="113">
        <f t="shared" si="78"/>
        <v>36.913096727263202</v>
      </c>
      <c r="T602" s="69">
        <f t="shared" si="81"/>
        <v>0</v>
      </c>
      <c r="U602" s="70">
        <f t="shared" si="82"/>
        <v>0</v>
      </c>
      <c r="V602" s="70">
        <f t="shared" si="83"/>
        <v>0</v>
      </c>
      <c r="W602" s="71">
        <f t="shared" si="84"/>
        <v>0</v>
      </c>
      <c r="X602" s="49"/>
      <c r="Y602" s="151"/>
      <c r="Z602" s="69"/>
      <c r="AA602" s="70"/>
      <c r="AB602" s="70"/>
      <c r="AC602" s="70" t="str">
        <f t="shared" si="85"/>
        <v>---</v>
      </c>
      <c r="AD602" s="70" t="str">
        <f>IFERROR(P602/#REF!-1,"---")</f>
        <v>---</v>
      </c>
      <c r="AE602" s="70" t="str">
        <f>IFERROR(#REF!/#REF!-1,"---")</f>
        <v>---</v>
      </c>
      <c r="AF602" s="70" t="str">
        <f>IFERROR(Q602/#REF!-1,"---")</f>
        <v>---</v>
      </c>
      <c r="AG602" s="70" t="str">
        <f>IFERROR(#REF!/#REF!-1,"---")</f>
        <v>---</v>
      </c>
      <c r="AH602" s="70" t="str">
        <f>IFERROR(#REF!/AA602-1,"---")</f>
        <v>---</v>
      </c>
      <c r="AI602" s="71" t="str">
        <f t="shared" si="86"/>
        <v>---</v>
      </c>
    </row>
    <row r="603" spans="1:35" ht="30" customHeight="1" x14ac:dyDescent="0.3">
      <c r="A603" s="123">
        <f t="shared" si="79"/>
        <v>599</v>
      </c>
      <c r="B603" s="140">
        <f>INDEX('PEER GROUP'!B:B,MATCH($A603,'PEER GROUP'!$A:$A,0))</f>
        <v>0</v>
      </c>
      <c r="C603" s="83">
        <f>INDEX('PEER GROUP'!C:C,MATCH($A603,'PEER GROUP'!$A:$A,0))</f>
        <v>0</v>
      </c>
      <c r="D603" s="83">
        <f>INDEX('PEER GROUP'!D:D,MATCH($A603,'PEER GROUP'!$A:$A,0))</f>
        <v>0</v>
      </c>
      <c r="E603" s="83">
        <f>INDEX('PEER GROUP'!E:E,MATCH(A603,'PEER GROUP'!$A:$A,0))</f>
        <v>0</v>
      </c>
      <c r="F603" s="84">
        <f>INDEX('PEER GROUP'!F:F,MATCH($A603,'PEER GROUP'!$A:$A,0))</f>
        <v>0</v>
      </c>
      <c r="G603" s="84">
        <f>INDEX('PEER GROUP'!G:G,MATCH($A603,'PEER GROUP'!$A:$A,0))</f>
        <v>0</v>
      </c>
      <c r="H603" s="85"/>
      <c r="I603" s="85"/>
      <c r="J603" s="70">
        <f>INDEX('PEER GROUP'!K:K,MATCH($A603,'PEER GROUP'!$A:$A,0))</f>
        <v>0</v>
      </c>
      <c r="K603" s="70">
        <f>INDEX('PEER GROUP'!L:L,MATCH($A603,'PEER GROUP'!$A:$A,0))</f>
        <v>0</v>
      </c>
      <c r="L603" s="81">
        <f>INDEX('PEER GROUP'!N:N,MATCH($A603,'PEER GROUP'!$A:$A,0))</f>
        <v>0</v>
      </c>
      <c r="M603" s="118"/>
      <c r="N603" s="115"/>
      <c r="O603" s="117"/>
      <c r="P603" s="87"/>
      <c r="Q603" s="87"/>
      <c r="R603" s="87">
        <f t="shared" si="80"/>
        <v>0</v>
      </c>
      <c r="S603" s="113">
        <f t="shared" si="78"/>
        <v>36.913096727263202</v>
      </c>
      <c r="T603" s="69">
        <f t="shared" si="81"/>
        <v>0</v>
      </c>
      <c r="U603" s="70">
        <f t="shared" si="82"/>
        <v>0</v>
      </c>
      <c r="V603" s="70">
        <f t="shared" si="83"/>
        <v>0</v>
      </c>
      <c r="W603" s="71">
        <f t="shared" si="84"/>
        <v>0</v>
      </c>
      <c r="X603" s="49"/>
      <c r="Y603" s="151"/>
      <c r="Z603" s="69"/>
      <c r="AA603" s="70"/>
      <c r="AB603" s="70"/>
      <c r="AC603" s="70" t="str">
        <f t="shared" si="85"/>
        <v>---</v>
      </c>
      <c r="AD603" s="70" t="str">
        <f>IFERROR(P603/#REF!-1,"---")</f>
        <v>---</v>
      </c>
      <c r="AE603" s="70" t="str">
        <f>IFERROR(#REF!/#REF!-1,"---")</f>
        <v>---</v>
      </c>
      <c r="AF603" s="70" t="str">
        <f>IFERROR(Q603/#REF!-1,"---")</f>
        <v>---</v>
      </c>
      <c r="AG603" s="70" t="str">
        <f>IFERROR(#REF!/#REF!-1,"---")</f>
        <v>---</v>
      </c>
      <c r="AH603" s="70" t="str">
        <f>IFERROR(#REF!/AA603-1,"---")</f>
        <v>---</v>
      </c>
      <c r="AI603" s="71" t="str">
        <f t="shared" si="86"/>
        <v>---</v>
      </c>
    </row>
    <row r="604" spans="1:35" ht="30" customHeight="1" x14ac:dyDescent="0.3">
      <c r="A604" s="123">
        <f t="shared" si="79"/>
        <v>600</v>
      </c>
      <c r="B604" s="140">
        <f>INDEX('PEER GROUP'!B:B,MATCH($A604,'PEER GROUP'!$A:$A,0))</f>
        <v>0</v>
      </c>
      <c r="C604" s="83">
        <f>INDEX('PEER GROUP'!C:C,MATCH($A604,'PEER GROUP'!$A:$A,0))</f>
        <v>0</v>
      </c>
      <c r="D604" s="83">
        <f>INDEX('PEER GROUP'!D:D,MATCH($A604,'PEER GROUP'!$A:$A,0))</f>
        <v>0</v>
      </c>
      <c r="E604" s="83">
        <f>INDEX('PEER GROUP'!E:E,MATCH(A604,'PEER GROUP'!$A:$A,0))</f>
        <v>0</v>
      </c>
      <c r="F604" s="84">
        <f>INDEX('PEER GROUP'!F:F,MATCH($A604,'PEER GROUP'!$A:$A,0))</f>
        <v>0</v>
      </c>
      <c r="G604" s="84">
        <f>INDEX('PEER GROUP'!G:G,MATCH($A604,'PEER GROUP'!$A:$A,0))</f>
        <v>0</v>
      </c>
      <c r="H604" s="85"/>
      <c r="I604" s="85"/>
      <c r="J604" s="70">
        <f>INDEX('PEER GROUP'!K:K,MATCH($A604,'PEER GROUP'!$A:$A,0))</f>
        <v>0</v>
      </c>
      <c r="K604" s="70">
        <f>INDEX('PEER GROUP'!L:L,MATCH($A604,'PEER GROUP'!$A:$A,0))</f>
        <v>0</v>
      </c>
      <c r="L604" s="81">
        <f>INDEX('PEER GROUP'!N:N,MATCH($A604,'PEER GROUP'!$A:$A,0))</f>
        <v>0</v>
      </c>
      <c r="M604" s="118"/>
      <c r="N604" s="115"/>
      <c r="O604" s="117"/>
      <c r="P604" s="87"/>
      <c r="Q604" s="87"/>
      <c r="R604" s="87">
        <f t="shared" si="80"/>
        <v>0</v>
      </c>
      <c r="S604" s="113">
        <f t="shared" si="78"/>
        <v>36.913096727263202</v>
      </c>
      <c r="T604" s="69">
        <f t="shared" si="81"/>
        <v>0</v>
      </c>
      <c r="U604" s="70">
        <f t="shared" si="82"/>
        <v>0</v>
      </c>
      <c r="V604" s="70">
        <f t="shared" si="83"/>
        <v>0</v>
      </c>
      <c r="W604" s="71">
        <f t="shared" si="84"/>
        <v>0</v>
      </c>
      <c r="X604" s="49"/>
      <c r="Y604" s="151"/>
      <c r="Z604" s="69"/>
      <c r="AA604" s="70"/>
      <c r="AB604" s="70"/>
      <c r="AC604" s="70" t="str">
        <f t="shared" si="85"/>
        <v>---</v>
      </c>
      <c r="AD604" s="70" t="str">
        <f>IFERROR(P604/#REF!-1,"---")</f>
        <v>---</v>
      </c>
      <c r="AE604" s="70" t="str">
        <f>IFERROR(#REF!/#REF!-1,"---")</f>
        <v>---</v>
      </c>
      <c r="AF604" s="70" t="str">
        <f>IFERROR(Q604/#REF!-1,"---")</f>
        <v>---</v>
      </c>
      <c r="AG604" s="70" t="str">
        <f>IFERROR(#REF!/#REF!-1,"---")</f>
        <v>---</v>
      </c>
      <c r="AH604" s="70" t="str">
        <f>IFERROR(#REF!/AA604-1,"---")</f>
        <v>---</v>
      </c>
      <c r="AI604" s="71" t="str">
        <f t="shared" si="86"/>
        <v>---</v>
      </c>
    </row>
    <row r="605" spans="1:35" ht="30" customHeight="1" x14ac:dyDescent="0.3">
      <c r="A605" s="123">
        <f t="shared" si="79"/>
        <v>601</v>
      </c>
      <c r="B605" s="140">
        <f>INDEX('PEER GROUP'!B:B,MATCH($A605,'PEER GROUP'!$A:$A,0))</f>
        <v>0</v>
      </c>
      <c r="C605" s="83">
        <f>INDEX('PEER GROUP'!C:C,MATCH($A605,'PEER GROUP'!$A:$A,0))</f>
        <v>0</v>
      </c>
      <c r="D605" s="83">
        <f>INDEX('PEER GROUP'!D:D,MATCH($A605,'PEER GROUP'!$A:$A,0))</f>
        <v>0</v>
      </c>
      <c r="E605" s="83">
        <f>INDEX('PEER GROUP'!E:E,MATCH(A605,'PEER GROUP'!$A:$A,0))</f>
        <v>0</v>
      </c>
      <c r="F605" s="84">
        <f>INDEX('PEER GROUP'!F:F,MATCH($A605,'PEER GROUP'!$A:$A,0))</f>
        <v>0</v>
      </c>
      <c r="G605" s="84">
        <f>INDEX('PEER GROUP'!G:G,MATCH($A605,'PEER GROUP'!$A:$A,0))</f>
        <v>0</v>
      </c>
      <c r="H605" s="85"/>
      <c r="I605" s="85"/>
      <c r="J605" s="70">
        <f>INDEX('PEER GROUP'!K:K,MATCH($A605,'PEER GROUP'!$A:$A,0))</f>
        <v>0</v>
      </c>
      <c r="K605" s="70">
        <f>INDEX('PEER GROUP'!L:L,MATCH($A605,'PEER GROUP'!$A:$A,0))</f>
        <v>0</v>
      </c>
      <c r="L605" s="81">
        <f>INDEX('PEER GROUP'!N:N,MATCH($A605,'PEER GROUP'!$A:$A,0))</f>
        <v>0</v>
      </c>
      <c r="M605" s="118"/>
      <c r="N605" s="115"/>
      <c r="O605" s="117"/>
      <c r="P605" s="87"/>
      <c r="Q605" s="87"/>
      <c r="R605" s="87">
        <f t="shared" si="80"/>
        <v>0</v>
      </c>
      <c r="S605" s="113">
        <f t="shared" si="78"/>
        <v>36.913096727263202</v>
      </c>
      <c r="T605" s="69">
        <f t="shared" si="81"/>
        <v>0</v>
      </c>
      <c r="U605" s="70">
        <f t="shared" si="82"/>
        <v>0</v>
      </c>
      <c r="V605" s="70">
        <f t="shared" si="83"/>
        <v>0</v>
      </c>
      <c r="W605" s="71">
        <f t="shared" si="84"/>
        <v>0</v>
      </c>
      <c r="X605" s="49"/>
      <c r="Y605" s="151"/>
      <c r="Z605" s="69"/>
      <c r="AA605" s="70"/>
      <c r="AB605" s="70"/>
      <c r="AC605" s="70" t="str">
        <f t="shared" si="85"/>
        <v>---</v>
      </c>
      <c r="AD605" s="70" t="str">
        <f>IFERROR(P605/#REF!-1,"---")</f>
        <v>---</v>
      </c>
      <c r="AE605" s="70" t="str">
        <f>IFERROR(#REF!/#REF!-1,"---")</f>
        <v>---</v>
      </c>
      <c r="AF605" s="70" t="str">
        <f>IFERROR(Q605/#REF!-1,"---")</f>
        <v>---</v>
      </c>
      <c r="AG605" s="70" t="str">
        <f>IFERROR(#REF!/#REF!-1,"---")</f>
        <v>---</v>
      </c>
      <c r="AH605" s="70" t="str">
        <f>IFERROR(#REF!/AA605-1,"---")</f>
        <v>---</v>
      </c>
      <c r="AI605" s="71" t="str">
        <f t="shared" si="86"/>
        <v>---</v>
      </c>
    </row>
    <row r="606" spans="1:35" ht="30" customHeight="1" x14ac:dyDescent="0.3">
      <c r="A606" s="123">
        <f t="shared" si="79"/>
        <v>602</v>
      </c>
      <c r="B606" s="140">
        <f>INDEX('PEER GROUP'!B:B,MATCH($A606,'PEER GROUP'!$A:$A,0))</f>
        <v>0</v>
      </c>
      <c r="C606" s="83">
        <f>INDEX('PEER GROUP'!C:C,MATCH($A606,'PEER GROUP'!$A:$A,0))</f>
        <v>0</v>
      </c>
      <c r="D606" s="83">
        <f>INDEX('PEER GROUP'!D:D,MATCH($A606,'PEER GROUP'!$A:$A,0))</f>
        <v>0</v>
      </c>
      <c r="E606" s="83">
        <f>INDEX('PEER GROUP'!E:E,MATCH(A606,'PEER GROUP'!$A:$A,0))</f>
        <v>0</v>
      </c>
      <c r="F606" s="84">
        <f>INDEX('PEER GROUP'!F:F,MATCH($A606,'PEER GROUP'!$A:$A,0))</f>
        <v>0</v>
      </c>
      <c r="G606" s="84">
        <f>INDEX('PEER GROUP'!G:G,MATCH($A606,'PEER GROUP'!$A:$A,0))</f>
        <v>0</v>
      </c>
      <c r="H606" s="85"/>
      <c r="I606" s="85"/>
      <c r="J606" s="70">
        <f>INDEX('PEER GROUP'!K:K,MATCH($A606,'PEER GROUP'!$A:$A,0))</f>
        <v>0</v>
      </c>
      <c r="K606" s="70">
        <f>INDEX('PEER GROUP'!L:L,MATCH($A606,'PEER GROUP'!$A:$A,0))</f>
        <v>0</v>
      </c>
      <c r="L606" s="81">
        <f>INDEX('PEER GROUP'!N:N,MATCH($A606,'PEER GROUP'!$A:$A,0))</f>
        <v>0</v>
      </c>
      <c r="M606" s="118"/>
      <c r="N606" s="115"/>
      <c r="O606" s="117"/>
      <c r="P606" s="87"/>
      <c r="Q606" s="87"/>
      <c r="R606" s="87">
        <f t="shared" si="80"/>
        <v>0</v>
      </c>
      <c r="S606" s="113">
        <f t="shared" si="78"/>
        <v>36.913096727263202</v>
      </c>
      <c r="T606" s="69">
        <f t="shared" si="81"/>
        <v>0</v>
      </c>
      <c r="U606" s="70">
        <f t="shared" si="82"/>
        <v>0</v>
      </c>
      <c r="V606" s="70">
        <f t="shared" si="83"/>
        <v>0</v>
      </c>
      <c r="W606" s="71">
        <f t="shared" si="84"/>
        <v>0</v>
      </c>
      <c r="X606" s="49"/>
      <c r="Y606" s="151"/>
      <c r="Z606" s="69"/>
      <c r="AA606" s="70"/>
      <c r="AB606" s="70"/>
      <c r="AC606" s="70" t="str">
        <f t="shared" si="85"/>
        <v>---</v>
      </c>
      <c r="AD606" s="70" t="str">
        <f>IFERROR(P606/#REF!-1,"---")</f>
        <v>---</v>
      </c>
      <c r="AE606" s="70" t="str">
        <f>IFERROR(#REF!/#REF!-1,"---")</f>
        <v>---</v>
      </c>
      <c r="AF606" s="70" t="str">
        <f>IFERROR(Q606/#REF!-1,"---")</f>
        <v>---</v>
      </c>
      <c r="AG606" s="70" t="str">
        <f>IFERROR(#REF!/#REF!-1,"---")</f>
        <v>---</v>
      </c>
      <c r="AH606" s="70" t="str">
        <f>IFERROR(#REF!/AA606-1,"---")</f>
        <v>---</v>
      </c>
      <c r="AI606" s="71" t="str">
        <f t="shared" si="86"/>
        <v>---</v>
      </c>
    </row>
    <row r="607" spans="1:35" ht="30" customHeight="1" x14ac:dyDescent="0.3">
      <c r="A607" s="123">
        <f t="shared" si="79"/>
        <v>603</v>
      </c>
      <c r="B607" s="140">
        <f>INDEX('PEER GROUP'!B:B,MATCH($A607,'PEER GROUP'!$A:$A,0))</f>
        <v>0</v>
      </c>
      <c r="C607" s="83">
        <f>INDEX('PEER GROUP'!C:C,MATCH($A607,'PEER GROUP'!$A:$A,0))</f>
        <v>0</v>
      </c>
      <c r="D607" s="83">
        <f>INDEX('PEER GROUP'!D:D,MATCH($A607,'PEER GROUP'!$A:$A,0))</f>
        <v>0</v>
      </c>
      <c r="E607" s="83">
        <f>INDEX('PEER GROUP'!E:E,MATCH(A607,'PEER GROUP'!$A:$A,0))</f>
        <v>0</v>
      </c>
      <c r="F607" s="84">
        <f>INDEX('PEER GROUP'!F:F,MATCH($A607,'PEER GROUP'!$A:$A,0))</f>
        <v>0</v>
      </c>
      <c r="G607" s="84">
        <f>INDEX('PEER GROUP'!G:G,MATCH($A607,'PEER GROUP'!$A:$A,0))</f>
        <v>0</v>
      </c>
      <c r="H607" s="85"/>
      <c r="I607" s="85"/>
      <c r="J607" s="70">
        <f>INDEX('PEER GROUP'!K:K,MATCH($A607,'PEER GROUP'!$A:$A,0))</f>
        <v>0</v>
      </c>
      <c r="K607" s="70">
        <f>INDEX('PEER GROUP'!L:L,MATCH($A607,'PEER GROUP'!$A:$A,0))</f>
        <v>0</v>
      </c>
      <c r="L607" s="81">
        <f>INDEX('PEER GROUP'!N:N,MATCH($A607,'PEER GROUP'!$A:$A,0))</f>
        <v>0</v>
      </c>
      <c r="M607" s="118"/>
      <c r="N607" s="115"/>
      <c r="O607" s="117"/>
      <c r="P607" s="87"/>
      <c r="Q607" s="87"/>
      <c r="R607" s="87">
        <f t="shared" si="80"/>
        <v>0</v>
      </c>
      <c r="S607" s="113">
        <f t="shared" si="78"/>
        <v>36.913096727263202</v>
      </c>
      <c r="T607" s="69">
        <f t="shared" si="81"/>
        <v>0</v>
      </c>
      <c r="U607" s="70">
        <f t="shared" si="82"/>
        <v>0</v>
      </c>
      <c r="V607" s="70">
        <f t="shared" si="83"/>
        <v>0</v>
      </c>
      <c r="W607" s="71">
        <f t="shared" si="84"/>
        <v>0</v>
      </c>
      <c r="X607" s="49"/>
      <c r="Y607" s="151"/>
      <c r="Z607" s="69"/>
      <c r="AA607" s="70"/>
      <c r="AB607" s="70"/>
      <c r="AC607" s="70" t="str">
        <f t="shared" si="85"/>
        <v>---</v>
      </c>
      <c r="AD607" s="70" t="str">
        <f>IFERROR(P607/#REF!-1,"---")</f>
        <v>---</v>
      </c>
      <c r="AE607" s="70" t="str">
        <f>IFERROR(#REF!/#REF!-1,"---")</f>
        <v>---</v>
      </c>
      <c r="AF607" s="70" t="str">
        <f>IFERROR(Q607/#REF!-1,"---")</f>
        <v>---</v>
      </c>
      <c r="AG607" s="70" t="str">
        <f>IFERROR(#REF!/#REF!-1,"---")</f>
        <v>---</v>
      </c>
      <c r="AH607" s="70" t="str">
        <f>IFERROR(#REF!/AA607-1,"---")</f>
        <v>---</v>
      </c>
      <c r="AI607" s="71" t="str">
        <f t="shared" si="86"/>
        <v>---</v>
      </c>
    </row>
    <row r="608" spans="1:35" ht="30" customHeight="1" x14ac:dyDescent="0.3">
      <c r="A608" s="123">
        <f t="shared" si="79"/>
        <v>604</v>
      </c>
      <c r="B608" s="140">
        <f>INDEX('PEER GROUP'!B:B,MATCH($A608,'PEER GROUP'!$A:$A,0))</f>
        <v>0</v>
      </c>
      <c r="C608" s="83">
        <f>INDEX('PEER GROUP'!C:C,MATCH($A608,'PEER GROUP'!$A:$A,0))</f>
        <v>0</v>
      </c>
      <c r="D608" s="83">
        <f>INDEX('PEER GROUP'!D:D,MATCH($A608,'PEER GROUP'!$A:$A,0))</f>
        <v>0</v>
      </c>
      <c r="E608" s="83">
        <f>INDEX('PEER GROUP'!E:E,MATCH(A608,'PEER GROUP'!$A:$A,0))</f>
        <v>0</v>
      </c>
      <c r="F608" s="84">
        <f>INDEX('PEER GROUP'!F:F,MATCH($A608,'PEER GROUP'!$A:$A,0))</f>
        <v>0</v>
      </c>
      <c r="G608" s="84">
        <f>INDEX('PEER GROUP'!G:G,MATCH($A608,'PEER GROUP'!$A:$A,0))</f>
        <v>0</v>
      </c>
      <c r="H608" s="85"/>
      <c r="I608" s="85"/>
      <c r="J608" s="70">
        <f>INDEX('PEER GROUP'!K:K,MATCH($A608,'PEER GROUP'!$A:$A,0))</f>
        <v>0</v>
      </c>
      <c r="K608" s="70">
        <f>INDEX('PEER GROUP'!L:L,MATCH($A608,'PEER GROUP'!$A:$A,0))</f>
        <v>0</v>
      </c>
      <c r="L608" s="81">
        <f>INDEX('PEER GROUP'!N:N,MATCH($A608,'PEER GROUP'!$A:$A,0))</f>
        <v>0</v>
      </c>
      <c r="M608" s="118"/>
      <c r="N608" s="115"/>
      <c r="O608" s="117"/>
      <c r="P608" s="87"/>
      <c r="Q608" s="87"/>
      <c r="R608" s="87">
        <f t="shared" si="80"/>
        <v>0</v>
      </c>
      <c r="S608" s="113">
        <f t="shared" si="78"/>
        <v>36.913096727263202</v>
      </c>
      <c r="T608" s="69">
        <f t="shared" si="81"/>
        <v>0</v>
      </c>
      <c r="U608" s="70">
        <f t="shared" si="82"/>
        <v>0</v>
      </c>
      <c r="V608" s="70">
        <f t="shared" si="83"/>
        <v>0</v>
      </c>
      <c r="W608" s="71">
        <f t="shared" si="84"/>
        <v>0</v>
      </c>
      <c r="X608" s="49"/>
      <c r="Y608" s="151"/>
      <c r="Z608" s="69"/>
      <c r="AA608" s="70"/>
      <c r="AB608" s="70"/>
      <c r="AC608" s="70" t="str">
        <f t="shared" si="85"/>
        <v>---</v>
      </c>
      <c r="AD608" s="70" t="str">
        <f>IFERROR(P608/#REF!-1,"---")</f>
        <v>---</v>
      </c>
      <c r="AE608" s="70" t="str">
        <f>IFERROR(#REF!/#REF!-1,"---")</f>
        <v>---</v>
      </c>
      <c r="AF608" s="70" t="str">
        <f>IFERROR(Q608/#REF!-1,"---")</f>
        <v>---</v>
      </c>
      <c r="AG608" s="70" t="str">
        <f>IFERROR(#REF!/#REF!-1,"---")</f>
        <v>---</v>
      </c>
      <c r="AH608" s="70" t="str">
        <f>IFERROR(#REF!/AA608-1,"---")</f>
        <v>---</v>
      </c>
      <c r="AI608" s="71" t="str">
        <f t="shared" si="86"/>
        <v>---</v>
      </c>
    </row>
    <row r="609" spans="1:35" ht="30" customHeight="1" x14ac:dyDescent="0.3">
      <c r="A609" s="123">
        <f t="shared" si="79"/>
        <v>605</v>
      </c>
      <c r="B609" s="140">
        <f>INDEX('PEER GROUP'!B:B,MATCH($A609,'PEER GROUP'!$A:$A,0))</f>
        <v>0</v>
      </c>
      <c r="C609" s="83">
        <f>INDEX('PEER GROUP'!C:C,MATCH($A609,'PEER GROUP'!$A:$A,0))</f>
        <v>0</v>
      </c>
      <c r="D609" s="83">
        <f>INDEX('PEER GROUP'!D:D,MATCH($A609,'PEER GROUP'!$A:$A,0))</f>
        <v>0</v>
      </c>
      <c r="E609" s="83">
        <f>INDEX('PEER GROUP'!E:E,MATCH(A609,'PEER GROUP'!$A:$A,0))</f>
        <v>0</v>
      </c>
      <c r="F609" s="84">
        <f>INDEX('PEER GROUP'!F:F,MATCH($A609,'PEER GROUP'!$A:$A,0))</f>
        <v>0</v>
      </c>
      <c r="G609" s="84">
        <f>INDEX('PEER GROUP'!G:G,MATCH($A609,'PEER GROUP'!$A:$A,0))</f>
        <v>0</v>
      </c>
      <c r="H609" s="85"/>
      <c r="I609" s="85"/>
      <c r="J609" s="70">
        <f>INDEX('PEER GROUP'!K:K,MATCH($A609,'PEER GROUP'!$A:$A,0))</f>
        <v>0</v>
      </c>
      <c r="K609" s="70">
        <f>INDEX('PEER GROUP'!L:L,MATCH($A609,'PEER GROUP'!$A:$A,0))</f>
        <v>0</v>
      </c>
      <c r="L609" s="81">
        <f>INDEX('PEER GROUP'!N:N,MATCH($A609,'PEER GROUP'!$A:$A,0))</f>
        <v>0</v>
      </c>
      <c r="M609" s="118"/>
      <c r="N609" s="115"/>
      <c r="O609" s="117"/>
      <c r="P609" s="87"/>
      <c r="Q609" s="87"/>
      <c r="R609" s="87">
        <f t="shared" si="80"/>
        <v>0</v>
      </c>
      <c r="S609" s="113">
        <f t="shared" si="78"/>
        <v>36.913096727263202</v>
      </c>
      <c r="T609" s="69">
        <f t="shared" si="81"/>
        <v>0</v>
      </c>
      <c r="U609" s="70">
        <f t="shared" si="82"/>
        <v>0</v>
      </c>
      <c r="V609" s="70">
        <f t="shared" si="83"/>
        <v>0</v>
      </c>
      <c r="W609" s="71">
        <f t="shared" si="84"/>
        <v>0</v>
      </c>
      <c r="X609" s="49"/>
      <c r="Y609" s="151"/>
      <c r="Z609" s="69"/>
      <c r="AA609" s="70"/>
      <c r="AB609" s="70"/>
      <c r="AC609" s="70" t="str">
        <f t="shared" si="85"/>
        <v>---</v>
      </c>
      <c r="AD609" s="70" t="str">
        <f>IFERROR(P609/#REF!-1,"---")</f>
        <v>---</v>
      </c>
      <c r="AE609" s="70" t="str">
        <f>IFERROR(#REF!/#REF!-1,"---")</f>
        <v>---</v>
      </c>
      <c r="AF609" s="70" t="str">
        <f>IFERROR(Q609/#REF!-1,"---")</f>
        <v>---</v>
      </c>
      <c r="AG609" s="70" t="str">
        <f>IFERROR(#REF!/#REF!-1,"---")</f>
        <v>---</v>
      </c>
      <c r="AH609" s="70" t="str">
        <f>IFERROR(#REF!/AA609-1,"---")</f>
        <v>---</v>
      </c>
      <c r="AI609" s="71" t="str">
        <f t="shared" si="86"/>
        <v>---</v>
      </c>
    </row>
    <row r="610" spans="1:35" ht="30" customHeight="1" x14ac:dyDescent="0.3">
      <c r="A610" s="123">
        <f t="shared" si="79"/>
        <v>606</v>
      </c>
      <c r="B610" s="140">
        <f>INDEX('PEER GROUP'!B:B,MATCH($A610,'PEER GROUP'!$A:$A,0))</f>
        <v>0</v>
      </c>
      <c r="C610" s="83">
        <f>INDEX('PEER GROUP'!C:C,MATCH($A610,'PEER GROUP'!$A:$A,0))</f>
        <v>0</v>
      </c>
      <c r="D610" s="83">
        <f>INDEX('PEER GROUP'!D:D,MATCH($A610,'PEER GROUP'!$A:$A,0))</f>
        <v>0</v>
      </c>
      <c r="E610" s="83">
        <f>INDEX('PEER GROUP'!E:E,MATCH(A610,'PEER GROUP'!$A:$A,0))</f>
        <v>0</v>
      </c>
      <c r="F610" s="84">
        <f>INDEX('PEER GROUP'!F:F,MATCH($A610,'PEER GROUP'!$A:$A,0))</f>
        <v>0</v>
      </c>
      <c r="G610" s="84">
        <f>INDEX('PEER GROUP'!G:G,MATCH($A610,'PEER GROUP'!$A:$A,0))</f>
        <v>0</v>
      </c>
      <c r="H610" s="85"/>
      <c r="I610" s="85"/>
      <c r="J610" s="70">
        <f>INDEX('PEER GROUP'!K:K,MATCH($A610,'PEER GROUP'!$A:$A,0))</f>
        <v>0</v>
      </c>
      <c r="K610" s="70">
        <f>INDEX('PEER GROUP'!L:L,MATCH($A610,'PEER GROUP'!$A:$A,0))</f>
        <v>0</v>
      </c>
      <c r="L610" s="81">
        <f>INDEX('PEER GROUP'!N:N,MATCH($A610,'PEER GROUP'!$A:$A,0))</f>
        <v>0</v>
      </c>
      <c r="M610" s="118"/>
      <c r="N610" s="115"/>
      <c r="O610" s="117"/>
      <c r="P610" s="87"/>
      <c r="Q610" s="87"/>
      <c r="R610" s="87">
        <f t="shared" si="80"/>
        <v>0</v>
      </c>
      <c r="S610" s="113">
        <f t="shared" si="78"/>
        <v>36.913096727263202</v>
      </c>
      <c r="T610" s="69">
        <f t="shared" si="81"/>
        <v>0</v>
      </c>
      <c r="U610" s="70">
        <f t="shared" si="82"/>
        <v>0</v>
      </c>
      <c r="V610" s="70">
        <f t="shared" si="83"/>
        <v>0</v>
      </c>
      <c r="W610" s="71">
        <f t="shared" si="84"/>
        <v>0</v>
      </c>
      <c r="X610" s="49"/>
      <c r="Y610" s="151"/>
      <c r="Z610" s="69"/>
      <c r="AA610" s="70"/>
      <c r="AB610" s="70"/>
      <c r="AC610" s="70" t="str">
        <f t="shared" si="85"/>
        <v>---</v>
      </c>
      <c r="AD610" s="70" t="str">
        <f>IFERROR(P610/#REF!-1,"---")</f>
        <v>---</v>
      </c>
      <c r="AE610" s="70" t="str">
        <f>IFERROR(#REF!/#REF!-1,"---")</f>
        <v>---</v>
      </c>
      <c r="AF610" s="70" t="str">
        <f>IFERROR(Q610/#REF!-1,"---")</f>
        <v>---</v>
      </c>
      <c r="AG610" s="70" t="str">
        <f>IFERROR(#REF!/#REF!-1,"---")</f>
        <v>---</v>
      </c>
      <c r="AH610" s="70" t="str">
        <f>IFERROR(#REF!/AA610-1,"---")</f>
        <v>---</v>
      </c>
      <c r="AI610" s="71" t="str">
        <f t="shared" si="86"/>
        <v>---</v>
      </c>
    </row>
    <row r="611" spans="1:35" ht="30" customHeight="1" x14ac:dyDescent="0.3">
      <c r="A611" s="123">
        <f t="shared" si="79"/>
        <v>607</v>
      </c>
      <c r="B611" s="140">
        <f>INDEX('PEER GROUP'!B:B,MATCH($A611,'PEER GROUP'!$A:$A,0))</f>
        <v>0</v>
      </c>
      <c r="C611" s="83">
        <f>INDEX('PEER GROUP'!C:C,MATCH($A611,'PEER GROUP'!$A:$A,0))</f>
        <v>0</v>
      </c>
      <c r="D611" s="83">
        <f>INDEX('PEER GROUP'!D:D,MATCH($A611,'PEER GROUP'!$A:$A,0))</f>
        <v>0</v>
      </c>
      <c r="E611" s="83">
        <f>INDEX('PEER GROUP'!E:E,MATCH(A611,'PEER GROUP'!$A:$A,0))</f>
        <v>0</v>
      </c>
      <c r="F611" s="84">
        <f>INDEX('PEER GROUP'!F:F,MATCH($A611,'PEER GROUP'!$A:$A,0))</f>
        <v>0</v>
      </c>
      <c r="G611" s="84">
        <f>INDEX('PEER GROUP'!G:G,MATCH($A611,'PEER GROUP'!$A:$A,0))</f>
        <v>0</v>
      </c>
      <c r="H611" s="85"/>
      <c r="I611" s="85"/>
      <c r="J611" s="70">
        <f>INDEX('PEER GROUP'!K:K,MATCH($A611,'PEER GROUP'!$A:$A,0))</f>
        <v>0</v>
      </c>
      <c r="K611" s="70">
        <f>INDEX('PEER GROUP'!L:L,MATCH($A611,'PEER GROUP'!$A:$A,0))</f>
        <v>0</v>
      </c>
      <c r="L611" s="81">
        <f>INDEX('PEER GROUP'!N:N,MATCH($A611,'PEER GROUP'!$A:$A,0))</f>
        <v>0</v>
      </c>
      <c r="M611" s="118"/>
      <c r="N611" s="115"/>
      <c r="O611" s="117"/>
      <c r="P611" s="87"/>
      <c r="Q611" s="87"/>
      <c r="R611" s="87">
        <f t="shared" si="80"/>
        <v>0</v>
      </c>
      <c r="S611" s="113">
        <f t="shared" ref="S611:S653" si="87">IF(DataEffDate&gt;DATE(2022,1,1),
IF(E611&lt;DATE(2022,1,1),
(1+UpdateFactor)^(IF(E611&lt;DataEffDate,1,-1)*YEARFRAC(E611,DATE(2022,1,1),1))+(1+UpdateFactor_TEMP)^(IF(DATE(2022,1,1)&lt;DataEffDate,1,-1)*YEARFRAC(DATE(2022,1,1),DataEffDate,1))-1,
(1+UpdateFactor_TEMP)^(IF(E611&lt;DataEffDate,1,-1)*YEARFRAC(E611,DataEffDate,1))),
(1+UpdateFactor)^(IF(E611&lt;DataEffDate,1,-1)*YEARFRAC(E611,DataEffDate,1)))</f>
        <v>36.913096727263202</v>
      </c>
      <c r="T611" s="69">
        <f t="shared" si="81"/>
        <v>0</v>
      </c>
      <c r="U611" s="70">
        <f t="shared" si="82"/>
        <v>0</v>
      </c>
      <c r="V611" s="70">
        <f t="shared" si="83"/>
        <v>0</v>
      </c>
      <c r="W611" s="71">
        <f t="shared" si="84"/>
        <v>0</v>
      </c>
      <c r="X611" s="49"/>
      <c r="Y611" s="151"/>
      <c r="Z611" s="69"/>
      <c r="AA611" s="70"/>
      <c r="AB611" s="70"/>
      <c r="AC611" s="70" t="str">
        <f t="shared" si="85"/>
        <v>---</v>
      </c>
      <c r="AD611" s="70" t="str">
        <f>IFERROR(P611/#REF!-1,"---")</f>
        <v>---</v>
      </c>
      <c r="AE611" s="70" t="str">
        <f>IFERROR(#REF!/#REF!-1,"---")</f>
        <v>---</v>
      </c>
      <c r="AF611" s="70" t="str">
        <f>IFERROR(Q611/#REF!-1,"---")</f>
        <v>---</v>
      </c>
      <c r="AG611" s="70" t="str">
        <f>IFERROR(#REF!/#REF!-1,"---")</f>
        <v>---</v>
      </c>
      <c r="AH611" s="70" t="str">
        <f>IFERROR(#REF!/AA611-1,"---")</f>
        <v>---</v>
      </c>
      <c r="AI611" s="71" t="str">
        <f t="shared" si="86"/>
        <v>---</v>
      </c>
    </row>
    <row r="612" spans="1:35" ht="30" customHeight="1" x14ac:dyDescent="0.3">
      <c r="A612" s="123">
        <f t="shared" ref="A612:A653" si="88">A611+1</f>
        <v>608</v>
      </c>
      <c r="B612" s="140">
        <f>INDEX('PEER GROUP'!B:B,MATCH($A612,'PEER GROUP'!$A:$A,0))</f>
        <v>0</v>
      </c>
      <c r="C612" s="83">
        <f>INDEX('PEER GROUP'!C:C,MATCH($A612,'PEER GROUP'!$A:$A,0))</f>
        <v>0</v>
      </c>
      <c r="D612" s="83">
        <f>INDEX('PEER GROUP'!D:D,MATCH($A612,'PEER GROUP'!$A:$A,0))</f>
        <v>0</v>
      </c>
      <c r="E612" s="83">
        <f>INDEX('PEER GROUP'!E:E,MATCH(A612,'PEER GROUP'!$A:$A,0))</f>
        <v>0</v>
      </c>
      <c r="F612" s="84">
        <f>INDEX('PEER GROUP'!F:F,MATCH($A612,'PEER GROUP'!$A:$A,0))</f>
        <v>0</v>
      </c>
      <c r="G612" s="84">
        <f>INDEX('PEER GROUP'!G:G,MATCH($A612,'PEER GROUP'!$A:$A,0))</f>
        <v>0</v>
      </c>
      <c r="H612" s="85"/>
      <c r="I612" s="85"/>
      <c r="J612" s="70">
        <f>INDEX('PEER GROUP'!K:K,MATCH($A612,'PEER GROUP'!$A:$A,0))</f>
        <v>0</v>
      </c>
      <c r="K612" s="70">
        <f>INDEX('PEER GROUP'!L:L,MATCH($A612,'PEER GROUP'!$A:$A,0))</f>
        <v>0</v>
      </c>
      <c r="L612" s="81">
        <f>INDEX('PEER GROUP'!N:N,MATCH($A612,'PEER GROUP'!$A:$A,0))</f>
        <v>0</v>
      </c>
      <c r="M612" s="118"/>
      <c r="N612" s="115"/>
      <c r="O612" s="117"/>
      <c r="P612" s="87"/>
      <c r="Q612" s="87"/>
      <c r="R612" s="87">
        <f t="shared" ref="R612:R653" si="89">SUM(O612:Q612)</f>
        <v>0</v>
      </c>
      <c r="S612" s="113">
        <f t="shared" si="87"/>
        <v>36.913096727263202</v>
      </c>
      <c r="T612" s="69">
        <f t="shared" ref="T612:T653" si="90">O612*$S612</f>
        <v>0</v>
      </c>
      <c r="U612" s="70">
        <f t="shared" ref="U612:U653" si="91">P612*$S612</f>
        <v>0</v>
      </c>
      <c r="V612" s="70">
        <f t="shared" ref="V612:V653" si="92">Q612*$S612</f>
        <v>0</v>
      </c>
      <c r="W612" s="71">
        <f t="shared" ref="W612:W653" si="93">SUM(T612:V612)</f>
        <v>0</v>
      </c>
      <c r="X612" s="49"/>
      <c r="Y612" s="151"/>
      <c r="Z612" s="69"/>
      <c r="AA612" s="70"/>
      <c r="AB612" s="70"/>
      <c r="AC612" s="70" t="str">
        <f t="shared" ref="AC612:AC653" si="94">IFERROR(O612/Z612-1,"---")</f>
        <v>---</v>
      </c>
      <c r="AD612" s="70" t="str">
        <f>IFERROR(P612/#REF!-1,"---")</f>
        <v>---</v>
      </c>
      <c r="AE612" s="70" t="str">
        <f>IFERROR(#REF!/#REF!-1,"---")</f>
        <v>---</v>
      </c>
      <c r="AF612" s="70" t="str">
        <f>IFERROR(Q612/#REF!-1,"---")</f>
        <v>---</v>
      </c>
      <c r="AG612" s="70" t="str">
        <f>IFERROR(#REF!/#REF!-1,"---")</f>
        <v>---</v>
      </c>
      <c r="AH612" s="70" t="str">
        <f>IFERROR(#REF!/AA612-1,"---")</f>
        <v>---</v>
      </c>
      <c r="AI612" s="71" t="str">
        <f t="shared" ref="AI612:AI653" si="95">IFERROR(R612/AB612-1,"---")</f>
        <v>---</v>
      </c>
    </row>
    <row r="613" spans="1:35" ht="30" customHeight="1" x14ac:dyDescent="0.3">
      <c r="A613" s="123">
        <f t="shared" si="88"/>
        <v>609</v>
      </c>
      <c r="B613" s="140">
        <f>INDEX('PEER GROUP'!B:B,MATCH($A613,'PEER GROUP'!$A:$A,0))</f>
        <v>0</v>
      </c>
      <c r="C613" s="83">
        <f>INDEX('PEER GROUP'!C:C,MATCH($A613,'PEER GROUP'!$A:$A,0))</f>
        <v>0</v>
      </c>
      <c r="D613" s="83">
        <f>INDEX('PEER GROUP'!D:D,MATCH($A613,'PEER GROUP'!$A:$A,0))</f>
        <v>0</v>
      </c>
      <c r="E613" s="83">
        <f>INDEX('PEER GROUP'!E:E,MATCH(A613,'PEER GROUP'!$A:$A,0))</f>
        <v>0</v>
      </c>
      <c r="F613" s="84">
        <f>INDEX('PEER GROUP'!F:F,MATCH($A613,'PEER GROUP'!$A:$A,0))</f>
        <v>0</v>
      </c>
      <c r="G613" s="84">
        <f>INDEX('PEER GROUP'!G:G,MATCH($A613,'PEER GROUP'!$A:$A,0))</f>
        <v>0</v>
      </c>
      <c r="H613" s="85"/>
      <c r="I613" s="85"/>
      <c r="J613" s="70">
        <f>INDEX('PEER GROUP'!K:K,MATCH($A613,'PEER GROUP'!$A:$A,0))</f>
        <v>0</v>
      </c>
      <c r="K613" s="70">
        <f>INDEX('PEER GROUP'!L:L,MATCH($A613,'PEER GROUP'!$A:$A,0))</f>
        <v>0</v>
      </c>
      <c r="L613" s="81">
        <f>INDEX('PEER GROUP'!N:N,MATCH($A613,'PEER GROUP'!$A:$A,0))</f>
        <v>0</v>
      </c>
      <c r="M613" s="118"/>
      <c r="N613" s="115"/>
      <c r="O613" s="117"/>
      <c r="P613" s="87"/>
      <c r="Q613" s="87"/>
      <c r="R613" s="87">
        <f t="shared" si="89"/>
        <v>0</v>
      </c>
      <c r="S613" s="113">
        <f t="shared" si="87"/>
        <v>36.913096727263202</v>
      </c>
      <c r="T613" s="69">
        <f t="shared" si="90"/>
        <v>0</v>
      </c>
      <c r="U613" s="70">
        <f t="shared" si="91"/>
        <v>0</v>
      </c>
      <c r="V613" s="70">
        <f t="shared" si="92"/>
        <v>0</v>
      </c>
      <c r="W613" s="71">
        <f t="shared" si="93"/>
        <v>0</v>
      </c>
      <c r="X613" s="49"/>
      <c r="Y613" s="151"/>
      <c r="Z613" s="69"/>
      <c r="AA613" s="70"/>
      <c r="AB613" s="70"/>
      <c r="AC613" s="70" t="str">
        <f t="shared" si="94"/>
        <v>---</v>
      </c>
      <c r="AD613" s="70" t="str">
        <f>IFERROR(P613/#REF!-1,"---")</f>
        <v>---</v>
      </c>
      <c r="AE613" s="70" t="str">
        <f>IFERROR(#REF!/#REF!-1,"---")</f>
        <v>---</v>
      </c>
      <c r="AF613" s="70" t="str">
        <f>IFERROR(Q613/#REF!-1,"---")</f>
        <v>---</v>
      </c>
      <c r="AG613" s="70" t="str">
        <f>IFERROR(#REF!/#REF!-1,"---")</f>
        <v>---</v>
      </c>
      <c r="AH613" s="70" t="str">
        <f>IFERROR(#REF!/AA613-1,"---")</f>
        <v>---</v>
      </c>
      <c r="AI613" s="71" t="str">
        <f t="shared" si="95"/>
        <v>---</v>
      </c>
    </row>
    <row r="614" spans="1:35" ht="30" customHeight="1" x14ac:dyDescent="0.3">
      <c r="A614" s="123">
        <f t="shared" si="88"/>
        <v>610</v>
      </c>
      <c r="B614" s="140">
        <f>INDEX('PEER GROUP'!B:B,MATCH($A614,'PEER GROUP'!$A:$A,0))</f>
        <v>0</v>
      </c>
      <c r="C614" s="83">
        <f>INDEX('PEER GROUP'!C:C,MATCH($A614,'PEER GROUP'!$A:$A,0))</f>
        <v>0</v>
      </c>
      <c r="D614" s="83">
        <f>INDEX('PEER GROUP'!D:D,MATCH($A614,'PEER GROUP'!$A:$A,0))</f>
        <v>0</v>
      </c>
      <c r="E614" s="83">
        <f>INDEX('PEER GROUP'!E:E,MATCH(A614,'PEER GROUP'!$A:$A,0))</f>
        <v>0</v>
      </c>
      <c r="F614" s="84">
        <f>INDEX('PEER GROUP'!F:F,MATCH($A614,'PEER GROUP'!$A:$A,0))</f>
        <v>0</v>
      </c>
      <c r="G614" s="84">
        <f>INDEX('PEER GROUP'!G:G,MATCH($A614,'PEER GROUP'!$A:$A,0))</f>
        <v>0</v>
      </c>
      <c r="H614" s="85"/>
      <c r="I614" s="85"/>
      <c r="J614" s="70">
        <f>INDEX('PEER GROUP'!K:K,MATCH($A614,'PEER GROUP'!$A:$A,0))</f>
        <v>0</v>
      </c>
      <c r="K614" s="70">
        <f>INDEX('PEER GROUP'!L:L,MATCH($A614,'PEER GROUP'!$A:$A,0))</f>
        <v>0</v>
      </c>
      <c r="L614" s="81">
        <f>INDEX('PEER GROUP'!N:N,MATCH($A614,'PEER GROUP'!$A:$A,0))</f>
        <v>0</v>
      </c>
      <c r="M614" s="118"/>
      <c r="N614" s="115"/>
      <c r="O614" s="117"/>
      <c r="P614" s="87"/>
      <c r="Q614" s="87"/>
      <c r="R614" s="87">
        <f t="shared" si="89"/>
        <v>0</v>
      </c>
      <c r="S614" s="113">
        <f t="shared" si="87"/>
        <v>36.913096727263202</v>
      </c>
      <c r="T614" s="69">
        <f t="shared" si="90"/>
        <v>0</v>
      </c>
      <c r="U614" s="70">
        <f t="shared" si="91"/>
        <v>0</v>
      </c>
      <c r="V614" s="70">
        <f t="shared" si="92"/>
        <v>0</v>
      </c>
      <c r="W614" s="71">
        <f t="shared" si="93"/>
        <v>0</v>
      </c>
      <c r="X614" s="49"/>
      <c r="Y614" s="151"/>
      <c r="Z614" s="69"/>
      <c r="AA614" s="70"/>
      <c r="AB614" s="70"/>
      <c r="AC614" s="70" t="str">
        <f t="shared" si="94"/>
        <v>---</v>
      </c>
      <c r="AD614" s="70" t="str">
        <f>IFERROR(P614/#REF!-1,"---")</f>
        <v>---</v>
      </c>
      <c r="AE614" s="70" t="str">
        <f>IFERROR(#REF!/#REF!-1,"---")</f>
        <v>---</v>
      </c>
      <c r="AF614" s="70" t="str">
        <f>IFERROR(Q614/#REF!-1,"---")</f>
        <v>---</v>
      </c>
      <c r="AG614" s="70" t="str">
        <f>IFERROR(#REF!/#REF!-1,"---")</f>
        <v>---</v>
      </c>
      <c r="AH614" s="70" t="str">
        <f>IFERROR(#REF!/AA614-1,"---")</f>
        <v>---</v>
      </c>
      <c r="AI614" s="71" t="str">
        <f t="shared" si="95"/>
        <v>---</v>
      </c>
    </row>
    <row r="615" spans="1:35" ht="30" customHeight="1" x14ac:dyDescent="0.3">
      <c r="A615" s="123">
        <f t="shared" si="88"/>
        <v>611</v>
      </c>
      <c r="B615" s="140">
        <f>INDEX('PEER GROUP'!B:B,MATCH($A615,'PEER GROUP'!$A:$A,0))</f>
        <v>0</v>
      </c>
      <c r="C615" s="83">
        <f>INDEX('PEER GROUP'!C:C,MATCH($A615,'PEER GROUP'!$A:$A,0))</f>
        <v>0</v>
      </c>
      <c r="D615" s="83">
        <f>INDEX('PEER GROUP'!D:D,MATCH($A615,'PEER GROUP'!$A:$A,0))</f>
        <v>0</v>
      </c>
      <c r="E615" s="83">
        <f>INDEX('PEER GROUP'!E:E,MATCH(A615,'PEER GROUP'!$A:$A,0))</f>
        <v>0</v>
      </c>
      <c r="F615" s="84">
        <f>INDEX('PEER GROUP'!F:F,MATCH($A615,'PEER GROUP'!$A:$A,0))</f>
        <v>0</v>
      </c>
      <c r="G615" s="84">
        <f>INDEX('PEER GROUP'!G:G,MATCH($A615,'PEER GROUP'!$A:$A,0))</f>
        <v>0</v>
      </c>
      <c r="H615" s="85"/>
      <c r="I615" s="85"/>
      <c r="J615" s="70">
        <f>INDEX('PEER GROUP'!K:K,MATCH($A615,'PEER GROUP'!$A:$A,0))</f>
        <v>0</v>
      </c>
      <c r="K615" s="70">
        <f>INDEX('PEER GROUP'!L:L,MATCH($A615,'PEER GROUP'!$A:$A,0))</f>
        <v>0</v>
      </c>
      <c r="L615" s="81">
        <f>INDEX('PEER GROUP'!N:N,MATCH($A615,'PEER GROUP'!$A:$A,0))</f>
        <v>0</v>
      </c>
      <c r="M615" s="118"/>
      <c r="N615" s="115"/>
      <c r="O615" s="117"/>
      <c r="P615" s="87"/>
      <c r="Q615" s="87"/>
      <c r="R615" s="87">
        <f t="shared" si="89"/>
        <v>0</v>
      </c>
      <c r="S615" s="113">
        <f t="shared" si="87"/>
        <v>36.913096727263202</v>
      </c>
      <c r="T615" s="69">
        <f t="shared" si="90"/>
        <v>0</v>
      </c>
      <c r="U615" s="70">
        <f t="shared" si="91"/>
        <v>0</v>
      </c>
      <c r="V615" s="70">
        <f t="shared" si="92"/>
        <v>0</v>
      </c>
      <c r="W615" s="71">
        <f t="shared" si="93"/>
        <v>0</v>
      </c>
      <c r="X615" s="49"/>
      <c r="Y615" s="151"/>
      <c r="Z615" s="69"/>
      <c r="AA615" s="70"/>
      <c r="AB615" s="70"/>
      <c r="AC615" s="70" t="str">
        <f t="shared" si="94"/>
        <v>---</v>
      </c>
      <c r="AD615" s="70" t="str">
        <f>IFERROR(P615/#REF!-1,"---")</f>
        <v>---</v>
      </c>
      <c r="AE615" s="70" t="str">
        <f>IFERROR(#REF!/#REF!-1,"---")</f>
        <v>---</v>
      </c>
      <c r="AF615" s="70" t="str">
        <f>IFERROR(Q615/#REF!-1,"---")</f>
        <v>---</v>
      </c>
      <c r="AG615" s="70" t="str">
        <f>IFERROR(#REF!/#REF!-1,"---")</f>
        <v>---</v>
      </c>
      <c r="AH615" s="70" t="str">
        <f>IFERROR(#REF!/AA615-1,"---")</f>
        <v>---</v>
      </c>
      <c r="AI615" s="71" t="str">
        <f t="shared" si="95"/>
        <v>---</v>
      </c>
    </row>
    <row r="616" spans="1:35" ht="30" customHeight="1" x14ac:dyDescent="0.3">
      <c r="A616" s="123">
        <f t="shared" si="88"/>
        <v>612</v>
      </c>
      <c r="B616" s="140">
        <f>INDEX('PEER GROUP'!B:B,MATCH($A616,'PEER GROUP'!$A:$A,0))</f>
        <v>0</v>
      </c>
      <c r="C616" s="83">
        <f>INDEX('PEER GROUP'!C:C,MATCH($A616,'PEER GROUP'!$A:$A,0))</f>
        <v>0</v>
      </c>
      <c r="D616" s="83">
        <f>INDEX('PEER GROUP'!D:D,MATCH($A616,'PEER GROUP'!$A:$A,0))</f>
        <v>0</v>
      </c>
      <c r="E616" s="83">
        <f>INDEX('PEER GROUP'!E:E,MATCH(A616,'PEER GROUP'!$A:$A,0))</f>
        <v>0</v>
      </c>
      <c r="F616" s="84">
        <f>INDEX('PEER GROUP'!F:F,MATCH($A616,'PEER GROUP'!$A:$A,0))</f>
        <v>0</v>
      </c>
      <c r="G616" s="84">
        <f>INDEX('PEER GROUP'!G:G,MATCH($A616,'PEER GROUP'!$A:$A,0))</f>
        <v>0</v>
      </c>
      <c r="H616" s="85"/>
      <c r="I616" s="85"/>
      <c r="J616" s="70">
        <f>INDEX('PEER GROUP'!K:K,MATCH($A616,'PEER GROUP'!$A:$A,0))</f>
        <v>0</v>
      </c>
      <c r="K616" s="70">
        <f>INDEX('PEER GROUP'!L:L,MATCH($A616,'PEER GROUP'!$A:$A,0))</f>
        <v>0</v>
      </c>
      <c r="L616" s="81">
        <f>INDEX('PEER GROUP'!N:N,MATCH($A616,'PEER GROUP'!$A:$A,0))</f>
        <v>0</v>
      </c>
      <c r="M616" s="118"/>
      <c r="N616" s="115"/>
      <c r="O616" s="117"/>
      <c r="P616" s="87"/>
      <c r="Q616" s="87"/>
      <c r="R616" s="87">
        <f t="shared" si="89"/>
        <v>0</v>
      </c>
      <c r="S616" s="113">
        <f t="shared" si="87"/>
        <v>36.913096727263202</v>
      </c>
      <c r="T616" s="69">
        <f t="shared" si="90"/>
        <v>0</v>
      </c>
      <c r="U616" s="70">
        <f t="shared" si="91"/>
        <v>0</v>
      </c>
      <c r="V616" s="70">
        <f t="shared" si="92"/>
        <v>0</v>
      </c>
      <c r="W616" s="71">
        <f t="shared" si="93"/>
        <v>0</v>
      </c>
      <c r="X616" s="49"/>
      <c r="Y616" s="151"/>
      <c r="Z616" s="69"/>
      <c r="AA616" s="70"/>
      <c r="AB616" s="70"/>
      <c r="AC616" s="70" t="str">
        <f t="shared" si="94"/>
        <v>---</v>
      </c>
      <c r="AD616" s="70" t="str">
        <f>IFERROR(P616/#REF!-1,"---")</f>
        <v>---</v>
      </c>
      <c r="AE616" s="70" t="str">
        <f>IFERROR(#REF!/#REF!-1,"---")</f>
        <v>---</v>
      </c>
      <c r="AF616" s="70" t="str">
        <f>IFERROR(Q616/#REF!-1,"---")</f>
        <v>---</v>
      </c>
      <c r="AG616" s="70" t="str">
        <f>IFERROR(#REF!/#REF!-1,"---")</f>
        <v>---</v>
      </c>
      <c r="AH616" s="70" t="str">
        <f>IFERROR(#REF!/AA616-1,"---")</f>
        <v>---</v>
      </c>
      <c r="AI616" s="71" t="str">
        <f t="shared" si="95"/>
        <v>---</v>
      </c>
    </row>
    <row r="617" spans="1:35" ht="30" customHeight="1" x14ac:dyDescent="0.3">
      <c r="A617" s="123">
        <f t="shared" si="88"/>
        <v>613</v>
      </c>
      <c r="B617" s="140">
        <f>INDEX('PEER GROUP'!B:B,MATCH($A617,'PEER GROUP'!$A:$A,0))</f>
        <v>0</v>
      </c>
      <c r="C617" s="83">
        <f>INDEX('PEER GROUP'!C:C,MATCH($A617,'PEER GROUP'!$A:$A,0))</f>
        <v>0</v>
      </c>
      <c r="D617" s="83">
        <f>INDEX('PEER GROUP'!D:D,MATCH($A617,'PEER GROUP'!$A:$A,0))</f>
        <v>0</v>
      </c>
      <c r="E617" s="83">
        <f>INDEX('PEER GROUP'!E:E,MATCH(A617,'PEER GROUP'!$A:$A,0))</f>
        <v>0</v>
      </c>
      <c r="F617" s="84">
        <f>INDEX('PEER GROUP'!F:F,MATCH($A617,'PEER GROUP'!$A:$A,0))</f>
        <v>0</v>
      </c>
      <c r="G617" s="84">
        <f>INDEX('PEER GROUP'!G:G,MATCH($A617,'PEER GROUP'!$A:$A,0))</f>
        <v>0</v>
      </c>
      <c r="H617" s="85"/>
      <c r="I617" s="85"/>
      <c r="J617" s="70">
        <f>INDEX('PEER GROUP'!K:K,MATCH($A617,'PEER GROUP'!$A:$A,0))</f>
        <v>0</v>
      </c>
      <c r="K617" s="70">
        <f>INDEX('PEER GROUP'!L:L,MATCH($A617,'PEER GROUP'!$A:$A,0))</f>
        <v>0</v>
      </c>
      <c r="L617" s="81">
        <f>INDEX('PEER GROUP'!N:N,MATCH($A617,'PEER GROUP'!$A:$A,0))</f>
        <v>0</v>
      </c>
      <c r="M617" s="118"/>
      <c r="N617" s="115"/>
      <c r="O617" s="117"/>
      <c r="P617" s="87"/>
      <c r="Q617" s="87"/>
      <c r="R617" s="87">
        <f t="shared" si="89"/>
        <v>0</v>
      </c>
      <c r="S617" s="113">
        <f t="shared" si="87"/>
        <v>36.913096727263202</v>
      </c>
      <c r="T617" s="69">
        <f t="shared" si="90"/>
        <v>0</v>
      </c>
      <c r="U617" s="70">
        <f t="shared" si="91"/>
        <v>0</v>
      </c>
      <c r="V617" s="70">
        <f t="shared" si="92"/>
        <v>0</v>
      </c>
      <c r="W617" s="71">
        <f t="shared" si="93"/>
        <v>0</v>
      </c>
      <c r="X617" s="49"/>
      <c r="Y617" s="151"/>
      <c r="Z617" s="69"/>
      <c r="AA617" s="70"/>
      <c r="AB617" s="70"/>
      <c r="AC617" s="70" t="str">
        <f t="shared" si="94"/>
        <v>---</v>
      </c>
      <c r="AD617" s="70" t="str">
        <f>IFERROR(P617/#REF!-1,"---")</f>
        <v>---</v>
      </c>
      <c r="AE617" s="70" t="str">
        <f>IFERROR(#REF!/#REF!-1,"---")</f>
        <v>---</v>
      </c>
      <c r="AF617" s="70" t="str">
        <f>IFERROR(Q617/#REF!-1,"---")</f>
        <v>---</v>
      </c>
      <c r="AG617" s="70" t="str">
        <f>IFERROR(#REF!/#REF!-1,"---")</f>
        <v>---</v>
      </c>
      <c r="AH617" s="70" t="str">
        <f>IFERROR(#REF!/AA617-1,"---")</f>
        <v>---</v>
      </c>
      <c r="AI617" s="71" t="str">
        <f t="shared" si="95"/>
        <v>---</v>
      </c>
    </row>
    <row r="618" spans="1:35" ht="30" customHeight="1" x14ac:dyDescent="0.3">
      <c r="A618" s="123">
        <f t="shared" si="88"/>
        <v>614</v>
      </c>
      <c r="B618" s="140">
        <f>INDEX('PEER GROUP'!B:B,MATCH($A618,'PEER GROUP'!$A:$A,0))</f>
        <v>0</v>
      </c>
      <c r="C618" s="83">
        <f>INDEX('PEER GROUP'!C:C,MATCH($A618,'PEER GROUP'!$A:$A,0))</f>
        <v>0</v>
      </c>
      <c r="D618" s="83">
        <f>INDEX('PEER GROUP'!D:D,MATCH($A618,'PEER GROUP'!$A:$A,0))</f>
        <v>0</v>
      </c>
      <c r="E618" s="83">
        <f>INDEX('PEER GROUP'!E:E,MATCH(A618,'PEER GROUP'!$A:$A,0))</f>
        <v>0</v>
      </c>
      <c r="F618" s="84">
        <f>INDEX('PEER GROUP'!F:F,MATCH($A618,'PEER GROUP'!$A:$A,0))</f>
        <v>0</v>
      </c>
      <c r="G618" s="84">
        <f>INDEX('PEER GROUP'!G:G,MATCH($A618,'PEER GROUP'!$A:$A,0))</f>
        <v>0</v>
      </c>
      <c r="H618" s="85"/>
      <c r="I618" s="85"/>
      <c r="J618" s="70">
        <f>INDEX('PEER GROUP'!K:K,MATCH($A618,'PEER GROUP'!$A:$A,0))</f>
        <v>0</v>
      </c>
      <c r="K618" s="70">
        <f>INDEX('PEER GROUP'!L:L,MATCH($A618,'PEER GROUP'!$A:$A,0))</f>
        <v>0</v>
      </c>
      <c r="L618" s="81">
        <f>INDEX('PEER GROUP'!N:N,MATCH($A618,'PEER GROUP'!$A:$A,0))</f>
        <v>0</v>
      </c>
      <c r="M618" s="118"/>
      <c r="N618" s="115"/>
      <c r="O618" s="117"/>
      <c r="P618" s="87"/>
      <c r="Q618" s="87"/>
      <c r="R618" s="87">
        <f t="shared" si="89"/>
        <v>0</v>
      </c>
      <c r="S618" s="113">
        <f t="shared" si="87"/>
        <v>36.913096727263202</v>
      </c>
      <c r="T618" s="69">
        <f t="shared" si="90"/>
        <v>0</v>
      </c>
      <c r="U618" s="70">
        <f t="shared" si="91"/>
        <v>0</v>
      </c>
      <c r="V618" s="70">
        <f t="shared" si="92"/>
        <v>0</v>
      </c>
      <c r="W618" s="71">
        <f t="shared" si="93"/>
        <v>0</v>
      </c>
      <c r="X618" s="49"/>
      <c r="Y618" s="151"/>
      <c r="Z618" s="69"/>
      <c r="AA618" s="70"/>
      <c r="AB618" s="70"/>
      <c r="AC618" s="70" t="str">
        <f t="shared" si="94"/>
        <v>---</v>
      </c>
      <c r="AD618" s="70" t="str">
        <f>IFERROR(P618/#REF!-1,"---")</f>
        <v>---</v>
      </c>
      <c r="AE618" s="70" t="str">
        <f>IFERROR(#REF!/#REF!-1,"---")</f>
        <v>---</v>
      </c>
      <c r="AF618" s="70" t="str">
        <f>IFERROR(Q618/#REF!-1,"---")</f>
        <v>---</v>
      </c>
      <c r="AG618" s="70" t="str">
        <f>IFERROR(#REF!/#REF!-1,"---")</f>
        <v>---</v>
      </c>
      <c r="AH618" s="70" t="str">
        <f>IFERROR(#REF!/AA618-1,"---")</f>
        <v>---</v>
      </c>
      <c r="AI618" s="71" t="str">
        <f t="shared" si="95"/>
        <v>---</v>
      </c>
    </row>
    <row r="619" spans="1:35" ht="30" customHeight="1" x14ac:dyDescent="0.3">
      <c r="A619" s="123">
        <f t="shared" si="88"/>
        <v>615</v>
      </c>
      <c r="B619" s="140">
        <f>INDEX('PEER GROUP'!B:B,MATCH($A619,'PEER GROUP'!$A:$A,0))</f>
        <v>0</v>
      </c>
      <c r="C619" s="83">
        <f>INDEX('PEER GROUP'!C:C,MATCH($A619,'PEER GROUP'!$A:$A,0))</f>
        <v>0</v>
      </c>
      <c r="D619" s="83">
        <f>INDEX('PEER GROUP'!D:D,MATCH($A619,'PEER GROUP'!$A:$A,0))</f>
        <v>0</v>
      </c>
      <c r="E619" s="83">
        <f>INDEX('PEER GROUP'!E:E,MATCH(A619,'PEER GROUP'!$A:$A,0))</f>
        <v>0</v>
      </c>
      <c r="F619" s="84">
        <f>INDEX('PEER GROUP'!F:F,MATCH($A619,'PEER GROUP'!$A:$A,0))</f>
        <v>0</v>
      </c>
      <c r="G619" s="84">
        <f>INDEX('PEER GROUP'!G:G,MATCH($A619,'PEER GROUP'!$A:$A,0))</f>
        <v>0</v>
      </c>
      <c r="H619" s="85"/>
      <c r="I619" s="85"/>
      <c r="J619" s="70">
        <f>INDEX('PEER GROUP'!K:K,MATCH($A619,'PEER GROUP'!$A:$A,0))</f>
        <v>0</v>
      </c>
      <c r="K619" s="70">
        <f>INDEX('PEER GROUP'!L:L,MATCH($A619,'PEER GROUP'!$A:$A,0))</f>
        <v>0</v>
      </c>
      <c r="L619" s="81">
        <f>INDEX('PEER GROUP'!N:N,MATCH($A619,'PEER GROUP'!$A:$A,0))</f>
        <v>0</v>
      </c>
      <c r="M619" s="118"/>
      <c r="N619" s="115"/>
      <c r="O619" s="117"/>
      <c r="P619" s="87"/>
      <c r="Q619" s="87"/>
      <c r="R619" s="87">
        <f t="shared" si="89"/>
        <v>0</v>
      </c>
      <c r="S619" s="113">
        <f t="shared" si="87"/>
        <v>36.913096727263202</v>
      </c>
      <c r="T619" s="69">
        <f t="shared" si="90"/>
        <v>0</v>
      </c>
      <c r="U619" s="70">
        <f t="shared" si="91"/>
        <v>0</v>
      </c>
      <c r="V619" s="70">
        <f t="shared" si="92"/>
        <v>0</v>
      </c>
      <c r="W619" s="71">
        <f t="shared" si="93"/>
        <v>0</v>
      </c>
      <c r="X619" s="49"/>
      <c r="Y619" s="151"/>
      <c r="Z619" s="69"/>
      <c r="AA619" s="70"/>
      <c r="AB619" s="70"/>
      <c r="AC619" s="70" t="str">
        <f t="shared" si="94"/>
        <v>---</v>
      </c>
      <c r="AD619" s="70" t="str">
        <f>IFERROR(P619/#REF!-1,"---")</f>
        <v>---</v>
      </c>
      <c r="AE619" s="70" t="str">
        <f>IFERROR(#REF!/#REF!-1,"---")</f>
        <v>---</v>
      </c>
      <c r="AF619" s="70" t="str">
        <f>IFERROR(Q619/#REF!-1,"---")</f>
        <v>---</v>
      </c>
      <c r="AG619" s="70" t="str">
        <f>IFERROR(#REF!/#REF!-1,"---")</f>
        <v>---</v>
      </c>
      <c r="AH619" s="70" t="str">
        <f>IFERROR(#REF!/AA619-1,"---")</f>
        <v>---</v>
      </c>
      <c r="AI619" s="71" t="str">
        <f t="shared" si="95"/>
        <v>---</v>
      </c>
    </row>
    <row r="620" spans="1:35" ht="30" customHeight="1" x14ac:dyDescent="0.3">
      <c r="A620" s="123">
        <f t="shared" si="88"/>
        <v>616</v>
      </c>
      <c r="B620" s="140">
        <f>INDEX('PEER GROUP'!B:B,MATCH($A620,'PEER GROUP'!$A:$A,0))</f>
        <v>0</v>
      </c>
      <c r="C620" s="83">
        <f>INDEX('PEER GROUP'!C:C,MATCH($A620,'PEER GROUP'!$A:$A,0))</f>
        <v>0</v>
      </c>
      <c r="D620" s="83">
        <f>INDEX('PEER GROUP'!D:D,MATCH($A620,'PEER GROUP'!$A:$A,0))</f>
        <v>0</v>
      </c>
      <c r="E620" s="83">
        <f>INDEX('PEER GROUP'!E:E,MATCH(A620,'PEER GROUP'!$A:$A,0))</f>
        <v>0</v>
      </c>
      <c r="F620" s="84">
        <f>INDEX('PEER GROUP'!F:F,MATCH($A620,'PEER GROUP'!$A:$A,0))</f>
        <v>0</v>
      </c>
      <c r="G620" s="84">
        <f>INDEX('PEER GROUP'!G:G,MATCH($A620,'PEER GROUP'!$A:$A,0))</f>
        <v>0</v>
      </c>
      <c r="H620" s="85"/>
      <c r="I620" s="85"/>
      <c r="J620" s="70">
        <f>INDEX('PEER GROUP'!K:K,MATCH($A620,'PEER GROUP'!$A:$A,0))</f>
        <v>0</v>
      </c>
      <c r="K620" s="70">
        <f>INDEX('PEER GROUP'!L:L,MATCH($A620,'PEER GROUP'!$A:$A,0))</f>
        <v>0</v>
      </c>
      <c r="L620" s="81">
        <f>INDEX('PEER GROUP'!N:N,MATCH($A620,'PEER GROUP'!$A:$A,0))</f>
        <v>0</v>
      </c>
      <c r="M620" s="118"/>
      <c r="N620" s="115"/>
      <c r="O620" s="117"/>
      <c r="P620" s="87"/>
      <c r="Q620" s="87"/>
      <c r="R620" s="87">
        <f t="shared" si="89"/>
        <v>0</v>
      </c>
      <c r="S620" s="113">
        <f t="shared" si="87"/>
        <v>36.913096727263202</v>
      </c>
      <c r="T620" s="69">
        <f t="shared" si="90"/>
        <v>0</v>
      </c>
      <c r="U620" s="70">
        <f t="shared" si="91"/>
        <v>0</v>
      </c>
      <c r="V620" s="70">
        <f t="shared" si="92"/>
        <v>0</v>
      </c>
      <c r="W620" s="71">
        <f t="shared" si="93"/>
        <v>0</v>
      </c>
      <c r="X620" s="49"/>
      <c r="Y620" s="151"/>
      <c r="Z620" s="69"/>
      <c r="AA620" s="70"/>
      <c r="AB620" s="70"/>
      <c r="AC620" s="70" t="str">
        <f t="shared" si="94"/>
        <v>---</v>
      </c>
      <c r="AD620" s="70" t="str">
        <f>IFERROR(P620/#REF!-1,"---")</f>
        <v>---</v>
      </c>
      <c r="AE620" s="70" t="str">
        <f>IFERROR(#REF!/#REF!-1,"---")</f>
        <v>---</v>
      </c>
      <c r="AF620" s="70" t="str">
        <f>IFERROR(Q620/#REF!-1,"---")</f>
        <v>---</v>
      </c>
      <c r="AG620" s="70" t="str">
        <f>IFERROR(#REF!/#REF!-1,"---")</f>
        <v>---</v>
      </c>
      <c r="AH620" s="70" t="str">
        <f>IFERROR(#REF!/AA620-1,"---")</f>
        <v>---</v>
      </c>
      <c r="AI620" s="71" t="str">
        <f t="shared" si="95"/>
        <v>---</v>
      </c>
    </row>
    <row r="621" spans="1:35" ht="30" customHeight="1" x14ac:dyDescent="0.3">
      <c r="A621" s="123">
        <f t="shared" si="88"/>
        <v>617</v>
      </c>
      <c r="B621" s="140">
        <f>INDEX('PEER GROUP'!B:B,MATCH($A621,'PEER GROUP'!$A:$A,0))</f>
        <v>0</v>
      </c>
      <c r="C621" s="83">
        <f>INDEX('PEER GROUP'!C:C,MATCH($A621,'PEER GROUP'!$A:$A,0))</f>
        <v>0</v>
      </c>
      <c r="D621" s="83">
        <f>INDEX('PEER GROUP'!D:D,MATCH($A621,'PEER GROUP'!$A:$A,0))</f>
        <v>0</v>
      </c>
      <c r="E621" s="83">
        <f>INDEX('PEER GROUP'!E:E,MATCH(A621,'PEER GROUP'!$A:$A,0))</f>
        <v>0</v>
      </c>
      <c r="F621" s="84">
        <f>INDEX('PEER GROUP'!F:F,MATCH($A621,'PEER GROUP'!$A:$A,0))</f>
        <v>0</v>
      </c>
      <c r="G621" s="84">
        <f>INDEX('PEER GROUP'!G:G,MATCH($A621,'PEER GROUP'!$A:$A,0))</f>
        <v>0</v>
      </c>
      <c r="H621" s="85"/>
      <c r="I621" s="85"/>
      <c r="J621" s="70">
        <f>INDEX('PEER GROUP'!K:K,MATCH($A621,'PEER GROUP'!$A:$A,0))</f>
        <v>0</v>
      </c>
      <c r="K621" s="70">
        <f>INDEX('PEER GROUP'!L:L,MATCH($A621,'PEER GROUP'!$A:$A,0))</f>
        <v>0</v>
      </c>
      <c r="L621" s="81">
        <f>INDEX('PEER GROUP'!N:N,MATCH($A621,'PEER GROUP'!$A:$A,0))</f>
        <v>0</v>
      </c>
      <c r="M621" s="118"/>
      <c r="N621" s="115"/>
      <c r="O621" s="117"/>
      <c r="P621" s="87"/>
      <c r="Q621" s="87"/>
      <c r="R621" s="87">
        <f t="shared" si="89"/>
        <v>0</v>
      </c>
      <c r="S621" s="113">
        <f t="shared" si="87"/>
        <v>36.913096727263202</v>
      </c>
      <c r="T621" s="69">
        <f t="shared" si="90"/>
        <v>0</v>
      </c>
      <c r="U621" s="70">
        <f t="shared" si="91"/>
        <v>0</v>
      </c>
      <c r="V621" s="70">
        <f t="shared" si="92"/>
        <v>0</v>
      </c>
      <c r="W621" s="71">
        <f t="shared" si="93"/>
        <v>0</v>
      </c>
      <c r="X621" s="49"/>
      <c r="Y621" s="151"/>
      <c r="Z621" s="69"/>
      <c r="AA621" s="70"/>
      <c r="AB621" s="70"/>
      <c r="AC621" s="70" t="str">
        <f t="shared" si="94"/>
        <v>---</v>
      </c>
      <c r="AD621" s="70" t="str">
        <f>IFERROR(P621/#REF!-1,"---")</f>
        <v>---</v>
      </c>
      <c r="AE621" s="70" t="str">
        <f>IFERROR(#REF!/#REF!-1,"---")</f>
        <v>---</v>
      </c>
      <c r="AF621" s="70" t="str">
        <f>IFERROR(Q621/#REF!-1,"---")</f>
        <v>---</v>
      </c>
      <c r="AG621" s="70" t="str">
        <f>IFERROR(#REF!/#REF!-1,"---")</f>
        <v>---</v>
      </c>
      <c r="AH621" s="70" t="str">
        <f>IFERROR(#REF!/AA621-1,"---")</f>
        <v>---</v>
      </c>
      <c r="AI621" s="71" t="str">
        <f t="shared" si="95"/>
        <v>---</v>
      </c>
    </row>
    <row r="622" spans="1:35" ht="30" customHeight="1" x14ac:dyDescent="0.3">
      <c r="A622" s="123">
        <f t="shared" si="88"/>
        <v>618</v>
      </c>
      <c r="B622" s="140">
        <f>INDEX('PEER GROUP'!B:B,MATCH($A622,'PEER GROUP'!$A:$A,0))</f>
        <v>0</v>
      </c>
      <c r="C622" s="83">
        <f>INDEX('PEER GROUP'!C:C,MATCH($A622,'PEER GROUP'!$A:$A,0))</f>
        <v>0</v>
      </c>
      <c r="D622" s="83">
        <f>INDEX('PEER GROUP'!D:D,MATCH($A622,'PEER GROUP'!$A:$A,0))</f>
        <v>0</v>
      </c>
      <c r="E622" s="83">
        <f>INDEX('PEER GROUP'!E:E,MATCH(A622,'PEER GROUP'!$A:$A,0))</f>
        <v>0</v>
      </c>
      <c r="F622" s="84">
        <f>INDEX('PEER GROUP'!F:F,MATCH($A622,'PEER GROUP'!$A:$A,0))</f>
        <v>0</v>
      </c>
      <c r="G622" s="84">
        <f>INDEX('PEER GROUP'!G:G,MATCH($A622,'PEER GROUP'!$A:$A,0))</f>
        <v>0</v>
      </c>
      <c r="H622" s="85"/>
      <c r="I622" s="85"/>
      <c r="J622" s="70">
        <f>INDEX('PEER GROUP'!K:K,MATCH($A622,'PEER GROUP'!$A:$A,0))</f>
        <v>0</v>
      </c>
      <c r="K622" s="70">
        <f>INDEX('PEER GROUP'!L:L,MATCH($A622,'PEER GROUP'!$A:$A,0))</f>
        <v>0</v>
      </c>
      <c r="L622" s="81">
        <f>INDEX('PEER GROUP'!N:N,MATCH($A622,'PEER GROUP'!$A:$A,0))</f>
        <v>0</v>
      </c>
      <c r="M622" s="118"/>
      <c r="N622" s="115"/>
      <c r="O622" s="117"/>
      <c r="P622" s="87"/>
      <c r="Q622" s="87"/>
      <c r="R622" s="87">
        <f t="shared" si="89"/>
        <v>0</v>
      </c>
      <c r="S622" s="113">
        <f t="shared" si="87"/>
        <v>36.913096727263202</v>
      </c>
      <c r="T622" s="69">
        <f t="shared" si="90"/>
        <v>0</v>
      </c>
      <c r="U622" s="70">
        <f t="shared" si="91"/>
        <v>0</v>
      </c>
      <c r="V622" s="70">
        <f t="shared" si="92"/>
        <v>0</v>
      </c>
      <c r="W622" s="71">
        <f t="shared" si="93"/>
        <v>0</v>
      </c>
      <c r="X622" s="49"/>
      <c r="Y622" s="151"/>
      <c r="Z622" s="69"/>
      <c r="AA622" s="70"/>
      <c r="AB622" s="70"/>
      <c r="AC622" s="70" t="str">
        <f t="shared" si="94"/>
        <v>---</v>
      </c>
      <c r="AD622" s="70" t="str">
        <f>IFERROR(P622/#REF!-1,"---")</f>
        <v>---</v>
      </c>
      <c r="AE622" s="70" t="str">
        <f>IFERROR(#REF!/#REF!-1,"---")</f>
        <v>---</v>
      </c>
      <c r="AF622" s="70" t="str">
        <f>IFERROR(Q622/#REF!-1,"---")</f>
        <v>---</v>
      </c>
      <c r="AG622" s="70" t="str">
        <f>IFERROR(#REF!/#REF!-1,"---")</f>
        <v>---</v>
      </c>
      <c r="AH622" s="70" t="str">
        <f>IFERROR(#REF!/AA622-1,"---")</f>
        <v>---</v>
      </c>
      <c r="AI622" s="71" t="str">
        <f t="shared" si="95"/>
        <v>---</v>
      </c>
    </row>
    <row r="623" spans="1:35" ht="30" customHeight="1" x14ac:dyDescent="0.3">
      <c r="A623" s="123">
        <f t="shared" si="88"/>
        <v>619</v>
      </c>
      <c r="B623" s="140">
        <f>INDEX('PEER GROUP'!B:B,MATCH($A623,'PEER GROUP'!$A:$A,0))</f>
        <v>0</v>
      </c>
      <c r="C623" s="83">
        <f>INDEX('PEER GROUP'!C:C,MATCH($A623,'PEER GROUP'!$A:$A,0))</f>
        <v>0</v>
      </c>
      <c r="D623" s="83">
        <f>INDEX('PEER GROUP'!D:D,MATCH($A623,'PEER GROUP'!$A:$A,0))</f>
        <v>0</v>
      </c>
      <c r="E623" s="83">
        <f>INDEX('PEER GROUP'!E:E,MATCH(A623,'PEER GROUP'!$A:$A,0))</f>
        <v>0</v>
      </c>
      <c r="F623" s="84">
        <f>INDEX('PEER GROUP'!F:F,MATCH($A623,'PEER GROUP'!$A:$A,0))</f>
        <v>0</v>
      </c>
      <c r="G623" s="84">
        <f>INDEX('PEER GROUP'!G:G,MATCH($A623,'PEER GROUP'!$A:$A,0))</f>
        <v>0</v>
      </c>
      <c r="H623" s="85"/>
      <c r="I623" s="85"/>
      <c r="J623" s="70">
        <f>INDEX('PEER GROUP'!K:K,MATCH($A623,'PEER GROUP'!$A:$A,0))</f>
        <v>0</v>
      </c>
      <c r="K623" s="70">
        <f>INDEX('PEER GROUP'!L:L,MATCH($A623,'PEER GROUP'!$A:$A,0))</f>
        <v>0</v>
      </c>
      <c r="L623" s="81">
        <f>INDEX('PEER GROUP'!N:N,MATCH($A623,'PEER GROUP'!$A:$A,0))</f>
        <v>0</v>
      </c>
      <c r="M623" s="118"/>
      <c r="N623" s="115"/>
      <c r="O623" s="117"/>
      <c r="P623" s="87"/>
      <c r="Q623" s="87"/>
      <c r="R623" s="87">
        <f t="shared" si="89"/>
        <v>0</v>
      </c>
      <c r="S623" s="113">
        <f t="shared" si="87"/>
        <v>36.913096727263202</v>
      </c>
      <c r="T623" s="69">
        <f t="shared" si="90"/>
        <v>0</v>
      </c>
      <c r="U623" s="70">
        <f t="shared" si="91"/>
        <v>0</v>
      </c>
      <c r="V623" s="70">
        <f t="shared" si="92"/>
        <v>0</v>
      </c>
      <c r="W623" s="71">
        <f t="shared" si="93"/>
        <v>0</v>
      </c>
      <c r="X623" s="49"/>
      <c r="Y623" s="151"/>
      <c r="Z623" s="69"/>
      <c r="AA623" s="70"/>
      <c r="AB623" s="70"/>
      <c r="AC623" s="70" t="str">
        <f t="shared" si="94"/>
        <v>---</v>
      </c>
      <c r="AD623" s="70" t="str">
        <f>IFERROR(P623/#REF!-1,"---")</f>
        <v>---</v>
      </c>
      <c r="AE623" s="70" t="str">
        <f>IFERROR(#REF!/#REF!-1,"---")</f>
        <v>---</v>
      </c>
      <c r="AF623" s="70" t="str">
        <f>IFERROR(Q623/#REF!-1,"---")</f>
        <v>---</v>
      </c>
      <c r="AG623" s="70" t="str">
        <f>IFERROR(#REF!/#REF!-1,"---")</f>
        <v>---</v>
      </c>
      <c r="AH623" s="70" t="str">
        <f>IFERROR(#REF!/AA623-1,"---")</f>
        <v>---</v>
      </c>
      <c r="AI623" s="71" t="str">
        <f t="shared" si="95"/>
        <v>---</v>
      </c>
    </row>
    <row r="624" spans="1:35" ht="30" customHeight="1" x14ac:dyDescent="0.3">
      <c r="A624" s="123">
        <f t="shared" si="88"/>
        <v>620</v>
      </c>
      <c r="B624" s="140">
        <f>INDEX('PEER GROUP'!B:B,MATCH($A624,'PEER GROUP'!$A:$A,0))</f>
        <v>0</v>
      </c>
      <c r="C624" s="83">
        <f>INDEX('PEER GROUP'!C:C,MATCH($A624,'PEER GROUP'!$A:$A,0))</f>
        <v>0</v>
      </c>
      <c r="D624" s="83">
        <f>INDEX('PEER GROUP'!D:D,MATCH($A624,'PEER GROUP'!$A:$A,0))</f>
        <v>0</v>
      </c>
      <c r="E624" s="83">
        <f>INDEX('PEER GROUP'!E:E,MATCH(A624,'PEER GROUP'!$A:$A,0))</f>
        <v>0</v>
      </c>
      <c r="F624" s="84">
        <f>INDEX('PEER GROUP'!F:F,MATCH($A624,'PEER GROUP'!$A:$A,0))</f>
        <v>0</v>
      </c>
      <c r="G624" s="84">
        <f>INDEX('PEER GROUP'!G:G,MATCH($A624,'PEER GROUP'!$A:$A,0))</f>
        <v>0</v>
      </c>
      <c r="H624" s="85"/>
      <c r="I624" s="85"/>
      <c r="J624" s="70">
        <f>INDEX('PEER GROUP'!K:K,MATCH($A624,'PEER GROUP'!$A:$A,0))</f>
        <v>0</v>
      </c>
      <c r="K624" s="70">
        <f>INDEX('PEER GROUP'!L:L,MATCH($A624,'PEER GROUP'!$A:$A,0))</f>
        <v>0</v>
      </c>
      <c r="L624" s="81">
        <f>INDEX('PEER GROUP'!N:N,MATCH($A624,'PEER GROUP'!$A:$A,0))</f>
        <v>0</v>
      </c>
      <c r="M624" s="118"/>
      <c r="N624" s="115"/>
      <c r="O624" s="117"/>
      <c r="P624" s="87"/>
      <c r="Q624" s="87"/>
      <c r="R624" s="87">
        <f t="shared" si="89"/>
        <v>0</v>
      </c>
      <c r="S624" s="113">
        <f t="shared" si="87"/>
        <v>36.913096727263202</v>
      </c>
      <c r="T624" s="69">
        <f t="shared" si="90"/>
        <v>0</v>
      </c>
      <c r="U624" s="70">
        <f t="shared" si="91"/>
        <v>0</v>
      </c>
      <c r="V624" s="70">
        <f t="shared" si="92"/>
        <v>0</v>
      </c>
      <c r="W624" s="71">
        <f t="shared" si="93"/>
        <v>0</v>
      </c>
      <c r="X624" s="49"/>
      <c r="Y624" s="151"/>
      <c r="Z624" s="69"/>
      <c r="AA624" s="70"/>
      <c r="AB624" s="70"/>
      <c r="AC624" s="70" t="str">
        <f t="shared" si="94"/>
        <v>---</v>
      </c>
      <c r="AD624" s="70" t="str">
        <f>IFERROR(P624/#REF!-1,"---")</f>
        <v>---</v>
      </c>
      <c r="AE624" s="70" t="str">
        <f>IFERROR(#REF!/#REF!-1,"---")</f>
        <v>---</v>
      </c>
      <c r="AF624" s="70" t="str">
        <f>IFERROR(Q624/#REF!-1,"---")</f>
        <v>---</v>
      </c>
      <c r="AG624" s="70" t="str">
        <f>IFERROR(#REF!/#REF!-1,"---")</f>
        <v>---</v>
      </c>
      <c r="AH624" s="70" t="str">
        <f>IFERROR(#REF!/AA624-1,"---")</f>
        <v>---</v>
      </c>
      <c r="AI624" s="71" t="str">
        <f t="shared" si="95"/>
        <v>---</v>
      </c>
    </row>
    <row r="625" spans="1:35" ht="30" customHeight="1" x14ac:dyDescent="0.3">
      <c r="A625" s="123">
        <f t="shared" si="88"/>
        <v>621</v>
      </c>
      <c r="B625" s="140">
        <f>INDEX('PEER GROUP'!B:B,MATCH($A625,'PEER GROUP'!$A:$A,0))</f>
        <v>0</v>
      </c>
      <c r="C625" s="83">
        <f>INDEX('PEER GROUP'!C:C,MATCH($A625,'PEER GROUP'!$A:$A,0))</f>
        <v>0</v>
      </c>
      <c r="D625" s="83">
        <f>INDEX('PEER GROUP'!D:D,MATCH($A625,'PEER GROUP'!$A:$A,0))</f>
        <v>0</v>
      </c>
      <c r="E625" s="83">
        <f>INDEX('PEER GROUP'!E:E,MATCH(A625,'PEER GROUP'!$A:$A,0))</f>
        <v>0</v>
      </c>
      <c r="F625" s="84">
        <f>INDEX('PEER GROUP'!F:F,MATCH($A625,'PEER GROUP'!$A:$A,0))</f>
        <v>0</v>
      </c>
      <c r="G625" s="84">
        <f>INDEX('PEER GROUP'!G:G,MATCH($A625,'PEER GROUP'!$A:$A,0))</f>
        <v>0</v>
      </c>
      <c r="H625" s="85"/>
      <c r="I625" s="85"/>
      <c r="J625" s="70">
        <f>INDEX('PEER GROUP'!K:K,MATCH($A625,'PEER GROUP'!$A:$A,0))</f>
        <v>0</v>
      </c>
      <c r="K625" s="70">
        <f>INDEX('PEER GROUP'!L:L,MATCH($A625,'PEER GROUP'!$A:$A,0))</f>
        <v>0</v>
      </c>
      <c r="L625" s="81">
        <f>INDEX('PEER GROUP'!N:N,MATCH($A625,'PEER GROUP'!$A:$A,0))</f>
        <v>0</v>
      </c>
      <c r="M625" s="118"/>
      <c r="N625" s="115"/>
      <c r="O625" s="117"/>
      <c r="P625" s="87"/>
      <c r="Q625" s="87"/>
      <c r="R625" s="87">
        <f t="shared" si="89"/>
        <v>0</v>
      </c>
      <c r="S625" s="113">
        <f t="shared" si="87"/>
        <v>36.913096727263202</v>
      </c>
      <c r="T625" s="69">
        <f t="shared" si="90"/>
        <v>0</v>
      </c>
      <c r="U625" s="70">
        <f t="shared" si="91"/>
        <v>0</v>
      </c>
      <c r="V625" s="70">
        <f t="shared" si="92"/>
        <v>0</v>
      </c>
      <c r="W625" s="71">
        <f t="shared" si="93"/>
        <v>0</v>
      </c>
      <c r="X625" s="49"/>
      <c r="Y625" s="151"/>
      <c r="Z625" s="69"/>
      <c r="AA625" s="70"/>
      <c r="AB625" s="70"/>
      <c r="AC625" s="70" t="str">
        <f t="shared" si="94"/>
        <v>---</v>
      </c>
      <c r="AD625" s="70" t="str">
        <f>IFERROR(P625/#REF!-1,"---")</f>
        <v>---</v>
      </c>
      <c r="AE625" s="70" t="str">
        <f>IFERROR(#REF!/#REF!-1,"---")</f>
        <v>---</v>
      </c>
      <c r="AF625" s="70" t="str">
        <f>IFERROR(Q625/#REF!-1,"---")</f>
        <v>---</v>
      </c>
      <c r="AG625" s="70" t="str">
        <f>IFERROR(#REF!/#REF!-1,"---")</f>
        <v>---</v>
      </c>
      <c r="AH625" s="70" t="str">
        <f>IFERROR(#REF!/AA625-1,"---")</f>
        <v>---</v>
      </c>
      <c r="AI625" s="71" t="str">
        <f t="shared" si="95"/>
        <v>---</v>
      </c>
    </row>
    <row r="626" spans="1:35" ht="30" customHeight="1" x14ac:dyDescent="0.3">
      <c r="A626" s="123">
        <f t="shared" si="88"/>
        <v>622</v>
      </c>
      <c r="B626" s="140">
        <f>INDEX('PEER GROUP'!B:B,MATCH($A626,'PEER GROUP'!$A:$A,0))</f>
        <v>0</v>
      </c>
      <c r="C626" s="83">
        <f>INDEX('PEER GROUP'!C:C,MATCH($A626,'PEER GROUP'!$A:$A,0))</f>
        <v>0</v>
      </c>
      <c r="D626" s="83">
        <f>INDEX('PEER GROUP'!D:D,MATCH($A626,'PEER GROUP'!$A:$A,0))</f>
        <v>0</v>
      </c>
      <c r="E626" s="83">
        <f>INDEX('PEER GROUP'!E:E,MATCH(A626,'PEER GROUP'!$A:$A,0))</f>
        <v>0</v>
      </c>
      <c r="F626" s="84">
        <f>INDEX('PEER GROUP'!F:F,MATCH($A626,'PEER GROUP'!$A:$A,0))</f>
        <v>0</v>
      </c>
      <c r="G626" s="84">
        <f>INDEX('PEER GROUP'!G:G,MATCH($A626,'PEER GROUP'!$A:$A,0))</f>
        <v>0</v>
      </c>
      <c r="H626" s="85"/>
      <c r="I626" s="85"/>
      <c r="J626" s="70">
        <f>INDEX('PEER GROUP'!K:K,MATCH($A626,'PEER GROUP'!$A:$A,0))</f>
        <v>0</v>
      </c>
      <c r="K626" s="70">
        <f>INDEX('PEER GROUP'!L:L,MATCH($A626,'PEER GROUP'!$A:$A,0))</f>
        <v>0</v>
      </c>
      <c r="L626" s="81">
        <f>INDEX('PEER GROUP'!N:N,MATCH($A626,'PEER GROUP'!$A:$A,0))</f>
        <v>0</v>
      </c>
      <c r="M626" s="118"/>
      <c r="N626" s="115"/>
      <c r="O626" s="117"/>
      <c r="P626" s="87"/>
      <c r="Q626" s="87"/>
      <c r="R626" s="87">
        <f t="shared" si="89"/>
        <v>0</v>
      </c>
      <c r="S626" s="113">
        <f t="shared" si="87"/>
        <v>36.913096727263202</v>
      </c>
      <c r="T626" s="69">
        <f t="shared" si="90"/>
        <v>0</v>
      </c>
      <c r="U626" s="70">
        <f t="shared" si="91"/>
        <v>0</v>
      </c>
      <c r="V626" s="70">
        <f t="shared" si="92"/>
        <v>0</v>
      </c>
      <c r="W626" s="71">
        <f t="shared" si="93"/>
        <v>0</v>
      </c>
      <c r="X626" s="49"/>
      <c r="Y626" s="151"/>
      <c r="Z626" s="69"/>
      <c r="AA626" s="70"/>
      <c r="AB626" s="70"/>
      <c r="AC626" s="70" t="str">
        <f t="shared" si="94"/>
        <v>---</v>
      </c>
      <c r="AD626" s="70" t="str">
        <f>IFERROR(P626/#REF!-1,"---")</f>
        <v>---</v>
      </c>
      <c r="AE626" s="70" t="str">
        <f>IFERROR(#REF!/#REF!-1,"---")</f>
        <v>---</v>
      </c>
      <c r="AF626" s="70" t="str">
        <f>IFERROR(Q626/#REF!-1,"---")</f>
        <v>---</v>
      </c>
      <c r="AG626" s="70" t="str">
        <f>IFERROR(#REF!/#REF!-1,"---")</f>
        <v>---</v>
      </c>
      <c r="AH626" s="70" t="str">
        <f>IFERROR(#REF!/AA626-1,"---")</f>
        <v>---</v>
      </c>
      <c r="AI626" s="71" t="str">
        <f t="shared" si="95"/>
        <v>---</v>
      </c>
    </row>
    <row r="627" spans="1:35" ht="30" customHeight="1" x14ac:dyDescent="0.3">
      <c r="A627" s="123">
        <f t="shared" si="88"/>
        <v>623</v>
      </c>
      <c r="B627" s="140">
        <f>INDEX('PEER GROUP'!B:B,MATCH($A627,'PEER GROUP'!$A:$A,0))</f>
        <v>0</v>
      </c>
      <c r="C627" s="83">
        <f>INDEX('PEER GROUP'!C:C,MATCH($A627,'PEER GROUP'!$A:$A,0))</f>
        <v>0</v>
      </c>
      <c r="D627" s="83">
        <f>INDEX('PEER GROUP'!D:D,MATCH($A627,'PEER GROUP'!$A:$A,0))</f>
        <v>0</v>
      </c>
      <c r="E627" s="83">
        <f>INDEX('PEER GROUP'!E:E,MATCH(A627,'PEER GROUP'!$A:$A,0))</f>
        <v>0</v>
      </c>
      <c r="F627" s="84">
        <f>INDEX('PEER GROUP'!F:F,MATCH($A627,'PEER GROUP'!$A:$A,0))</f>
        <v>0</v>
      </c>
      <c r="G627" s="84">
        <f>INDEX('PEER GROUP'!G:G,MATCH($A627,'PEER GROUP'!$A:$A,0))</f>
        <v>0</v>
      </c>
      <c r="H627" s="85"/>
      <c r="I627" s="85"/>
      <c r="J627" s="70">
        <f>INDEX('PEER GROUP'!K:K,MATCH($A627,'PEER GROUP'!$A:$A,0))</f>
        <v>0</v>
      </c>
      <c r="K627" s="70">
        <f>INDEX('PEER GROUP'!L:L,MATCH($A627,'PEER GROUP'!$A:$A,0))</f>
        <v>0</v>
      </c>
      <c r="L627" s="81">
        <f>INDEX('PEER GROUP'!N:N,MATCH($A627,'PEER GROUP'!$A:$A,0))</f>
        <v>0</v>
      </c>
      <c r="M627" s="118"/>
      <c r="N627" s="115"/>
      <c r="O627" s="117"/>
      <c r="P627" s="87"/>
      <c r="Q627" s="87"/>
      <c r="R627" s="87">
        <f t="shared" si="89"/>
        <v>0</v>
      </c>
      <c r="S627" s="113">
        <f t="shared" si="87"/>
        <v>36.913096727263202</v>
      </c>
      <c r="T627" s="69">
        <f t="shared" si="90"/>
        <v>0</v>
      </c>
      <c r="U627" s="70">
        <f t="shared" si="91"/>
        <v>0</v>
      </c>
      <c r="V627" s="70">
        <f t="shared" si="92"/>
        <v>0</v>
      </c>
      <c r="W627" s="71">
        <f t="shared" si="93"/>
        <v>0</v>
      </c>
      <c r="X627" s="49"/>
      <c r="Y627" s="151"/>
      <c r="Z627" s="69"/>
      <c r="AA627" s="70"/>
      <c r="AB627" s="70"/>
      <c r="AC627" s="70" t="str">
        <f t="shared" si="94"/>
        <v>---</v>
      </c>
      <c r="AD627" s="70" t="str">
        <f>IFERROR(P627/#REF!-1,"---")</f>
        <v>---</v>
      </c>
      <c r="AE627" s="70" t="str">
        <f>IFERROR(#REF!/#REF!-1,"---")</f>
        <v>---</v>
      </c>
      <c r="AF627" s="70" t="str">
        <f>IFERROR(Q627/#REF!-1,"---")</f>
        <v>---</v>
      </c>
      <c r="AG627" s="70" t="str">
        <f>IFERROR(#REF!/#REF!-1,"---")</f>
        <v>---</v>
      </c>
      <c r="AH627" s="70" t="str">
        <f>IFERROR(#REF!/AA627-1,"---")</f>
        <v>---</v>
      </c>
      <c r="AI627" s="71" t="str">
        <f t="shared" si="95"/>
        <v>---</v>
      </c>
    </row>
    <row r="628" spans="1:35" ht="30" customHeight="1" x14ac:dyDescent="0.3">
      <c r="A628" s="123">
        <f t="shared" si="88"/>
        <v>624</v>
      </c>
      <c r="B628" s="140">
        <f>INDEX('PEER GROUP'!B:B,MATCH($A628,'PEER GROUP'!$A:$A,0))</f>
        <v>0</v>
      </c>
      <c r="C628" s="83">
        <f>INDEX('PEER GROUP'!C:C,MATCH($A628,'PEER GROUP'!$A:$A,0))</f>
        <v>0</v>
      </c>
      <c r="D628" s="83">
        <f>INDEX('PEER GROUP'!D:D,MATCH($A628,'PEER GROUP'!$A:$A,0))</f>
        <v>0</v>
      </c>
      <c r="E628" s="83">
        <f>INDEX('PEER GROUP'!E:E,MATCH(A628,'PEER GROUP'!$A:$A,0))</f>
        <v>0</v>
      </c>
      <c r="F628" s="84">
        <f>INDEX('PEER GROUP'!F:F,MATCH($A628,'PEER GROUP'!$A:$A,0))</f>
        <v>0</v>
      </c>
      <c r="G628" s="84">
        <f>INDEX('PEER GROUP'!G:G,MATCH($A628,'PEER GROUP'!$A:$A,0))</f>
        <v>0</v>
      </c>
      <c r="H628" s="85"/>
      <c r="I628" s="85"/>
      <c r="J628" s="70">
        <f>INDEX('PEER GROUP'!K:K,MATCH($A628,'PEER GROUP'!$A:$A,0))</f>
        <v>0</v>
      </c>
      <c r="K628" s="70">
        <f>INDEX('PEER GROUP'!L:L,MATCH($A628,'PEER GROUP'!$A:$A,0))</f>
        <v>0</v>
      </c>
      <c r="L628" s="81">
        <f>INDEX('PEER GROUP'!N:N,MATCH($A628,'PEER GROUP'!$A:$A,0))</f>
        <v>0</v>
      </c>
      <c r="M628" s="118"/>
      <c r="N628" s="115"/>
      <c r="O628" s="117"/>
      <c r="P628" s="87"/>
      <c r="Q628" s="87"/>
      <c r="R628" s="87">
        <f t="shared" si="89"/>
        <v>0</v>
      </c>
      <c r="S628" s="113">
        <f t="shared" si="87"/>
        <v>36.913096727263202</v>
      </c>
      <c r="T628" s="69">
        <f t="shared" si="90"/>
        <v>0</v>
      </c>
      <c r="U628" s="70">
        <f t="shared" si="91"/>
        <v>0</v>
      </c>
      <c r="V628" s="70">
        <f t="shared" si="92"/>
        <v>0</v>
      </c>
      <c r="W628" s="71">
        <f t="shared" si="93"/>
        <v>0</v>
      </c>
      <c r="X628" s="49"/>
      <c r="Y628" s="151"/>
      <c r="Z628" s="69"/>
      <c r="AA628" s="70"/>
      <c r="AB628" s="70"/>
      <c r="AC628" s="70" t="str">
        <f t="shared" si="94"/>
        <v>---</v>
      </c>
      <c r="AD628" s="70" t="str">
        <f>IFERROR(P628/#REF!-1,"---")</f>
        <v>---</v>
      </c>
      <c r="AE628" s="70" t="str">
        <f>IFERROR(#REF!/#REF!-1,"---")</f>
        <v>---</v>
      </c>
      <c r="AF628" s="70" t="str">
        <f>IFERROR(Q628/#REF!-1,"---")</f>
        <v>---</v>
      </c>
      <c r="AG628" s="70" t="str">
        <f>IFERROR(#REF!/#REF!-1,"---")</f>
        <v>---</v>
      </c>
      <c r="AH628" s="70" t="str">
        <f>IFERROR(#REF!/AA628-1,"---")</f>
        <v>---</v>
      </c>
      <c r="AI628" s="71" t="str">
        <f t="shared" si="95"/>
        <v>---</v>
      </c>
    </row>
    <row r="629" spans="1:35" ht="30" customHeight="1" x14ac:dyDescent="0.3">
      <c r="A629" s="123">
        <f t="shared" si="88"/>
        <v>625</v>
      </c>
      <c r="B629" s="140">
        <f>INDEX('PEER GROUP'!B:B,MATCH($A629,'PEER GROUP'!$A:$A,0))</f>
        <v>0</v>
      </c>
      <c r="C629" s="83">
        <f>INDEX('PEER GROUP'!C:C,MATCH($A629,'PEER GROUP'!$A:$A,0))</f>
        <v>0</v>
      </c>
      <c r="D629" s="83">
        <f>INDEX('PEER GROUP'!D:D,MATCH($A629,'PEER GROUP'!$A:$A,0))</f>
        <v>0</v>
      </c>
      <c r="E629" s="83">
        <f>INDEX('PEER GROUP'!E:E,MATCH(A629,'PEER GROUP'!$A:$A,0))</f>
        <v>0</v>
      </c>
      <c r="F629" s="84">
        <f>INDEX('PEER GROUP'!F:F,MATCH($A629,'PEER GROUP'!$A:$A,0))</f>
        <v>0</v>
      </c>
      <c r="G629" s="84">
        <f>INDEX('PEER GROUP'!G:G,MATCH($A629,'PEER GROUP'!$A:$A,0))</f>
        <v>0</v>
      </c>
      <c r="H629" s="85"/>
      <c r="I629" s="85"/>
      <c r="J629" s="70">
        <f>INDEX('PEER GROUP'!K:K,MATCH($A629,'PEER GROUP'!$A:$A,0))</f>
        <v>0</v>
      </c>
      <c r="K629" s="70">
        <f>INDEX('PEER GROUP'!L:L,MATCH($A629,'PEER GROUP'!$A:$A,0))</f>
        <v>0</v>
      </c>
      <c r="L629" s="81">
        <f>INDEX('PEER GROUP'!N:N,MATCH($A629,'PEER GROUP'!$A:$A,0))</f>
        <v>0</v>
      </c>
      <c r="M629" s="118"/>
      <c r="N629" s="115"/>
      <c r="O629" s="117"/>
      <c r="P629" s="87"/>
      <c r="Q629" s="87"/>
      <c r="R629" s="87">
        <f t="shared" si="89"/>
        <v>0</v>
      </c>
      <c r="S629" s="113">
        <f t="shared" si="87"/>
        <v>36.913096727263202</v>
      </c>
      <c r="T629" s="69">
        <f t="shared" si="90"/>
        <v>0</v>
      </c>
      <c r="U629" s="70">
        <f t="shared" si="91"/>
        <v>0</v>
      </c>
      <c r="V629" s="70">
        <f t="shared" si="92"/>
        <v>0</v>
      </c>
      <c r="W629" s="71">
        <f t="shared" si="93"/>
        <v>0</v>
      </c>
      <c r="X629" s="49"/>
      <c r="Y629" s="151"/>
      <c r="Z629" s="69"/>
      <c r="AA629" s="70"/>
      <c r="AB629" s="70"/>
      <c r="AC629" s="70" t="str">
        <f t="shared" si="94"/>
        <v>---</v>
      </c>
      <c r="AD629" s="70" t="str">
        <f>IFERROR(P629/#REF!-1,"---")</f>
        <v>---</v>
      </c>
      <c r="AE629" s="70" t="str">
        <f>IFERROR(#REF!/#REF!-1,"---")</f>
        <v>---</v>
      </c>
      <c r="AF629" s="70" t="str">
        <f>IFERROR(Q629/#REF!-1,"---")</f>
        <v>---</v>
      </c>
      <c r="AG629" s="70" t="str">
        <f>IFERROR(#REF!/#REF!-1,"---")</f>
        <v>---</v>
      </c>
      <c r="AH629" s="70" t="str">
        <f>IFERROR(#REF!/AA629-1,"---")</f>
        <v>---</v>
      </c>
      <c r="AI629" s="71" t="str">
        <f t="shared" si="95"/>
        <v>---</v>
      </c>
    </row>
    <row r="630" spans="1:35" ht="30" customHeight="1" x14ac:dyDescent="0.3">
      <c r="A630" s="123">
        <f t="shared" si="88"/>
        <v>626</v>
      </c>
      <c r="B630" s="140">
        <f>INDEX('PEER GROUP'!B:B,MATCH($A630,'PEER GROUP'!$A:$A,0))</f>
        <v>0</v>
      </c>
      <c r="C630" s="83">
        <f>INDEX('PEER GROUP'!C:C,MATCH($A630,'PEER GROUP'!$A:$A,0))</f>
        <v>0</v>
      </c>
      <c r="D630" s="83">
        <f>INDEX('PEER GROUP'!D:D,MATCH($A630,'PEER GROUP'!$A:$A,0))</f>
        <v>0</v>
      </c>
      <c r="E630" s="83">
        <f>INDEX('PEER GROUP'!E:E,MATCH(A630,'PEER GROUP'!$A:$A,0))</f>
        <v>0</v>
      </c>
      <c r="F630" s="84">
        <f>INDEX('PEER GROUP'!F:F,MATCH($A630,'PEER GROUP'!$A:$A,0))</f>
        <v>0</v>
      </c>
      <c r="G630" s="84">
        <f>INDEX('PEER GROUP'!G:G,MATCH($A630,'PEER GROUP'!$A:$A,0))</f>
        <v>0</v>
      </c>
      <c r="H630" s="85"/>
      <c r="I630" s="85"/>
      <c r="J630" s="70">
        <f>INDEX('PEER GROUP'!K:K,MATCH($A630,'PEER GROUP'!$A:$A,0))</f>
        <v>0</v>
      </c>
      <c r="K630" s="70">
        <f>INDEX('PEER GROUP'!L:L,MATCH($A630,'PEER GROUP'!$A:$A,0))</f>
        <v>0</v>
      </c>
      <c r="L630" s="81">
        <f>INDEX('PEER GROUP'!N:N,MATCH($A630,'PEER GROUP'!$A:$A,0))</f>
        <v>0</v>
      </c>
      <c r="M630" s="118"/>
      <c r="N630" s="115"/>
      <c r="O630" s="117"/>
      <c r="P630" s="87"/>
      <c r="Q630" s="87"/>
      <c r="R630" s="87">
        <f t="shared" si="89"/>
        <v>0</v>
      </c>
      <c r="S630" s="113">
        <f t="shared" si="87"/>
        <v>36.913096727263202</v>
      </c>
      <c r="T630" s="69">
        <f t="shared" si="90"/>
        <v>0</v>
      </c>
      <c r="U630" s="70">
        <f t="shared" si="91"/>
        <v>0</v>
      </c>
      <c r="V630" s="70">
        <f t="shared" si="92"/>
        <v>0</v>
      </c>
      <c r="W630" s="71">
        <f t="shared" si="93"/>
        <v>0</v>
      </c>
      <c r="X630" s="49"/>
      <c r="Y630" s="151"/>
      <c r="Z630" s="69"/>
      <c r="AA630" s="70"/>
      <c r="AB630" s="70"/>
      <c r="AC630" s="70" t="str">
        <f t="shared" si="94"/>
        <v>---</v>
      </c>
      <c r="AD630" s="70" t="str">
        <f>IFERROR(P630/#REF!-1,"---")</f>
        <v>---</v>
      </c>
      <c r="AE630" s="70" t="str">
        <f>IFERROR(#REF!/#REF!-1,"---")</f>
        <v>---</v>
      </c>
      <c r="AF630" s="70" t="str">
        <f>IFERROR(Q630/#REF!-1,"---")</f>
        <v>---</v>
      </c>
      <c r="AG630" s="70" t="str">
        <f>IFERROR(#REF!/#REF!-1,"---")</f>
        <v>---</v>
      </c>
      <c r="AH630" s="70" t="str">
        <f>IFERROR(#REF!/AA630-1,"---")</f>
        <v>---</v>
      </c>
      <c r="AI630" s="71" t="str">
        <f t="shared" si="95"/>
        <v>---</v>
      </c>
    </row>
    <row r="631" spans="1:35" ht="30" customHeight="1" x14ac:dyDescent="0.3">
      <c r="A631" s="123">
        <f t="shared" si="88"/>
        <v>627</v>
      </c>
      <c r="B631" s="140">
        <f>INDEX('PEER GROUP'!B:B,MATCH($A631,'PEER GROUP'!$A:$A,0))</f>
        <v>0</v>
      </c>
      <c r="C631" s="83">
        <f>INDEX('PEER GROUP'!C:C,MATCH($A631,'PEER GROUP'!$A:$A,0))</f>
        <v>0</v>
      </c>
      <c r="D631" s="83">
        <f>INDEX('PEER GROUP'!D:D,MATCH($A631,'PEER GROUP'!$A:$A,0))</f>
        <v>0</v>
      </c>
      <c r="E631" s="83">
        <f>INDEX('PEER GROUP'!E:E,MATCH(A631,'PEER GROUP'!$A:$A,0))</f>
        <v>0</v>
      </c>
      <c r="F631" s="84">
        <f>INDEX('PEER GROUP'!F:F,MATCH($A631,'PEER GROUP'!$A:$A,0))</f>
        <v>0</v>
      </c>
      <c r="G631" s="84">
        <f>INDEX('PEER GROUP'!G:G,MATCH($A631,'PEER GROUP'!$A:$A,0))</f>
        <v>0</v>
      </c>
      <c r="H631" s="85"/>
      <c r="I631" s="85"/>
      <c r="J631" s="70">
        <f>INDEX('PEER GROUP'!K:K,MATCH($A631,'PEER GROUP'!$A:$A,0))</f>
        <v>0</v>
      </c>
      <c r="K631" s="70">
        <f>INDEX('PEER GROUP'!L:L,MATCH($A631,'PEER GROUP'!$A:$A,0))</f>
        <v>0</v>
      </c>
      <c r="L631" s="81">
        <f>INDEX('PEER GROUP'!N:N,MATCH($A631,'PEER GROUP'!$A:$A,0))</f>
        <v>0</v>
      </c>
      <c r="M631" s="118"/>
      <c r="N631" s="115"/>
      <c r="O631" s="117"/>
      <c r="P631" s="87"/>
      <c r="Q631" s="87"/>
      <c r="R631" s="87">
        <f t="shared" si="89"/>
        <v>0</v>
      </c>
      <c r="S631" s="113">
        <f t="shared" si="87"/>
        <v>36.913096727263202</v>
      </c>
      <c r="T631" s="69">
        <f t="shared" si="90"/>
        <v>0</v>
      </c>
      <c r="U631" s="70">
        <f t="shared" si="91"/>
        <v>0</v>
      </c>
      <c r="V631" s="70">
        <f t="shared" si="92"/>
        <v>0</v>
      </c>
      <c r="W631" s="71">
        <f t="shared" si="93"/>
        <v>0</v>
      </c>
      <c r="X631" s="49"/>
      <c r="Y631" s="151"/>
      <c r="Z631" s="69"/>
      <c r="AA631" s="70"/>
      <c r="AB631" s="70"/>
      <c r="AC631" s="70" t="str">
        <f t="shared" si="94"/>
        <v>---</v>
      </c>
      <c r="AD631" s="70" t="str">
        <f>IFERROR(P631/#REF!-1,"---")</f>
        <v>---</v>
      </c>
      <c r="AE631" s="70" t="str">
        <f>IFERROR(#REF!/#REF!-1,"---")</f>
        <v>---</v>
      </c>
      <c r="AF631" s="70" t="str">
        <f>IFERROR(Q631/#REF!-1,"---")</f>
        <v>---</v>
      </c>
      <c r="AG631" s="70" t="str">
        <f>IFERROR(#REF!/#REF!-1,"---")</f>
        <v>---</v>
      </c>
      <c r="AH631" s="70" t="str">
        <f>IFERROR(#REF!/AA631-1,"---")</f>
        <v>---</v>
      </c>
      <c r="AI631" s="71" t="str">
        <f t="shared" si="95"/>
        <v>---</v>
      </c>
    </row>
    <row r="632" spans="1:35" ht="30" customHeight="1" x14ac:dyDescent="0.3">
      <c r="A632" s="123">
        <f t="shared" si="88"/>
        <v>628</v>
      </c>
      <c r="B632" s="140">
        <f>INDEX('PEER GROUP'!B:B,MATCH($A632,'PEER GROUP'!$A:$A,0))</f>
        <v>0</v>
      </c>
      <c r="C632" s="83">
        <f>INDEX('PEER GROUP'!C:C,MATCH($A632,'PEER GROUP'!$A:$A,0))</f>
        <v>0</v>
      </c>
      <c r="D632" s="83">
        <f>INDEX('PEER GROUP'!D:D,MATCH($A632,'PEER GROUP'!$A:$A,0))</f>
        <v>0</v>
      </c>
      <c r="E632" s="83">
        <f>INDEX('PEER GROUP'!E:E,MATCH(A632,'PEER GROUP'!$A:$A,0))</f>
        <v>0</v>
      </c>
      <c r="F632" s="84">
        <f>INDEX('PEER GROUP'!F:F,MATCH($A632,'PEER GROUP'!$A:$A,0))</f>
        <v>0</v>
      </c>
      <c r="G632" s="84">
        <f>INDEX('PEER GROUP'!G:G,MATCH($A632,'PEER GROUP'!$A:$A,0))</f>
        <v>0</v>
      </c>
      <c r="H632" s="85"/>
      <c r="I632" s="85"/>
      <c r="J632" s="70">
        <f>INDEX('PEER GROUP'!K:K,MATCH($A632,'PEER GROUP'!$A:$A,0))</f>
        <v>0</v>
      </c>
      <c r="K632" s="70">
        <f>INDEX('PEER GROUP'!L:L,MATCH($A632,'PEER GROUP'!$A:$A,0))</f>
        <v>0</v>
      </c>
      <c r="L632" s="81">
        <f>INDEX('PEER GROUP'!N:N,MATCH($A632,'PEER GROUP'!$A:$A,0))</f>
        <v>0</v>
      </c>
      <c r="M632" s="118"/>
      <c r="N632" s="115"/>
      <c r="O632" s="117"/>
      <c r="P632" s="87"/>
      <c r="Q632" s="87"/>
      <c r="R632" s="87">
        <f t="shared" si="89"/>
        <v>0</v>
      </c>
      <c r="S632" s="113">
        <f t="shared" si="87"/>
        <v>36.913096727263202</v>
      </c>
      <c r="T632" s="69">
        <f t="shared" si="90"/>
        <v>0</v>
      </c>
      <c r="U632" s="70">
        <f t="shared" si="91"/>
        <v>0</v>
      </c>
      <c r="V632" s="70">
        <f t="shared" si="92"/>
        <v>0</v>
      </c>
      <c r="W632" s="71">
        <f t="shared" si="93"/>
        <v>0</v>
      </c>
      <c r="X632" s="49"/>
      <c r="Y632" s="151"/>
      <c r="Z632" s="69"/>
      <c r="AA632" s="70"/>
      <c r="AB632" s="70"/>
      <c r="AC632" s="70" t="str">
        <f t="shared" si="94"/>
        <v>---</v>
      </c>
      <c r="AD632" s="70" t="str">
        <f>IFERROR(P632/#REF!-1,"---")</f>
        <v>---</v>
      </c>
      <c r="AE632" s="70" t="str">
        <f>IFERROR(#REF!/#REF!-1,"---")</f>
        <v>---</v>
      </c>
      <c r="AF632" s="70" t="str">
        <f>IFERROR(Q632/#REF!-1,"---")</f>
        <v>---</v>
      </c>
      <c r="AG632" s="70" t="str">
        <f>IFERROR(#REF!/#REF!-1,"---")</f>
        <v>---</v>
      </c>
      <c r="AH632" s="70" t="str">
        <f>IFERROR(#REF!/AA632-1,"---")</f>
        <v>---</v>
      </c>
      <c r="AI632" s="71" t="str">
        <f t="shared" si="95"/>
        <v>---</v>
      </c>
    </row>
    <row r="633" spans="1:35" ht="30" customHeight="1" x14ac:dyDescent="0.3">
      <c r="A633" s="123">
        <f t="shared" si="88"/>
        <v>629</v>
      </c>
      <c r="B633" s="140">
        <f>INDEX('PEER GROUP'!B:B,MATCH($A633,'PEER GROUP'!$A:$A,0))</f>
        <v>0</v>
      </c>
      <c r="C633" s="83">
        <f>INDEX('PEER GROUP'!C:C,MATCH($A633,'PEER GROUP'!$A:$A,0))</f>
        <v>0</v>
      </c>
      <c r="D633" s="83">
        <f>INDEX('PEER GROUP'!D:D,MATCH($A633,'PEER GROUP'!$A:$A,0))</f>
        <v>0</v>
      </c>
      <c r="E633" s="83">
        <f>INDEX('PEER GROUP'!E:E,MATCH(A633,'PEER GROUP'!$A:$A,0))</f>
        <v>0</v>
      </c>
      <c r="F633" s="84">
        <f>INDEX('PEER GROUP'!F:F,MATCH($A633,'PEER GROUP'!$A:$A,0))</f>
        <v>0</v>
      </c>
      <c r="G633" s="84">
        <f>INDEX('PEER GROUP'!G:G,MATCH($A633,'PEER GROUP'!$A:$A,0))</f>
        <v>0</v>
      </c>
      <c r="H633" s="85"/>
      <c r="I633" s="85"/>
      <c r="J633" s="70">
        <f>INDEX('PEER GROUP'!K:K,MATCH($A633,'PEER GROUP'!$A:$A,0))</f>
        <v>0</v>
      </c>
      <c r="K633" s="70">
        <f>INDEX('PEER GROUP'!L:L,MATCH($A633,'PEER GROUP'!$A:$A,0))</f>
        <v>0</v>
      </c>
      <c r="L633" s="81">
        <f>INDEX('PEER GROUP'!N:N,MATCH($A633,'PEER GROUP'!$A:$A,0))</f>
        <v>0</v>
      </c>
      <c r="M633" s="118"/>
      <c r="N633" s="115"/>
      <c r="O633" s="117"/>
      <c r="P633" s="87"/>
      <c r="Q633" s="87"/>
      <c r="R633" s="87">
        <f t="shared" si="89"/>
        <v>0</v>
      </c>
      <c r="S633" s="113">
        <f t="shared" si="87"/>
        <v>36.913096727263202</v>
      </c>
      <c r="T633" s="69">
        <f t="shared" si="90"/>
        <v>0</v>
      </c>
      <c r="U633" s="70">
        <f t="shared" si="91"/>
        <v>0</v>
      </c>
      <c r="V633" s="70">
        <f t="shared" si="92"/>
        <v>0</v>
      </c>
      <c r="W633" s="71">
        <f t="shared" si="93"/>
        <v>0</v>
      </c>
      <c r="X633" s="49"/>
      <c r="Y633" s="151"/>
      <c r="Z633" s="69"/>
      <c r="AA633" s="70"/>
      <c r="AB633" s="70"/>
      <c r="AC633" s="70" t="str">
        <f t="shared" si="94"/>
        <v>---</v>
      </c>
      <c r="AD633" s="70" t="str">
        <f>IFERROR(P633/#REF!-1,"---")</f>
        <v>---</v>
      </c>
      <c r="AE633" s="70" t="str">
        <f>IFERROR(#REF!/#REF!-1,"---")</f>
        <v>---</v>
      </c>
      <c r="AF633" s="70" t="str">
        <f>IFERROR(Q633/#REF!-1,"---")</f>
        <v>---</v>
      </c>
      <c r="AG633" s="70" t="str">
        <f>IFERROR(#REF!/#REF!-1,"---")</f>
        <v>---</v>
      </c>
      <c r="AH633" s="70" t="str">
        <f>IFERROR(#REF!/AA633-1,"---")</f>
        <v>---</v>
      </c>
      <c r="AI633" s="71" t="str">
        <f t="shared" si="95"/>
        <v>---</v>
      </c>
    </row>
    <row r="634" spans="1:35" ht="30" customHeight="1" x14ac:dyDescent="0.3">
      <c r="A634" s="123">
        <f t="shared" si="88"/>
        <v>630</v>
      </c>
      <c r="B634" s="140">
        <f>INDEX('PEER GROUP'!B:B,MATCH($A634,'PEER GROUP'!$A:$A,0))</f>
        <v>0</v>
      </c>
      <c r="C634" s="83">
        <f>INDEX('PEER GROUP'!C:C,MATCH($A634,'PEER GROUP'!$A:$A,0))</f>
        <v>0</v>
      </c>
      <c r="D634" s="83">
        <f>INDEX('PEER GROUP'!D:D,MATCH($A634,'PEER GROUP'!$A:$A,0))</f>
        <v>0</v>
      </c>
      <c r="E634" s="83">
        <f>INDEX('PEER GROUP'!E:E,MATCH(A634,'PEER GROUP'!$A:$A,0))</f>
        <v>0</v>
      </c>
      <c r="F634" s="84">
        <f>INDEX('PEER GROUP'!F:F,MATCH($A634,'PEER GROUP'!$A:$A,0))</f>
        <v>0</v>
      </c>
      <c r="G634" s="84">
        <f>INDEX('PEER GROUP'!G:G,MATCH($A634,'PEER GROUP'!$A:$A,0))</f>
        <v>0</v>
      </c>
      <c r="H634" s="85"/>
      <c r="I634" s="85"/>
      <c r="J634" s="70">
        <f>INDEX('PEER GROUP'!K:K,MATCH($A634,'PEER GROUP'!$A:$A,0))</f>
        <v>0</v>
      </c>
      <c r="K634" s="70">
        <f>INDEX('PEER GROUP'!L:L,MATCH($A634,'PEER GROUP'!$A:$A,0))</f>
        <v>0</v>
      </c>
      <c r="L634" s="81">
        <f>INDEX('PEER GROUP'!N:N,MATCH($A634,'PEER GROUP'!$A:$A,0))</f>
        <v>0</v>
      </c>
      <c r="M634" s="118"/>
      <c r="N634" s="115"/>
      <c r="O634" s="117"/>
      <c r="P634" s="87"/>
      <c r="Q634" s="87"/>
      <c r="R634" s="87">
        <f t="shared" si="89"/>
        <v>0</v>
      </c>
      <c r="S634" s="113">
        <f t="shared" si="87"/>
        <v>36.913096727263202</v>
      </c>
      <c r="T634" s="69">
        <f t="shared" si="90"/>
        <v>0</v>
      </c>
      <c r="U634" s="70">
        <f t="shared" si="91"/>
        <v>0</v>
      </c>
      <c r="V634" s="70">
        <f t="shared" si="92"/>
        <v>0</v>
      </c>
      <c r="W634" s="71">
        <f t="shared" si="93"/>
        <v>0</v>
      </c>
      <c r="X634" s="49"/>
      <c r="Y634" s="151"/>
      <c r="Z634" s="69"/>
      <c r="AA634" s="70"/>
      <c r="AB634" s="70"/>
      <c r="AC634" s="70" t="str">
        <f t="shared" si="94"/>
        <v>---</v>
      </c>
      <c r="AD634" s="70" t="str">
        <f>IFERROR(P634/#REF!-1,"---")</f>
        <v>---</v>
      </c>
      <c r="AE634" s="70" t="str">
        <f>IFERROR(#REF!/#REF!-1,"---")</f>
        <v>---</v>
      </c>
      <c r="AF634" s="70" t="str">
        <f>IFERROR(Q634/#REF!-1,"---")</f>
        <v>---</v>
      </c>
      <c r="AG634" s="70" t="str">
        <f>IFERROR(#REF!/#REF!-1,"---")</f>
        <v>---</v>
      </c>
      <c r="AH634" s="70" t="str">
        <f>IFERROR(#REF!/AA634-1,"---")</f>
        <v>---</v>
      </c>
      <c r="AI634" s="71" t="str">
        <f t="shared" si="95"/>
        <v>---</v>
      </c>
    </row>
    <row r="635" spans="1:35" ht="30" customHeight="1" x14ac:dyDescent="0.3">
      <c r="A635" s="123">
        <f t="shared" si="88"/>
        <v>631</v>
      </c>
      <c r="B635" s="140">
        <f>INDEX('PEER GROUP'!B:B,MATCH($A635,'PEER GROUP'!$A:$A,0))</f>
        <v>0</v>
      </c>
      <c r="C635" s="83">
        <f>INDEX('PEER GROUP'!C:C,MATCH($A635,'PEER GROUP'!$A:$A,0))</f>
        <v>0</v>
      </c>
      <c r="D635" s="83">
        <f>INDEX('PEER GROUP'!D:D,MATCH($A635,'PEER GROUP'!$A:$A,0))</f>
        <v>0</v>
      </c>
      <c r="E635" s="83">
        <f>INDEX('PEER GROUP'!E:E,MATCH(A635,'PEER GROUP'!$A:$A,0))</f>
        <v>0</v>
      </c>
      <c r="F635" s="84">
        <f>INDEX('PEER GROUP'!F:F,MATCH($A635,'PEER GROUP'!$A:$A,0))</f>
        <v>0</v>
      </c>
      <c r="G635" s="84">
        <f>INDEX('PEER GROUP'!G:G,MATCH($A635,'PEER GROUP'!$A:$A,0))</f>
        <v>0</v>
      </c>
      <c r="H635" s="85"/>
      <c r="I635" s="85"/>
      <c r="J635" s="70">
        <f>INDEX('PEER GROUP'!K:K,MATCH($A635,'PEER GROUP'!$A:$A,0))</f>
        <v>0</v>
      </c>
      <c r="K635" s="70">
        <f>INDEX('PEER GROUP'!L:L,MATCH($A635,'PEER GROUP'!$A:$A,0))</f>
        <v>0</v>
      </c>
      <c r="L635" s="81">
        <f>INDEX('PEER GROUP'!N:N,MATCH($A635,'PEER GROUP'!$A:$A,0))</f>
        <v>0</v>
      </c>
      <c r="M635" s="118"/>
      <c r="N635" s="115"/>
      <c r="O635" s="117"/>
      <c r="P635" s="87"/>
      <c r="Q635" s="87"/>
      <c r="R635" s="87">
        <f t="shared" si="89"/>
        <v>0</v>
      </c>
      <c r="S635" s="113">
        <f t="shared" si="87"/>
        <v>36.913096727263202</v>
      </c>
      <c r="T635" s="69">
        <f t="shared" si="90"/>
        <v>0</v>
      </c>
      <c r="U635" s="70">
        <f t="shared" si="91"/>
        <v>0</v>
      </c>
      <c r="V635" s="70">
        <f t="shared" si="92"/>
        <v>0</v>
      </c>
      <c r="W635" s="71">
        <f t="shared" si="93"/>
        <v>0</v>
      </c>
      <c r="X635" s="49"/>
      <c r="Y635" s="151"/>
      <c r="Z635" s="69"/>
      <c r="AA635" s="70"/>
      <c r="AB635" s="70"/>
      <c r="AC635" s="70" t="str">
        <f t="shared" si="94"/>
        <v>---</v>
      </c>
      <c r="AD635" s="70" t="str">
        <f>IFERROR(P635/#REF!-1,"---")</f>
        <v>---</v>
      </c>
      <c r="AE635" s="70" t="str">
        <f>IFERROR(#REF!/#REF!-1,"---")</f>
        <v>---</v>
      </c>
      <c r="AF635" s="70" t="str">
        <f>IFERROR(Q635/#REF!-1,"---")</f>
        <v>---</v>
      </c>
      <c r="AG635" s="70" t="str">
        <f>IFERROR(#REF!/#REF!-1,"---")</f>
        <v>---</v>
      </c>
      <c r="AH635" s="70" t="str">
        <f>IFERROR(#REF!/AA635-1,"---")</f>
        <v>---</v>
      </c>
      <c r="AI635" s="71" t="str">
        <f t="shared" si="95"/>
        <v>---</v>
      </c>
    </row>
    <row r="636" spans="1:35" ht="30" customHeight="1" x14ac:dyDescent="0.3">
      <c r="A636" s="123">
        <f t="shared" si="88"/>
        <v>632</v>
      </c>
      <c r="B636" s="140">
        <f>INDEX('PEER GROUP'!B:B,MATCH($A636,'PEER GROUP'!$A:$A,0))</f>
        <v>0</v>
      </c>
      <c r="C636" s="83">
        <f>INDEX('PEER GROUP'!C:C,MATCH($A636,'PEER GROUP'!$A:$A,0))</f>
        <v>0</v>
      </c>
      <c r="D636" s="83">
        <f>INDEX('PEER GROUP'!D:D,MATCH($A636,'PEER GROUP'!$A:$A,0))</f>
        <v>0</v>
      </c>
      <c r="E636" s="83">
        <f>INDEX('PEER GROUP'!E:E,MATCH(A636,'PEER GROUP'!$A:$A,0))</f>
        <v>0</v>
      </c>
      <c r="F636" s="84">
        <f>INDEX('PEER GROUP'!F:F,MATCH($A636,'PEER GROUP'!$A:$A,0))</f>
        <v>0</v>
      </c>
      <c r="G636" s="84">
        <f>INDEX('PEER GROUP'!G:G,MATCH($A636,'PEER GROUP'!$A:$A,0))</f>
        <v>0</v>
      </c>
      <c r="H636" s="85"/>
      <c r="I636" s="85"/>
      <c r="J636" s="70">
        <f>INDEX('PEER GROUP'!K:K,MATCH($A636,'PEER GROUP'!$A:$A,0))</f>
        <v>0</v>
      </c>
      <c r="K636" s="70">
        <f>INDEX('PEER GROUP'!L:L,MATCH($A636,'PEER GROUP'!$A:$A,0))</f>
        <v>0</v>
      </c>
      <c r="L636" s="81">
        <f>INDEX('PEER GROUP'!N:N,MATCH($A636,'PEER GROUP'!$A:$A,0))</f>
        <v>0</v>
      </c>
      <c r="M636" s="118"/>
      <c r="N636" s="115"/>
      <c r="O636" s="117"/>
      <c r="P636" s="87"/>
      <c r="Q636" s="87"/>
      <c r="R636" s="87">
        <f t="shared" si="89"/>
        <v>0</v>
      </c>
      <c r="S636" s="113">
        <f t="shared" si="87"/>
        <v>36.913096727263202</v>
      </c>
      <c r="T636" s="69">
        <f t="shared" si="90"/>
        <v>0</v>
      </c>
      <c r="U636" s="70">
        <f t="shared" si="91"/>
        <v>0</v>
      </c>
      <c r="V636" s="70">
        <f t="shared" si="92"/>
        <v>0</v>
      </c>
      <c r="W636" s="71">
        <f t="shared" si="93"/>
        <v>0</v>
      </c>
      <c r="X636" s="49"/>
      <c r="Y636" s="151"/>
      <c r="Z636" s="69"/>
      <c r="AA636" s="70"/>
      <c r="AB636" s="70"/>
      <c r="AC636" s="70" t="str">
        <f t="shared" si="94"/>
        <v>---</v>
      </c>
      <c r="AD636" s="70" t="str">
        <f>IFERROR(P636/#REF!-1,"---")</f>
        <v>---</v>
      </c>
      <c r="AE636" s="70" t="str">
        <f>IFERROR(#REF!/#REF!-1,"---")</f>
        <v>---</v>
      </c>
      <c r="AF636" s="70" t="str">
        <f>IFERROR(Q636/#REF!-1,"---")</f>
        <v>---</v>
      </c>
      <c r="AG636" s="70" t="str">
        <f>IFERROR(#REF!/#REF!-1,"---")</f>
        <v>---</v>
      </c>
      <c r="AH636" s="70" t="str">
        <f>IFERROR(#REF!/AA636-1,"---")</f>
        <v>---</v>
      </c>
      <c r="AI636" s="71" t="str">
        <f t="shared" si="95"/>
        <v>---</v>
      </c>
    </row>
    <row r="637" spans="1:35" ht="30" customHeight="1" x14ac:dyDescent="0.3">
      <c r="A637" s="123">
        <f t="shared" si="88"/>
        <v>633</v>
      </c>
      <c r="B637" s="140">
        <f>INDEX('PEER GROUP'!B:B,MATCH($A637,'PEER GROUP'!$A:$A,0))</f>
        <v>0</v>
      </c>
      <c r="C637" s="83">
        <f>INDEX('PEER GROUP'!C:C,MATCH($A637,'PEER GROUP'!$A:$A,0))</f>
        <v>0</v>
      </c>
      <c r="D637" s="83">
        <f>INDEX('PEER GROUP'!D:D,MATCH($A637,'PEER GROUP'!$A:$A,0))</f>
        <v>0</v>
      </c>
      <c r="E637" s="83">
        <f>INDEX('PEER GROUP'!E:E,MATCH(A637,'PEER GROUP'!$A:$A,0))</f>
        <v>0</v>
      </c>
      <c r="F637" s="84">
        <f>INDEX('PEER GROUP'!F:F,MATCH($A637,'PEER GROUP'!$A:$A,0))</f>
        <v>0</v>
      </c>
      <c r="G637" s="84">
        <f>INDEX('PEER GROUP'!G:G,MATCH($A637,'PEER GROUP'!$A:$A,0))</f>
        <v>0</v>
      </c>
      <c r="H637" s="85"/>
      <c r="I637" s="85"/>
      <c r="J637" s="70">
        <f>INDEX('PEER GROUP'!K:K,MATCH($A637,'PEER GROUP'!$A:$A,0))</f>
        <v>0</v>
      </c>
      <c r="K637" s="70">
        <f>INDEX('PEER GROUP'!L:L,MATCH($A637,'PEER GROUP'!$A:$A,0))</f>
        <v>0</v>
      </c>
      <c r="L637" s="81">
        <f>INDEX('PEER GROUP'!N:N,MATCH($A637,'PEER GROUP'!$A:$A,0))</f>
        <v>0</v>
      </c>
      <c r="M637" s="118"/>
      <c r="N637" s="115"/>
      <c r="O637" s="117"/>
      <c r="P637" s="87"/>
      <c r="Q637" s="87"/>
      <c r="R637" s="87">
        <f t="shared" si="89"/>
        <v>0</v>
      </c>
      <c r="S637" s="113">
        <f t="shared" si="87"/>
        <v>36.913096727263202</v>
      </c>
      <c r="T637" s="69">
        <f t="shared" si="90"/>
        <v>0</v>
      </c>
      <c r="U637" s="70">
        <f t="shared" si="91"/>
        <v>0</v>
      </c>
      <c r="V637" s="70">
        <f t="shared" si="92"/>
        <v>0</v>
      </c>
      <c r="W637" s="71">
        <f t="shared" si="93"/>
        <v>0</v>
      </c>
      <c r="X637" s="49"/>
      <c r="Y637" s="151"/>
      <c r="Z637" s="69"/>
      <c r="AA637" s="70"/>
      <c r="AB637" s="70"/>
      <c r="AC637" s="70" t="str">
        <f t="shared" si="94"/>
        <v>---</v>
      </c>
      <c r="AD637" s="70" t="str">
        <f>IFERROR(P637/#REF!-1,"---")</f>
        <v>---</v>
      </c>
      <c r="AE637" s="70" t="str">
        <f>IFERROR(#REF!/#REF!-1,"---")</f>
        <v>---</v>
      </c>
      <c r="AF637" s="70" t="str">
        <f>IFERROR(Q637/#REF!-1,"---")</f>
        <v>---</v>
      </c>
      <c r="AG637" s="70" t="str">
        <f>IFERROR(#REF!/#REF!-1,"---")</f>
        <v>---</v>
      </c>
      <c r="AH637" s="70" t="str">
        <f>IFERROR(#REF!/AA637-1,"---")</f>
        <v>---</v>
      </c>
      <c r="AI637" s="71" t="str">
        <f t="shared" si="95"/>
        <v>---</v>
      </c>
    </row>
    <row r="638" spans="1:35" ht="30" customHeight="1" x14ac:dyDescent="0.3">
      <c r="A638" s="123">
        <f t="shared" si="88"/>
        <v>634</v>
      </c>
      <c r="B638" s="140">
        <f>INDEX('PEER GROUP'!B:B,MATCH($A638,'PEER GROUP'!$A:$A,0))</f>
        <v>0</v>
      </c>
      <c r="C638" s="83">
        <f>INDEX('PEER GROUP'!C:C,MATCH($A638,'PEER GROUP'!$A:$A,0))</f>
        <v>0</v>
      </c>
      <c r="D638" s="83">
        <f>INDEX('PEER GROUP'!D:D,MATCH($A638,'PEER GROUP'!$A:$A,0))</f>
        <v>0</v>
      </c>
      <c r="E638" s="83">
        <f>INDEX('PEER GROUP'!E:E,MATCH(A638,'PEER GROUP'!$A:$A,0))</f>
        <v>0</v>
      </c>
      <c r="F638" s="84">
        <f>INDEX('PEER GROUP'!F:F,MATCH($A638,'PEER GROUP'!$A:$A,0))</f>
        <v>0</v>
      </c>
      <c r="G638" s="84">
        <f>INDEX('PEER GROUP'!G:G,MATCH($A638,'PEER GROUP'!$A:$A,0))</f>
        <v>0</v>
      </c>
      <c r="H638" s="85"/>
      <c r="I638" s="85"/>
      <c r="J638" s="70">
        <f>INDEX('PEER GROUP'!K:K,MATCH($A638,'PEER GROUP'!$A:$A,0))</f>
        <v>0</v>
      </c>
      <c r="K638" s="70">
        <f>INDEX('PEER GROUP'!L:L,MATCH($A638,'PEER GROUP'!$A:$A,0))</f>
        <v>0</v>
      </c>
      <c r="L638" s="81">
        <f>INDEX('PEER GROUP'!N:N,MATCH($A638,'PEER GROUP'!$A:$A,0))</f>
        <v>0</v>
      </c>
      <c r="M638" s="118"/>
      <c r="N638" s="115"/>
      <c r="O638" s="117"/>
      <c r="P638" s="87"/>
      <c r="Q638" s="87"/>
      <c r="R638" s="87">
        <f t="shared" si="89"/>
        <v>0</v>
      </c>
      <c r="S638" s="113">
        <f t="shared" si="87"/>
        <v>36.913096727263202</v>
      </c>
      <c r="T638" s="69">
        <f t="shared" si="90"/>
        <v>0</v>
      </c>
      <c r="U638" s="70">
        <f t="shared" si="91"/>
        <v>0</v>
      </c>
      <c r="V638" s="70">
        <f t="shared" si="92"/>
        <v>0</v>
      </c>
      <c r="W638" s="71">
        <f t="shared" si="93"/>
        <v>0</v>
      </c>
      <c r="X638" s="49"/>
      <c r="Y638" s="151"/>
      <c r="Z638" s="69"/>
      <c r="AA638" s="70"/>
      <c r="AB638" s="70"/>
      <c r="AC638" s="70" t="str">
        <f t="shared" si="94"/>
        <v>---</v>
      </c>
      <c r="AD638" s="70" t="str">
        <f>IFERROR(P638/#REF!-1,"---")</f>
        <v>---</v>
      </c>
      <c r="AE638" s="70" t="str">
        <f>IFERROR(#REF!/#REF!-1,"---")</f>
        <v>---</v>
      </c>
      <c r="AF638" s="70" t="str">
        <f>IFERROR(Q638/#REF!-1,"---")</f>
        <v>---</v>
      </c>
      <c r="AG638" s="70" t="str">
        <f>IFERROR(#REF!/#REF!-1,"---")</f>
        <v>---</v>
      </c>
      <c r="AH638" s="70" t="str">
        <f>IFERROR(#REF!/AA638-1,"---")</f>
        <v>---</v>
      </c>
      <c r="AI638" s="71" t="str">
        <f t="shared" si="95"/>
        <v>---</v>
      </c>
    </row>
    <row r="639" spans="1:35" ht="30" customHeight="1" x14ac:dyDescent="0.3">
      <c r="A639" s="123">
        <f t="shared" si="88"/>
        <v>635</v>
      </c>
      <c r="B639" s="140">
        <f>INDEX('PEER GROUP'!B:B,MATCH($A639,'PEER GROUP'!$A:$A,0))</f>
        <v>0</v>
      </c>
      <c r="C639" s="83">
        <f>INDEX('PEER GROUP'!C:C,MATCH($A639,'PEER GROUP'!$A:$A,0))</f>
        <v>0</v>
      </c>
      <c r="D639" s="83">
        <f>INDEX('PEER GROUP'!D:D,MATCH($A639,'PEER GROUP'!$A:$A,0))</f>
        <v>0</v>
      </c>
      <c r="E639" s="83">
        <f>INDEX('PEER GROUP'!E:E,MATCH(A639,'PEER GROUP'!$A:$A,0))</f>
        <v>0</v>
      </c>
      <c r="F639" s="84">
        <f>INDEX('PEER GROUP'!F:F,MATCH($A639,'PEER GROUP'!$A:$A,0))</f>
        <v>0</v>
      </c>
      <c r="G639" s="84">
        <f>INDEX('PEER GROUP'!G:G,MATCH($A639,'PEER GROUP'!$A:$A,0))</f>
        <v>0</v>
      </c>
      <c r="H639" s="85"/>
      <c r="I639" s="85"/>
      <c r="J639" s="70">
        <f>INDEX('PEER GROUP'!K:K,MATCH($A639,'PEER GROUP'!$A:$A,0))</f>
        <v>0</v>
      </c>
      <c r="K639" s="70">
        <f>INDEX('PEER GROUP'!L:L,MATCH($A639,'PEER GROUP'!$A:$A,0))</f>
        <v>0</v>
      </c>
      <c r="L639" s="81">
        <f>INDEX('PEER GROUP'!N:N,MATCH($A639,'PEER GROUP'!$A:$A,0))</f>
        <v>0</v>
      </c>
      <c r="M639" s="118"/>
      <c r="N639" s="115"/>
      <c r="O639" s="117"/>
      <c r="P639" s="87"/>
      <c r="Q639" s="87"/>
      <c r="R639" s="87">
        <f t="shared" si="89"/>
        <v>0</v>
      </c>
      <c r="S639" s="113">
        <f t="shared" si="87"/>
        <v>36.913096727263202</v>
      </c>
      <c r="T639" s="69">
        <f t="shared" si="90"/>
        <v>0</v>
      </c>
      <c r="U639" s="70">
        <f t="shared" si="91"/>
        <v>0</v>
      </c>
      <c r="V639" s="70">
        <f t="shared" si="92"/>
        <v>0</v>
      </c>
      <c r="W639" s="71">
        <f t="shared" si="93"/>
        <v>0</v>
      </c>
      <c r="X639" s="49"/>
      <c r="Y639" s="151"/>
      <c r="Z639" s="69"/>
      <c r="AA639" s="70"/>
      <c r="AB639" s="70"/>
      <c r="AC639" s="70" t="str">
        <f t="shared" si="94"/>
        <v>---</v>
      </c>
      <c r="AD639" s="70" t="str">
        <f>IFERROR(P639/#REF!-1,"---")</f>
        <v>---</v>
      </c>
      <c r="AE639" s="70" t="str">
        <f>IFERROR(#REF!/#REF!-1,"---")</f>
        <v>---</v>
      </c>
      <c r="AF639" s="70" t="str">
        <f>IFERROR(Q639/#REF!-1,"---")</f>
        <v>---</v>
      </c>
      <c r="AG639" s="70" t="str">
        <f>IFERROR(#REF!/#REF!-1,"---")</f>
        <v>---</v>
      </c>
      <c r="AH639" s="70" t="str">
        <f>IFERROR(#REF!/AA639-1,"---")</f>
        <v>---</v>
      </c>
      <c r="AI639" s="71" t="str">
        <f t="shared" si="95"/>
        <v>---</v>
      </c>
    </row>
    <row r="640" spans="1:35" ht="30" customHeight="1" x14ac:dyDescent="0.3">
      <c r="A640" s="123">
        <f t="shared" si="88"/>
        <v>636</v>
      </c>
      <c r="B640" s="140">
        <f>INDEX('PEER GROUP'!B:B,MATCH($A640,'PEER GROUP'!$A:$A,0))</f>
        <v>0</v>
      </c>
      <c r="C640" s="83">
        <f>INDEX('PEER GROUP'!C:C,MATCH($A640,'PEER GROUP'!$A:$A,0))</f>
        <v>0</v>
      </c>
      <c r="D640" s="83">
        <f>INDEX('PEER GROUP'!D:D,MATCH($A640,'PEER GROUP'!$A:$A,0))</f>
        <v>0</v>
      </c>
      <c r="E640" s="83">
        <f>INDEX('PEER GROUP'!E:E,MATCH(A640,'PEER GROUP'!$A:$A,0))</f>
        <v>0</v>
      </c>
      <c r="F640" s="84">
        <f>INDEX('PEER GROUP'!F:F,MATCH($A640,'PEER GROUP'!$A:$A,0))</f>
        <v>0</v>
      </c>
      <c r="G640" s="84">
        <f>INDEX('PEER GROUP'!G:G,MATCH($A640,'PEER GROUP'!$A:$A,0))</f>
        <v>0</v>
      </c>
      <c r="H640" s="85"/>
      <c r="I640" s="85"/>
      <c r="J640" s="70">
        <f>INDEX('PEER GROUP'!K:K,MATCH($A640,'PEER GROUP'!$A:$A,0))</f>
        <v>0</v>
      </c>
      <c r="K640" s="70">
        <f>INDEX('PEER GROUP'!L:L,MATCH($A640,'PEER GROUP'!$A:$A,0))</f>
        <v>0</v>
      </c>
      <c r="L640" s="81">
        <f>INDEX('PEER GROUP'!N:N,MATCH($A640,'PEER GROUP'!$A:$A,0))</f>
        <v>0</v>
      </c>
      <c r="M640" s="118"/>
      <c r="N640" s="115"/>
      <c r="O640" s="117"/>
      <c r="P640" s="87"/>
      <c r="Q640" s="87"/>
      <c r="R640" s="87">
        <f t="shared" si="89"/>
        <v>0</v>
      </c>
      <c r="S640" s="113">
        <f t="shared" si="87"/>
        <v>36.913096727263202</v>
      </c>
      <c r="T640" s="69">
        <f t="shared" si="90"/>
        <v>0</v>
      </c>
      <c r="U640" s="70">
        <f t="shared" si="91"/>
        <v>0</v>
      </c>
      <c r="V640" s="70">
        <f t="shared" si="92"/>
        <v>0</v>
      </c>
      <c r="W640" s="71">
        <f t="shared" si="93"/>
        <v>0</v>
      </c>
      <c r="X640" s="49"/>
      <c r="Y640" s="151"/>
      <c r="Z640" s="69"/>
      <c r="AA640" s="70"/>
      <c r="AB640" s="70"/>
      <c r="AC640" s="70" t="str">
        <f t="shared" si="94"/>
        <v>---</v>
      </c>
      <c r="AD640" s="70" t="str">
        <f>IFERROR(P640/#REF!-1,"---")</f>
        <v>---</v>
      </c>
      <c r="AE640" s="70" t="str">
        <f>IFERROR(#REF!/#REF!-1,"---")</f>
        <v>---</v>
      </c>
      <c r="AF640" s="70" t="str">
        <f>IFERROR(Q640/#REF!-1,"---")</f>
        <v>---</v>
      </c>
      <c r="AG640" s="70" t="str">
        <f>IFERROR(#REF!/#REF!-1,"---")</f>
        <v>---</v>
      </c>
      <c r="AH640" s="70" t="str">
        <f>IFERROR(#REF!/AA640-1,"---")</f>
        <v>---</v>
      </c>
      <c r="AI640" s="71" t="str">
        <f t="shared" si="95"/>
        <v>---</v>
      </c>
    </row>
    <row r="641" spans="1:35" ht="30" customHeight="1" x14ac:dyDescent="0.3">
      <c r="A641" s="123">
        <f t="shared" si="88"/>
        <v>637</v>
      </c>
      <c r="B641" s="140">
        <f>INDEX('PEER GROUP'!B:B,MATCH($A641,'PEER GROUP'!$A:$A,0))</f>
        <v>0</v>
      </c>
      <c r="C641" s="83">
        <f>INDEX('PEER GROUP'!C:C,MATCH($A641,'PEER GROUP'!$A:$A,0))</f>
        <v>0</v>
      </c>
      <c r="D641" s="83">
        <f>INDEX('PEER GROUP'!D:D,MATCH($A641,'PEER GROUP'!$A:$A,0))</f>
        <v>0</v>
      </c>
      <c r="E641" s="83">
        <f>INDEX('PEER GROUP'!E:E,MATCH(A641,'PEER GROUP'!$A:$A,0))</f>
        <v>0</v>
      </c>
      <c r="F641" s="84">
        <f>INDEX('PEER GROUP'!F:F,MATCH($A641,'PEER GROUP'!$A:$A,0))</f>
        <v>0</v>
      </c>
      <c r="G641" s="84">
        <f>INDEX('PEER GROUP'!G:G,MATCH($A641,'PEER GROUP'!$A:$A,0))</f>
        <v>0</v>
      </c>
      <c r="H641" s="85"/>
      <c r="I641" s="85"/>
      <c r="J641" s="70">
        <f>INDEX('PEER GROUP'!K:K,MATCH($A641,'PEER GROUP'!$A:$A,0))</f>
        <v>0</v>
      </c>
      <c r="K641" s="70">
        <f>INDEX('PEER GROUP'!L:L,MATCH($A641,'PEER GROUP'!$A:$A,0))</f>
        <v>0</v>
      </c>
      <c r="L641" s="81">
        <f>INDEX('PEER GROUP'!N:N,MATCH($A641,'PEER GROUP'!$A:$A,0))</f>
        <v>0</v>
      </c>
      <c r="M641" s="118"/>
      <c r="N641" s="115"/>
      <c r="O641" s="117"/>
      <c r="P641" s="87"/>
      <c r="Q641" s="87"/>
      <c r="R641" s="87">
        <f t="shared" si="89"/>
        <v>0</v>
      </c>
      <c r="S641" s="113">
        <f t="shared" si="87"/>
        <v>36.913096727263202</v>
      </c>
      <c r="T641" s="69">
        <f t="shared" si="90"/>
        <v>0</v>
      </c>
      <c r="U641" s="70">
        <f t="shared" si="91"/>
        <v>0</v>
      </c>
      <c r="V641" s="70">
        <f t="shared" si="92"/>
        <v>0</v>
      </c>
      <c r="W641" s="71">
        <f t="shared" si="93"/>
        <v>0</v>
      </c>
      <c r="X641" s="49"/>
      <c r="Y641" s="151"/>
      <c r="Z641" s="69"/>
      <c r="AA641" s="70"/>
      <c r="AB641" s="70"/>
      <c r="AC641" s="70" t="str">
        <f t="shared" si="94"/>
        <v>---</v>
      </c>
      <c r="AD641" s="70" t="str">
        <f>IFERROR(P641/#REF!-1,"---")</f>
        <v>---</v>
      </c>
      <c r="AE641" s="70" t="str">
        <f>IFERROR(#REF!/#REF!-1,"---")</f>
        <v>---</v>
      </c>
      <c r="AF641" s="70" t="str">
        <f>IFERROR(Q641/#REF!-1,"---")</f>
        <v>---</v>
      </c>
      <c r="AG641" s="70" t="str">
        <f>IFERROR(#REF!/#REF!-1,"---")</f>
        <v>---</v>
      </c>
      <c r="AH641" s="70" t="str">
        <f>IFERROR(#REF!/AA641-1,"---")</f>
        <v>---</v>
      </c>
      <c r="AI641" s="71" t="str">
        <f t="shared" si="95"/>
        <v>---</v>
      </c>
    </row>
    <row r="642" spans="1:35" ht="30" customHeight="1" x14ac:dyDescent="0.3">
      <c r="A642" s="123">
        <f t="shared" si="88"/>
        <v>638</v>
      </c>
      <c r="B642" s="140">
        <f>INDEX('PEER GROUP'!B:B,MATCH($A642,'PEER GROUP'!$A:$A,0))</f>
        <v>0</v>
      </c>
      <c r="C642" s="83">
        <f>INDEX('PEER GROUP'!C:C,MATCH($A642,'PEER GROUP'!$A:$A,0))</f>
        <v>0</v>
      </c>
      <c r="D642" s="83">
        <f>INDEX('PEER GROUP'!D:D,MATCH($A642,'PEER GROUP'!$A:$A,0))</f>
        <v>0</v>
      </c>
      <c r="E642" s="83">
        <f>INDEX('PEER GROUP'!E:E,MATCH(A642,'PEER GROUP'!$A:$A,0))</f>
        <v>0</v>
      </c>
      <c r="F642" s="84">
        <f>INDEX('PEER GROUP'!F:F,MATCH($A642,'PEER GROUP'!$A:$A,0))</f>
        <v>0</v>
      </c>
      <c r="G642" s="84">
        <f>INDEX('PEER GROUP'!G:G,MATCH($A642,'PEER GROUP'!$A:$A,0))</f>
        <v>0</v>
      </c>
      <c r="H642" s="85"/>
      <c r="I642" s="85"/>
      <c r="J642" s="70">
        <f>INDEX('PEER GROUP'!K:K,MATCH($A642,'PEER GROUP'!$A:$A,0))</f>
        <v>0</v>
      </c>
      <c r="K642" s="70">
        <f>INDEX('PEER GROUP'!L:L,MATCH($A642,'PEER GROUP'!$A:$A,0))</f>
        <v>0</v>
      </c>
      <c r="L642" s="81">
        <f>INDEX('PEER GROUP'!N:N,MATCH($A642,'PEER GROUP'!$A:$A,0))</f>
        <v>0</v>
      </c>
      <c r="M642" s="118"/>
      <c r="N642" s="115"/>
      <c r="O642" s="117"/>
      <c r="P642" s="87"/>
      <c r="Q642" s="87"/>
      <c r="R642" s="87">
        <f t="shared" si="89"/>
        <v>0</v>
      </c>
      <c r="S642" s="113">
        <f t="shared" si="87"/>
        <v>36.913096727263202</v>
      </c>
      <c r="T642" s="69">
        <f t="shared" si="90"/>
        <v>0</v>
      </c>
      <c r="U642" s="70">
        <f t="shared" si="91"/>
        <v>0</v>
      </c>
      <c r="V642" s="70">
        <f t="shared" si="92"/>
        <v>0</v>
      </c>
      <c r="W642" s="71">
        <f t="shared" si="93"/>
        <v>0</v>
      </c>
      <c r="X642" s="49"/>
      <c r="Y642" s="151"/>
      <c r="Z642" s="69"/>
      <c r="AA642" s="70"/>
      <c r="AB642" s="70"/>
      <c r="AC642" s="70" t="str">
        <f t="shared" si="94"/>
        <v>---</v>
      </c>
      <c r="AD642" s="70" t="str">
        <f>IFERROR(P642/#REF!-1,"---")</f>
        <v>---</v>
      </c>
      <c r="AE642" s="70" t="str">
        <f>IFERROR(#REF!/#REF!-1,"---")</f>
        <v>---</v>
      </c>
      <c r="AF642" s="70" t="str">
        <f>IFERROR(Q642/#REF!-1,"---")</f>
        <v>---</v>
      </c>
      <c r="AG642" s="70" t="str">
        <f>IFERROR(#REF!/#REF!-1,"---")</f>
        <v>---</v>
      </c>
      <c r="AH642" s="70" t="str">
        <f>IFERROR(#REF!/AA642-1,"---")</f>
        <v>---</v>
      </c>
      <c r="AI642" s="71" t="str">
        <f t="shared" si="95"/>
        <v>---</v>
      </c>
    </row>
    <row r="643" spans="1:35" ht="30" customHeight="1" x14ac:dyDescent="0.3">
      <c r="A643" s="123">
        <f t="shared" si="88"/>
        <v>639</v>
      </c>
      <c r="B643" s="140">
        <f>INDEX('PEER GROUP'!B:B,MATCH($A643,'PEER GROUP'!$A:$A,0))</f>
        <v>0</v>
      </c>
      <c r="C643" s="83">
        <f>INDEX('PEER GROUP'!C:C,MATCH($A643,'PEER GROUP'!$A:$A,0))</f>
        <v>0</v>
      </c>
      <c r="D643" s="83">
        <f>INDEX('PEER GROUP'!D:D,MATCH($A643,'PEER GROUP'!$A:$A,0))</f>
        <v>0</v>
      </c>
      <c r="E643" s="83">
        <f>INDEX('PEER GROUP'!E:E,MATCH(A643,'PEER GROUP'!$A:$A,0))</f>
        <v>0</v>
      </c>
      <c r="F643" s="84">
        <f>INDEX('PEER GROUP'!F:F,MATCH($A643,'PEER GROUP'!$A:$A,0))</f>
        <v>0</v>
      </c>
      <c r="G643" s="84">
        <f>INDEX('PEER GROUP'!G:G,MATCH($A643,'PEER GROUP'!$A:$A,0))</f>
        <v>0</v>
      </c>
      <c r="H643" s="85"/>
      <c r="I643" s="85"/>
      <c r="J643" s="70">
        <f>INDEX('PEER GROUP'!K:K,MATCH($A643,'PEER GROUP'!$A:$A,0))</f>
        <v>0</v>
      </c>
      <c r="K643" s="70">
        <f>INDEX('PEER GROUP'!L:L,MATCH($A643,'PEER GROUP'!$A:$A,0))</f>
        <v>0</v>
      </c>
      <c r="L643" s="81">
        <f>INDEX('PEER GROUP'!N:N,MATCH($A643,'PEER GROUP'!$A:$A,0))</f>
        <v>0</v>
      </c>
      <c r="M643" s="118"/>
      <c r="N643" s="115"/>
      <c r="O643" s="117"/>
      <c r="P643" s="87"/>
      <c r="Q643" s="87"/>
      <c r="R643" s="87">
        <f t="shared" si="89"/>
        <v>0</v>
      </c>
      <c r="S643" s="113">
        <f t="shared" si="87"/>
        <v>36.913096727263202</v>
      </c>
      <c r="T643" s="69">
        <f t="shared" si="90"/>
        <v>0</v>
      </c>
      <c r="U643" s="70">
        <f t="shared" si="91"/>
        <v>0</v>
      </c>
      <c r="V643" s="70">
        <f t="shared" si="92"/>
        <v>0</v>
      </c>
      <c r="W643" s="71">
        <f t="shared" si="93"/>
        <v>0</v>
      </c>
      <c r="X643" s="49"/>
      <c r="Y643" s="151"/>
      <c r="Z643" s="69"/>
      <c r="AA643" s="70"/>
      <c r="AB643" s="70"/>
      <c r="AC643" s="70" t="str">
        <f t="shared" si="94"/>
        <v>---</v>
      </c>
      <c r="AD643" s="70" t="str">
        <f>IFERROR(P643/#REF!-1,"---")</f>
        <v>---</v>
      </c>
      <c r="AE643" s="70" t="str">
        <f>IFERROR(#REF!/#REF!-1,"---")</f>
        <v>---</v>
      </c>
      <c r="AF643" s="70" t="str">
        <f>IFERROR(Q643/#REF!-1,"---")</f>
        <v>---</v>
      </c>
      <c r="AG643" s="70" t="str">
        <f>IFERROR(#REF!/#REF!-1,"---")</f>
        <v>---</v>
      </c>
      <c r="AH643" s="70" t="str">
        <f>IFERROR(#REF!/AA643-1,"---")</f>
        <v>---</v>
      </c>
      <c r="AI643" s="71" t="str">
        <f t="shared" si="95"/>
        <v>---</v>
      </c>
    </row>
    <row r="644" spans="1:35" ht="30" customHeight="1" x14ac:dyDescent="0.3">
      <c r="A644" s="123">
        <f t="shared" si="88"/>
        <v>640</v>
      </c>
      <c r="B644" s="140">
        <f>INDEX('PEER GROUP'!B:B,MATCH($A644,'PEER GROUP'!$A:$A,0))</f>
        <v>0</v>
      </c>
      <c r="C644" s="83">
        <f>INDEX('PEER GROUP'!C:C,MATCH($A644,'PEER GROUP'!$A:$A,0))</f>
        <v>0</v>
      </c>
      <c r="D644" s="83">
        <f>INDEX('PEER GROUP'!D:D,MATCH($A644,'PEER GROUP'!$A:$A,0))</f>
        <v>0</v>
      </c>
      <c r="E644" s="83">
        <f>INDEX('PEER GROUP'!E:E,MATCH(A644,'PEER GROUP'!$A:$A,0))</f>
        <v>0</v>
      </c>
      <c r="F644" s="84">
        <f>INDEX('PEER GROUP'!F:F,MATCH($A644,'PEER GROUP'!$A:$A,0))</f>
        <v>0</v>
      </c>
      <c r="G644" s="84">
        <f>INDEX('PEER GROUP'!G:G,MATCH($A644,'PEER GROUP'!$A:$A,0))</f>
        <v>0</v>
      </c>
      <c r="H644" s="85"/>
      <c r="I644" s="85"/>
      <c r="J644" s="70">
        <f>INDEX('PEER GROUP'!K:K,MATCH($A644,'PEER GROUP'!$A:$A,0))</f>
        <v>0</v>
      </c>
      <c r="K644" s="70">
        <f>INDEX('PEER GROUP'!L:L,MATCH($A644,'PEER GROUP'!$A:$A,0))</f>
        <v>0</v>
      </c>
      <c r="L644" s="81">
        <f>INDEX('PEER GROUP'!N:N,MATCH($A644,'PEER GROUP'!$A:$A,0))</f>
        <v>0</v>
      </c>
      <c r="M644" s="118"/>
      <c r="N644" s="115"/>
      <c r="O644" s="117"/>
      <c r="P644" s="87"/>
      <c r="Q644" s="87"/>
      <c r="R644" s="87">
        <f t="shared" si="89"/>
        <v>0</v>
      </c>
      <c r="S644" s="113">
        <f t="shared" si="87"/>
        <v>36.913096727263202</v>
      </c>
      <c r="T644" s="69">
        <f t="shared" si="90"/>
        <v>0</v>
      </c>
      <c r="U644" s="70">
        <f t="shared" si="91"/>
        <v>0</v>
      </c>
      <c r="V644" s="70">
        <f t="shared" si="92"/>
        <v>0</v>
      </c>
      <c r="W644" s="71">
        <f t="shared" si="93"/>
        <v>0</v>
      </c>
      <c r="X644" s="49"/>
      <c r="Y644" s="151"/>
      <c r="Z644" s="69"/>
      <c r="AA644" s="70"/>
      <c r="AB644" s="70"/>
      <c r="AC644" s="70" t="str">
        <f t="shared" si="94"/>
        <v>---</v>
      </c>
      <c r="AD644" s="70" t="str">
        <f>IFERROR(P644/#REF!-1,"---")</f>
        <v>---</v>
      </c>
      <c r="AE644" s="70" t="str">
        <f>IFERROR(#REF!/#REF!-1,"---")</f>
        <v>---</v>
      </c>
      <c r="AF644" s="70" t="str">
        <f>IFERROR(Q644/#REF!-1,"---")</f>
        <v>---</v>
      </c>
      <c r="AG644" s="70" t="str">
        <f>IFERROR(#REF!/#REF!-1,"---")</f>
        <v>---</v>
      </c>
      <c r="AH644" s="70" t="str">
        <f>IFERROR(#REF!/AA644-1,"---")</f>
        <v>---</v>
      </c>
      <c r="AI644" s="71" t="str">
        <f t="shared" si="95"/>
        <v>---</v>
      </c>
    </row>
    <row r="645" spans="1:35" ht="30" customHeight="1" x14ac:dyDescent="0.3">
      <c r="A645" s="123">
        <f t="shared" si="88"/>
        <v>641</v>
      </c>
      <c r="B645" s="140">
        <f>INDEX('PEER GROUP'!B:B,MATCH($A645,'PEER GROUP'!$A:$A,0))</f>
        <v>0</v>
      </c>
      <c r="C645" s="83">
        <f>INDEX('PEER GROUP'!C:C,MATCH($A645,'PEER GROUP'!$A:$A,0))</f>
        <v>0</v>
      </c>
      <c r="D645" s="83">
        <f>INDEX('PEER GROUP'!D:D,MATCH($A645,'PEER GROUP'!$A:$A,0))</f>
        <v>0</v>
      </c>
      <c r="E645" s="83">
        <f>INDEX('PEER GROUP'!E:E,MATCH(A645,'PEER GROUP'!$A:$A,0))</f>
        <v>0</v>
      </c>
      <c r="F645" s="84">
        <f>INDEX('PEER GROUP'!F:F,MATCH($A645,'PEER GROUP'!$A:$A,0))</f>
        <v>0</v>
      </c>
      <c r="G645" s="84">
        <f>INDEX('PEER GROUP'!G:G,MATCH($A645,'PEER GROUP'!$A:$A,0))</f>
        <v>0</v>
      </c>
      <c r="H645" s="85"/>
      <c r="I645" s="85"/>
      <c r="J645" s="70">
        <f>INDEX('PEER GROUP'!K:K,MATCH($A645,'PEER GROUP'!$A:$A,0))</f>
        <v>0</v>
      </c>
      <c r="K645" s="70">
        <f>INDEX('PEER GROUP'!L:L,MATCH($A645,'PEER GROUP'!$A:$A,0))</f>
        <v>0</v>
      </c>
      <c r="L645" s="81">
        <f>INDEX('PEER GROUP'!N:N,MATCH($A645,'PEER GROUP'!$A:$A,0))</f>
        <v>0</v>
      </c>
      <c r="M645" s="118"/>
      <c r="N645" s="115"/>
      <c r="O645" s="117"/>
      <c r="P645" s="87"/>
      <c r="Q645" s="87"/>
      <c r="R645" s="87">
        <f t="shared" si="89"/>
        <v>0</v>
      </c>
      <c r="S645" s="113">
        <f t="shared" si="87"/>
        <v>36.913096727263202</v>
      </c>
      <c r="T645" s="69">
        <f t="shared" si="90"/>
        <v>0</v>
      </c>
      <c r="U645" s="70">
        <f t="shared" si="91"/>
        <v>0</v>
      </c>
      <c r="V645" s="70">
        <f t="shared" si="92"/>
        <v>0</v>
      </c>
      <c r="W645" s="71">
        <f t="shared" si="93"/>
        <v>0</v>
      </c>
      <c r="X645" s="49"/>
      <c r="Y645" s="151"/>
      <c r="Z645" s="69"/>
      <c r="AA645" s="70"/>
      <c r="AB645" s="70"/>
      <c r="AC645" s="70" t="str">
        <f t="shared" si="94"/>
        <v>---</v>
      </c>
      <c r="AD645" s="70" t="str">
        <f>IFERROR(P645/#REF!-1,"---")</f>
        <v>---</v>
      </c>
      <c r="AE645" s="70" t="str">
        <f>IFERROR(#REF!/#REF!-1,"---")</f>
        <v>---</v>
      </c>
      <c r="AF645" s="70" t="str">
        <f>IFERROR(Q645/#REF!-1,"---")</f>
        <v>---</v>
      </c>
      <c r="AG645" s="70" t="str">
        <f>IFERROR(#REF!/#REF!-1,"---")</f>
        <v>---</v>
      </c>
      <c r="AH645" s="70" t="str">
        <f>IFERROR(#REF!/AA645-1,"---")</f>
        <v>---</v>
      </c>
      <c r="AI645" s="71" t="str">
        <f t="shared" si="95"/>
        <v>---</v>
      </c>
    </row>
    <row r="646" spans="1:35" ht="30" customHeight="1" x14ac:dyDescent="0.3">
      <c r="A646" s="123">
        <f t="shared" si="88"/>
        <v>642</v>
      </c>
      <c r="B646" s="140">
        <f>INDEX('PEER GROUP'!B:B,MATCH($A646,'PEER GROUP'!$A:$A,0))</f>
        <v>0</v>
      </c>
      <c r="C646" s="83">
        <f>INDEX('PEER GROUP'!C:C,MATCH($A646,'PEER GROUP'!$A:$A,0))</f>
        <v>0</v>
      </c>
      <c r="D646" s="83">
        <f>INDEX('PEER GROUP'!D:D,MATCH($A646,'PEER GROUP'!$A:$A,0))</f>
        <v>0</v>
      </c>
      <c r="E646" s="83">
        <f>INDEX('PEER GROUP'!E:E,MATCH(A646,'PEER GROUP'!$A:$A,0))</f>
        <v>0</v>
      </c>
      <c r="F646" s="84">
        <f>INDEX('PEER GROUP'!F:F,MATCH($A646,'PEER GROUP'!$A:$A,0))</f>
        <v>0</v>
      </c>
      <c r="G646" s="84">
        <f>INDEX('PEER GROUP'!G:G,MATCH($A646,'PEER GROUP'!$A:$A,0))</f>
        <v>0</v>
      </c>
      <c r="H646" s="85"/>
      <c r="I646" s="85"/>
      <c r="J646" s="70">
        <f>INDEX('PEER GROUP'!K:K,MATCH($A646,'PEER GROUP'!$A:$A,0))</f>
        <v>0</v>
      </c>
      <c r="K646" s="70">
        <f>INDEX('PEER GROUP'!L:L,MATCH($A646,'PEER GROUP'!$A:$A,0))</f>
        <v>0</v>
      </c>
      <c r="L646" s="81">
        <f>INDEX('PEER GROUP'!N:N,MATCH($A646,'PEER GROUP'!$A:$A,0))</f>
        <v>0</v>
      </c>
      <c r="M646" s="118"/>
      <c r="N646" s="115"/>
      <c r="O646" s="117"/>
      <c r="P646" s="87"/>
      <c r="Q646" s="87"/>
      <c r="R646" s="87">
        <f t="shared" si="89"/>
        <v>0</v>
      </c>
      <c r="S646" s="113">
        <f t="shared" si="87"/>
        <v>36.913096727263202</v>
      </c>
      <c r="T646" s="69">
        <f t="shared" si="90"/>
        <v>0</v>
      </c>
      <c r="U646" s="70">
        <f t="shared" si="91"/>
        <v>0</v>
      </c>
      <c r="V646" s="70">
        <f t="shared" si="92"/>
        <v>0</v>
      </c>
      <c r="W646" s="71">
        <f t="shared" si="93"/>
        <v>0</v>
      </c>
      <c r="X646" s="49"/>
      <c r="Y646" s="151"/>
      <c r="Z646" s="69"/>
      <c r="AA646" s="70"/>
      <c r="AB646" s="70"/>
      <c r="AC646" s="70" t="str">
        <f t="shared" si="94"/>
        <v>---</v>
      </c>
      <c r="AD646" s="70" t="str">
        <f>IFERROR(P646/#REF!-1,"---")</f>
        <v>---</v>
      </c>
      <c r="AE646" s="70" t="str">
        <f>IFERROR(#REF!/#REF!-1,"---")</f>
        <v>---</v>
      </c>
      <c r="AF646" s="70" t="str">
        <f>IFERROR(Q646/#REF!-1,"---")</f>
        <v>---</v>
      </c>
      <c r="AG646" s="70" t="str">
        <f>IFERROR(#REF!/#REF!-1,"---")</f>
        <v>---</v>
      </c>
      <c r="AH646" s="70" t="str">
        <f>IFERROR(#REF!/AA646-1,"---")</f>
        <v>---</v>
      </c>
      <c r="AI646" s="71" t="str">
        <f t="shared" si="95"/>
        <v>---</v>
      </c>
    </row>
    <row r="647" spans="1:35" ht="30" customHeight="1" x14ac:dyDescent="0.3">
      <c r="A647" s="123">
        <f t="shared" si="88"/>
        <v>643</v>
      </c>
      <c r="B647" s="140">
        <f>INDEX('PEER GROUP'!B:B,MATCH($A647,'PEER GROUP'!$A:$A,0))</f>
        <v>0</v>
      </c>
      <c r="C647" s="83">
        <f>INDEX('PEER GROUP'!C:C,MATCH($A647,'PEER GROUP'!$A:$A,0))</f>
        <v>0</v>
      </c>
      <c r="D647" s="83">
        <f>INDEX('PEER GROUP'!D:D,MATCH($A647,'PEER GROUP'!$A:$A,0))</f>
        <v>0</v>
      </c>
      <c r="E647" s="83">
        <f>INDEX('PEER GROUP'!E:E,MATCH(A647,'PEER GROUP'!$A:$A,0))</f>
        <v>0</v>
      </c>
      <c r="F647" s="84">
        <f>INDEX('PEER GROUP'!F:F,MATCH($A647,'PEER GROUP'!$A:$A,0))</f>
        <v>0</v>
      </c>
      <c r="G647" s="84">
        <f>INDEX('PEER GROUP'!G:G,MATCH($A647,'PEER GROUP'!$A:$A,0))</f>
        <v>0</v>
      </c>
      <c r="H647" s="85"/>
      <c r="I647" s="85"/>
      <c r="J647" s="70">
        <f>INDEX('PEER GROUP'!K:K,MATCH($A647,'PEER GROUP'!$A:$A,0))</f>
        <v>0</v>
      </c>
      <c r="K647" s="70">
        <f>INDEX('PEER GROUP'!L:L,MATCH($A647,'PEER GROUP'!$A:$A,0))</f>
        <v>0</v>
      </c>
      <c r="L647" s="81">
        <f>INDEX('PEER GROUP'!N:N,MATCH($A647,'PEER GROUP'!$A:$A,0))</f>
        <v>0</v>
      </c>
      <c r="M647" s="118"/>
      <c r="N647" s="115"/>
      <c r="O647" s="117"/>
      <c r="P647" s="87"/>
      <c r="Q647" s="87"/>
      <c r="R647" s="87">
        <f t="shared" si="89"/>
        <v>0</v>
      </c>
      <c r="S647" s="113">
        <f t="shared" si="87"/>
        <v>36.913096727263202</v>
      </c>
      <c r="T647" s="69">
        <f t="shared" si="90"/>
        <v>0</v>
      </c>
      <c r="U647" s="70">
        <f t="shared" si="91"/>
        <v>0</v>
      </c>
      <c r="V647" s="70">
        <f t="shared" si="92"/>
        <v>0</v>
      </c>
      <c r="W647" s="71">
        <f t="shared" si="93"/>
        <v>0</v>
      </c>
      <c r="X647" s="49"/>
      <c r="Y647" s="151"/>
      <c r="Z647" s="69"/>
      <c r="AA647" s="70"/>
      <c r="AB647" s="70"/>
      <c r="AC647" s="70" t="str">
        <f t="shared" si="94"/>
        <v>---</v>
      </c>
      <c r="AD647" s="70" t="str">
        <f>IFERROR(P647/#REF!-1,"---")</f>
        <v>---</v>
      </c>
      <c r="AE647" s="70" t="str">
        <f>IFERROR(#REF!/#REF!-1,"---")</f>
        <v>---</v>
      </c>
      <c r="AF647" s="70" t="str">
        <f>IFERROR(Q647/#REF!-1,"---")</f>
        <v>---</v>
      </c>
      <c r="AG647" s="70" t="str">
        <f>IFERROR(#REF!/#REF!-1,"---")</f>
        <v>---</v>
      </c>
      <c r="AH647" s="70" t="str">
        <f>IFERROR(#REF!/AA647-1,"---")</f>
        <v>---</v>
      </c>
      <c r="AI647" s="71" t="str">
        <f t="shared" si="95"/>
        <v>---</v>
      </c>
    </row>
    <row r="648" spans="1:35" ht="30" customHeight="1" x14ac:dyDescent="0.3">
      <c r="A648" s="123">
        <f t="shared" si="88"/>
        <v>644</v>
      </c>
      <c r="B648" s="140">
        <f>INDEX('PEER GROUP'!B:B,MATCH($A648,'PEER GROUP'!$A:$A,0))</f>
        <v>0</v>
      </c>
      <c r="C648" s="83">
        <f>INDEX('PEER GROUP'!C:C,MATCH($A648,'PEER GROUP'!$A:$A,0))</f>
        <v>0</v>
      </c>
      <c r="D648" s="83">
        <f>INDEX('PEER GROUP'!D:D,MATCH($A648,'PEER GROUP'!$A:$A,0))</f>
        <v>0</v>
      </c>
      <c r="E648" s="83">
        <f>INDEX('PEER GROUP'!E:E,MATCH(A648,'PEER GROUP'!$A:$A,0))</f>
        <v>0</v>
      </c>
      <c r="F648" s="84">
        <f>INDEX('PEER GROUP'!F:F,MATCH($A648,'PEER GROUP'!$A:$A,0))</f>
        <v>0</v>
      </c>
      <c r="G648" s="84">
        <f>INDEX('PEER GROUP'!G:G,MATCH($A648,'PEER GROUP'!$A:$A,0))</f>
        <v>0</v>
      </c>
      <c r="H648" s="85"/>
      <c r="I648" s="85"/>
      <c r="J648" s="70">
        <f>INDEX('PEER GROUP'!K:K,MATCH($A648,'PEER GROUP'!$A:$A,0))</f>
        <v>0</v>
      </c>
      <c r="K648" s="70">
        <f>INDEX('PEER GROUP'!L:L,MATCH($A648,'PEER GROUP'!$A:$A,0))</f>
        <v>0</v>
      </c>
      <c r="L648" s="81">
        <f>INDEX('PEER GROUP'!N:N,MATCH($A648,'PEER GROUP'!$A:$A,0))</f>
        <v>0</v>
      </c>
      <c r="M648" s="118"/>
      <c r="N648" s="115"/>
      <c r="O648" s="117"/>
      <c r="P648" s="87"/>
      <c r="Q648" s="87"/>
      <c r="R648" s="87">
        <f t="shared" si="89"/>
        <v>0</v>
      </c>
      <c r="S648" s="113">
        <f t="shared" si="87"/>
        <v>36.913096727263202</v>
      </c>
      <c r="T648" s="69">
        <f t="shared" si="90"/>
        <v>0</v>
      </c>
      <c r="U648" s="70">
        <f t="shared" si="91"/>
        <v>0</v>
      </c>
      <c r="V648" s="70">
        <f t="shared" si="92"/>
        <v>0</v>
      </c>
      <c r="W648" s="71">
        <f t="shared" si="93"/>
        <v>0</v>
      </c>
      <c r="X648" s="49"/>
      <c r="Y648" s="151"/>
      <c r="Z648" s="69"/>
      <c r="AA648" s="70"/>
      <c r="AB648" s="70"/>
      <c r="AC648" s="70" t="str">
        <f t="shared" si="94"/>
        <v>---</v>
      </c>
      <c r="AD648" s="70" t="str">
        <f>IFERROR(P648/#REF!-1,"---")</f>
        <v>---</v>
      </c>
      <c r="AE648" s="70" t="str">
        <f>IFERROR(#REF!/#REF!-1,"---")</f>
        <v>---</v>
      </c>
      <c r="AF648" s="70" t="str">
        <f>IFERROR(Q648/#REF!-1,"---")</f>
        <v>---</v>
      </c>
      <c r="AG648" s="70" t="str">
        <f>IFERROR(#REF!/#REF!-1,"---")</f>
        <v>---</v>
      </c>
      <c r="AH648" s="70" t="str">
        <f>IFERROR(#REF!/AA648-1,"---")</f>
        <v>---</v>
      </c>
      <c r="AI648" s="71" t="str">
        <f t="shared" si="95"/>
        <v>---</v>
      </c>
    </row>
    <row r="649" spans="1:35" ht="30" customHeight="1" x14ac:dyDescent="0.3">
      <c r="A649" s="123">
        <f t="shared" si="88"/>
        <v>645</v>
      </c>
      <c r="B649" s="140">
        <f>INDEX('PEER GROUP'!B:B,MATCH($A649,'PEER GROUP'!$A:$A,0))</f>
        <v>0</v>
      </c>
      <c r="C649" s="83">
        <f>INDEX('PEER GROUP'!C:C,MATCH($A649,'PEER GROUP'!$A:$A,0))</f>
        <v>0</v>
      </c>
      <c r="D649" s="83">
        <f>INDEX('PEER GROUP'!D:D,MATCH($A649,'PEER GROUP'!$A:$A,0))</f>
        <v>0</v>
      </c>
      <c r="E649" s="83">
        <f>INDEX('PEER GROUP'!E:E,MATCH(A649,'PEER GROUP'!$A:$A,0))</f>
        <v>0</v>
      </c>
      <c r="F649" s="84">
        <f>INDEX('PEER GROUP'!F:F,MATCH($A649,'PEER GROUP'!$A:$A,0))</f>
        <v>0</v>
      </c>
      <c r="G649" s="84">
        <f>INDEX('PEER GROUP'!G:G,MATCH($A649,'PEER GROUP'!$A:$A,0))</f>
        <v>0</v>
      </c>
      <c r="H649" s="85"/>
      <c r="I649" s="85"/>
      <c r="J649" s="70">
        <f>INDEX('PEER GROUP'!K:K,MATCH($A649,'PEER GROUP'!$A:$A,0))</f>
        <v>0</v>
      </c>
      <c r="K649" s="70">
        <f>INDEX('PEER GROUP'!L:L,MATCH($A649,'PEER GROUP'!$A:$A,0))</f>
        <v>0</v>
      </c>
      <c r="L649" s="81">
        <f>INDEX('PEER GROUP'!N:N,MATCH($A649,'PEER GROUP'!$A:$A,0))</f>
        <v>0</v>
      </c>
      <c r="M649" s="118"/>
      <c r="N649" s="115"/>
      <c r="O649" s="117"/>
      <c r="P649" s="87"/>
      <c r="Q649" s="87"/>
      <c r="R649" s="87">
        <f t="shared" si="89"/>
        <v>0</v>
      </c>
      <c r="S649" s="113">
        <f t="shared" si="87"/>
        <v>36.913096727263202</v>
      </c>
      <c r="T649" s="69">
        <f t="shared" si="90"/>
        <v>0</v>
      </c>
      <c r="U649" s="70">
        <f t="shared" si="91"/>
        <v>0</v>
      </c>
      <c r="V649" s="70">
        <f t="shared" si="92"/>
        <v>0</v>
      </c>
      <c r="W649" s="71">
        <f t="shared" si="93"/>
        <v>0</v>
      </c>
      <c r="X649" s="49"/>
      <c r="Y649" s="151"/>
      <c r="Z649" s="69"/>
      <c r="AA649" s="70"/>
      <c r="AB649" s="70"/>
      <c r="AC649" s="70" t="str">
        <f t="shared" si="94"/>
        <v>---</v>
      </c>
      <c r="AD649" s="70" t="str">
        <f>IFERROR(P649/#REF!-1,"---")</f>
        <v>---</v>
      </c>
      <c r="AE649" s="70" t="str">
        <f>IFERROR(#REF!/#REF!-1,"---")</f>
        <v>---</v>
      </c>
      <c r="AF649" s="70" t="str">
        <f>IFERROR(Q649/#REF!-1,"---")</f>
        <v>---</v>
      </c>
      <c r="AG649" s="70" t="str">
        <f>IFERROR(#REF!/#REF!-1,"---")</f>
        <v>---</v>
      </c>
      <c r="AH649" s="70" t="str">
        <f>IFERROR(#REF!/AA649-1,"---")</f>
        <v>---</v>
      </c>
      <c r="AI649" s="71" t="str">
        <f t="shared" si="95"/>
        <v>---</v>
      </c>
    </row>
    <row r="650" spans="1:35" ht="30" customHeight="1" x14ac:dyDescent="0.3">
      <c r="A650" s="123">
        <f t="shared" si="88"/>
        <v>646</v>
      </c>
      <c r="B650" s="140">
        <f>INDEX('PEER GROUP'!B:B,MATCH($A650,'PEER GROUP'!$A:$A,0))</f>
        <v>0</v>
      </c>
      <c r="C650" s="83">
        <f>INDEX('PEER GROUP'!C:C,MATCH($A650,'PEER GROUP'!$A:$A,0))</f>
        <v>0</v>
      </c>
      <c r="D650" s="83">
        <f>INDEX('PEER GROUP'!D:D,MATCH($A650,'PEER GROUP'!$A:$A,0))</f>
        <v>0</v>
      </c>
      <c r="E650" s="83">
        <f>INDEX('PEER GROUP'!E:E,MATCH(A650,'PEER GROUP'!$A:$A,0))</f>
        <v>0</v>
      </c>
      <c r="F650" s="84">
        <f>INDEX('PEER GROUP'!F:F,MATCH($A650,'PEER GROUP'!$A:$A,0))</f>
        <v>0</v>
      </c>
      <c r="G650" s="84">
        <f>INDEX('PEER GROUP'!G:G,MATCH($A650,'PEER GROUP'!$A:$A,0))</f>
        <v>0</v>
      </c>
      <c r="H650" s="85"/>
      <c r="I650" s="85"/>
      <c r="J650" s="70">
        <f>INDEX('PEER GROUP'!K:K,MATCH($A650,'PEER GROUP'!$A:$A,0))</f>
        <v>0</v>
      </c>
      <c r="K650" s="70">
        <f>INDEX('PEER GROUP'!L:L,MATCH($A650,'PEER GROUP'!$A:$A,0))</f>
        <v>0</v>
      </c>
      <c r="L650" s="81">
        <f>INDEX('PEER GROUP'!N:N,MATCH($A650,'PEER GROUP'!$A:$A,0))</f>
        <v>0</v>
      </c>
      <c r="M650" s="118"/>
      <c r="N650" s="115"/>
      <c r="O650" s="117"/>
      <c r="P650" s="87"/>
      <c r="Q650" s="87"/>
      <c r="R650" s="87">
        <f t="shared" si="89"/>
        <v>0</v>
      </c>
      <c r="S650" s="113">
        <f t="shared" si="87"/>
        <v>36.913096727263202</v>
      </c>
      <c r="T650" s="69">
        <f t="shared" si="90"/>
        <v>0</v>
      </c>
      <c r="U650" s="70">
        <f t="shared" si="91"/>
        <v>0</v>
      </c>
      <c r="V650" s="70">
        <f t="shared" si="92"/>
        <v>0</v>
      </c>
      <c r="W650" s="71">
        <f t="shared" si="93"/>
        <v>0</v>
      </c>
      <c r="X650" s="49"/>
      <c r="Y650" s="151"/>
      <c r="Z650" s="69"/>
      <c r="AA650" s="70"/>
      <c r="AB650" s="70"/>
      <c r="AC650" s="70" t="str">
        <f t="shared" si="94"/>
        <v>---</v>
      </c>
      <c r="AD650" s="70" t="str">
        <f>IFERROR(P650/#REF!-1,"---")</f>
        <v>---</v>
      </c>
      <c r="AE650" s="70" t="str">
        <f>IFERROR(#REF!/#REF!-1,"---")</f>
        <v>---</v>
      </c>
      <c r="AF650" s="70" t="str">
        <f>IFERROR(Q650/#REF!-1,"---")</f>
        <v>---</v>
      </c>
      <c r="AG650" s="70" t="str">
        <f>IFERROR(#REF!/#REF!-1,"---")</f>
        <v>---</v>
      </c>
      <c r="AH650" s="70" t="str">
        <f>IFERROR(#REF!/AA650-1,"---")</f>
        <v>---</v>
      </c>
      <c r="AI650" s="71" t="str">
        <f t="shared" si="95"/>
        <v>---</v>
      </c>
    </row>
    <row r="651" spans="1:35" ht="30" customHeight="1" x14ac:dyDescent="0.3">
      <c r="A651" s="123">
        <f t="shared" si="88"/>
        <v>647</v>
      </c>
      <c r="B651" s="140">
        <f>INDEX('PEER GROUP'!B:B,MATCH($A651,'PEER GROUP'!$A:$A,0))</f>
        <v>0</v>
      </c>
      <c r="C651" s="83">
        <f>INDEX('PEER GROUP'!C:C,MATCH($A651,'PEER GROUP'!$A:$A,0))</f>
        <v>0</v>
      </c>
      <c r="D651" s="83">
        <f>INDEX('PEER GROUP'!D:D,MATCH($A651,'PEER GROUP'!$A:$A,0))</f>
        <v>0</v>
      </c>
      <c r="E651" s="83">
        <f>INDEX('PEER GROUP'!E:E,MATCH(A651,'PEER GROUP'!$A:$A,0))</f>
        <v>0</v>
      </c>
      <c r="F651" s="84">
        <f>INDEX('PEER GROUP'!F:F,MATCH($A651,'PEER GROUP'!$A:$A,0))</f>
        <v>0</v>
      </c>
      <c r="G651" s="84">
        <f>INDEX('PEER GROUP'!G:G,MATCH($A651,'PEER GROUP'!$A:$A,0))</f>
        <v>0</v>
      </c>
      <c r="H651" s="85"/>
      <c r="I651" s="85"/>
      <c r="J651" s="70">
        <f>INDEX('PEER GROUP'!K:K,MATCH($A651,'PEER GROUP'!$A:$A,0))</f>
        <v>0</v>
      </c>
      <c r="K651" s="70">
        <f>INDEX('PEER GROUP'!L:L,MATCH($A651,'PEER GROUP'!$A:$A,0))</f>
        <v>0</v>
      </c>
      <c r="L651" s="81">
        <f>INDEX('PEER GROUP'!N:N,MATCH($A651,'PEER GROUP'!$A:$A,0))</f>
        <v>0</v>
      </c>
      <c r="M651" s="118"/>
      <c r="N651" s="115"/>
      <c r="O651" s="117"/>
      <c r="P651" s="87"/>
      <c r="Q651" s="87"/>
      <c r="R651" s="87">
        <f t="shared" si="89"/>
        <v>0</v>
      </c>
      <c r="S651" s="113">
        <f t="shared" si="87"/>
        <v>36.913096727263202</v>
      </c>
      <c r="T651" s="69">
        <f t="shared" si="90"/>
        <v>0</v>
      </c>
      <c r="U651" s="70">
        <f t="shared" si="91"/>
        <v>0</v>
      </c>
      <c r="V651" s="70">
        <f t="shared" si="92"/>
        <v>0</v>
      </c>
      <c r="W651" s="71">
        <f t="shared" si="93"/>
        <v>0</v>
      </c>
      <c r="X651" s="49"/>
      <c r="Y651" s="151"/>
      <c r="Z651" s="69"/>
      <c r="AA651" s="70"/>
      <c r="AB651" s="70"/>
      <c r="AC651" s="70" t="str">
        <f t="shared" si="94"/>
        <v>---</v>
      </c>
      <c r="AD651" s="70" t="str">
        <f>IFERROR(P651/#REF!-1,"---")</f>
        <v>---</v>
      </c>
      <c r="AE651" s="70" t="str">
        <f>IFERROR(#REF!/#REF!-1,"---")</f>
        <v>---</v>
      </c>
      <c r="AF651" s="70" t="str">
        <f>IFERROR(Q651/#REF!-1,"---")</f>
        <v>---</v>
      </c>
      <c r="AG651" s="70" t="str">
        <f>IFERROR(#REF!/#REF!-1,"---")</f>
        <v>---</v>
      </c>
      <c r="AH651" s="70" t="str">
        <f>IFERROR(#REF!/AA651-1,"---")</f>
        <v>---</v>
      </c>
      <c r="AI651" s="71" t="str">
        <f t="shared" si="95"/>
        <v>---</v>
      </c>
    </row>
    <row r="652" spans="1:35" ht="30" customHeight="1" x14ac:dyDescent="0.3">
      <c r="A652" s="123">
        <f t="shared" si="88"/>
        <v>648</v>
      </c>
      <c r="B652" s="140">
        <f>INDEX('PEER GROUP'!B:B,MATCH($A652,'PEER GROUP'!$A:$A,0))</f>
        <v>0</v>
      </c>
      <c r="C652" s="83">
        <f>INDEX('PEER GROUP'!C:C,MATCH($A652,'PEER GROUP'!$A:$A,0))</f>
        <v>0</v>
      </c>
      <c r="D652" s="83">
        <f>INDEX('PEER GROUP'!D:D,MATCH($A652,'PEER GROUP'!$A:$A,0))</f>
        <v>0</v>
      </c>
      <c r="E652" s="83">
        <f>INDEX('PEER GROUP'!E:E,MATCH(A652,'PEER GROUP'!$A:$A,0))</f>
        <v>0</v>
      </c>
      <c r="F652" s="84">
        <f>INDEX('PEER GROUP'!F:F,MATCH($A652,'PEER GROUP'!$A:$A,0))</f>
        <v>0</v>
      </c>
      <c r="G652" s="84">
        <f>INDEX('PEER GROUP'!G:G,MATCH($A652,'PEER GROUP'!$A:$A,0))</f>
        <v>0</v>
      </c>
      <c r="H652" s="85"/>
      <c r="I652" s="85"/>
      <c r="J652" s="70">
        <f>INDEX('PEER GROUP'!K:K,MATCH($A652,'PEER GROUP'!$A:$A,0))</f>
        <v>0</v>
      </c>
      <c r="K652" s="70">
        <f>INDEX('PEER GROUP'!L:L,MATCH($A652,'PEER GROUP'!$A:$A,0))</f>
        <v>0</v>
      </c>
      <c r="L652" s="81">
        <f>INDEX('PEER GROUP'!N:N,MATCH($A652,'PEER GROUP'!$A:$A,0))</f>
        <v>0</v>
      </c>
      <c r="M652" s="118"/>
      <c r="N652" s="115"/>
      <c r="O652" s="117"/>
      <c r="P652" s="87"/>
      <c r="Q652" s="87"/>
      <c r="R652" s="87">
        <f t="shared" si="89"/>
        <v>0</v>
      </c>
      <c r="S652" s="113">
        <f t="shared" si="87"/>
        <v>36.913096727263202</v>
      </c>
      <c r="T652" s="69">
        <f t="shared" si="90"/>
        <v>0</v>
      </c>
      <c r="U652" s="70">
        <f t="shared" si="91"/>
        <v>0</v>
      </c>
      <c r="V652" s="70">
        <f t="shared" si="92"/>
        <v>0</v>
      </c>
      <c r="W652" s="71">
        <f t="shared" si="93"/>
        <v>0</v>
      </c>
      <c r="X652" s="49"/>
      <c r="Y652" s="151"/>
      <c r="Z652" s="69"/>
      <c r="AA652" s="70"/>
      <c r="AB652" s="70"/>
      <c r="AC652" s="70" t="str">
        <f t="shared" si="94"/>
        <v>---</v>
      </c>
      <c r="AD652" s="70" t="str">
        <f>IFERROR(P652/#REF!-1,"---")</f>
        <v>---</v>
      </c>
      <c r="AE652" s="70" t="str">
        <f>IFERROR(#REF!/#REF!-1,"---")</f>
        <v>---</v>
      </c>
      <c r="AF652" s="70" t="str">
        <f>IFERROR(Q652/#REF!-1,"---")</f>
        <v>---</v>
      </c>
      <c r="AG652" s="70" t="str">
        <f>IFERROR(#REF!/#REF!-1,"---")</f>
        <v>---</v>
      </c>
      <c r="AH652" s="70" t="str">
        <f>IFERROR(#REF!/AA652-1,"---")</f>
        <v>---</v>
      </c>
      <c r="AI652" s="71" t="str">
        <f t="shared" si="95"/>
        <v>---</v>
      </c>
    </row>
    <row r="653" spans="1:35" ht="30" customHeight="1" x14ac:dyDescent="0.3">
      <c r="A653" s="123">
        <f t="shared" si="88"/>
        <v>649</v>
      </c>
      <c r="B653" s="140">
        <f>INDEX('PEER GROUP'!B:B,MATCH($A653,'PEER GROUP'!$A:$A,0))</f>
        <v>0</v>
      </c>
      <c r="C653" s="83">
        <f>INDEX('PEER GROUP'!C:C,MATCH($A653,'PEER GROUP'!$A:$A,0))</f>
        <v>0</v>
      </c>
      <c r="D653" s="83">
        <f>INDEX('PEER GROUP'!D:D,MATCH($A653,'PEER GROUP'!$A:$A,0))</f>
        <v>0</v>
      </c>
      <c r="E653" s="83">
        <f>INDEX('PEER GROUP'!E:E,MATCH(A653,'PEER GROUP'!$A:$A,0))</f>
        <v>0</v>
      </c>
      <c r="F653" s="84">
        <f>INDEX('PEER GROUP'!F:F,MATCH($A653,'PEER GROUP'!$A:$A,0))</f>
        <v>0</v>
      </c>
      <c r="G653" s="84">
        <f>INDEX('PEER GROUP'!G:G,MATCH($A653,'PEER GROUP'!$A:$A,0))</f>
        <v>0</v>
      </c>
      <c r="H653" s="85"/>
      <c r="I653" s="85"/>
      <c r="J653" s="70">
        <f>INDEX('PEER GROUP'!K:K,MATCH($A653,'PEER GROUP'!$A:$A,0))</f>
        <v>0</v>
      </c>
      <c r="K653" s="70">
        <f>INDEX('PEER GROUP'!L:L,MATCH($A653,'PEER GROUP'!$A:$A,0))</f>
        <v>0</v>
      </c>
      <c r="L653" s="81">
        <f>INDEX('PEER GROUP'!N:N,MATCH($A653,'PEER GROUP'!$A:$A,0))</f>
        <v>0</v>
      </c>
      <c r="M653" s="118"/>
      <c r="N653" s="115"/>
      <c r="O653" s="117"/>
      <c r="P653" s="87"/>
      <c r="Q653" s="87"/>
      <c r="R653" s="87">
        <f t="shared" si="89"/>
        <v>0</v>
      </c>
      <c r="S653" s="113">
        <f t="shared" si="87"/>
        <v>36.913096727263202</v>
      </c>
      <c r="T653" s="69">
        <f t="shared" si="90"/>
        <v>0</v>
      </c>
      <c r="U653" s="70">
        <f t="shared" si="91"/>
        <v>0</v>
      </c>
      <c r="V653" s="70">
        <f t="shared" si="92"/>
        <v>0</v>
      </c>
      <c r="W653" s="71">
        <f t="shared" si="93"/>
        <v>0</v>
      </c>
      <c r="X653" s="49"/>
      <c r="Y653" s="151"/>
      <c r="Z653" s="69"/>
      <c r="AA653" s="70"/>
      <c r="AB653" s="70"/>
      <c r="AC653" s="70" t="str">
        <f t="shared" si="94"/>
        <v>---</v>
      </c>
      <c r="AD653" s="70" t="str">
        <f>IFERROR(P653/#REF!-1,"---")</f>
        <v>---</v>
      </c>
      <c r="AE653" s="70" t="str">
        <f>IFERROR(#REF!/#REF!-1,"---")</f>
        <v>---</v>
      </c>
      <c r="AF653" s="70" t="str">
        <f>IFERROR(Q653/#REF!-1,"---")</f>
        <v>---</v>
      </c>
      <c r="AG653" s="70" t="str">
        <f>IFERROR(#REF!/#REF!-1,"---")</f>
        <v>---</v>
      </c>
      <c r="AH653" s="70" t="str">
        <f>IFERROR(#REF!/AA653-1,"---")</f>
        <v>---</v>
      </c>
      <c r="AI653" s="71" t="str">
        <f t="shared" si="95"/>
        <v>---</v>
      </c>
    </row>
    <row r="654" spans="1:35" ht="30" customHeight="1" x14ac:dyDescent="0.3">
      <c r="B654" s="178" t="s">
        <v>12</v>
      </c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79"/>
      <c r="O654" s="179"/>
      <c r="P654" s="179"/>
      <c r="Q654" s="179"/>
      <c r="R654" s="179"/>
      <c r="S654" s="179"/>
      <c r="T654" s="179"/>
      <c r="U654" s="179"/>
      <c r="V654" s="179"/>
      <c r="W654" s="180"/>
      <c r="X654" s="146"/>
      <c r="Y654" s="154"/>
      <c r="Z654" s="155"/>
      <c r="AA654" s="154"/>
      <c r="AB654" s="154"/>
      <c r="AC654" s="154"/>
      <c r="AD654" s="154"/>
      <c r="AE654" s="154"/>
      <c r="AF654" s="154"/>
      <c r="AG654" s="154"/>
      <c r="AH654" s="154"/>
      <c r="AI654" s="156"/>
    </row>
    <row r="655" spans="1:35" ht="30" customHeight="1" x14ac:dyDescent="0.3">
      <c r="B655" s="128" t="s">
        <v>13</v>
      </c>
      <c r="C655" s="88"/>
      <c r="D655" s="88"/>
      <c r="E655" s="88"/>
      <c r="F655" s="88"/>
      <c r="G655" s="88"/>
      <c r="H655" s="157"/>
      <c r="I655" s="157"/>
      <c r="J655" s="67">
        <f>PERCENTILE($J$6:$J$35,0.9)</f>
        <v>0</v>
      </c>
      <c r="K655" s="67">
        <f>PERCENTILE($K$6:$K$35,0.9)</f>
        <v>0</v>
      </c>
      <c r="L655" s="81">
        <f>PERCENTILE($L$6:$L$35,0.9)</f>
        <v>0</v>
      </c>
      <c r="M655" s="98"/>
      <c r="N655" s="89"/>
      <c r="O655" s="98"/>
      <c r="P655" s="89"/>
      <c r="Q655" s="89"/>
      <c r="R655" s="89"/>
      <c r="S655" s="89"/>
      <c r="T655" s="66">
        <f>PERCENTILE(T6:T35,0.9)</f>
        <v>0</v>
      </c>
      <c r="U655" s="67">
        <f>PERCENTILE(U6:U35,0.9)</f>
        <v>0</v>
      </c>
      <c r="V655" s="67">
        <f>PERCENTILE(V6:V35,0.9)</f>
        <v>0</v>
      </c>
      <c r="W655" s="68">
        <f>PERCENTILE(W6:W35,0.9)</f>
        <v>0</v>
      </c>
      <c r="X655" s="45"/>
      <c r="Y655" s="158"/>
      <c r="Z655" s="159"/>
      <c r="AA655" s="158"/>
      <c r="AB655" s="158"/>
      <c r="AC655" s="158"/>
      <c r="AD655" s="158"/>
      <c r="AE655" s="158"/>
      <c r="AF655" s="158"/>
      <c r="AG655" s="158"/>
      <c r="AH655" s="158"/>
      <c r="AI655" s="160"/>
    </row>
    <row r="656" spans="1:35" ht="30" customHeight="1" x14ac:dyDescent="0.3">
      <c r="B656" s="127" t="s">
        <v>14</v>
      </c>
      <c r="C656" s="96"/>
      <c r="D656" s="96"/>
      <c r="E656" s="96"/>
      <c r="F656" s="96"/>
      <c r="G656" s="96"/>
      <c r="H656" s="161"/>
      <c r="I656" s="161"/>
      <c r="J656" s="70">
        <f>PERCENTILE($J$6:$J$35,0.75)</f>
        <v>0</v>
      </c>
      <c r="K656" s="70">
        <f>PERCENTILE($K$6:$K$35,0.75)</f>
        <v>0</v>
      </c>
      <c r="L656" s="86">
        <f>PERCENTILE($L$6:$L$35,0.75)</f>
        <v>0</v>
      </c>
      <c r="M656" s="100"/>
      <c r="N656" s="94"/>
      <c r="O656" s="100"/>
      <c r="P656" s="94"/>
      <c r="Q656" s="94"/>
      <c r="R656" s="94"/>
      <c r="S656" s="94"/>
      <c r="T656" s="69">
        <f>PERCENTILE(T6:T35,0.75)</f>
        <v>0</v>
      </c>
      <c r="U656" s="70">
        <f>PERCENTILE(U6:U35,0.75)</f>
        <v>0</v>
      </c>
      <c r="V656" s="70">
        <f>PERCENTILE(V6:V35,0.75)</f>
        <v>0</v>
      </c>
      <c r="W656" s="71">
        <f>PERCENTILE(W6:W35,0.75)</f>
        <v>0</v>
      </c>
      <c r="X656" s="46"/>
      <c r="Y656" s="158"/>
      <c r="Z656" s="159"/>
      <c r="AA656" s="158"/>
      <c r="AB656" s="158"/>
      <c r="AC656" s="158"/>
      <c r="AD656" s="158"/>
      <c r="AE656" s="158"/>
      <c r="AF656" s="158"/>
      <c r="AG656" s="158"/>
      <c r="AH656" s="158"/>
      <c r="AI656" s="160"/>
    </row>
    <row r="657" spans="1:35" ht="30" customHeight="1" x14ac:dyDescent="0.3">
      <c r="B657" s="129" t="s">
        <v>15</v>
      </c>
      <c r="C657" s="90"/>
      <c r="D657" s="90"/>
      <c r="E657" s="90"/>
      <c r="F657" s="90"/>
      <c r="G657" s="90"/>
      <c r="H657" s="162"/>
      <c r="I657" s="162"/>
      <c r="J657" s="92">
        <f>MEDIAN(J6:J35)</f>
        <v>0</v>
      </c>
      <c r="K657" s="92">
        <f>MEDIAN(K6:K35)</f>
        <v>0</v>
      </c>
      <c r="L657" s="93">
        <f>MEDIAN(L6:L35)</f>
        <v>0</v>
      </c>
      <c r="M657" s="100"/>
      <c r="N657" s="94"/>
      <c r="O657" s="100"/>
      <c r="P657" s="94"/>
      <c r="Q657" s="94"/>
      <c r="R657" s="94"/>
      <c r="S657" s="94"/>
      <c r="T657" s="163">
        <f>MEDIAN(T6:T35)</f>
        <v>0</v>
      </c>
      <c r="U657" s="92">
        <f>MEDIAN(U6:U35)</f>
        <v>0</v>
      </c>
      <c r="V657" s="92">
        <f>MEDIAN(V6:V35)</f>
        <v>0</v>
      </c>
      <c r="W657" s="95">
        <f>MEDIAN(W6:W35)</f>
        <v>0</v>
      </c>
      <c r="X657" s="47"/>
      <c r="Y657" s="158"/>
      <c r="Z657" s="159"/>
      <c r="AA657" s="158"/>
      <c r="AB657" s="158"/>
      <c r="AC657" s="158"/>
      <c r="AD657" s="158"/>
      <c r="AE657" s="158"/>
      <c r="AF657" s="158"/>
      <c r="AG657" s="158"/>
      <c r="AH657" s="158"/>
      <c r="AI657" s="160"/>
    </row>
    <row r="658" spans="1:35" ht="30" customHeight="1" x14ac:dyDescent="0.3">
      <c r="B658" s="127" t="s">
        <v>16</v>
      </c>
      <c r="C658" s="164"/>
      <c r="D658" s="164"/>
      <c r="E658" s="164"/>
      <c r="F658" s="164"/>
      <c r="G658" s="164"/>
      <c r="H658" s="165"/>
      <c r="I658" s="165"/>
      <c r="J658" s="151">
        <f>PERCENTILE($J$6:$J$35,0.25)</f>
        <v>0</v>
      </c>
      <c r="K658" s="151">
        <f>PERCENTILE($K$6:$K$35,0.25)</f>
        <v>0</v>
      </c>
      <c r="L658" s="158">
        <f>PERCENTILE($L$6:$L$35,0.25)</f>
        <v>0</v>
      </c>
      <c r="M658" s="100"/>
      <c r="N658" s="101"/>
      <c r="O658" s="166"/>
      <c r="P658" s="166"/>
      <c r="Q658" s="166"/>
      <c r="R658" s="166"/>
      <c r="S658" s="166"/>
      <c r="T658" s="69">
        <f>PERCENTILE(T6:T35,0.25)</f>
        <v>0</v>
      </c>
      <c r="U658" s="151">
        <f>PERCENTILE(U6:U35,0.25)</f>
        <v>0</v>
      </c>
      <c r="V658" s="151">
        <f>PERCENTILE(V6:V35,0.25)</f>
        <v>0</v>
      </c>
      <c r="W658" s="151">
        <f>PERCENTILE(W6:W35,0.25)</f>
        <v>0</v>
      </c>
      <c r="X658" s="46"/>
      <c r="Y658" s="158"/>
      <c r="Z658" s="167"/>
      <c r="AA658" s="168"/>
      <c r="AB658" s="168"/>
      <c r="AC658" s="168"/>
      <c r="AD658" s="168"/>
      <c r="AE658" s="168"/>
      <c r="AF658" s="168"/>
      <c r="AG658" s="168"/>
      <c r="AH658" s="168"/>
      <c r="AI658" s="169"/>
    </row>
    <row r="659" spans="1:35" ht="30" customHeight="1" x14ac:dyDescent="0.3">
      <c r="B659" s="170"/>
      <c r="C659" s="109"/>
      <c r="D659" s="109"/>
      <c r="E659" s="109"/>
      <c r="F659" s="109"/>
      <c r="G659" s="109"/>
      <c r="H659" s="109"/>
      <c r="I659" s="109"/>
      <c r="J659" s="109"/>
      <c r="K659" s="109"/>
      <c r="L659" s="171"/>
      <c r="M659" s="172"/>
      <c r="N659" s="172"/>
      <c r="O659" s="105"/>
      <c r="P659" s="107"/>
      <c r="Q659" s="107"/>
      <c r="R659" s="107"/>
      <c r="S659" s="107"/>
      <c r="T659" s="109"/>
      <c r="U659" s="109"/>
      <c r="V659" s="109"/>
      <c r="W659" s="171"/>
      <c r="X659" s="48"/>
      <c r="Z659" s="173"/>
      <c r="AA659" s="182" t="s">
        <v>24</v>
      </c>
      <c r="AB659" s="182"/>
      <c r="AC659" s="182"/>
      <c r="AD659" s="182"/>
      <c r="AE659" s="182" t="s">
        <v>27</v>
      </c>
      <c r="AF659" s="182"/>
      <c r="AG659" s="182"/>
      <c r="AH659" s="182"/>
      <c r="AI659" s="174"/>
    </row>
    <row r="660" spans="1:35" ht="30" customHeight="1" x14ac:dyDescent="0.3">
      <c r="A660" s="122">
        <f>'[1]PEER GROUP'!$A$42</f>
        <v>100</v>
      </c>
      <c r="B660" s="35" t="str">
        <f>$B$1</f>
        <v>NFP Organization XYZ</v>
      </c>
      <c r="C660" s="36"/>
      <c r="D660" s="36"/>
      <c r="E660" s="36"/>
      <c r="F660" s="36" t="str">
        <f>[1]SETUP!C9</f>
        <v>City</v>
      </c>
      <c r="G660" s="119" t="str">
        <f>[1]SETUP!C10</f>
        <v>State</v>
      </c>
      <c r="H660" s="36" t="s">
        <v>18</v>
      </c>
      <c r="I660" s="36" t="s">
        <v>17</v>
      </c>
      <c r="J660" s="39">
        <f>'[1]PEER GROUP'!J42</f>
        <v>0.99999899999999997</v>
      </c>
      <c r="K660" s="39">
        <f>'[1]PEER GROUP'!K42</f>
        <v>0.99999899999999997</v>
      </c>
      <c r="L660" s="97">
        <f>'[1]PEER GROUP'!L42</f>
        <v>999</v>
      </c>
      <c r="M660" s="143"/>
      <c r="N660" s="145"/>
      <c r="O660" s="143"/>
      <c r="P660" s="144"/>
      <c r="Q660" s="144"/>
      <c r="R660" s="144">
        <f>COUNTIF(R6:R35,"&lt;&gt;---")</f>
        <v>30</v>
      </c>
      <c r="S660" s="145"/>
      <c r="T660" s="175">
        <v>0</v>
      </c>
      <c r="U660" s="39">
        <v>0</v>
      </c>
      <c r="V660" s="39">
        <v>0</v>
      </c>
      <c r="W660" s="40">
        <f>SUM(V660:V660)</f>
        <v>0</v>
      </c>
      <c r="X660" s="146"/>
      <c r="Y660" s="154"/>
      <c r="Z660" s="176">
        <f>A660+0.99</f>
        <v>100.99</v>
      </c>
      <c r="AA660" s="65">
        <f>T658</f>
        <v>0</v>
      </c>
      <c r="AB660" s="65">
        <f>T657</f>
        <v>0</v>
      </c>
      <c r="AC660" s="65">
        <f>T656</f>
        <v>0</v>
      </c>
      <c r="AD660" s="65">
        <f>T655</f>
        <v>0</v>
      </c>
      <c r="AE660" s="65">
        <f>W658</f>
        <v>0</v>
      </c>
      <c r="AF660" s="65">
        <f>W657</f>
        <v>0</v>
      </c>
      <c r="AG660" s="65">
        <f>W656</f>
        <v>0</v>
      </c>
      <c r="AH660" s="65">
        <f>W655</f>
        <v>0</v>
      </c>
      <c r="AI660" s="177"/>
    </row>
    <row r="661" spans="1:35" ht="30" customHeight="1" x14ac:dyDescent="0.3">
      <c r="B661" s="138" t="s">
        <v>32</v>
      </c>
      <c r="C661" s="109"/>
      <c r="D661" s="109"/>
      <c r="E661" s="109"/>
      <c r="F661" s="109"/>
      <c r="G661" s="109"/>
      <c r="H661" s="109"/>
      <c r="I661" s="110"/>
      <c r="J661" s="110" t="str">
        <f>IFERROR(IF(J660&lt;J658,"&lt;25",IF(J660&lt;=J657,25+25*(J660-J658)/(J657-J658),IF(J660&lt;=J656,50+25*(J660-J657)/(J656-J657),IF(J660&lt;=J655,75+15*(J660-J656)/(J655-J656),IF(J660/J655&lt;1.005,90,"&gt;90 (+"&amp;TEXT(J660/J655-1,"0%")&amp;")"))))),"---")</f>
        <v>---</v>
      </c>
      <c r="K661" s="110" t="str">
        <f>IFERROR(IF(K660&lt;K658,"&lt;25",IF(K660&lt;=K657,25+25*(K660-K658)/(K657-K658),IF(K660&lt;=K656,50+25*(K660-K657)/(K656-K657),IF(K660&lt;=K655,75+15*(K660-K656)/(K655-K656),IF(K660/K655&lt;1.005,90,"&gt;90 (+"&amp;TEXT(K660/K655-1,"0%")&amp;")"))))),"---")</f>
        <v>---</v>
      </c>
      <c r="L661" s="111" t="str">
        <f>IFERROR(IF(L660&lt;L658,"&lt;25",IF(L660&lt;=L657,25+25*(L660-L658)/(L657-L658),IF(L660&lt;=L656,50+25*(L660-L657)/(L656-L657),IF(L660&lt;=L655,75+15*(L660-L656)/(L655-L656),IF(L660/L655&lt;1.005,90,"&gt;90 (+"&amp;TEXT(L660/L655-1,"0%")&amp;")"))))),"---")</f>
        <v>---</v>
      </c>
      <c r="M661" s="105"/>
      <c r="N661" s="106"/>
      <c r="O661" s="105"/>
      <c r="P661" s="107"/>
      <c r="Q661" s="107"/>
      <c r="R661" s="107"/>
      <c r="S661" s="106"/>
      <c r="T661" s="108" t="str">
        <f>IFERROR(IF(T660&lt;T658,"&lt;25",IF(T660&lt;=T657,25+25*(T660-T658)/(T657-T658),IF(T660&lt;=T656,50+25*(T660-T657)/(T656-T657),IF(T660&lt;=T655,75+15*(T660-T656)/(T655-T656),IF(T660/T655&lt;1.005,90,"&gt;90 (+"&amp;TEXT(T660/T655-1,"0%")&amp;")"))))),"---")</f>
        <v>---</v>
      </c>
      <c r="U661" s="109"/>
      <c r="V661" s="109"/>
      <c r="W661" s="111" t="str">
        <f>IFERROR(IF(W660&lt;W658,"&lt;25",IF(W660&lt;=W657,25+25*(W660-W658)/(W657-W658),IF(W660&lt;=W656,50+25*(W660-W657)/(W656-W657),IF(W660&lt;=W655,75+15*(W660-W656)/(W655-W656),IF(W660/W655&lt;1.005,90,"&gt;90 (+"&amp;TEXT(W660/W655-1,"0%")&amp;")"))))),"---")</f>
        <v>---</v>
      </c>
      <c r="X661" s="44"/>
      <c r="Z661" s="114"/>
      <c r="AA661" s="120"/>
      <c r="AB661" s="120"/>
      <c r="AC661" s="120"/>
      <c r="AD661" s="120"/>
      <c r="AE661" s="120"/>
      <c r="AF661" s="120"/>
      <c r="AG661" s="120"/>
      <c r="AH661" s="120"/>
      <c r="AI661" s="121"/>
    </row>
  </sheetData>
  <autoFilter ref="A5:AJ5" xr:uid="{474D6C73-1F09-435D-B15B-666702D29536}"/>
  <mergeCells count="8">
    <mergeCell ref="AA659:AD659"/>
    <mergeCell ref="AE659:AH659"/>
    <mergeCell ref="B4:L4"/>
    <mergeCell ref="O4:R4"/>
    <mergeCell ref="T4:W4"/>
    <mergeCell ref="Z4:AB4"/>
    <mergeCell ref="AC4:AI4"/>
    <mergeCell ref="B654:W654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D10" sqref="D10"/>
    </sheetView>
  </sheetViews>
  <sheetFormatPr defaultColWidth="9.1796875" defaultRowHeight="13" outlineLevelCol="1" x14ac:dyDescent="0.3"/>
  <cols>
    <col min="1" max="1" width="9.1796875" style="12"/>
    <col min="2" max="2" width="7.453125" style="12" bestFit="1" customWidth="1"/>
    <col min="3" max="3" width="19.81640625" style="12" customWidth="1"/>
    <col min="4" max="4" width="31" style="12" customWidth="1" outlineLevel="1"/>
    <col min="5" max="5" width="16.54296875" style="12" customWidth="1" outlineLevel="1"/>
    <col min="6" max="7" width="11.453125" style="12" customWidth="1" outlineLevel="1"/>
    <col min="8" max="10" width="11.453125" style="12" customWidth="1"/>
    <col min="11" max="11" width="16.1796875" style="12" customWidth="1"/>
    <col min="12" max="13" width="19" style="12" customWidth="1"/>
    <col min="14" max="16384" width="9.1796875" style="12"/>
  </cols>
  <sheetData>
    <row r="1" spans="1:15" s="7" customFormat="1" ht="25.5" x14ac:dyDescent="0.55000000000000004">
      <c r="C1" s="28" t="str">
        <f>'PEER GROUP'!$B$2</f>
        <v>NFP Organization XYZ</v>
      </c>
      <c r="L1" s="19"/>
      <c r="M1" s="19"/>
      <c r="N1" s="19"/>
      <c r="O1" s="19"/>
    </row>
    <row r="2" spans="1:15" s="7" customFormat="1" ht="18" x14ac:dyDescent="0.4">
      <c r="C2" s="9" t="s">
        <v>46</v>
      </c>
      <c r="D2" s="10"/>
      <c r="E2" s="10"/>
      <c r="F2" s="10"/>
      <c r="G2" s="10"/>
      <c r="H2" s="10"/>
      <c r="I2" s="10"/>
      <c r="J2" s="10"/>
      <c r="K2" s="10"/>
      <c r="L2" s="19"/>
      <c r="M2" s="19"/>
      <c r="N2" s="19"/>
      <c r="O2" s="19"/>
    </row>
    <row r="3" spans="1:15" s="7" customFormat="1" ht="14.5" x14ac:dyDescent="0.35"/>
    <row r="5" spans="1:15" ht="27.5" customHeight="1" x14ac:dyDescent="0.3">
      <c r="C5" s="190" t="s">
        <v>34</v>
      </c>
      <c r="D5" s="190"/>
      <c r="E5" s="190"/>
      <c r="F5" s="190"/>
      <c r="G5" s="190"/>
      <c r="H5" s="190"/>
      <c r="I5" s="190"/>
      <c r="J5" s="190"/>
      <c r="K5" s="190"/>
    </row>
    <row r="6" spans="1:15" ht="25.5" customHeight="1" x14ac:dyDescent="0.3">
      <c r="C6" s="191" t="s">
        <v>69</v>
      </c>
      <c r="D6" s="191" t="s">
        <v>35</v>
      </c>
      <c r="E6" s="192" t="s">
        <v>36</v>
      </c>
      <c r="F6" s="192" t="s">
        <v>57</v>
      </c>
      <c r="G6" s="193" t="s">
        <v>37</v>
      </c>
      <c r="H6" s="192"/>
      <c r="I6" s="192"/>
      <c r="J6" s="192"/>
      <c r="K6" s="192" t="s">
        <v>38</v>
      </c>
    </row>
    <row r="7" spans="1:15" ht="25.5" customHeight="1" x14ac:dyDescent="0.3">
      <c r="C7" s="191"/>
      <c r="D7" s="191" t="s">
        <v>39</v>
      </c>
      <c r="E7" s="192" t="s">
        <v>39</v>
      </c>
      <c r="F7" s="192"/>
      <c r="G7" s="29" t="s">
        <v>40</v>
      </c>
      <c r="H7" s="29" t="s">
        <v>41</v>
      </c>
      <c r="I7" s="29" t="s">
        <v>42</v>
      </c>
      <c r="J7" s="29" t="s">
        <v>43</v>
      </c>
      <c r="K7" s="192"/>
    </row>
    <row r="8" spans="1:15" ht="30.75" customHeight="1" x14ac:dyDescent="0.3">
      <c r="A8" s="12">
        <v>100</v>
      </c>
      <c r="B8" s="12">
        <f>A8+0.99</f>
        <v>100.99</v>
      </c>
      <c r="C8" s="189" t="str">
        <f>INDEX('Form 990 - Position Title'!I:I,MATCH('Summary Table'!A8,'Form 990 - Position Title'!A:A,0))&amp;" ("&amp;INDEX('Form 990 - Position Title'!H:H,MATCH('Summary Table'!A8,'Form 990 - Position Title'!A:A,0))&amp;")"</f>
        <v xml:space="preserve"> ()</v>
      </c>
      <c r="D8" s="30" t="s">
        <v>21</v>
      </c>
      <c r="E8" s="31" t="str">
        <f>INDEX('Form 990 - Position Title'!X:X,MATCH('Summary Table'!A8,'Form 990 - Position Title'!A:A,0))</f>
        <v>---</v>
      </c>
      <c r="F8" s="194">
        <f>INDEX('Form 990 - Position Title'!V:V,MATCH('Summary Table'!A8,'Form 990 - Position Title'!A:A,0))</f>
        <v>0</v>
      </c>
      <c r="G8" s="31">
        <f>INDEX('Form 990 - Position Title'!AH:AH,MATCH('Summary Table'!$B8,'Form 990 - Position Title'!$AG:$AG,0))</f>
        <v>0</v>
      </c>
      <c r="H8" s="31">
        <f>INDEX('Form 990 - Position Title'!AI:AI,MATCH('Summary Table'!$B8,'Form 990 - Position Title'!$AG:$AG,0))</f>
        <v>0</v>
      </c>
      <c r="I8" s="31">
        <f>INDEX('Form 990 - Position Title'!AJ:AJ,MATCH('Summary Table'!$B8,'Form 990 - Position Title'!$AG:$AG,0))</f>
        <v>0</v>
      </c>
      <c r="J8" s="31">
        <f>INDEX('Form 990 - Position Title'!AK:AK,MATCH('Summary Table'!$B8,'Form 990 - Position Title'!$AG:$AG,0))</f>
        <v>0</v>
      </c>
      <c r="K8" s="32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12">
        <v>100</v>
      </c>
      <c r="B9" s="12">
        <f>A9+0.99</f>
        <v>100.99</v>
      </c>
      <c r="C9" s="189"/>
      <c r="D9" s="30" t="s">
        <v>44</v>
      </c>
      <c r="E9" s="31" t="str">
        <f>INDEX('Form 990 - Position Title'!Z:Z,MATCH('Summary Table'!A9,'Form 990 - Position Title'!A:A,0))</f>
        <v>---</v>
      </c>
      <c r="F9" s="194"/>
      <c r="G9" s="31">
        <f>INDEX('Form 990 - Position Title'!AL:AL,MATCH('Summary Table'!$B9,'Form 990 - Position Title'!$AG:$AG,0))</f>
        <v>0</v>
      </c>
      <c r="H9" s="31">
        <f>INDEX('Form 990 - Position Title'!AM:AM,MATCH('Summary Table'!$B9,'Form 990 - Position Title'!$AG:$AG,0))</f>
        <v>0</v>
      </c>
      <c r="I9" s="31">
        <f>INDEX('Form 990 - Position Title'!AN:AN,MATCH('Summary Table'!$B9,'Form 990 - Position Title'!$AG:$AG,0))</f>
        <v>0</v>
      </c>
      <c r="J9" s="31">
        <f>INDEX('Form 990 - Position Title'!AO:AO,MATCH('Summary Table'!$B9,'Form 990 - Position Title'!$AG:$AG,0))</f>
        <v>0</v>
      </c>
      <c r="K9" s="32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12">
        <v>100</v>
      </c>
      <c r="B10" s="12">
        <f>A10+0.99</f>
        <v>100.99</v>
      </c>
      <c r="C10" s="189"/>
      <c r="D10" s="30" t="s">
        <v>45</v>
      </c>
      <c r="E10" s="31" t="str">
        <f>INDEX('Form 990 - Position Title'!AD:AD,MATCH('Summary Table'!A10,'Form 990 - Position Title'!A:A,0))</f>
        <v>---</v>
      </c>
      <c r="F10" s="194"/>
      <c r="G10" s="31">
        <f>INDEX('Form 990 - Position Title'!AP:AP,MATCH('Summary Table'!$B10,'Form 990 - Position Title'!$AG:$AG,0))</f>
        <v>0</v>
      </c>
      <c r="H10" s="31">
        <f>INDEX('Form 990 - Position Title'!AQ:AQ,MATCH('Summary Table'!$B10,'Form 990 - Position Title'!$AG:$AG,0))</f>
        <v>0</v>
      </c>
      <c r="I10" s="31">
        <f>INDEX('Form 990 - Position Title'!AR:AR,MATCH('Summary Table'!$B10,'Form 990 - Position Title'!$AG:$AG,0))</f>
        <v>0</v>
      </c>
      <c r="J10" s="31">
        <f>INDEX('Form 990 - Position Title'!AS:AS,MATCH('Summary Table'!$B10,'Form 990 - Position Title'!$AG:$AG,0))</f>
        <v>0</v>
      </c>
      <c r="K10" s="32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6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2024-06-05T13:55:02Z</dcterms:modified>
</cp:coreProperties>
</file>