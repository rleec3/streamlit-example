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0" documentId="8_{912D105E-DE82-44FC-BD8E-674CB9BA01F3}" xr6:coauthVersionLast="47" xr6:coauthVersionMax="47" xr10:uidLastSave="{00000000-0000-0000-0000-000000000000}"/>
  <bookViews>
    <workbookView xWindow="-110" yWindow="-110" windowWidth="19420" windowHeight="104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Summary Table" sheetId="4" r:id="rId4"/>
  </sheets>
  <definedNames>
    <definedName name="_xlnm._FilterDatabase" localSheetId="2" hidden="1">'Form 990 - Position Title'!$A$5:$AT$5</definedName>
    <definedName name="_xlnm._FilterDatabase" localSheetId="1" hidden="1">'PEER GROUP'!$A$4:$O$4</definedName>
    <definedName name="DataEffDate">SETUP!$C$5</definedName>
    <definedName name="_xlnm.Print_Area" localSheetId="2">'Form 990 - Position Title'!$B$1:$AD$44</definedName>
    <definedName name="_xlnm.Print_Area" localSheetId="1">'PEER GROUP'!$B$1:$N$42</definedName>
    <definedName name="_xlnm.Print_Area" localSheetId="3">'Summary Table'!$C$1:$K$10</definedName>
    <definedName name="UpdateFactor">SETUP!$C$6</definedName>
    <definedName name="UpdateFactor_TEMP">SETUP!$C$7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4" i="2" l="1"/>
  <c r="K44" i="2"/>
  <c r="J44" i="2"/>
  <c r="AD44" i="2"/>
  <c r="Z44" i="2"/>
  <c r="X44" i="2"/>
  <c r="N40" i="1"/>
  <c r="N39" i="1"/>
  <c r="N38" i="1"/>
  <c r="N37" i="1"/>
  <c r="AD40" i="2"/>
  <c r="AC40" i="2"/>
  <c r="AB40" i="2"/>
  <c r="AA40" i="2"/>
  <c r="Z40" i="2"/>
  <c r="Y40" i="2"/>
  <c r="X40" i="2"/>
  <c r="J41" i="2"/>
  <c r="J38" i="2"/>
  <c r="M38" i="1"/>
  <c r="H37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M38" i="2" s="1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42" i="1"/>
  <c r="L42" i="1"/>
  <c r="K42" i="1"/>
  <c r="W1" i="2" l="1"/>
  <c r="R7" i="2" l="1"/>
  <c r="V7" i="2" s="1"/>
  <c r="M34" i="1" l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L10" i="2" s="1"/>
  <c r="M8" i="1"/>
  <c r="L9" i="2" s="1"/>
  <c r="M7" i="1"/>
  <c r="L8" i="2" s="1"/>
  <c r="M6" i="1"/>
  <c r="L7" i="2" s="1"/>
  <c r="M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K10" i="2" s="1"/>
  <c r="L8" i="1"/>
  <c r="K9" i="2" s="1"/>
  <c r="L7" i="1"/>
  <c r="K8" i="2" s="1"/>
  <c r="L6" i="1"/>
  <c r="K7" i="2" s="1"/>
  <c r="L5" i="1"/>
  <c r="K6" i="2" s="1"/>
  <c r="K6" i="1"/>
  <c r="J7" i="2" s="1"/>
  <c r="K7" i="1"/>
  <c r="J8" i="2" s="1"/>
  <c r="K8" i="1"/>
  <c r="J9" i="2" s="1"/>
  <c r="K9" i="1"/>
  <c r="J10" i="2" s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5" i="1"/>
  <c r="J6" i="2" s="1"/>
  <c r="L6" i="2" l="1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2" i="1"/>
  <c r="L43" i="2" s="1"/>
  <c r="I42" i="1"/>
  <c r="K43" i="2" s="1"/>
  <c r="H42" i="1"/>
  <c r="J43" i="2" s="1"/>
  <c r="J40" i="1"/>
  <c r="J38" i="1"/>
  <c r="J37" i="1"/>
  <c r="I40" i="1"/>
  <c r="I38" i="1"/>
  <c r="I37" i="1"/>
  <c r="H40" i="1"/>
  <c r="H38" i="1"/>
  <c r="N42" i="1"/>
  <c r="M43" i="2" s="1"/>
  <c r="G42" i="1"/>
  <c r="F42" i="1"/>
  <c r="B1" i="1"/>
  <c r="V34" i="2" l="1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0" i="1"/>
  <c r="M39" i="1"/>
  <c r="M37" i="1"/>
  <c r="L40" i="1"/>
  <c r="L39" i="1"/>
  <c r="L38" i="1"/>
  <c r="L37" i="1"/>
  <c r="J39" i="1"/>
  <c r="I39" i="1"/>
  <c r="H39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K8" i="4" s="1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Z20" i="2" s="1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K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13" i="2" l="1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AD20" i="2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K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39" i="1"/>
  <c r="K40" i="1"/>
  <c r="K38" i="1"/>
  <c r="K37" i="1"/>
  <c r="B42" i="1"/>
  <c r="AC6" i="2" l="1"/>
  <c r="AC41" i="2" s="1"/>
  <c r="AA6" i="2"/>
  <c r="AA41" i="2" s="1"/>
  <c r="Y6" i="2"/>
  <c r="Y41" i="2" s="1"/>
  <c r="X6" i="2"/>
  <c r="X41" i="2" s="1"/>
  <c r="AB6" i="2"/>
  <c r="AB41" i="2" s="1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39" i="2"/>
  <c r="M44" i="2" l="1"/>
  <c r="Z6" i="2"/>
  <c r="Z41" i="2" s="1"/>
  <c r="AA38" i="2"/>
  <c r="AA39" i="2"/>
  <c r="AI43" i="2" l="1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L43" i="2"/>
  <c r="G9" i="4" s="1"/>
  <c r="AB39" i="2"/>
  <c r="AB38" i="2"/>
  <c r="AC39" i="2"/>
  <c r="AC38" i="2"/>
  <c r="Y38" i="2"/>
  <c r="Y39" i="2"/>
  <c r="AD6" i="2"/>
  <c r="AD41" i="2" s="1"/>
  <c r="AQ43" i="2" l="1"/>
  <c r="H10" i="4" s="1"/>
  <c r="AP43" i="2"/>
  <c r="G10" i="4" s="1"/>
  <c r="AD38" i="2"/>
  <c r="AS43" i="2" s="1"/>
  <c r="J10" i="4" s="1"/>
  <c r="AD39" i="2"/>
  <c r="AR43" i="2" s="1"/>
  <c r="I10" i="4" s="1"/>
  <c r="AH43" i="2"/>
  <c r="G8" i="4" s="1"/>
  <c r="AM43" i="2"/>
  <c r="H9" i="4" s="1"/>
</calcChain>
</file>

<file path=xl/sharedStrings.xml><?xml version="1.0" encoding="utf-8"?>
<sst xmlns="http://schemas.openxmlformats.org/spreadsheetml/2006/main" count="115" uniqueCount="70">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</sst>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1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2"/>
  <sheetViews>
    <sheetView showGridLines="0" tabSelected="1" zoomScaleNormal="100" workbookViewId="0">
      <selection activeCell="E5" sqref="E5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s="7" customFormat="1" ht="25.5" x14ac:dyDescent="0.55000000000000004">
      <c r="B1" s="27" t="str">
        <f>SETUP!C4</f>
        <v>NFP Organization XYZ</v>
      </c>
    </row>
    <row r="2" spans="1:15" s="7" customFormat="1" ht="18" x14ac:dyDescent="0.4">
      <c r="B2" s="9" t="s">
        <v>0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7" customFormat="1" ht="14.5" x14ac:dyDescent="0.35">
      <c r="D3" s="11"/>
      <c r="E3" s="11"/>
    </row>
    <row r="4" spans="1:15" ht="36" customHeight="1" x14ac:dyDescent="0.3">
      <c r="A4" s="125" t="s">
        <v>1</v>
      </c>
      <c r="B4" s="33" t="s">
        <v>2</v>
      </c>
      <c r="C4" s="33" t="s">
        <v>3</v>
      </c>
      <c r="D4" s="33" t="s">
        <v>4</v>
      </c>
      <c r="E4" s="33" t="s">
        <v>5</v>
      </c>
      <c r="F4" s="33" t="s">
        <v>6</v>
      </c>
      <c r="G4" s="33" t="s">
        <v>7</v>
      </c>
      <c r="H4" s="34" t="s">
        <v>8</v>
      </c>
      <c r="I4" s="34" t="s">
        <v>64</v>
      </c>
      <c r="J4" s="34" t="s">
        <v>9</v>
      </c>
      <c r="K4" s="34" t="s">
        <v>8</v>
      </c>
      <c r="L4" s="34" t="s">
        <v>64</v>
      </c>
      <c r="M4" s="34" t="s">
        <v>9</v>
      </c>
      <c r="N4" s="34" t="s">
        <v>10</v>
      </c>
      <c r="O4" s="126" t="s">
        <v>11</v>
      </c>
    </row>
    <row r="5" spans="1:15" ht="27" customHeight="1" x14ac:dyDescent="0.3">
      <c r="A5" s="125">
        <v>1</v>
      </c>
      <c r="B5" s="143" t="s">
        <v>67</v>
      </c>
      <c r="C5" s="90"/>
      <c r="D5" s="80">
        <v>44651</v>
      </c>
      <c r="E5" s="80">
        <v>44561</v>
      </c>
      <c r="F5" s="90"/>
      <c r="G5" s="90"/>
      <c r="H5" s="69">
        <v>77362594</v>
      </c>
      <c r="I5" s="69">
        <v>45450752</v>
      </c>
      <c r="J5" s="69">
        <v>40354963</v>
      </c>
      <c r="K5" s="69">
        <f>H5/1000000</f>
        <v>77.362594000000001</v>
      </c>
      <c r="L5" s="69">
        <f>I5/1000000</f>
        <v>45.450752000000001</v>
      </c>
      <c r="M5" s="69">
        <f>J5/1000000</f>
        <v>40.354962999999998</v>
      </c>
      <c r="N5" s="127"/>
      <c r="O5" s="126"/>
    </row>
    <row r="6" spans="1:15" ht="27" customHeight="1" x14ac:dyDescent="0.3">
      <c r="A6" s="125">
        <v>2</v>
      </c>
      <c r="B6" s="144" t="s">
        <v>68</v>
      </c>
      <c r="C6" s="98"/>
      <c r="D6" s="85">
        <v>44561</v>
      </c>
      <c r="E6" s="85">
        <v>44561</v>
      </c>
      <c r="F6" s="98"/>
      <c r="G6" s="98"/>
      <c r="H6" s="72">
        <v>64267240</v>
      </c>
      <c r="I6" s="72">
        <v>35324557</v>
      </c>
      <c r="J6" s="72">
        <v>35660414</v>
      </c>
      <c r="K6" s="72">
        <f t="shared" ref="K6:M34" si="0">H6/1000000</f>
        <v>64.267240000000001</v>
      </c>
      <c r="L6" s="72">
        <f t="shared" si="0"/>
        <v>35.324556999999999</v>
      </c>
      <c r="M6" s="72">
        <f t="shared" si="0"/>
        <v>35.660414000000003</v>
      </c>
      <c r="N6" s="128"/>
      <c r="O6" s="126"/>
    </row>
    <row r="7" spans="1:15" ht="27" customHeight="1" x14ac:dyDescent="0.3">
      <c r="A7" s="125">
        <v>3</v>
      </c>
      <c r="B7" s="144"/>
      <c r="C7" s="98"/>
      <c r="D7" s="85"/>
      <c r="E7" s="85"/>
      <c r="F7" s="98"/>
      <c r="G7" s="98"/>
      <c r="H7" s="72"/>
      <c r="I7" s="72"/>
      <c r="J7" s="72"/>
      <c r="K7" s="72">
        <f t="shared" si="0"/>
        <v>0</v>
      </c>
      <c r="L7" s="72">
        <f t="shared" si="0"/>
        <v>0</v>
      </c>
      <c r="M7" s="72">
        <f t="shared" si="0"/>
        <v>0</v>
      </c>
      <c r="N7" s="128"/>
      <c r="O7" s="126"/>
    </row>
    <row r="8" spans="1:15" ht="27" customHeight="1" x14ac:dyDescent="0.3">
      <c r="A8" s="125">
        <v>4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5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6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7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8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9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10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11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12</v>
      </c>
      <c r="B16" s="129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13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14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15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16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17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18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19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20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21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22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23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24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25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26</v>
      </c>
      <c r="B30" s="130"/>
      <c r="C30" s="90"/>
      <c r="D30" s="80"/>
      <c r="E30" s="80"/>
      <c r="F30" s="90"/>
      <c r="G30" s="90"/>
      <c r="H30" s="69"/>
      <c r="I30" s="69"/>
      <c r="J30" s="69"/>
      <c r="K30" s="69">
        <f t="shared" si="0"/>
        <v>0</v>
      </c>
      <c r="L30" s="69">
        <f t="shared" si="0"/>
        <v>0</v>
      </c>
      <c r="M30" s="69">
        <f t="shared" si="0"/>
        <v>0</v>
      </c>
      <c r="N30" s="127"/>
      <c r="O30" s="126"/>
    </row>
    <row r="31" spans="1:15" ht="27" customHeight="1" x14ac:dyDescent="0.3">
      <c r="A31" s="125">
        <v>27</v>
      </c>
      <c r="B31" s="129"/>
      <c r="C31" s="98"/>
      <c r="D31" s="85"/>
      <c r="E31" s="85"/>
      <c r="F31" s="98"/>
      <c r="G31" s="98"/>
      <c r="H31" s="72"/>
      <c r="I31" s="72"/>
      <c r="J31" s="72"/>
      <c r="K31" s="72">
        <f t="shared" si="0"/>
        <v>0</v>
      </c>
      <c r="L31" s="72">
        <f t="shared" si="0"/>
        <v>0</v>
      </c>
      <c r="M31" s="72">
        <f t="shared" si="0"/>
        <v>0</v>
      </c>
      <c r="N31" s="128"/>
      <c r="O31" s="126"/>
    </row>
    <row r="32" spans="1:15" ht="27" customHeight="1" x14ac:dyDescent="0.3">
      <c r="A32" s="125">
        <v>28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29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30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outlineLevel="1" x14ac:dyDescent="0.3">
      <c r="B35" s="116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3"/>
    </row>
    <row r="36" spans="1:15" ht="27" customHeight="1" x14ac:dyDescent="0.3">
      <c r="B36" s="145" t="s">
        <v>12</v>
      </c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7"/>
    </row>
    <row r="37" spans="1:15" ht="27" customHeight="1" x14ac:dyDescent="0.3">
      <c r="B37" s="130" t="s">
        <v>13</v>
      </c>
      <c r="C37" s="90"/>
      <c r="D37" s="90"/>
      <c r="E37" s="90"/>
      <c r="F37" s="90"/>
      <c r="G37" s="90"/>
      <c r="H37" s="69">
        <f>PERCENTILE($H$5:$H$34,0.9)</f>
        <v>76053058.599999994</v>
      </c>
      <c r="I37" s="69">
        <f>PERCENTILE($I$5:$I$34,0.9)</f>
        <v>44438132.5</v>
      </c>
      <c r="J37" s="69">
        <f>PERCENTILE($J$5:$J$34,0.9)</f>
        <v>39885508.100000001</v>
      </c>
      <c r="K37" s="69">
        <f>PERCENTILE($K$5:$K$34,0.9)</f>
        <v>0</v>
      </c>
      <c r="L37" s="69">
        <f>PERCENTILE($L$5:$L$34,0.9)</f>
        <v>0</v>
      </c>
      <c r="M37" s="69">
        <f>PERCENTILE($M$5:$M$34,0.9)</f>
        <v>0</v>
      </c>
      <c r="N37" s="127" t="str">
        <f>IFERROR(PERCENTILE($N$5:$N$34,0.9),"---")</f>
        <v>---</v>
      </c>
    </row>
    <row r="38" spans="1:15" ht="27" customHeight="1" x14ac:dyDescent="0.3">
      <c r="B38" s="129" t="s">
        <v>14</v>
      </c>
      <c r="C38" s="98"/>
      <c r="D38" s="98"/>
      <c r="E38" s="98"/>
      <c r="F38" s="98"/>
      <c r="G38" s="98"/>
      <c r="H38" s="72">
        <f>PERCENTILE($H$5:$H$34,0.75)</f>
        <v>74088755.5</v>
      </c>
      <c r="I38" s="72">
        <f>PERCENTILE($I$5:$I$34,0.75)</f>
        <v>42919203.25</v>
      </c>
      <c r="J38" s="72">
        <f>PERCENTILE($J$5:$J$34,0.75)</f>
        <v>39181325.75</v>
      </c>
      <c r="K38" s="72">
        <f>PERCENTILE($K$5:$K$34,0.75)</f>
        <v>0</v>
      </c>
      <c r="L38" s="72">
        <f>PERCENTILE($L$5:$L$34,0.75)</f>
        <v>0</v>
      </c>
      <c r="M38" s="72">
        <f>PERCENTILE($M$5:$M$34,0.75)</f>
        <v>0</v>
      </c>
      <c r="N38" s="128" t="str">
        <f>IFERROR(PERCENTILE($N$5:$N$34,0.75),"---")</f>
        <v>---</v>
      </c>
    </row>
    <row r="39" spans="1:15" ht="27" customHeight="1" x14ac:dyDescent="0.3">
      <c r="B39" s="131" t="s">
        <v>15</v>
      </c>
      <c r="C39" s="92"/>
      <c r="D39" s="92"/>
      <c r="E39" s="92"/>
      <c r="F39" s="92"/>
      <c r="G39" s="92"/>
      <c r="H39" s="94">
        <f t="shared" ref="H39:M39" si="1">MEDIAN(H5:H34)</f>
        <v>70814917</v>
      </c>
      <c r="I39" s="94">
        <f t="shared" si="1"/>
        <v>40387654.5</v>
      </c>
      <c r="J39" s="94">
        <f t="shared" si="1"/>
        <v>38007688.5</v>
      </c>
      <c r="K39" s="94">
        <f t="shared" si="1"/>
        <v>0</v>
      </c>
      <c r="L39" s="94">
        <f t="shared" si="1"/>
        <v>0</v>
      </c>
      <c r="M39" s="94">
        <f t="shared" si="1"/>
        <v>0</v>
      </c>
      <c r="N39" s="132" t="str">
        <f>IFERROR(MEDIAN(N5:N34),"---")</f>
        <v>---</v>
      </c>
    </row>
    <row r="40" spans="1:15" ht="27" customHeight="1" x14ac:dyDescent="0.3">
      <c r="B40" s="129" t="s">
        <v>16</v>
      </c>
      <c r="C40" s="98"/>
      <c r="D40" s="98"/>
      <c r="E40" s="98"/>
      <c r="F40" s="98"/>
      <c r="G40" s="98"/>
      <c r="H40" s="72">
        <f>PERCENTILE($H$5:$H$34,0.25)</f>
        <v>67541078.5</v>
      </c>
      <c r="I40" s="72">
        <f>PERCENTILE($I$5:$I$34,0.25)</f>
        <v>37856105.75</v>
      </c>
      <c r="J40" s="72">
        <f>PERCENTILE($J$5:$J$34,0.25)</f>
        <v>36834051.25</v>
      </c>
      <c r="K40" s="72">
        <f>PERCENTILE($K$5:$K$34,0.25)</f>
        <v>0</v>
      </c>
      <c r="L40" s="72">
        <f>PERCENTILE($L$5:$L$34,0.25)</f>
        <v>0</v>
      </c>
      <c r="M40" s="72">
        <f>PERCENTILE($M$5:$M$34,0.25)</f>
        <v>0</v>
      </c>
      <c r="N40" s="128" t="str">
        <f>IFERROR(PERCENTILE($N$5:$N$34,0.25),"---")</f>
        <v>---</v>
      </c>
    </row>
    <row r="41" spans="1:15" x14ac:dyDescent="0.3">
      <c r="N41" s="12"/>
    </row>
    <row r="42" spans="1:15" ht="27" customHeight="1" x14ac:dyDescent="0.3">
      <c r="A42" s="124">
        <v>100</v>
      </c>
      <c r="B42" s="35" t="str">
        <f>B1</f>
        <v>NFP Organization XYZ</v>
      </c>
      <c r="C42" s="36"/>
      <c r="D42" s="36"/>
      <c r="E42" s="36"/>
      <c r="F42" s="36" t="str">
        <f>SETUP!C9</f>
        <v>Cambridge</v>
      </c>
      <c r="G42" s="121" t="str">
        <f>SETUP!C10</f>
        <v>Massachusetts</v>
      </c>
      <c r="H42" s="39">
        <f>SETUP!C11</f>
        <v>999999</v>
      </c>
      <c r="I42" s="39">
        <f>SETUP!C13</f>
        <v>999999</v>
      </c>
      <c r="J42" s="39">
        <f>SETUP!C12</f>
        <v>999999</v>
      </c>
      <c r="K42" s="39">
        <f>H42/1000000</f>
        <v>0.99999899999999997</v>
      </c>
      <c r="L42" s="39">
        <f>I42/1000000</f>
        <v>0.99999899999999997</v>
      </c>
      <c r="M42" s="39">
        <f>J42/1000000</f>
        <v>0.99999899999999997</v>
      </c>
      <c r="N42" s="99">
        <f>SETUP!C14</f>
        <v>50</v>
      </c>
    </row>
  </sheetData>
  <autoFilter ref="A4:O4" xr:uid="{0BB2107F-3F47-4C6C-A971-3D6217FC4528}"/>
  <mergeCells count="1">
    <mergeCell ref="B36:N36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U44"/>
  <sheetViews>
    <sheetView showGridLines="0" zoomScale="85" zoomScaleNormal="85" zoomScaleSheetLayoutView="85" workbookViewId="0">
      <selection activeCell="B6" sqref="B6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hidden="1" customWidth="1" outlineLevel="1"/>
    <col min="32" max="32" width="4.453125" style="22" customWidth="1" collapsed="1"/>
    <col min="33" max="46" width="16.81640625" style="13" hidden="1" customWidth="1" outlineLevel="1"/>
    <col min="47" max="47" width="9.1796875" style="13" collapsed="1"/>
    <col min="48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0" t="s">
        <v>47</v>
      </c>
      <c r="V1" s="150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3" t="str">
        <f>"Peer Group Data ($000) - Effective: "&amp;TEXT(W1,"mmmm d, Yyyy")</f>
        <v>Peer Group Data ($000) - Effective: January 1, 2023</v>
      </c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77"/>
      <c r="O4" s="77"/>
      <c r="P4" s="154" t="s">
        <v>28</v>
      </c>
      <c r="Q4" s="154"/>
      <c r="R4" s="154"/>
      <c r="S4" s="154"/>
      <c r="T4" s="154"/>
      <c r="U4" s="154"/>
      <c r="V4" s="154"/>
      <c r="W4" s="78"/>
      <c r="X4" s="148"/>
      <c r="Y4" s="148"/>
      <c r="Z4" s="148"/>
      <c r="AA4" s="148"/>
      <c r="AB4" s="148"/>
      <c r="AC4" s="148"/>
      <c r="AD4" s="148"/>
      <c r="AE4" s="41" t="s">
        <v>11</v>
      </c>
      <c r="AF4" s="20"/>
      <c r="AG4" s="152" t="s">
        <v>30</v>
      </c>
      <c r="AH4" s="152"/>
      <c r="AI4" s="152"/>
      <c r="AJ4" s="152"/>
      <c r="AK4" s="152"/>
      <c r="AL4" s="152"/>
      <c r="AM4" s="152"/>
      <c r="AN4" s="151" t="s">
        <v>31</v>
      </c>
      <c r="AO4" s="151"/>
      <c r="AP4" s="151"/>
      <c r="AQ4" s="151"/>
      <c r="AR4" s="151"/>
      <c r="AS4" s="151"/>
      <c r="AT4" s="151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48" t="s">
        <v>12</v>
      </c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49" t="s">
        <v>21</v>
      </c>
      <c r="AI42" s="149"/>
      <c r="AJ42" s="149"/>
      <c r="AK42" s="149"/>
      <c r="AL42" s="149" t="s">
        <v>24</v>
      </c>
      <c r="AM42" s="149"/>
      <c r="AN42" s="149"/>
      <c r="AO42" s="149"/>
      <c r="AP42" s="149" t="s">
        <v>27</v>
      </c>
      <c r="AQ42" s="149"/>
      <c r="AR42" s="149"/>
      <c r="AS42" s="149"/>
      <c r="AT42" s="61"/>
    </row>
    <row r="43" spans="1:46" ht="27" customHeight="1" x14ac:dyDescent="0.3">
      <c r="A43" s="76">
        <f>'PEER GROUP'!$A$42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GROUP'!K42</f>
        <v>0.99999899999999997</v>
      </c>
      <c r="K43" s="39">
        <f>'PEER GROUP'!L42</f>
        <v>0.99999899999999997</v>
      </c>
      <c r="L43" s="39">
        <f>'PEER GROUP'!M42</f>
        <v>0.99999899999999997</v>
      </c>
      <c r="M43" s="99">
        <f>'PEER GROUP'!N42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GROUP'!$B$1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56" t="s">
        <v>34</v>
      </c>
      <c r="D5" s="156"/>
      <c r="E5" s="156"/>
      <c r="F5" s="156"/>
      <c r="G5" s="156"/>
      <c r="H5" s="156"/>
      <c r="I5" s="156"/>
      <c r="J5" s="156"/>
      <c r="K5" s="156"/>
    </row>
    <row r="6" spans="1:15" ht="25.5" customHeight="1" x14ac:dyDescent="0.3">
      <c r="C6" s="157" t="s">
        <v>69</v>
      </c>
      <c r="D6" s="157" t="s">
        <v>35</v>
      </c>
      <c r="E6" s="158" t="s">
        <v>36</v>
      </c>
      <c r="F6" s="158" t="s">
        <v>57</v>
      </c>
      <c r="G6" s="159" t="s">
        <v>37</v>
      </c>
      <c r="H6" s="158"/>
      <c r="I6" s="158"/>
      <c r="J6" s="158"/>
      <c r="K6" s="158" t="s">
        <v>38</v>
      </c>
    </row>
    <row r="7" spans="1:15" ht="25.5" customHeight="1" x14ac:dyDescent="0.3">
      <c r="C7" s="157"/>
      <c r="D7" s="157" t="s">
        <v>39</v>
      </c>
      <c r="E7" s="158" t="s">
        <v>39</v>
      </c>
      <c r="F7" s="158"/>
      <c r="G7" s="29" t="s">
        <v>40</v>
      </c>
      <c r="H7" s="29" t="s">
        <v>41</v>
      </c>
      <c r="I7" s="29" t="s">
        <v>42</v>
      </c>
      <c r="J7" s="29" t="s">
        <v>43</v>
      </c>
      <c r="K7" s="158"/>
    </row>
    <row r="8" spans="1:15" ht="30.75" customHeight="1" x14ac:dyDescent="0.3">
      <c r="A8" s="12">
        <v>100</v>
      </c>
      <c r="B8" s="12">
        <f>A8+0.99</f>
        <v>100.99</v>
      </c>
      <c r="C8" s="155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0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55"/>
      <c r="D9" s="30" t="s">
        <v>44</v>
      </c>
      <c r="E9" s="31">
        <f>INDEX('Form 990 - Position Title'!Z:Z,MATCH('Summary Table'!A9,'Form 990 - Position Title'!A:A,0))</f>
        <v>0</v>
      </c>
      <c r="F9" s="160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55"/>
      <c r="D10" s="30" t="s">
        <v>45</v>
      </c>
      <c r="E10" s="31">
        <f>INDEX('Form 990 - Position Title'!AD:AD,MATCH('Summary Table'!A10,'Form 990 - Position Title'!A:A,0))</f>
        <v>0</v>
      </c>
      <c r="F10" s="160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SETUP</vt:lpstr>
      <vt:lpstr>PEER GROUP</vt:lpstr>
      <vt:lpstr>Form 990 - Position Title</vt:lpstr>
      <vt:lpstr>Summary Table</vt:lpstr>
      <vt:lpstr>DataEffDate</vt:lpstr>
      <vt:lpstr>'Form 990 -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2024-05-28T17:06:07Z</dcterms:modified>
</cp:coreProperties>
</file>