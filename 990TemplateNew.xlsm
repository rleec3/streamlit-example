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F80125CD-8DC3-4E24-9C22-DD7D17BE103E}" xr6:coauthVersionLast="47" xr6:coauthVersionMax="47" xr10:uidLastSave="{00000000-0000-0000-0000-000000000000}"/>
  <bookViews>
    <workbookView xWindow="-110" yWindow="-110" windowWidth="19420" windowHeight="10420" activeTab="3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>SETUP!$C$5</definedName>
    <definedName name="_xlnm.Print_Area" localSheetId="2">'Form 990 - Position Title'!$B$1:$AD$44</definedName>
    <definedName name="_xlnm.Print_Area" localSheetId="3">'Form 990PF - Position Title'!$B$1:$W$44</definedName>
    <definedName name="_xlnm.Print_Area" localSheetId="1">'PEER GROUP'!$B$2:$N$43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6" l="1"/>
  <c r="L8" i="6"/>
  <c r="L9" i="6"/>
  <c r="L10" i="6"/>
  <c r="L11" i="6"/>
  <c r="L12" i="6"/>
  <c r="L13" i="6"/>
  <c r="L14" i="6"/>
  <c r="L41" i="6" s="1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38" i="6" s="1"/>
  <c r="K12" i="6"/>
  <c r="K11" i="6"/>
  <c r="K10" i="6"/>
  <c r="K9" i="6"/>
  <c r="K8" i="6"/>
  <c r="K7" i="6"/>
  <c r="K6" i="6"/>
  <c r="R6" i="6"/>
  <c r="S6" i="6"/>
  <c r="T6" i="6"/>
  <c r="U6" i="6"/>
  <c r="W6" i="6" s="1"/>
  <c r="V6" i="6"/>
  <c r="AC6" i="6"/>
  <c r="AD6" i="6"/>
  <c r="AE6" i="6"/>
  <c r="AF6" i="6"/>
  <c r="AG6" i="6"/>
  <c r="AH6" i="6"/>
  <c r="AI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38" i="6" s="1"/>
  <c r="J11" i="6"/>
  <c r="J10" i="6"/>
  <c r="J9" i="6"/>
  <c r="J8" i="6"/>
  <c r="J7" i="6"/>
  <c r="J6" i="6"/>
  <c r="G35" i="6"/>
  <c r="F35" i="6"/>
  <c r="E35" i="6"/>
  <c r="D35" i="6"/>
  <c r="C35" i="6"/>
  <c r="B35" i="6"/>
  <c r="G34" i="6"/>
  <c r="F34" i="6"/>
  <c r="E34" i="6"/>
  <c r="D34" i="6"/>
  <c r="C34" i="6"/>
  <c r="B34" i="6"/>
  <c r="G33" i="6"/>
  <c r="F33" i="6"/>
  <c r="E33" i="6"/>
  <c r="S33" i="6" s="1"/>
  <c r="U33" i="6" s="1"/>
  <c r="D33" i="6"/>
  <c r="C33" i="6"/>
  <c r="B33" i="6"/>
  <c r="G32" i="6"/>
  <c r="F32" i="6"/>
  <c r="E32" i="6"/>
  <c r="D32" i="6"/>
  <c r="C32" i="6"/>
  <c r="B32" i="6"/>
  <c r="G31" i="6"/>
  <c r="F31" i="6"/>
  <c r="E31" i="6"/>
  <c r="D31" i="6"/>
  <c r="C31" i="6"/>
  <c r="B31" i="6"/>
  <c r="G30" i="6"/>
  <c r="F30" i="6"/>
  <c r="E30" i="6"/>
  <c r="D30" i="6"/>
  <c r="C30" i="6"/>
  <c r="B30" i="6"/>
  <c r="G29" i="6"/>
  <c r="F29" i="6"/>
  <c r="E29" i="6"/>
  <c r="S29" i="6" s="1"/>
  <c r="U29" i="6" s="1"/>
  <c r="D29" i="6"/>
  <c r="C29" i="6"/>
  <c r="B29" i="6"/>
  <c r="G28" i="6"/>
  <c r="F28" i="6"/>
  <c r="E28" i="6"/>
  <c r="D28" i="6"/>
  <c r="C28" i="6"/>
  <c r="B28" i="6"/>
  <c r="G27" i="6"/>
  <c r="F27" i="6"/>
  <c r="E27" i="6"/>
  <c r="D27" i="6"/>
  <c r="C27" i="6"/>
  <c r="B27" i="6"/>
  <c r="G26" i="6"/>
  <c r="F26" i="6"/>
  <c r="E26" i="6"/>
  <c r="D26" i="6"/>
  <c r="C26" i="6"/>
  <c r="B26" i="6"/>
  <c r="G25" i="6"/>
  <c r="F25" i="6"/>
  <c r="E25" i="6"/>
  <c r="S25" i="6" s="1"/>
  <c r="U25" i="6" s="1"/>
  <c r="D25" i="6"/>
  <c r="C25" i="6"/>
  <c r="B25" i="6"/>
  <c r="G24" i="6"/>
  <c r="F24" i="6"/>
  <c r="E24" i="6"/>
  <c r="D24" i="6"/>
  <c r="C24" i="6"/>
  <c r="B24" i="6"/>
  <c r="G23" i="6"/>
  <c r="F23" i="6"/>
  <c r="E23" i="6"/>
  <c r="D23" i="6"/>
  <c r="C23" i="6"/>
  <c r="B23" i="6"/>
  <c r="G22" i="6"/>
  <c r="F22" i="6"/>
  <c r="E22" i="6"/>
  <c r="D22" i="6"/>
  <c r="C22" i="6"/>
  <c r="B22" i="6"/>
  <c r="G21" i="6"/>
  <c r="F21" i="6"/>
  <c r="E21" i="6"/>
  <c r="D21" i="6"/>
  <c r="C21" i="6"/>
  <c r="B21" i="6"/>
  <c r="G20" i="6"/>
  <c r="F20" i="6"/>
  <c r="E20" i="6"/>
  <c r="D20" i="6"/>
  <c r="C20" i="6"/>
  <c r="B20" i="6"/>
  <c r="G19" i="6"/>
  <c r="F19" i="6"/>
  <c r="E19" i="6"/>
  <c r="D19" i="6"/>
  <c r="C19" i="6"/>
  <c r="B19" i="6"/>
  <c r="G18" i="6"/>
  <c r="F18" i="6"/>
  <c r="E18" i="6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D16" i="6"/>
  <c r="C16" i="6"/>
  <c r="B16" i="6"/>
  <c r="G15" i="6"/>
  <c r="F15" i="6"/>
  <c r="E15" i="6"/>
  <c r="D15" i="6"/>
  <c r="C15" i="6"/>
  <c r="B15" i="6"/>
  <c r="G14" i="6"/>
  <c r="F14" i="6"/>
  <c r="E14" i="6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D12" i="6"/>
  <c r="C12" i="6"/>
  <c r="B12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Z43" i="6"/>
  <c r="W43" i="6"/>
  <c r="L43" i="6"/>
  <c r="K43" i="6"/>
  <c r="J43" i="6"/>
  <c r="G43" i="6"/>
  <c r="F43" i="6"/>
  <c r="A43" i="6"/>
  <c r="AI35" i="6"/>
  <c r="AH35" i="6"/>
  <c r="AG35" i="6"/>
  <c r="AF35" i="6"/>
  <c r="AE35" i="6"/>
  <c r="AD35" i="6"/>
  <c r="AC35" i="6"/>
  <c r="R35" i="6"/>
  <c r="S35" i="6"/>
  <c r="AH34" i="6"/>
  <c r="AG34" i="6"/>
  <c r="AF34" i="6"/>
  <c r="AE34" i="6"/>
  <c r="AD34" i="6"/>
  <c r="AC34" i="6"/>
  <c r="R34" i="6"/>
  <c r="AI34" i="6" s="1"/>
  <c r="S34" i="6"/>
  <c r="AH33" i="6"/>
  <c r="AG33" i="6"/>
  <c r="AF33" i="6"/>
  <c r="AE33" i="6"/>
  <c r="AD33" i="6"/>
  <c r="AC33" i="6"/>
  <c r="R33" i="6"/>
  <c r="AI33" i="6" s="1"/>
  <c r="AI32" i="6"/>
  <c r="AH32" i="6"/>
  <c r="AG32" i="6"/>
  <c r="AF32" i="6"/>
  <c r="AE32" i="6"/>
  <c r="AD32" i="6"/>
  <c r="AC32" i="6"/>
  <c r="R32" i="6"/>
  <c r="S32" i="6"/>
  <c r="AI31" i="6"/>
  <c r="AH31" i="6"/>
  <c r="AG31" i="6"/>
  <c r="AF31" i="6"/>
  <c r="AE31" i="6"/>
  <c r="AD31" i="6"/>
  <c r="AC31" i="6"/>
  <c r="R31" i="6"/>
  <c r="S31" i="6"/>
  <c r="AH30" i="6"/>
  <c r="AG30" i="6"/>
  <c r="AF30" i="6"/>
  <c r="AE30" i="6"/>
  <c r="AD30" i="6"/>
  <c r="AC30" i="6"/>
  <c r="R30" i="6"/>
  <c r="AI30" i="6" s="1"/>
  <c r="S30" i="6"/>
  <c r="AH29" i="6"/>
  <c r="AG29" i="6"/>
  <c r="AF29" i="6"/>
  <c r="AE29" i="6"/>
  <c r="AD29" i="6"/>
  <c r="AC29" i="6"/>
  <c r="R29" i="6"/>
  <c r="AI29" i="6" s="1"/>
  <c r="AI28" i="6"/>
  <c r="AH28" i="6"/>
  <c r="AG28" i="6"/>
  <c r="AF28" i="6"/>
  <c r="AE28" i="6"/>
  <c r="AD28" i="6"/>
  <c r="AC28" i="6"/>
  <c r="R28" i="6"/>
  <c r="S28" i="6"/>
  <c r="AI27" i="6"/>
  <c r="AH27" i="6"/>
  <c r="AG27" i="6"/>
  <c r="AF27" i="6"/>
  <c r="AE27" i="6"/>
  <c r="AD27" i="6"/>
  <c r="AC27" i="6"/>
  <c r="R27" i="6"/>
  <c r="S27" i="6"/>
  <c r="AH26" i="6"/>
  <c r="AG26" i="6"/>
  <c r="AF26" i="6"/>
  <c r="AE26" i="6"/>
  <c r="AD26" i="6"/>
  <c r="AC26" i="6"/>
  <c r="R26" i="6"/>
  <c r="AI26" i="6" s="1"/>
  <c r="S26" i="6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S24" i="6"/>
  <c r="AI23" i="6"/>
  <c r="AH23" i="6"/>
  <c r="AG23" i="6"/>
  <c r="AF23" i="6"/>
  <c r="AE23" i="6"/>
  <c r="AD23" i="6"/>
  <c r="AC23" i="6"/>
  <c r="S23" i="6"/>
  <c r="T23" i="6" s="1"/>
  <c r="R23" i="6"/>
  <c r="AH22" i="6"/>
  <c r="AG22" i="6"/>
  <c r="AF22" i="6"/>
  <c r="AE22" i="6"/>
  <c r="AD22" i="6"/>
  <c r="AC22" i="6"/>
  <c r="R22" i="6"/>
  <c r="AI22" i="6" s="1"/>
  <c r="S22" i="6"/>
  <c r="AH21" i="6"/>
  <c r="AG21" i="6"/>
  <c r="AF21" i="6"/>
  <c r="AE21" i="6"/>
  <c r="AD21" i="6"/>
  <c r="AC21" i="6"/>
  <c r="S21" i="6"/>
  <c r="U21" i="6" s="1"/>
  <c r="R21" i="6"/>
  <c r="AI21" i="6" s="1"/>
  <c r="AI20" i="6"/>
  <c r="AH20" i="6"/>
  <c r="AG20" i="6"/>
  <c r="AF20" i="6"/>
  <c r="AE20" i="6"/>
  <c r="AD20" i="6"/>
  <c r="AC20" i="6"/>
  <c r="U20" i="6"/>
  <c r="S20" i="6"/>
  <c r="V20" i="6" s="1"/>
  <c r="R20" i="6"/>
  <c r="AI19" i="6"/>
  <c r="AH19" i="6"/>
  <c r="AG19" i="6"/>
  <c r="AF19" i="6"/>
  <c r="AE19" i="6"/>
  <c r="AD19" i="6"/>
  <c r="AC19" i="6"/>
  <c r="S19" i="6"/>
  <c r="T19" i="6" s="1"/>
  <c r="R19" i="6"/>
  <c r="AH18" i="6"/>
  <c r="AG18" i="6"/>
  <c r="AF18" i="6"/>
  <c r="AE18" i="6"/>
  <c r="AD18" i="6"/>
  <c r="AC18" i="6"/>
  <c r="R18" i="6"/>
  <c r="AI18" i="6" s="1"/>
  <c r="S18" i="6"/>
  <c r="AH17" i="6"/>
  <c r="AG17" i="6"/>
  <c r="AF17" i="6"/>
  <c r="AE17" i="6"/>
  <c r="AD17" i="6"/>
  <c r="AC17" i="6"/>
  <c r="R17" i="6"/>
  <c r="AI17" i="6" s="1"/>
  <c r="AI16" i="6"/>
  <c r="AH16" i="6"/>
  <c r="AG16" i="6"/>
  <c r="AF16" i="6"/>
  <c r="AE16" i="6"/>
  <c r="AD16" i="6"/>
  <c r="AC16" i="6"/>
  <c r="S16" i="6"/>
  <c r="V16" i="6" s="1"/>
  <c r="R16" i="6"/>
  <c r="AI15" i="6"/>
  <c r="AH15" i="6"/>
  <c r="AG15" i="6"/>
  <c r="AF15" i="6"/>
  <c r="AE15" i="6"/>
  <c r="AD15" i="6"/>
  <c r="AC15" i="6"/>
  <c r="S15" i="6"/>
  <c r="T15" i="6" s="1"/>
  <c r="R15" i="6"/>
  <c r="AH14" i="6"/>
  <c r="AG14" i="6"/>
  <c r="AF14" i="6"/>
  <c r="AE14" i="6"/>
  <c r="AD14" i="6"/>
  <c r="AC14" i="6"/>
  <c r="R14" i="6"/>
  <c r="AI14" i="6" s="1"/>
  <c r="S14" i="6"/>
  <c r="AH13" i="6"/>
  <c r="AG13" i="6"/>
  <c r="AF13" i="6"/>
  <c r="AE13" i="6"/>
  <c r="AD13" i="6"/>
  <c r="AC13" i="6"/>
  <c r="R13" i="6"/>
  <c r="AI13" i="6" s="1"/>
  <c r="AI12" i="6"/>
  <c r="AH12" i="6"/>
  <c r="AG12" i="6"/>
  <c r="AF12" i="6"/>
  <c r="AE12" i="6"/>
  <c r="AD12" i="6"/>
  <c r="AC12" i="6"/>
  <c r="S12" i="6"/>
  <c r="V12" i="6" s="1"/>
  <c r="R12" i="6"/>
  <c r="AI11" i="6"/>
  <c r="AH11" i="6"/>
  <c r="AG11" i="6"/>
  <c r="AF11" i="6"/>
  <c r="AE11" i="6"/>
  <c r="AD11" i="6"/>
  <c r="AC11" i="6"/>
  <c r="S11" i="6"/>
  <c r="T11" i="6" s="1"/>
  <c r="R11" i="6"/>
  <c r="AH10" i="6"/>
  <c r="AG10" i="6"/>
  <c r="AF10" i="6"/>
  <c r="AE10" i="6"/>
  <c r="AD10" i="6"/>
  <c r="AC10" i="6"/>
  <c r="S10" i="6"/>
  <c r="V10" i="6" s="1"/>
  <c r="R10" i="6"/>
  <c r="AI10" i="6" s="1"/>
  <c r="AH9" i="6"/>
  <c r="AG9" i="6"/>
  <c r="AF9" i="6"/>
  <c r="AE9" i="6"/>
  <c r="AD9" i="6"/>
  <c r="AC9" i="6"/>
  <c r="R9" i="6"/>
  <c r="AI9" i="6" s="1"/>
  <c r="AI8" i="6"/>
  <c r="AH8" i="6"/>
  <c r="AG8" i="6"/>
  <c r="AF8" i="6"/>
  <c r="AE8" i="6"/>
  <c r="AD8" i="6"/>
  <c r="AC8" i="6"/>
  <c r="S8" i="6"/>
  <c r="V8" i="6" s="1"/>
  <c r="R8" i="6"/>
  <c r="AI7" i="6"/>
  <c r="AH7" i="6"/>
  <c r="AG7" i="6"/>
  <c r="AF7" i="6"/>
  <c r="AE7" i="6"/>
  <c r="AD7" i="6"/>
  <c r="AC7" i="6"/>
  <c r="V7" i="6"/>
  <c r="U7" i="6"/>
  <c r="S7" i="6"/>
  <c r="T7" i="6" s="1"/>
  <c r="R7" i="6"/>
  <c r="S1" i="6"/>
  <c r="B4" i="6" s="1"/>
  <c r="B1" i="6"/>
  <c r="B43" i="6" s="1"/>
  <c r="L38" i="6" l="1"/>
  <c r="K39" i="6"/>
  <c r="J39" i="6"/>
  <c r="U8" i="6"/>
  <c r="U19" i="6"/>
  <c r="W19" i="6" s="1"/>
  <c r="U12" i="6"/>
  <c r="U16" i="6"/>
  <c r="W7" i="6"/>
  <c r="U15" i="6"/>
  <c r="U23" i="6"/>
  <c r="W23" i="6"/>
  <c r="U11" i="6"/>
  <c r="V11" i="6"/>
  <c r="V15" i="6"/>
  <c r="W15" i="6" s="1"/>
  <c r="V19" i="6"/>
  <c r="V23" i="6"/>
  <c r="V32" i="6"/>
  <c r="U32" i="6"/>
  <c r="T32" i="6"/>
  <c r="V34" i="6"/>
  <c r="U34" i="6"/>
  <c r="T34" i="6"/>
  <c r="V35" i="6"/>
  <c r="U35" i="6"/>
  <c r="T35" i="6"/>
  <c r="V24" i="6"/>
  <c r="U24" i="6"/>
  <c r="T24" i="6"/>
  <c r="V26" i="6"/>
  <c r="T26" i="6"/>
  <c r="U26" i="6"/>
  <c r="V27" i="6"/>
  <c r="U27" i="6"/>
  <c r="T27" i="6"/>
  <c r="V28" i="6"/>
  <c r="U28" i="6"/>
  <c r="T28" i="6"/>
  <c r="U14" i="6"/>
  <c r="V14" i="6"/>
  <c r="T14" i="6"/>
  <c r="U18" i="6"/>
  <c r="V18" i="6"/>
  <c r="T18" i="6"/>
  <c r="U22" i="6"/>
  <c r="U38" i="6" s="1"/>
  <c r="V22" i="6"/>
  <c r="T22" i="6"/>
  <c r="V30" i="6"/>
  <c r="U30" i="6"/>
  <c r="T30" i="6"/>
  <c r="V31" i="6"/>
  <c r="U31" i="6"/>
  <c r="T31" i="6"/>
  <c r="W31" i="6" s="1"/>
  <c r="U9" i="6"/>
  <c r="T8" i="6"/>
  <c r="W8" i="6" s="1"/>
  <c r="V9" i="6"/>
  <c r="T12" i="6"/>
  <c r="V13" i="6"/>
  <c r="T16" i="6"/>
  <c r="W16" i="6" s="1"/>
  <c r="V17" i="6"/>
  <c r="T20" i="6"/>
  <c r="W20" i="6" s="1"/>
  <c r="V21" i="6"/>
  <c r="V25" i="6"/>
  <c r="V29" i="6"/>
  <c r="V33" i="6"/>
  <c r="R43" i="6"/>
  <c r="J41" i="6"/>
  <c r="J40" i="6"/>
  <c r="K41" i="6"/>
  <c r="T10" i="6"/>
  <c r="K40" i="6"/>
  <c r="U10" i="6"/>
  <c r="L40" i="6"/>
  <c r="T13" i="6"/>
  <c r="W13" i="6" s="1"/>
  <c r="T17" i="6"/>
  <c r="W17" i="6" s="1"/>
  <c r="T21" i="6"/>
  <c r="W21" i="6" s="1"/>
  <c r="T25" i="6"/>
  <c r="T29" i="6"/>
  <c r="T33" i="6"/>
  <c r="W33" i="6" s="1"/>
  <c r="L39" i="6"/>
  <c r="L44" i="6" l="1"/>
  <c r="W11" i="6"/>
  <c r="W14" i="6"/>
  <c r="J44" i="6"/>
  <c r="W24" i="6"/>
  <c r="W12" i="6"/>
  <c r="W29" i="6"/>
  <c r="W10" i="6"/>
  <c r="W9" i="6"/>
  <c r="W26" i="6"/>
  <c r="W27" i="6"/>
  <c r="U39" i="6"/>
  <c r="W25" i="6"/>
  <c r="U41" i="6"/>
  <c r="W34" i="6"/>
  <c r="K44" i="6"/>
  <c r="T39" i="6"/>
  <c r="AC43" i="6" s="1"/>
  <c r="T40" i="6"/>
  <c r="AB43" i="6" s="1"/>
  <c r="T41" i="6"/>
  <c r="T38" i="6"/>
  <c r="AD43" i="6" s="1"/>
  <c r="W22" i="6"/>
  <c r="U40" i="6"/>
  <c r="W28" i="6"/>
  <c r="W32" i="6"/>
  <c r="W18" i="6"/>
  <c r="V41" i="6"/>
  <c r="V38" i="6"/>
  <c r="V39" i="6"/>
  <c r="V40" i="6"/>
  <c r="W30" i="6"/>
  <c r="W35" i="6"/>
  <c r="W38" i="6" l="1"/>
  <c r="AH43" i="6" s="1"/>
  <c r="W39" i="6"/>
  <c r="AG43" i="6" s="1"/>
  <c r="W40" i="6"/>
  <c r="AF43" i="6" s="1"/>
  <c r="W41" i="6"/>
  <c r="T44" i="6"/>
  <c r="AA43" i="6"/>
  <c r="AE43" i="6" l="1"/>
  <c r="W44" i="6"/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20" i="2" l="1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B39" i="2"/>
  <c r="AB38" i="2"/>
  <c r="AC39" i="2"/>
  <c r="AC38" i="2"/>
  <c r="Y38" i="2"/>
  <c r="Y39" i="2"/>
  <c r="AD6" i="2"/>
  <c r="AL43" i="2" l="1"/>
  <c r="G9" i="4" s="1"/>
  <c r="AD41" i="2"/>
  <c r="AD44" i="2" s="1"/>
  <c r="AD40" i="2"/>
  <c r="AQ43" i="2" s="1"/>
  <c r="H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  <c r="AP43" i="2" l="1"/>
  <c r="G10" i="4" s="1"/>
  <c r="K10" i="4" s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<sst xmlns="http://schemas.openxmlformats.org/spreadsheetml/2006/main" count="164" uniqueCount="74">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</sst>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opLeftCell="G2" zoomScale="80" zoomScaleNormal="80" workbookViewId="0">
      <selection activeCell="N8" sqref="N8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>
        <v>1</v>
      </c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>
        <v>2</v>
      </c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50" t="s">
        <v>12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2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>
        <f>IFERROR(PERCENTILE($N$6:$N$35,0.9),"---")</f>
        <v>1.9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>
        <f>IFERROR(PERCENTILE($N$6:$N$35,0.75),"---")</f>
        <v>1.75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>
        <f>IFERROR(MEDIAN(N6:N35),"---")</f>
        <v>1.5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>
        <f>IFERROR(PERCENTILE($N$6:$N$35,0.25),"---")</f>
        <v>1.25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zoomScale="62" zoomScaleNormal="85" zoomScaleSheetLayoutView="85" workbookViewId="0">
      <selection activeCell="I26" sqref="I26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5" t="s">
        <v>47</v>
      </c>
      <c r="V1" s="155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8" t="str">
        <f>"Peer Group Data ($000) - Effective: "&amp;TEXT(W1,"mmmm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77"/>
      <c r="O4" s="77"/>
      <c r="P4" s="159" t="s">
        <v>28</v>
      </c>
      <c r="Q4" s="159"/>
      <c r="R4" s="159"/>
      <c r="S4" s="159"/>
      <c r="T4" s="159"/>
      <c r="U4" s="159"/>
      <c r="V4" s="159"/>
      <c r="W4" s="78"/>
      <c r="X4" s="153"/>
      <c r="Y4" s="153"/>
      <c r="Z4" s="153"/>
      <c r="AA4" s="153"/>
      <c r="AB4" s="153"/>
      <c r="AC4" s="153"/>
      <c r="AD4" s="153"/>
      <c r="AE4" s="41" t="s">
        <v>11</v>
      </c>
      <c r="AF4" s="20"/>
      <c r="AG4" s="157" t="s">
        <v>30</v>
      </c>
      <c r="AH4" s="157"/>
      <c r="AI4" s="157"/>
      <c r="AJ4" s="157"/>
      <c r="AK4" s="157"/>
      <c r="AL4" s="157"/>
      <c r="AM4" s="157"/>
      <c r="AN4" s="156" t="s">
        <v>31</v>
      </c>
      <c r="AO4" s="156"/>
      <c r="AP4" s="156"/>
      <c r="AQ4" s="156"/>
      <c r="AR4" s="156"/>
      <c r="AS4" s="156"/>
      <c r="AT4" s="156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1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2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54" t="s">
        <v>21</v>
      </c>
      <c r="AI42" s="154"/>
      <c r="AJ42" s="154"/>
      <c r="AK42" s="154"/>
      <c r="AL42" s="154" t="s">
        <v>24</v>
      </c>
      <c r="AM42" s="154"/>
      <c r="AN42" s="154"/>
      <c r="AO42" s="154"/>
      <c r="AP42" s="154" t="s">
        <v>27</v>
      </c>
      <c r="AQ42" s="154"/>
      <c r="AR42" s="154"/>
      <c r="AS42" s="154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44"/>
  <sheetViews>
    <sheetView showGridLines="0" tabSelected="1" zoomScale="56" zoomScaleNormal="85" zoomScaleSheetLayoutView="85" workbookViewId="0">
      <selection activeCell="I9" sqref="I9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69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83">
        <f>INDEX('PEER GROUP'!N:N,MATCH($A6,'PEER GROUP'!$A:$A,0))</f>
        <v>1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72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83">
        <f>INDEX('PEER GROUP'!N:N,MATCH($A7,'PEER GROUP'!$A:$A,0))</f>
        <v>2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1.0400809862990532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72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83">
        <f>INDEX('PEER GROUP'!N:N,MATCH($A8,'PEER GROUP'!$A:$A,0))</f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36.871574135302126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72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83">
        <f>INDEX('PEER GROUP'!N:N,MATCH($A9,'PEER GROUP'!$A:$A,0))</f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72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83">
        <f>INDEX('PEER GROUP'!N:N,MATCH($A10,'PEER GROUP'!$A:$A,0))</f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72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83">
        <f>INDEX('PEER GROUP'!N:N,MATCH($A11,'PEER GROUP'!$A:$A,0))</f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72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83">
        <f>INDEX('PEER GROUP'!N:N,MATCH($A12,'PEER GROUP'!$A:$A,0))</f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72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83">
        <f>INDEX('PEER GROUP'!N:N,MATCH($A13,'PEER GROUP'!$A:$A,0))</f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72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83">
        <f>INDEX('PEER GROUP'!N:N,MATCH($A14,'PEER GROUP'!$A:$A,0))</f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72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83">
        <f>INDEX('PEER GROUP'!N:N,MATCH($A15,'PEER GROUP'!$A:$A,0))</f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72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83">
        <f>INDEX('PEER GROUP'!N:N,MATCH($A16,'PEER GROUP'!$A:$A,0))</f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72"/>
      <c r="I17" s="72"/>
      <c r="J17" s="72">
        <f>INDEX('PEER GROUP'!K:K,MATCH($A17,'PEER GROUP'!$A:$A,0))</f>
        <v>0</v>
      </c>
      <c r="K17" s="72">
        <f>INDEX('PEER GROUP'!L:L,MATCH($A17,'PEER GROUP'!$A:$A,0))</f>
        <v>0</v>
      </c>
      <c r="L17" s="83">
        <f>INDEX('PEER GROUP'!N:N,MATCH($A17,'PEER GROUP'!$A:$A,0))</f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72"/>
      <c r="I18" s="72"/>
      <c r="J18" s="72">
        <f>INDEX('PEER GROUP'!K:K,MATCH($A18,'PEER GROUP'!$A:$A,0))</f>
        <v>0</v>
      </c>
      <c r="K18" s="72">
        <f>INDEX('PEER GROUP'!L:L,MATCH($A18,'PEER GROUP'!$A:$A,0))</f>
        <v>0</v>
      </c>
      <c r="L18" s="83">
        <f>INDEX('PEER GROUP'!N:N,MATCH($A18,'PEER GROUP'!$A:$A,0))</f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72"/>
      <c r="I19" s="72"/>
      <c r="J19" s="72">
        <f>INDEX('PEER GROUP'!K:K,MATCH($A19,'PEER GROUP'!$A:$A,0))</f>
        <v>0</v>
      </c>
      <c r="K19" s="72">
        <f>INDEX('PEER GROUP'!L:L,MATCH($A19,'PEER GROUP'!$A:$A,0))</f>
        <v>0</v>
      </c>
      <c r="L19" s="83">
        <f>INDEX('PEER GROUP'!N:N,MATCH($A19,'PEER GROUP'!$A:$A,0))</f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72"/>
      <c r="I20" s="72"/>
      <c r="J20" s="72">
        <f>INDEX('PEER GROUP'!K:K,MATCH($A20,'PEER GROUP'!$A:$A,0))</f>
        <v>0</v>
      </c>
      <c r="K20" s="72">
        <f>INDEX('PEER GROUP'!L:L,MATCH($A20,'PEER GROUP'!$A:$A,0))</f>
        <v>0</v>
      </c>
      <c r="L20" s="83">
        <f>INDEX('PEER GROUP'!N:N,MATCH($A20,'PEER GROUP'!$A:$A,0))</f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72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83">
        <f>INDEX('PEER GROUP'!N:N,MATCH($A21,'PEER GROUP'!$A:$A,0))</f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72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83">
        <f>INDEX('PEER GROUP'!N:N,MATCH($A22,'PEER GROUP'!$A:$A,0))</f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72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83">
        <f>INDEX('PEER GROUP'!N:N,MATCH($A23,'PEER GROUP'!$A:$A,0))</f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72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83">
        <f>INDEX('PEER GROUP'!N:N,MATCH($A24,'PEER GROUP'!$A:$A,0))</f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72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83">
        <f>INDEX('PEER GROUP'!N:N,MATCH($A25,'PEER GROUP'!$A:$A,0))</f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72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83">
        <f>INDEX('PEER GROUP'!N:N,MATCH($A26,'PEER GROUP'!$A:$A,0))</f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72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83">
        <f>INDEX('PEER GROUP'!N:N,MATCH($A27,'PEER GROUP'!$A:$A,0))</f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72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83">
        <f>INDEX('PEER GROUP'!N:N,MATCH($A28,'PEER GROUP'!$A:$A,0))</f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72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83">
        <f>INDEX('PEER GROUP'!N:N,MATCH($A29,'PEER GROUP'!$A:$A,0))</f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72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83">
        <f>INDEX('PEER GROUP'!N:N,MATCH($A30,'PEER GROUP'!$A:$A,0))</f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72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83">
        <f>INDEX('PEER GROUP'!N:N,MATCH($A31,'PEER GROUP'!$A:$A,0))</f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72"/>
      <c r="I32" s="72"/>
      <c r="J32" s="72">
        <f>INDEX('PEER GROUP'!K:K,MATCH($A32,'PEER GROUP'!$A:$A,0))</f>
        <v>0</v>
      </c>
      <c r="K32" s="72">
        <f>INDEX('PEER GROUP'!L:L,MATCH($A32,'PEER GROUP'!$A:$A,0))</f>
        <v>0</v>
      </c>
      <c r="L32" s="83">
        <f>INDEX('PEER GROUP'!N:N,MATCH($A32,'PEER GROUP'!$A:$A,0))</f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72"/>
      <c r="I33" s="72"/>
      <c r="J33" s="72">
        <f>INDEX('PEER GROUP'!K:K,MATCH($A33,'PEER GROUP'!$A:$A,0))</f>
        <v>0</v>
      </c>
      <c r="K33" s="72">
        <f>INDEX('PEER GROUP'!L:L,MATCH($A33,'PEER GROUP'!$A:$A,0))</f>
        <v>0</v>
      </c>
      <c r="L33" s="83">
        <f>INDEX('PEER GROUP'!N:N,MATCH($A33,'PEER GROUP'!$A:$A,0))</f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INDEX('PEER GROUP'!B:B,MATCH($A34,'PEER GROUP'!$A:$A,0))</f>
        <v>0</v>
      </c>
      <c r="C34" s="80">
        <f>INDEX('PEER GROUP'!C:C,MATCH($A34,'PEER GROUP'!$A:$A,0))</f>
        <v>0</v>
      </c>
      <c r="D34" s="80">
        <f>INDEX('PEER GROUP'!D:D,MATCH($A34,'PEER GROUP'!$A:$A,0))</f>
        <v>0</v>
      </c>
      <c r="E34" s="80">
        <f>INDEX('PEER GROUP'!E:E,MATCH(A34,'PEER GROUP'!$A:$A,0))</f>
        <v>0</v>
      </c>
      <c r="F34" s="81">
        <f>INDEX('PEER GROUP'!F:F,MATCH($A34,'PEER GROUP'!$A:$A,0))</f>
        <v>0</v>
      </c>
      <c r="G34" s="81">
        <f>INDEX('PEER GROUP'!G:G,MATCH($A34,'PEER GROUP'!$A:$A,0))</f>
        <v>0</v>
      </c>
      <c r="H34" s="69"/>
      <c r="I34" s="69"/>
      <c r="J34" s="69">
        <f>INDEX('PEER GROUP'!K:K,MATCH($A34,'PEER GROUP'!$A:$A,0))</f>
        <v>0</v>
      </c>
      <c r="K34" s="69">
        <f>INDEX('PEER GROUP'!L:L,MATCH($A34,'PEER GROUP'!$A:$A,0))</f>
        <v>0</v>
      </c>
      <c r="L34" s="83">
        <f>INDEX('PEER GROUP'!N:N,MATCH($A34,'PEER GROUP'!$A:$A,0))</f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72"/>
      <c r="I35" s="72"/>
      <c r="J35" s="72">
        <f>INDEX('PEER GROUP'!K:K,MATCH($A35,'PEER GROUP'!$A:$A,0))</f>
        <v>0</v>
      </c>
      <c r="K35" s="72">
        <f>INDEX('PEER GROUP'!L:L,MATCH($A35,'PEER GROUP'!$A:$A,0))</f>
        <v>0</v>
      </c>
      <c r="L35" s="83">
        <f>INDEX('PEER GROUP'!N:N,MATCH($A35,'PEER GROUP'!$A:$A,0))</f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61" t="s">
        <v>34</v>
      </c>
      <c r="D5" s="161"/>
      <c r="E5" s="161"/>
      <c r="F5" s="161"/>
      <c r="G5" s="161"/>
      <c r="H5" s="161"/>
      <c r="I5" s="161"/>
      <c r="J5" s="161"/>
      <c r="K5" s="161"/>
    </row>
    <row r="6" spans="1:15" ht="25.5" customHeight="1" x14ac:dyDescent="0.3">
      <c r="C6" s="162" t="s">
        <v>69</v>
      </c>
      <c r="D6" s="162" t="s">
        <v>35</v>
      </c>
      <c r="E6" s="163" t="s">
        <v>36</v>
      </c>
      <c r="F6" s="163" t="s">
        <v>57</v>
      </c>
      <c r="G6" s="164" t="s">
        <v>37</v>
      </c>
      <c r="H6" s="163"/>
      <c r="I6" s="163"/>
      <c r="J6" s="163"/>
      <c r="K6" s="163" t="s">
        <v>38</v>
      </c>
    </row>
    <row r="7" spans="1:15" ht="25.5" customHeight="1" x14ac:dyDescent="0.3">
      <c r="C7" s="162"/>
      <c r="D7" s="162" t="s">
        <v>39</v>
      </c>
      <c r="E7" s="163" t="s">
        <v>39</v>
      </c>
      <c r="F7" s="163"/>
      <c r="G7" s="29" t="s">
        <v>40</v>
      </c>
      <c r="H7" s="29" t="s">
        <v>41</v>
      </c>
      <c r="I7" s="29" t="s">
        <v>42</v>
      </c>
      <c r="J7" s="29" t="s">
        <v>43</v>
      </c>
      <c r="K7" s="163"/>
    </row>
    <row r="8" spans="1:15" ht="30.75" customHeight="1" x14ac:dyDescent="0.3">
      <c r="A8" s="12">
        <v>100</v>
      </c>
      <c r="B8" s="12">
        <f>A8+0.99</f>
        <v>100.99</v>
      </c>
      <c r="C8" s="160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5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60"/>
      <c r="D9" s="30" t="s">
        <v>44</v>
      </c>
      <c r="E9" s="31">
        <f>INDEX('Form 990 - Position Title'!Z:Z,MATCH('Summary Table'!A9,'Form 990 - Position Title'!A:A,0))</f>
        <v>0</v>
      </c>
      <c r="F9" s="165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60"/>
      <c r="D10" s="30" t="s">
        <v>45</v>
      </c>
      <c r="E10" s="31">
        <f>INDEX('Form 990 - Position Title'!AD:AD,MATCH('Summary Table'!A10,'Form 990 - Position Title'!A:A,0))</f>
        <v>0</v>
      </c>
      <c r="F10" s="165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2024-05-28T21:35:27Z</dcterms:modified>
</cp:coreProperties>
</file>