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5DB3CE18-3206-459C-A378-4A75BF20F38C}" xr6:coauthVersionLast="47" xr6:coauthVersionMax="47" xr10:uidLastSave="{00000000-0000-0000-0000-000000000000}"/>
  <bookViews>
    <workbookView xWindow="-110" yWindow="-110" windowWidth="19420" windowHeight="1042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 localSheetId="3">[1]SETUP!$C$5</definedName>
    <definedName name="DataEffDate">SETUP!$C$5</definedName>
    <definedName name="_xlnm.Print_Area" localSheetId="2">'Form 990 - Position Title'!$B$1:$AD$44</definedName>
    <definedName name="_xlnm.Print_Area" localSheetId="3">'Form 990PF - Position Title'!$B$1:$W$44</definedName>
    <definedName name="_xlnm.Print_Area" localSheetId="1">'PEER GROUP'!$B$2:$N$43</definedName>
    <definedName name="_xlnm.Print_Area" localSheetId="4">'Summary Table'!$C$1:$K$10</definedName>
    <definedName name="UpdateFactor" localSheetId="3">[1]SETUP!$C$6</definedName>
    <definedName name="UpdateFactor">SETUP!$C$6</definedName>
    <definedName name="UpdateFactor_TEMP" localSheetId="3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5" i="6" l="1"/>
  <c r="F35" i="6"/>
  <c r="E35" i="6"/>
  <c r="D35" i="6"/>
  <c r="C35" i="6"/>
  <c r="B35" i="6"/>
  <c r="G34" i="6"/>
  <c r="F34" i="6"/>
  <c r="E34" i="6"/>
  <c r="D34" i="6"/>
  <c r="C34" i="6"/>
  <c r="B34" i="6"/>
  <c r="G33" i="6"/>
  <c r="F33" i="6"/>
  <c r="E33" i="6"/>
  <c r="S33" i="6" s="1"/>
  <c r="U33" i="6" s="1"/>
  <c r="D33" i="6"/>
  <c r="C33" i="6"/>
  <c r="B33" i="6"/>
  <c r="G32" i="6"/>
  <c r="F32" i="6"/>
  <c r="E32" i="6"/>
  <c r="D32" i="6"/>
  <c r="C32" i="6"/>
  <c r="B32" i="6"/>
  <c r="G31" i="6"/>
  <c r="F31" i="6"/>
  <c r="E31" i="6"/>
  <c r="D31" i="6"/>
  <c r="C31" i="6"/>
  <c r="B31" i="6"/>
  <c r="G30" i="6"/>
  <c r="F30" i="6"/>
  <c r="E30" i="6"/>
  <c r="D30" i="6"/>
  <c r="C30" i="6"/>
  <c r="B30" i="6"/>
  <c r="G29" i="6"/>
  <c r="F29" i="6"/>
  <c r="E29" i="6"/>
  <c r="S29" i="6" s="1"/>
  <c r="U29" i="6" s="1"/>
  <c r="D29" i="6"/>
  <c r="C29" i="6"/>
  <c r="B29" i="6"/>
  <c r="G28" i="6"/>
  <c r="F28" i="6"/>
  <c r="E28" i="6"/>
  <c r="D28" i="6"/>
  <c r="C28" i="6"/>
  <c r="B28" i="6"/>
  <c r="G27" i="6"/>
  <c r="F27" i="6"/>
  <c r="E27" i="6"/>
  <c r="D27" i="6"/>
  <c r="C27" i="6"/>
  <c r="B27" i="6"/>
  <c r="G26" i="6"/>
  <c r="F26" i="6"/>
  <c r="E26" i="6"/>
  <c r="D26" i="6"/>
  <c r="C26" i="6"/>
  <c r="B26" i="6"/>
  <c r="G25" i="6"/>
  <c r="F25" i="6"/>
  <c r="E25" i="6"/>
  <c r="S25" i="6" s="1"/>
  <c r="U25" i="6" s="1"/>
  <c r="D25" i="6"/>
  <c r="C25" i="6"/>
  <c r="B25" i="6"/>
  <c r="G24" i="6"/>
  <c r="F24" i="6"/>
  <c r="E24" i="6"/>
  <c r="D24" i="6"/>
  <c r="C24" i="6"/>
  <c r="B24" i="6"/>
  <c r="G23" i="6"/>
  <c r="F23" i="6"/>
  <c r="E23" i="6"/>
  <c r="D23" i="6"/>
  <c r="C23" i="6"/>
  <c r="B23" i="6"/>
  <c r="G22" i="6"/>
  <c r="F22" i="6"/>
  <c r="E22" i="6"/>
  <c r="D22" i="6"/>
  <c r="C22" i="6"/>
  <c r="B22" i="6"/>
  <c r="G21" i="6"/>
  <c r="F21" i="6"/>
  <c r="E21" i="6"/>
  <c r="D21" i="6"/>
  <c r="C21" i="6"/>
  <c r="B21" i="6"/>
  <c r="G20" i="6"/>
  <c r="F20" i="6"/>
  <c r="E20" i="6"/>
  <c r="D20" i="6"/>
  <c r="C20" i="6"/>
  <c r="B20" i="6"/>
  <c r="G19" i="6"/>
  <c r="F19" i="6"/>
  <c r="E19" i="6"/>
  <c r="D19" i="6"/>
  <c r="C19" i="6"/>
  <c r="B19" i="6"/>
  <c r="G18" i="6"/>
  <c r="F18" i="6"/>
  <c r="E18" i="6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D16" i="6"/>
  <c r="C16" i="6"/>
  <c r="B16" i="6"/>
  <c r="G15" i="6"/>
  <c r="F15" i="6"/>
  <c r="E15" i="6"/>
  <c r="D15" i="6"/>
  <c r="C15" i="6"/>
  <c r="B15" i="6"/>
  <c r="G14" i="6"/>
  <c r="F14" i="6"/>
  <c r="E14" i="6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D12" i="6"/>
  <c r="C12" i="6"/>
  <c r="B12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Z43" i="6"/>
  <c r="W43" i="6"/>
  <c r="L43" i="6"/>
  <c r="K43" i="6"/>
  <c r="J43" i="6"/>
  <c r="G43" i="6"/>
  <c r="F43" i="6"/>
  <c r="A43" i="6"/>
  <c r="AI35" i="6"/>
  <c r="AH35" i="6"/>
  <c r="AG35" i="6"/>
  <c r="AF35" i="6"/>
  <c r="AE35" i="6"/>
  <c r="AD35" i="6"/>
  <c r="AC35" i="6"/>
  <c r="R35" i="6"/>
  <c r="S35" i="6"/>
  <c r="AH34" i="6"/>
  <c r="AG34" i="6"/>
  <c r="AF34" i="6"/>
  <c r="AE34" i="6"/>
  <c r="AD34" i="6"/>
  <c r="AC34" i="6"/>
  <c r="R34" i="6"/>
  <c r="AI34" i="6" s="1"/>
  <c r="S34" i="6"/>
  <c r="AH33" i="6"/>
  <c r="AG33" i="6"/>
  <c r="AF33" i="6"/>
  <c r="AE33" i="6"/>
  <c r="AD33" i="6"/>
  <c r="AC33" i="6"/>
  <c r="R33" i="6"/>
  <c r="AI33" i="6" s="1"/>
  <c r="AI32" i="6"/>
  <c r="AH32" i="6"/>
  <c r="AG32" i="6"/>
  <c r="AF32" i="6"/>
  <c r="AE32" i="6"/>
  <c r="AD32" i="6"/>
  <c r="AC32" i="6"/>
  <c r="R32" i="6"/>
  <c r="S32" i="6"/>
  <c r="AI31" i="6"/>
  <c r="AH31" i="6"/>
  <c r="AG31" i="6"/>
  <c r="AF31" i="6"/>
  <c r="AE31" i="6"/>
  <c r="AD31" i="6"/>
  <c r="AC31" i="6"/>
  <c r="R31" i="6"/>
  <c r="S31" i="6"/>
  <c r="AH30" i="6"/>
  <c r="AG30" i="6"/>
  <c r="AF30" i="6"/>
  <c r="AE30" i="6"/>
  <c r="AD30" i="6"/>
  <c r="AC30" i="6"/>
  <c r="R30" i="6"/>
  <c r="AI30" i="6" s="1"/>
  <c r="S30" i="6"/>
  <c r="AH29" i="6"/>
  <c r="AG29" i="6"/>
  <c r="AF29" i="6"/>
  <c r="AE29" i="6"/>
  <c r="AD29" i="6"/>
  <c r="AC29" i="6"/>
  <c r="R29" i="6"/>
  <c r="AI29" i="6" s="1"/>
  <c r="AI28" i="6"/>
  <c r="AH28" i="6"/>
  <c r="AG28" i="6"/>
  <c r="AF28" i="6"/>
  <c r="AE28" i="6"/>
  <c r="AD28" i="6"/>
  <c r="AC28" i="6"/>
  <c r="R28" i="6"/>
  <c r="S28" i="6"/>
  <c r="AI27" i="6"/>
  <c r="AH27" i="6"/>
  <c r="AG27" i="6"/>
  <c r="AF27" i="6"/>
  <c r="AE27" i="6"/>
  <c r="AD27" i="6"/>
  <c r="AC27" i="6"/>
  <c r="R27" i="6"/>
  <c r="S27" i="6"/>
  <c r="AH26" i="6"/>
  <c r="AG26" i="6"/>
  <c r="AF26" i="6"/>
  <c r="AE26" i="6"/>
  <c r="AD26" i="6"/>
  <c r="AC26" i="6"/>
  <c r="R26" i="6"/>
  <c r="AI26" i="6" s="1"/>
  <c r="S26" i="6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S24" i="6"/>
  <c r="AI23" i="6"/>
  <c r="AH23" i="6"/>
  <c r="AG23" i="6"/>
  <c r="AF23" i="6"/>
  <c r="AE23" i="6"/>
  <c r="AD23" i="6"/>
  <c r="AC23" i="6"/>
  <c r="S23" i="6"/>
  <c r="T23" i="6" s="1"/>
  <c r="R23" i="6"/>
  <c r="AH22" i="6"/>
  <c r="AG22" i="6"/>
  <c r="AF22" i="6"/>
  <c r="AE22" i="6"/>
  <c r="AD22" i="6"/>
  <c r="AC22" i="6"/>
  <c r="R22" i="6"/>
  <c r="AI22" i="6" s="1"/>
  <c r="S22" i="6"/>
  <c r="AH21" i="6"/>
  <c r="AG21" i="6"/>
  <c r="AF21" i="6"/>
  <c r="AE21" i="6"/>
  <c r="AD21" i="6"/>
  <c r="AC21" i="6"/>
  <c r="S21" i="6"/>
  <c r="U21" i="6" s="1"/>
  <c r="R21" i="6"/>
  <c r="AI21" i="6" s="1"/>
  <c r="AI20" i="6"/>
  <c r="AH20" i="6"/>
  <c r="AG20" i="6"/>
  <c r="AF20" i="6"/>
  <c r="AE20" i="6"/>
  <c r="AD20" i="6"/>
  <c r="AC20" i="6"/>
  <c r="U20" i="6"/>
  <c r="S20" i="6"/>
  <c r="V20" i="6" s="1"/>
  <c r="R20" i="6"/>
  <c r="AI19" i="6"/>
  <c r="AH19" i="6"/>
  <c r="AG19" i="6"/>
  <c r="AF19" i="6"/>
  <c r="AE19" i="6"/>
  <c r="AD19" i="6"/>
  <c r="AC19" i="6"/>
  <c r="S19" i="6"/>
  <c r="T19" i="6" s="1"/>
  <c r="R19" i="6"/>
  <c r="AH18" i="6"/>
  <c r="AG18" i="6"/>
  <c r="AF18" i="6"/>
  <c r="AE18" i="6"/>
  <c r="AD18" i="6"/>
  <c r="AC18" i="6"/>
  <c r="R18" i="6"/>
  <c r="AI18" i="6" s="1"/>
  <c r="S18" i="6"/>
  <c r="AH17" i="6"/>
  <c r="AG17" i="6"/>
  <c r="AF17" i="6"/>
  <c r="AE17" i="6"/>
  <c r="AD17" i="6"/>
  <c r="AC17" i="6"/>
  <c r="R17" i="6"/>
  <c r="AI17" i="6" s="1"/>
  <c r="AI16" i="6"/>
  <c r="AH16" i="6"/>
  <c r="AG16" i="6"/>
  <c r="AF16" i="6"/>
  <c r="AE16" i="6"/>
  <c r="AD16" i="6"/>
  <c r="AC16" i="6"/>
  <c r="S16" i="6"/>
  <c r="V16" i="6" s="1"/>
  <c r="R16" i="6"/>
  <c r="AI15" i="6"/>
  <c r="AH15" i="6"/>
  <c r="AG15" i="6"/>
  <c r="AF15" i="6"/>
  <c r="AE15" i="6"/>
  <c r="AD15" i="6"/>
  <c r="AC15" i="6"/>
  <c r="S15" i="6"/>
  <c r="T15" i="6" s="1"/>
  <c r="R15" i="6"/>
  <c r="AH14" i="6"/>
  <c r="AG14" i="6"/>
  <c r="AF14" i="6"/>
  <c r="AE14" i="6"/>
  <c r="AD14" i="6"/>
  <c r="AC14" i="6"/>
  <c r="R14" i="6"/>
  <c r="AI14" i="6" s="1"/>
  <c r="S14" i="6"/>
  <c r="AH13" i="6"/>
  <c r="AG13" i="6"/>
  <c r="AF13" i="6"/>
  <c r="AE13" i="6"/>
  <c r="AD13" i="6"/>
  <c r="AC13" i="6"/>
  <c r="R13" i="6"/>
  <c r="AI13" i="6" s="1"/>
  <c r="AI12" i="6"/>
  <c r="AH12" i="6"/>
  <c r="AG12" i="6"/>
  <c r="AF12" i="6"/>
  <c r="AE12" i="6"/>
  <c r="AD12" i="6"/>
  <c r="AC12" i="6"/>
  <c r="S12" i="6"/>
  <c r="V12" i="6" s="1"/>
  <c r="R12" i="6"/>
  <c r="AI11" i="6"/>
  <c r="AH11" i="6"/>
  <c r="AG11" i="6"/>
  <c r="AF11" i="6"/>
  <c r="AE11" i="6"/>
  <c r="AD11" i="6"/>
  <c r="AC11" i="6"/>
  <c r="S11" i="6"/>
  <c r="T11" i="6" s="1"/>
  <c r="R11" i="6"/>
  <c r="AH10" i="6"/>
  <c r="AG10" i="6"/>
  <c r="AF10" i="6"/>
  <c r="AE10" i="6"/>
  <c r="AD10" i="6"/>
  <c r="AC10" i="6"/>
  <c r="S10" i="6"/>
  <c r="V10" i="6" s="1"/>
  <c r="R10" i="6"/>
  <c r="AI10" i="6" s="1"/>
  <c r="AH9" i="6"/>
  <c r="AG9" i="6"/>
  <c r="AF9" i="6"/>
  <c r="AE9" i="6"/>
  <c r="AD9" i="6"/>
  <c r="AC9" i="6"/>
  <c r="R9" i="6"/>
  <c r="AI9" i="6" s="1"/>
  <c r="AI8" i="6"/>
  <c r="AH8" i="6"/>
  <c r="AG8" i="6"/>
  <c r="AF8" i="6"/>
  <c r="AE8" i="6"/>
  <c r="AD8" i="6"/>
  <c r="AC8" i="6"/>
  <c r="S8" i="6"/>
  <c r="V8" i="6" s="1"/>
  <c r="R8" i="6"/>
  <c r="L41" i="6"/>
  <c r="K39" i="6"/>
  <c r="AI7" i="6"/>
  <c r="AH7" i="6"/>
  <c r="AG7" i="6"/>
  <c r="AF7" i="6"/>
  <c r="AE7" i="6"/>
  <c r="AD7" i="6"/>
  <c r="AC7" i="6"/>
  <c r="V7" i="6"/>
  <c r="U7" i="6"/>
  <c r="S7" i="6"/>
  <c r="T7" i="6" s="1"/>
  <c r="R7" i="6"/>
  <c r="J39" i="6"/>
  <c r="AH6" i="6"/>
  <c r="AG6" i="6"/>
  <c r="AF6" i="6"/>
  <c r="AE6" i="6"/>
  <c r="AD6" i="6"/>
  <c r="AC6" i="6"/>
  <c r="S6" i="6"/>
  <c r="U6" i="6" s="1"/>
  <c r="R6" i="6"/>
  <c r="AI6" i="6" s="1"/>
  <c r="L38" i="6"/>
  <c r="K38" i="6"/>
  <c r="J38" i="6"/>
  <c r="S1" i="6"/>
  <c r="B4" i="6" s="1"/>
  <c r="B1" i="6"/>
  <c r="B43" i="6" s="1"/>
  <c r="U8" i="6" l="1"/>
  <c r="U19" i="6"/>
  <c r="W19" i="6" s="1"/>
  <c r="U12" i="6"/>
  <c r="U16" i="6"/>
  <c r="W7" i="6"/>
  <c r="U15" i="6"/>
  <c r="U23" i="6"/>
  <c r="W23" i="6"/>
  <c r="U11" i="6"/>
  <c r="V11" i="6"/>
  <c r="V15" i="6"/>
  <c r="W15" i="6" s="1"/>
  <c r="V19" i="6"/>
  <c r="V23" i="6"/>
  <c r="V32" i="6"/>
  <c r="U32" i="6"/>
  <c r="T32" i="6"/>
  <c r="V34" i="6"/>
  <c r="U34" i="6"/>
  <c r="T34" i="6"/>
  <c r="V35" i="6"/>
  <c r="U35" i="6"/>
  <c r="T35" i="6"/>
  <c r="V24" i="6"/>
  <c r="U24" i="6"/>
  <c r="T24" i="6"/>
  <c r="V26" i="6"/>
  <c r="T26" i="6"/>
  <c r="U26" i="6"/>
  <c r="V27" i="6"/>
  <c r="U27" i="6"/>
  <c r="T27" i="6"/>
  <c r="V28" i="6"/>
  <c r="U28" i="6"/>
  <c r="T28" i="6"/>
  <c r="L44" i="6"/>
  <c r="U14" i="6"/>
  <c r="V14" i="6"/>
  <c r="T14" i="6"/>
  <c r="U18" i="6"/>
  <c r="V18" i="6"/>
  <c r="T18" i="6"/>
  <c r="U22" i="6"/>
  <c r="U38" i="6" s="1"/>
  <c r="V22" i="6"/>
  <c r="T22" i="6"/>
  <c r="V30" i="6"/>
  <c r="U30" i="6"/>
  <c r="T30" i="6"/>
  <c r="V31" i="6"/>
  <c r="U31" i="6"/>
  <c r="T31" i="6"/>
  <c r="W31" i="6" s="1"/>
  <c r="T6" i="6"/>
  <c r="U9" i="6"/>
  <c r="T8" i="6"/>
  <c r="W8" i="6" s="1"/>
  <c r="V9" i="6"/>
  <c r="T12" i="6"/>
  <c r="V13" i="6"/>
  <c r="T16" i="6"/>
  <c r="W16" i="6" s="1"/>
  <c r="V17" i="6"/>
  <c r="T20" i="6"/>
  <c r="W20" i="6" s="1"/>
  <c r="V21" i="6"/>
  <c r="V25" i="6"/>
  <c r="V29" i="6"/>
  <c r="V33" i="6"/>
  <c r="R43" i="6"/>
  <c r="J41" i="6"/>
  <c r="J40" i="6"/>
  <c r="K41" i="6"/>
  <c r="T10" i="6"/>
  <c r="K40" i="6"/>
  <c r="U10" i="6"/>
  <c r="L40" i="6"/>
  <c r="V6" i="6"/>
  <c r="T13" i="6"/>
  <c r="W13" i="6" s="1"/>
  <c r="T17" i="6"/>
  <c r="W17" i="6" s="1"/>
  <c r="T21" i="6"/>
  <c r="W21" i="6" s="1"/>
  <c r="T25" i="6"/>
  <c r="T29" i="6"/>
  <c r="T33" i="6"/>
  <c r="W33" i="6" s="1"/>
  <c r="L39" i="6"/>
  <c r="W11" i="6" l="1"/>
  <c r="W14" i="6"/>
  <c r="J44" i="6"/>
  <c r="W24" i="6"/>
  <c r="W12" i="6"/>
  <c r="W29" i="6"/>
  <c r="W10" i="6"/>
  <c r="W9" i="6"/>
  <c r="W26" i="6"/>
  <c r="W27" i="6"/>
  <c r="U39" i="6"/>
  <c r="W25" i="6"/>
  <c r="U41" i="6"/>
  <c r="W34" i="6"/>
  <c r="K44" i="6"/>
  <c r="T39" i="6"/>
  <c r="AC43" i="6" s="1"/>
  <c r="W6" i="6"/>
  <c r="T40" i="6"/>
  <c r="AB43" i="6" s="1"/>
  <c r="T41" i="6"/>
  <c r="T38" i="6"/>
  <c r="AD43" i="6" s="1"/>
  <c r="W22" i="6"/>
  <c r="U40" i="6"/>
  <c r="W28" i="6"/>
  <c r="W32" i="6"/>
  <c r="W18" i="6"/>
  <c r="V41" i="6"/>
  <c r="V38" i="6"/>
  <c r="V39" i="6"/>
  <c r="V40" i="6"/>
  <c r="W30" i="6"/>
  <c r="W35" i="6"/>
  <c r="W38" i="6" l="1"/>
  <c r="AH43" i="6" s="1"/>
  <c r="W39" i="6"/>
  <c r="AG43" i="6" s="1"/>
  <c r="W40" i="6"/>
  <c r="AF43" i="6" s="1"/>
  <c r="W41" i="6"/>
  <c r="T44" i="6"/>
  <c r="AA43" i="6"/>
  <c r="AE43" i="6" l="1"/>
  <c r="W44" i="6"/>
  <c r="N41" i="1" l="1"/>
  <c r="N40" i="1"/>
  <c r="N39" i="1"/>
  <c r="N38" i="1"/>
  <c r="H38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6" i="2"/>
  <c r="M38" i="2" l="1"/>
  <c r="W1" i="2"/>
  <c r="R7" i="2" l="1"/>
  <c r="V7" i="2" s="1"/>
  <c r="M35" i="1" l="1"/>
  <c r="L35" i="2" s="1"/>
  <c r="M34" i="1"/>
  <c r="L34" i="2" s="1"/>
  <c r="M33" i="1"/>
  <c r="L33" i="2" s="1"/>
  <c r="M32" i="1"/>
  <c r="L32" i="2" s="1"/>
  <c r="M31" i="1"/>
  <c r="L31" i="2" s="1"/>
  <c r="M30" i="1"/>
  <c r="L30" i="2" s="1"/>
  <c r="M29" i="1"/>
  <c r="L29" i="2" s="1"/>
  <c r="M28" i="1"/>
  <c r="L28" i="2" s="1"/>
  <c r="M27" i="1"/>
  <c r="L27" i="2" s="1"/>
  <c r="M26" i="1"/>
  <c r="L26" i="2" s="1"/>
  <c r="M25" i="1"/>
  <c r="L25" i="2" s="1"/>
  <c r="M24" i="1"/>
  <c r="L24" i="2" s="1"/>
  <c r="M23" i="1"/>
  <c r="L23" i="2" s="1"/>
  <c r="M22" i="1"/>
  <c r="L22" i="2" s="1"/>
  <c r="M21" i="1"/>
  <c r="L21" i="2" s="1"/>
  <c r="M20" i="1"/>
  <c r="L20" i="2" s="1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35" i="1"/>
  <c r="K35" i="2" s="1"/>
  <c r="L34" i="1"/>
  <c r="K34" i="2" s="1"/>
  <c r="L33" i="1"/>
  <c r="K33" i="2" s="1"/>
  <c r="L32" i="1"/>
  <c r="K32" i="2" s="1"/>
  <c r="L31" i="1"/>
  <c r="K31" i="2" s="1"/>
  <c r="L30" i="1"/>
  <c r="K30" i="2" s="1"/>
  <c r="L29" i="1"/>
  <c r="K29" i="2" s="1"/>
  <c r="L28" i="1"/>
  <c r="K28" i="2" s="1"/>
  <c r="L27" i="1"/>
  <c r="K27" i="2" s="1"/>
  <c r="L26" i="1"/>
  <c r="K26" i="2" s="1"/>
  <c r="L25" i="1"/>
  <c r="K25" i="2" s="1"/>
  <c r="L24" i="1"/>
  <c r="K24" i="2" s="1"/>
  <c r="L23" i="1"/>
  <c r="K23" i="2" s="1"/>
  <c r="L22" i="1"/>
  <c r="K22" i="2" s="1"/>
  <c r="L21" i="1"/>
  <c r="K21" i="2" s="1"/>
  <c r="L20" i="1"/>
  <c r="K20" i="2" s="1"/>
  <c r="L19" i="1"/>
  <c r="K19" i="2" s="1"/>
  <c r="L18" i="1"/>
  <c r="K18" i="2" s="1"/>
  <c r="L17" i="1"/>
  <c r="K17" i="2" s="1"/>
  <c r="L16" i="1"/>
  <c r="K16" i="2" s="1"/>
  <c r="L15" i="1"/>
  <c r="K15" i="2" s="1"/>
  <c r="L14" i="1"/>
  <c r="K14" i="2" s="1"/>
  <c r="L13" i="1"/>
  <c r="K13" i="2" s="1"/>
  <c r="L12" i="1"/>
  <c r="K12" i="2" s="1"/>
  <c r="L11" i="1"/>
  <c r="K11" i="2" s="1"/>
  <c r="L10" i="1"/>
  <c r="K10" i="2" s="1"/>
  <c r="L9" i="1"/>
  <c r="K9" i="2" s="1"/>
  <c r="L8" i="1"/>
  <c r="K8" i="2" s="1"/>
  <c r="L7" i="1"/>
  <c r="K7" i="2" s="1"/>
  <c r="L6" i="1"/>
  <c r="K6" i="2" s="1"/>
  <c r="K7" i="1"/>
  <c r="J7" i="2" s="1"/>
  <c r="K8" i="1"/>
  <c r="J8" i="2" s="1"/>
  <c r="K9" i="1"/>
  <c r="J9" i="2" s="1"/>
  <c r="K10" i="1"/>
  <c r="J10" i="2" s="1"/>
  <c r="K11" i="1"/>
  <c r="J11" i="2" s="1"/>
  <c r="K12" i="1"/>
  <c r="J12" i="2" s="1"/>
  <c r="K13" i="1"/>
  <c r="J13" i="2" s="1"/>
  <c r="K14" i="1"/>
  <c r="J14" i="2" s="1"/>
  <c r="K15" i="1"/>
  <c r="J15" i="2" s="1"/>
  <c r="K16" i="1"/>
  <c r="J16" i="2" s="1"/>
  <c r="K17" i="1"/>
  <c r="J17" i="2" s="1"/>
  <c r="K18" i="1"/>
  <c r="J18" i="2" s="1"/>
  <c r="K19" i="1"/>
  <c r="J19" i="2" s="1"/>
  <c r="K20" i="1"/>
  <c r="J20" i="2" s="1"/>
  <c r="K21" i="1"/>
  <c r="J21" i="2" s="1"/>
  <c r="K22" i="1"/>
  <c r="J22" i="2" s="1"/>
  <c r="K23" i="1"/>
  <c r="J23" i="2" s="1"/>
  <c r="K24" i="1"/>
  <c r="J24" i="2" s="1"/>
  <c r="K25" i="1"/>
  <c r="J25" i="2" s="1"/>
  <c r="K26" i="1"/>
  <c r="J26" i="2" s="1"/>
  <c r="K27" i="1"/>
  <c r="J27" i="2" s="1"/>
  <c r="K28" i="1"/>
  <c r="J28" i="2" s="1"/>
  <c r="K29" i="1"/>
  <c r="J29" i="2" s="1"/>
  <c r="K30" i="1"/>
  <c r="J30" i="2" s="1"/>
  <c r="K31" i="1"/>
  <c r="J31" i="2" s="1"/>
  <c r="K32" i="1"/>
  <c r="J32" i="2" s="1"/>
  <c r="K33" i="1"/>
  <c r="J33" i="2" s="1"/>
  <c r="K34" i="1"/>
  <c r="J34" i="2" s="1"/>
  <c r="K35" i="1"/>
  <c r="J35" i="2" s="1"/>
  <c r="K6" i="1"/>
  <c r="J6" i="2" s="1"/>
  <c r="M39" i="1" l="1"/>
  <c r="J38" i="2"/>
  <c r="J41" i="2"/>
  <c r="L6" i="2"/>
  <c r="G43" i="2"/>
  <c r="F43" i="2"/>
  <c r="AS35" i="2"/>
  <c r="AR35" i="2"/>
  <c r="AQ35" i="2"/>
  <c r="AO35" i="2"/>
  <c r="AN35" i="2"/>
  <c r="V35" i="2"/>
  <c r="AT35" i="2" s="1"/>
  <c r="R35" i="2"/>
  <c r="AP35" i="2" s="1"/>
  <c r="W35" i="2"/>
  <c r="AS34" i="2"/>
  <c r="AR34" i="2"/>
  <c r="AQ34" i="2"/>
  <c r="AO34" i="2"/>
  <c r="AN34" i="2"/>
  <c r="R34" i="2"/>
  <c r="AP34" i="2" s="1"/>
  <c r="W34" i="2"/>
  <c r="AS33" i="2"/>
  <c r="AR33" i="2"/>
  <c r="AQ33" i="2"/>
  <c r="AO33" i="2"/>
  <c r="AN33" i="2"/>
  <c r="R33" i="2"/>
  <c r="AP33" i="2" s="1"/>
  <c r="W33" i="2"/>
  <c r="AS32" i="2"/>
  <c r="AR32" i="2"/>
  <c r="AQ32" i="2"/>
  <c r="AO32" i="2"/>
  <c r="AN32" i="2"/>
  <c r="R32" i="2"/>
  <c r="AP32" i="2" s="1"/>
  <c r="W32" i="2"/>
  <c r="AS31" i="2"/>
  <c r="AR31" i="2"/>
  <c r="AQ31" i="2"/>
  <c r="AO31" i="2"/>
  <c r="AN31" i="2"/>
  <c r="R31" i="2"/>
  <c r="V31" i="2" s="1"/>
  <c r="AT31" i="2" s="1"/>
  <c r="W31" i="2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43" i="1"/>
  <c r="I43" i="1"/>
  <c r="H43" i="1"/>
  <c r="J41" i="1"/>
  <c r="J39" i="1"/>
  <c r="J38" i="1"/>
  <c r="I41" i="1"/>
  <c r="I39" i="1"/>
  <c r="I38" i="1"/>
  <c r="H41" i="1"/>
  <c r="H39" i="1"/>
  <c r="N43" i="1"/>
  <c r="M43" i="2" s="1"/>
  <c r="G43" i="1"/>
  <c r="F43" i="1"/>
  <c r="B2" i="1"/>
  <c r="M43" i="1" l="1"/>
  <c r="L43" i="2" s="1"/>
  <c r="J43" i="2"/>
  <c r="K43" i="1"/>
  <c r="K43" i="2"/>
  <c r="L43" i="1"/>
  <c r="V34" i="2"/>
  <c r="AT34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35" i="2"/>
  <c r="AA35" i="2"/>
  <c r="X35" i="2"/>
  <c r="Y35" i="2"/>
  <c r="AB35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Y32" i="2"/>
  <c r="AC32" i="2"/>
  <c r="AB32" i="2"/>
  <c r="X32" i="2"/>
  <c r="AA32" i="2"/>
  <c r="AA33" i="2"/>
  <c r="X33" i="2"/>
  <c r="AC33" i="2"/>
  <c r="AB33" i="2"/>
  <c r="Y33" i="2"/>
  <c r="X34" i="2"/>
  <c r="AB34" i="2"/>
  <c r="Y34" i="2"/>
  <c r="AA34" i="2"/>
  <c r="AC34" i="2"/>
  <c r="AB22" i="2"/>
  <c r="AA22" i="2"/>
  <c r="AC22" i="2"/>
  <c r="Y22" i="2"/>
  <c r="X22" i="2"/>
  <c r="X26" i="2"/>
  <c r="AB26" i="2"/>
  <c r="Y26" i="2"/>
  <c r="AA26" i="2"/>
  <c r="AC26" i="2"/>
  <c r="Y31" i="2"/>
  <c r="AB31" i="2"/>
  <c r="AA31" i="2"/>
  <c r="AC31" i="2"/>
  <c r="X31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Z28" i="2" l="1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33" i="2"/>
  <c r="AD33" i="2" s="1"/>
  <c r="Z31" i="2"/>
  <c r="AD31" i="2" s="1"/>
  <c r="Z34" i="2"/>
  <c r="AD34" i="2" s="1"/>
  <c r="Z35" i="2"/>
  <c r="AD35" i="2" s="1"/>
  <c r="Z22" i="2"/>
  <c r="AD22" i="2" s="1"/>
  <c r="Z32" i="2"/>
  <c r="AD32" i="2" s="1"/>
  <c r="M41" i="1"/>
  <c r="M40" i="1"/>
  <c r="M38" i="1"/>
  <c r="L41" i="1"/>
  <c r="L40" i="1"/>
  <c r="L39" i="1"/>
  <c r="L38" i="1"/>
  <c r="J40" i="1"/>
  <c r="I40" i="1"/>
  <c r="H40" i="1"/>
  <c r="A43" i="2"/>
  <c r="C8" i="4" s="1"/>
  <c r="B43" i="2"/>
  <c r="C1" i="4"/>
  <c r="W7" i="2" l="1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E8" i="4"/>
  <c r="B10" i="4"/>
  <c r="B9" i="4"/>
  <c r="B8" i="4"/>
  <c r="AG43" i="2"/>
  <c r="AC13" i="2" l="1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43" i="2"/>
  <c r="E9" i="4" s="1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Z20" i="2" l="1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43" i="2"/>
  <c r="E10" i="4" s="1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40" i="1"/>
  <c r="K41" i="1"/>
  <c r="K39" i="1"/>
  <c r="K38" i="1"/>
  <c r="B43" i="1"/>
  <c r="AC6" i="2" l="1"/>
  <c r="AA6" i="2"/>
  <c r="Y6" i="2"/>
  <c r="X6" i="2"/>
  <c r="AB6" i="2"/>
  <c r="V43" i="2"/>
  <c r="F8" i="4" s="1"/>
  <c r="M40" i="2"/>
  <c r="M39" i="2"/>
  <c r="M41" i="2"/>
  <c r="L41" i="2"/>
  <c r="L40" i="2"/>
  <c r="L39" i="2"/>
  <c r="L38" i="2"/>
  <c r="K41" i="2"/>
  <c r="K40" i="2"/>
  <c r="K39" i="2"/>
  <c r="K38" i="2"/>
  <c r="J40" i="2"/>
  <c r="J44" i="2" s="1"/>
  <c r="J39" i="2"/>
  <c r="AB41" i="2" l="1"/>
  <c r="AB40" i="2"/>
  <c r="K44" i="2"/>
  <c r="X41" i="2"/>
  <c r="X40" i="2"/>
  <c r="Y41" i="2"/>
  <c r="Y40" i="2"/>
  <c r="L44" i="2"/>
  <c r="AA41" i="2"/>
  <c r="AA40" i="2"/>
  <c r="AC41" i="2"/>
  <c r="AC40" i="2"/>
  <c r="M44" i="2"/>
  <c r="Z6" i="2"/>
  <c r="AA38" i="2"/>
  <c r="AA39" i="2"/>
  <c r="Z41" i="2" l="1"/>
  <c r="Z44" i="2" s="1"/>
  <c r="Z40" i="2"/>
  <c r="X44" i="2"/>
  <c r="AI43" i="2"/>
  <c r="H8" i="4" s="1"/>
  <c r="X39" i="2"/>
  <c r="AJ43" i="2" s="1"/>
  <c r="I8" i="4" s="1"/>
  <c r="X38" i="2"/>
  <c r="AK43" i="2" s="1"/>
  <c r="J8" i="4" s="1"/>
  <c r="Z38" i="2"/>
  <c r="AO43" i="2" s="1"/>
  <c r="J9" i="4" s="1"/>
  <c r="Z39" i="2"/>
  <c r="AN43" i="2" s="1"/>
  <c r="I9" i="4" s="1"/>
  <c r="AB39" i="2"/>
  <c r="AB38" i="2"/>
  <c r="AC39" i="2"/>
  <c r="AC38" i="2"/>
  <c r="Y38" i="2"/>
  <c r="Y39" i="2"/>
  <c r="AD6" i="2"/>
  <c r="AL43" i="2" l="1"/>
  <c r="G9" i="4" s="1"/>
  <c r="AD41" i="2"/>
  <c r="AD44" i="2" s="1"/>
  <c r="AD40" i="2"/>
  <c r="AQ43" i="2" s="1"/>
  <c r="H10" i="4" s="1"/>
  <c r="AD38" i="2"/>
  <c r="AS43" i="2" s="1"/>
  <c r="J10" i="4" s="1"/>
  <c r="AD39" i="2"/>
  <c r="AR43" i="2" s="1"/>
  <c r="I10" i="4" s="1"/>
  <c r="AH43" i="2"/>
  <c r="G8" i="4" s="1"/>
  <c r="K8" i="4" s="1"/>
  <c r="AM43" i="2"/>
  <c r="H9" i="4" s="1"/>
  <c r="K9" i="4" s="1"/>
  <c r="AP43" i="2" l="1"/>
  <c r="G10" i="4" s="1"/>
  <c r="K10" i="4" s="1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<sst xmlns="http://schemas.openxmlformats.org/spreadsheetml/2006/main" count="164" uniqueCount="74">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</sst>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7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8" fillId="0" borderId="9" xfId="0" applyFont="1" applyBorder="1"/>
    <xf numFmtId="0" fontId="8" fillId="0" borderId="10" xfId="0" applyFont="1" applyBorder="1"/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5">
          <cell r="C5">
            <v>44927</v>
          </cell>
        </row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43"/>
  <sheetViews>
    <sheetView showGridLines="0" topLeftCell="A2" zoomScale="80" zoomScaleNormal="80" workbookViewId="0">
      <selection activeCell="B13" sqref="B1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5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6" t="s">
        <v>11</v>
      </c>
    </row>
    <row r="6" spans="1:15" ht="27" customHeight="1" x14ac:dyDescent="0.3">
      <c r="A6" s="125">
        <v>1</v>
      </c>
      <c r="B6" s="143" t="s">
        <v>67</v>
      </c>
      <c r="C6" s="90"/>
      <c r="D6" s="80">
        <v>44651</v>
      </c>
      <c r="E6" s="80">
        <v>44561</v>
      </c>
      <c r="F6" s="90"/>
      <c r="G6" s="90"/>
      <c r="H6" s="69">
        <v>77362594</v>
      </c>
      <c r="I6" s="69">
        <v>45450752</v>
      </c>
      <c r="J6" s="69">
        <v>40354963</v>
      </c>
      <c r="K6" s="69">
        <f>H6/1000000</f>
        <v>77.362594000000001</v>
      </c>
      <c r="L6" s="69">
        <f>I6/1000000</f>
        <v>45.450752000000001</v>
      </c>
      <c r="M6" s="69">
        <f>J6/1000000</f>
        <v>40.354962999999998</v>
      </c>
      <c r="N6" s="127"/>
      <c r="O6" s="126"/>
    </row>
    <row r="7" spans="1:15" ht="27" customHeight="1" x14ac:dyDescent="0.3">
      <c r="A7" s="125">
        <v>2</v>
      </c>
      <c r="B7" s="144" t="s">
        <v>68</v>
      </c>
      <c r="C7" s="98"/>
      <c r="D7" s="85">
        <v>44561</v>
      </c>
      <c r="E7" s="85">
        <v>44561</v>
      </c>
      <c r="F7" s="98"/>
      <c r="G7" s="98"/>
      <c r="H7" s="72">
        <v>64267240</v>
      </c>
      <c r="I7" s="72">
        <v>35324557</v>
      </c>
      <c r="J7" s="72">
        <v>35660414</v>
      </c>
      <c r="K7" s="72">
        <f t="shared" ref="K7:M35" si="0">H7/1000000</f>
        <v>64.267240000000001</v>
      </c>
      <c r="L7" s="72">
        <f t="shared" si="0"/>
        <v>35.324556999999999</v>
      </c>
      <c r="M7" s="72">
        <f t="shared" si="0"/>
        <v>35.660414000000003</v>
      </c>
      <c r="N7" s="128"/>
      <c r="O7" s="126"/>
    </row>
    <row r="8" spans="1:15" ht="27" customHeight="1" x14ac:dyDescent="0.3">
      <c r="A8" s="125">
        <v>3</v>
      </c>
      <c r="B8" s="144"/>
      <c r="C8" s="98"/>
      <c r="D8" s="85"/>
      <c r="E8" s="85"/>
      <c r="F8" s="98"/>
      <c r="G8" s="98"/>
      <c r="H8" s="72"/>
      <c r="I8" s="72"/>
      <c r="J8" s="72"/>
      <c r="K8" s="72">
        <f t="shared" si="0"/>
        <v>0</v>
      </c>
      <c r="L8" s="72">
        <f t="shared" si="0"/>
        <v>0</v>
      </c>
      <c r="M8" s="72">
        <f t="shared" si="0"/>
        <v>0</v>
      </c>
      <c r="N8" s="128"/>
      <c r="O8" s="126"/>
    </row>
    <row r="9" spans="1:15" ht="27" customHeight="1" x14ac:dyDescent="0.3">
      <c r="A9" s="125">
        <v>4</v>
      </c>
      <c r="B9" s="144"/>
      <c r="C9" s="98"/>
      <c r="D9" s="85"/>
      <c r="E9" s="85"/>
      <c r="F9" s="98"/>
      <c r="G9" s="98"/>
      <c r="H9" s="72"/>
      <c r="I9" s="72"/>
      <c r="J9" s="72"/>
      <c r="K9" s="72">
        <f t="shared" si="0"/>
        <v>0</v>
      </c>
      <c r="L9" s="72">
        <f t="shared" si="0"/>
        <v>0</v>
      </c>
      <c r="M9" s="72">
        <f t="shared" si="0"/>
        <v>0</v>
      </c>
      <c r="N9" s="128"/>
      <c r="O9" s="126"/>
    </row>
    <row r="10" spans="1:15" ht="27" customHeight="1" x14ac:dyDescent="0.3">
      <c r="A10" s="125">
        <v>5</v>
      </c>
      <c r="B10" s="144"/>
      <c r="C10" s="98"/>
      <c r="D10" s="85"/>
      <c r="E10" s="85"/>
      <c r="F10" s="98"/>
      <c r="G10" s="98"/>
      <c r="H10" s="72"/>
      <c r="I10" s="72"/>
      <c r="J10" s="72"/>
      <c r="K10" s="72">
        <f t="shared" si="0"/>
        <v>0</v>
      </c>
      <c r="L10" s="72">
        <f t="shared" si="0"/>
        <v>0</v>
      </c>
      <c r="M10" s="72">
        <f t="shared" si="0"/>
        <v>0</v>
      </c>
      <c r="N10" s="128"/>
      <c r="O10" s="126"/>
    </row>
    <row r="11" spans="1:15" ht="27" customHeight="1" x14ac:dyDescent="0.3">
      <c r="A11" s="125">
        <v>6</v>
      </c>
      <c r="B11" s="144"/>
      <c r="C11" s="98"/>
      <c r="D11" s="85"/>
      <c r="E11" s="85"/>
      <c r="F11" s="98"/>
      <c r="G11" s="98"/>
      <c r="H11" s="72"/>
      <c r="I11" s="72"/>
      <c r="J11" s="72"/>
      <c r="K11" s="72">
        <f t="shared" si="0"/>
        <v>0</v>
      </c>
      <c r="L11" s="72">
        <f t="shared" si="0"/>
        <v>0</v>
      </c>
      <c r="M11" s="72">
        <f t="shared" si="0"/>
        <v>0</v>
      </c>
      <c r="N11" s="128"/>
      <c r="O11" s="126"/>
    </row>
    <row r="12" spans="1:15" ht="27" customHeight="1" x14ac:dyDescent="0.3">
      <c r="A12" s="125">
        <v>7</v>
      </c>
      <c r="B12" s="144"/>
      <c r="C12" s="98"/>
      <c r="D12" s="85"/>
      <c r="E12" s="85"/>
      <c r="F12" s="98"/>
      <c r="G12" s="98"/>
      <c r="H12" s="72"/>
      <c r="I12" s="72"/>
      <c r="J12" s="72"/>
      <c r="K12" s="72">
        <f t="shared" si="0"/>
        <v>0</v>
      </c>
      <c r="L12" s="72">
        <f t="shared" si="0"/>
        <v>0</v>
      </c>
      <c r="M12" s="72">
        <f t="shared" si="0"/>
        <v>0</v>
      </c>
      <c r="N12" s="128"/>
      <c r="O12" s="126"/>
    </row>
    <row r="13" spans="1:15" ht="27" customHeight="1" x14ac:dyDescent="0.3">
      <c r="A13" s="125">
        <v>8</v>
      </c>
      <c r="B13" s="144"/>
      <c r="C13" s="98"/>
      <c r="D13" s="85"/>
      <c r="E13" s="85"/>
      <c r="F13" s="98"/>
      <c r="G13" s="98"/>
      <c r="H13" s="72"/>
      <c r="I13" s="72"/>
      <c r="J13" s="72"/>
      <c r="K13" s="72">
        <f t="shared" si="0"/>
        <v>0</v>
      </c>
      <c r="L13" s="72">
        <f t="shared" si="0"/>
        <v>0</v>
      </c>
      <c r="M13" s="72">
        <f t="shared" si="0"/>
        <v>0</v>
      </c>
      <c r="N13" s="128"/>
      <c r="O13" s="126"/>
    </row>
    <row r="14" spans="1:15" ht="27" customHeight="1" x14ac:dyDescent="0.3">
      <c r="A14" s="125">
        <v>9</v>
      </c>
      <c r="B14" s="144"/>
      <c r="C14" s="98"/>
      <c r="D14" s="85"/>
      <c r="E14" s="85"/>
      <c r="F14" s="98"/>
      <c r="G14" s="98"/>
      <c r="H14" s="72"/>
      <c r="I14" s="72"/>
      <c r="J14" s="72"/>
      <c r="K14" s="72">
        <f t="shared" si="0"/>
        <v>0</v>
      </c>
      <c r="L14" s="72">
        <f t="shared" si="0"/>
        <v>0</v>
      </c>
      <c r="M14" s="72">
        <f t="shared" si="0"/>
        <v>0</v>
      </c>
      <c r="N14" s="128"/>
      <c r="O14" s="126"/>
    </row>
    <row r="15" spans="1:15" ht="27" customHeight="1" x14ac:dyDescent="0.3">
      <c r="A15" s="125">
        <v>10</v>
      </c>
      <c r="B15" s="144"/>
      <c r="C15" s="98"/>
      <c r="D15" s="85"/>
      <c r="E15" s="85"/>
      <c r="F15" s="98"/>
      <c r="G15" s="98"/>
      <c r="H15" s="72"/>
      <c r="I15" s="72"/>
      <c r="J15" s="72"/>
      <c r="K15" s="72">
        <f t="shared" si="0"/>
        <v>0</v>
      </c>
      <c r="L15" s="72">
        <f t="shared" si="0"/>
        <v>0</v>
      </c>
      <c r="M15" s="72">
        <f t="shared" si="0"/>
        <v>0</v>
      </c>
      <c r="N15" s="128"/>
      <c r="O15" s="126"/>
    </row>
    <row r="16" spans="1:15" ht="27" customHeight="1" x14ac:dyDescent="0.3">
      <c r="A16" s="125">
        <v>11</v>
      </c>
      <c r="B16" s="144"/>
      <c r="C16" s="98"/>
      <c r="D16" s="85"/>
      <c r="E16" s="85"/>
      <c r="F16" s="98"/>
      <c r="G16" s="98"/>
      <c r="H16" s="72"/>
      <c r="I16" s="72"/>
      <c r="J16" s="72"/>
      <c r="K16" s="72">
        <f t="shared" si="0"/>
        <v>0</v>
      </c>
      <c r="L16" s="72">
        <f t="shared" si="0"/>
        <v>0</v>
      </c>
      <c r="M16" s="72">
        <f t="shared" si="0"/>
        <v>0</v>
      </c>
      <c r="N16" s="128"/>
      <c r="O16" s="126"/>
    </row>
    <row r="17" spans="1:15" ht="27" customHeight="1" x14ac:dyDescent="0.3">
      <c r="A17" s="125">
        <v>12</v>
      </c>
      <c r="B17" s="129"/>
      <c r="C17" s="98"/>
      <c r="D17" s="85"/>
      <c r="E17" s="85"/>
      <c r="F17" s="98"/>
      <c r="G17" s="98"/>
      <c r="H17" s="72"/>
      <c r="I17" s="72"/>
      <c r="J17" s="72"/>
      <c r="K17" s="72">
        <f t="shared" si="0"/>
        <v>0</v>
      </c>
      <c r="L17" s="72">
        <f t="shared" si="0"/>
        <v>0</v>
      </c>
      <c r="M17" s="72">
        <f t="shared" si="0"/>
        <v>0</v>
      </c>
      <c r="N17" s="128"/>
      <c r="O17" s="126"/>
    </row>
    <row r="18" spans="1:15" ht="27" customHeight="1" x14ac:dyDescent="0.3">
      <c r="A18" s="125">
        <v>13</v>
      </c>
      <c r="B18" s="129"/>
      <c r="C18" s="98"/>
      <c r="D18" s="85"/>
      <c r="E18" s="85"/>
      <c r="F18" s="98"/>
      <c r="G18" s="98"/>
      <c r="H18" s="72"/>
      <c r="I18" s="72"/>
      <c r="J18" s="72"/>
      <c r="K18" s="72">
        <f t="shared" si="0"/>
        <v>0</v>
      </c>
      <c r="L18" s="72">
        <f t="shared" si="0"/>
        <v>0</v>
      </c>
      <c r="M18" s="72">
        <f t="shared" si="0"/>
        <v>0</v>
      </c>
      <c r="N18" s="128"/>
      <c r="O18" s="126"/>
    </row>
    <row r="19" spans="1:15" ht="27" customHeight="1" x14ac:dyDescent="0.3">
      <c r="A19" s="125">
        <v>14</v>
      </c>
      <c r="B19" s="129"/>
      <c r="C19" s="98"/>
      <c r="D19" s="85"/>
      <c r="E19" s="85"/>
      <c r="F19" s="98"/>
      <c r="G19" s="98"/>
      <c r="H19" s="72"/>
      <c r="I19" s="72"/>
      <c r="J19" s="72"/>
      <c r="K19" s="72">
        <f t="shared" si="0"/>
        <v>0</v>
      </c>
      <c r="L19" s="72">
        <f t="shared" si="0"/>
        <v>0</v>
      </c>
      <c r="M19" s="72">
        <f t="shared" si="0"/>
        <v>0</v>
      </c>
      <c r="N19" s="128"/>
      <c r="O19" s="126"/>
    </row>
    <row r="20" spans="1:15" ht="27" customHeight="1" x14ac:dyDescent="0.3">
      <c r="A20" s="125">
        <v>15</v>
      </c>
      <c r="B20" s="129"/>
      <c r="C20" s="98"/>
      <c r="D20" s="85"/>
      <c r="E20" s="85"/>
      <c r="F20" s="98"/>
      <c r="G20" s="98"/>
      <c r="H20" s="72"/>
      <c r="I20" s="72"/>
      <c r="J20" s="72"/>
      <c r="K20" s="72">
        <f t="shared" si="0"/>
        <v>0</v>
      </c>
      <c r="L20" s="72">
        <f t="shared" si="0"/>
        <v>0</v>
      </c>
      <c r="M20" s="72">
        <f t="shared" si="0"/>
        <v>0</v>
      </c>
      <c r="N20" s="128"/>
      <c r="O20" s="126"/>
    </row>
    <row r="21" spans="1:15" ht="27" customHeight="1" x14ac:dyDescent="0.3">
      <c r="A21" s="125">
        <v>16</v>
      </c>
      <c r="B21" s="129"/>
      <c r="C21" s="98"/>
      <c r="D21" s="85"/>
      <c r="E21" s="85"/>
      <c r="F21" s="98"/>
      <c r="G21" s="98"/>
      <c r="H21" s="72"/>
      <c r="I21" s="72"/>
      <c r="J21" s="72"/>
      <c r="K21" s="72">
        <f t="shared" si="0"/>
        <v>0</v>
      </c>
      <c r="L21" s="72">
        <f t="shared" si="0"/>
        <v>0</v>
      </c>
      <c r="M21" s="72">
        <f t="shared" si="0"/>
        <v>0</v>
      </c>
      <c r="N21" s="128"/>
      <c r="O21" s="126"/>
    </row>
    <row r="22" spans="1:15" ht="27" customHeight="1" x14ac:dyDescent="0.3">
      <c r="A22" s="125">
        <v>17</v>
      </c>
      <c r="B22" s="129"/>
      <c r="C22" s="98"/>
      <c r="D22" s="85"/>
      <c r="E22" s="85"/>
      <c r="F22" s="98"/>
      <c r="G22" s="98"/>
      <c r="H22" s="72"/>
      <c r="I22" s="72"/>
      <c r="J22" s="72"/>
      <c r="K22" s="72">
        <f t="shared" si="0"/>
        <v>0</v>
      </c>
      <c r="L22" s="72">
        <f t="shared" si="0"/>
        <v>0</v>
      </c>
      <c r="M22" s="72">
        <f t="shared" si="0"/>
        <v>0</v>
      </c>
      <c r="N22" s="128"/>
      <c r="O22" s="126"/>
    </row>
    <row r="23" spans="1:15" ht="27" customHeight="1" x14ac:dyDescent="0.3">
      <c r="A23" s="125">
        <v>18</v>
      </c>
      <c r="B23" s="129"/>
      <c r="C23" s="98"/>
      <c r="D23" s="85"/>
      <c r="E23" s="85"/>
      <c r="F23" s="98"/>
      <c r="G23" s="98"/>
      <c r="H23" s="72"/>
      <c r="I23" s="72"/>
      <c r="J23" s="72"/>
      <c r="K23" s="72">
        <f t="shared" si="0"/>
        <v>0</v>
      </c>
      <c r="L23" s="72">
        <f t="shared" si="0"/>
        <v>0</v>
      </c>
      <c r="M23" s="72">
        <f t="shared" si="0"/>
        <v>0</v>
      </c>
      <c r="N23" s="128"/>
      <c r="O23" s="126"/>
    </row>
    <row r="24" spans="1:15" ht="27" customHeight="1" x14ac:dyDescent="0.3">
      <c r="A24" s="125">
        <v>19</v>
      </c>
      <c r="B24" s="129"/>
      <c r="C24" s="98"/>
      <c r="D24" s="85"/>
      <c r="E24" s="85"/>
      <c r="F24" s="98"/>
      <c r="G24" s="98"/>
      <c r="H24" s="72"/>
      <c r="I24" s="72"/>
      <c r="J24" s="72"/>
      <c r="K24" s="72">
        <f t="shared" si="0"/>
        <v>0</v>
      </c>
      <c r="L24" s="72">
        <f t="shared" si="0"/>
        <v>0</v>
      </c>
      <c r="M24" s="72">
        <f t="shared" si="0"/>
        <v>0</v>
      </c>
      <c r="N24" s="128"/>
      <c r="O24" s="126"/>
    </row>
    <row r="25" spans="1:15" ht="27" customHeight="1" x14ac:dyDescent="0.3">
      <c r="A25" s="125">
        <v>20</v>
      </c>
      <c r="B25" s="129"/>
      <c r="C25" s="98"/>
      <c r="D25" s="85"/>
      <c r="E25" s="85"/>
      <c r="F25" s="98"/>
      <c r="G25" s="98"/>
      <c r="H25" s="72"/>
      <c r="I25" s="72"/>
      <c r="J25" s="72"/>
      <c r="K25" s="72">
        <f t="shared" si="0"/>
        <v>0</v>
      </c>
      <c r="L25" s="72">
        <f t="shared" si="0"/>
        <v>0</v>
      </c>
      <c r="M25" s="72">
        <f t="shared" si="0"/>
        <v>0</v>
      </c>
      <c r="N25" s="128"/>
      <c r="O25" s="126"/>
    </row>
    <row r="26" spans="1:15" ht="27" customHeight="1" x14ac:dyDescent="0.3">
      <c r="A26" s="125">
        <v>21</v>
      </c>
      <c r="B26" s="129"/>
      <c r="C26" s="98"/>
      <c r="D26" s="85"/>
      <c r="E26" s="85"/>
      <c r="F26" s="98"/>
      <c r="G26" s="98"/>
      <c r="H26" s="72"/>
      <c r="I26" s="72"/>
      <c r="J26" s="72"/>
      <c r="K26" s="72">
        <f t="shared" si="0"/>
        <v>0</v>
      </c>
      <c r="L26" s="72">
        <f t="shared" si="0"/>
        <v>0</v>
      </c>
      <c r="M26" s="72">
        <f t="shared" si="0"/>
        <v>0</v>
      </c>
      <c r="N26" s="128"/>
      <c r="O26" s="126"/>
    </row>
    <row r="27" spans="1:15" ht="27" customHeight="1" x14ac:dyDescent="0.3">
      <c r="A27" s="125">
        <v>22</v>
      </c>
      <c r="B27" s="129"/>
      <c r="C27" s="98"/>
      <c r="D27" s="85"/>
      <c r="E27" s="85"/>
      <c r="F27" s="98"/>
      <c r="G27" s="98"/>
      <c r="H27" s="72"/>
      <c r="I27" s="72"/>
      <c r="J27" s="72"/>
      <c r="K27" s="72">
        <f t="shared" si="0"/>
        <v>0</v>
      </c>
      <c r="L27" s="72">
        <f t="shared" si="0"/>
        <v>0</v>
      </c>
      <c r="M27" s="72">
        <f t="shared" si="0"/>
        <v>0</v>
      </c>
      <c r="N27" s="128"/>
      <c r="O27" s="126"/>
    </row>
    <row r="28" spans="1:15" ht="27" customHeight="1" x14ac:dyDescent="0.3">
      <c r="A28" s="125">
        <v>23</v>
      </c>
      <c r="B28" s="129"/>
      <c r="C28" s="98"/>
      <c r="D28" s="85"/>
      <c r="E28" s="85"/>
      <c r="F28" s="98"/>
      <c r="G28" s="98"/>
      <c r="H28" s="72"/>
      <c r="I28" s="72"/>
      <c r="J28" s="72"/>
      <c r="K28" s="72">
        <f t="shared" si="0"/>
        <v>0</v>
      </c>
      <c r="L28" s="72">
        <f t="shared" si="0"/>
        <v>0</v>
      </c>
      <c r="M28" s="72">
        <f t="shared" si="0"/>
        <v>0</v>
      </c>
      <c r="N28" s="128"/>
      <c r="O28" s="126"/>
    </row>
    <row r="29" spans="1:15" ht="27" customHeight="1" x14ac:dyDescent="0.3">
      <c r="A29" s="125">
        <v>24</v>
      </c>
      <c r="B29" s="129"/>
      <c r="C29" s="98"/>
      <c r="D29" s="85"/>
      <c r="E29" s="85"/>
      <c r="F29" s="98"/>
      <c r="G29" s="98"/>
      <c r="H29" s="72"/>
      <c r="I29" s="72"/>
      <c r="J29" s="72"/>
      <c r="K29" s="72">
        <f t="shared" si="0"/>
        <v>0</v>
      </c>
      <c r="L29" s="72">
        <f t="shared" si="0"/>
        <v>0</v>
      </c>
      <c r="M29" s="72">
        <f t="shared" si="0"/>
        <v>0</v>
      </c>
      <c r="N29" s="128"/>
      <c r="O29" s="126"/>
    </row>
    <row r="30" spans="1:15" ht="27" customHeight="1" x14ac:dyDescent="0.3">
      <c r="A30" s="125">
        <v>25</v>
      </c>
      <c r="B30" s="129"/>
      <c r="C30" s="98"/>
      <c r="D30" s="85"/>
      <c r="E30" s="85"/>
      <c r="F30" s="98"/>
      <c r="G30" s="98"/>
      <c r="H30" s="72"/>
      <c r="I30" s="72"/>
      <c r="J30" s="72"/>
      <c r="K30" s="72">
        <f t="shared" si="0"/>
        <v>0</v>
      </c>
      <c r="L30" s="72">
        <f t="shared" si="0"/>
        <v>0</v>
      </c>
      <c r="M30" s="72">
        <f t="shared" si="0"/>
        <v>0</v>
      </c>
      <c r="N30" s="128"/>
      <c r="O30" s="126"/>
    </row>
    <row r="31" spans="1:15" ht="27" customHeight="1" x14ac:dyDescent="0.3">
      <c r="A31" s="125">
        <v>26</v>
      </c>
      <c r="B31" s="130"/>
      <c r="C31" s="90"/>
      <c r="D31" s="80"/>
      <c r="E31" s="80"/>
      <c r="F31" s="90"/>
      <c r="G31" s="90"/>
      <c r="H31" s="69"/>
      <c r="I31" s="69"/>
      <c r="J31" s="69"/>
      <c r="K31" s="69">
        <f t="shared" si="0"/>
        <v>0</v>
      </c>
      <c r="L31" s="69">
        <f t="shared" si="0"/>
        <v>0</v>
      </c>
      <c r="M31" s="69">
        <f t="shared" si="0"/>
        <v>0</v>
      </c>
      <c r="N31" s="127"/>
      <c r="O31" s="126"/>
    </row>
    <row r="32" spans="1:15" ht="27" customHeight="1" x14ac:dyDescent="0.3">
      <c r="A32" s="125">
        <v>27</v>
      </c>
      <c r="B32" s="129"/>
      <c r="C32" s="98"/>
      <c r="D32" s="85"/>
      <c r="E32" s="85"/>
      <c r="F32" s="98"/>
      <c r="G32" s="98"/>
      <c r="H32" s="72"/>
      <c r="I32" s="72"/>
      <c r="J32" s="72"/>
      <c r="K32" s="72">
        <f t="shared" si="0"/>
        <v>0</v>
      </c>
      <c r="L32" s="72">
        <f t="shared" si="0"/>
        <v>0</v>
      </c>
      <c r="M32" s="72">
        <f t="shared" si="0"/>
        <v>0</v>
      </c>
      <c r="N32" s="128"/>
      <c r="O32" s="126"/>
    </row>
    <row r="33" spans="1:15" ht="27" customHeight="1" x14ac:dyDescent="0.3">
      <c r="A33" s="125">
        <v>28</v>
      </c>
      <c r="B33" s="129"/>
      <c r="C33" s="98"/>
      <c r="D33" s="85"/>
      <c r="E33" s="85"/>
      <c r="F33" s="98"/>
      <c r="G33" s="98"/>
      <c r="H33" s="72"/>
      <c r="I33" s="72"/>
      <c r="J33" s="72"/>
      <c r="K33" s="72">
        <f t="shared" si="0"/>
        <v>0</v>
      </c>
      <c r="L33" s="72">
        <f t="shared" si="0"/>
        <v>0</v>
      </c>
      <c r="M33" s="72">
        <f t="shared" si="0"/>
        <v>0</v>
      </c>
      <c r="N33" s="128"/>
      <c r="O33" s="126"/>
    </row>
    <row r="34" spans="1:15" ht="27" customHeight="1" x14ac:dyDescent="0.3">
      <c r="A34" s="125">
        <v>29</v>
      </c>
      <c r="B34" s="129"/>
      <c r="C34" s="98"/>
      <c r="D34" s="85"/>
      <c r="E34" s="85"/>
      <c r="F34" s="98"/>
      <c r="G34" s="98"/>
      <c r="H34" s="72"/>
      <c r="I34" s="72"/>
      <c r="J34" s="72"/>
      <c r="K34" s="72">
        <f t="shared" si="0"/>
        <v>0</v>
      </c>
      <c r="L34" s="72">
        <f t="shared" si="0"/>
        <v>0</v>
      </c>
      <c r="M34" s="72">
        <f t="shared" si="0"/>
        <v>0</v>
      </c>
      <c r="N34" s="128"/>
      <c r="O34" s="126"/>
    </row>
    <row r="35" spans="1:15" ht="27" customHeight="1" x14ac:dyDescent="0.3">
      <c r="A35" s="125">
        <v>30</v>
      </c>
      <c r="B35" s="129"/>
      <c r="C35" s="98"/>
      <c r="D35" s="85"/>
      <c r="E35" s="85"/>
      <c r="F35" s="98"/>
      <c r="G35" s="98"/>
      <c r="H35" s="72"/>
      <c r="I35" s="72"/>
      <c r="J35" s="72"/>
      <c r="K35" s="72">
        <f t="shared" si="0"/>
        <v>0</v>
      </c>
      <c r="L35" s="72">
        <f t="shared" si="0"/>
        <v>0</v>
      </c>
      <c r="M35" s="72">
        <f t="shared" si="0"/>
        <v>0</v>
      </c>
      <c r="N35" s="128"/>
      <c r="O35" s="126"/>
    </row>
    <row r="36" spans="1:15" outlineLevel="1" x14ac:dyDescent="0.3">
      <c r="B36" s="116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3"/>
    </row>
    <row r="37" spans="1:15" ht="27" customHeight="1" x14ac:dyDescent="0.3">
      <c r="B37" s="150" t="s">
        <v>12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2"/>
    </row>
    <row r="38" spans="1:15" ht="27" customHeight="1" x14ac:dyDescent="0.3">
      <c r="B38" s="130" t="s">
        <v>13</v>
      </c>
      <c r="C38" s="90"/>
      <c r="D38" s="90"/>
      <c r="E38" s="90"/>
      <c r="F38" s="90"/>
      <c r="G38" s="90"/>
      <c r="H38" s="69">
        <f>PERCENTILE($H$6:$H$35,0.9)</f>
        <v>76053058.599999994</v>
      </c>
      <c r="I38" s="69">
        <f>PERCENTILE($I$6:$I$35,0.9)</f>
        <v>44438132.5</v>
      </c>
      <c r="J38" s="69">
        <f>PERCENTILE($J$6:$J$35,0.9)</f>
        <v>39885508.100000001</v>
      </c>
      <c r="K38" s="69">
        <f>PERCENTILE($K$6:$K$35,0.9)</f>
        <v>0</v>
      </c>
      <c r="L38" s="69">
        <f>PERCENTILE($L$6:$L$35,0.9)</f>
        <v>0</v>
      </c>
      <c r="M38" s="69">
        <f>PERCENTILE($M$6:$M$35,0.9)</f>
        <v>0</v>
      </c>
      <c r="N38" s="127" t="str">
        <f>IFERROR(PERCENTILE($N$6:$N$35,0.9),"---")</f>
        <v>---</v>
      </c>
    </row>
    <row r="39" spans="1:15" ht="27" customHeight="1" x14ac:dyDescent="0.3">
      <c r="B39" s="129" t="s">
        <v>14</v>
      </c>
      <c r="C39" s="98"/>
      <c r="D39" s="98"/>
      <c r="E39" s="98"/>
      <c r="F39" s="98"/>
      <c r="G39" s="98"/>
      <c r="H39" s="72">
        <f>PERCENTILE($H$6:$H$35,0.75)</f>
        <v>74088755.5</v>
      </c>
      <c r="I39" s="72">
        <f>PERCENTILE($I$6:$I$35,0.75)</f>
        <v>42919203.25</v>
      </c>
      <c r="J39" s="72">
        <f>PERCENTILE($J$6:$J$35,0.75)</f>
        <v>39181325.75</v>
      </c>
      <c r="K39" s="72">
        <f>PERCENTILE($K$6:$K$35,0.75)</f>
        <v>0</v>
      </c>
      <c r="L39" s="72">
        <f>PERCENTILE($L$6:$L$35,0.75)</f>
        <v>0</v>
      </c>
      <c r="M39" s="72">
        <f>PERCENTILE($M$6:$M$35,0.75)</f>
        <v>0</v>
      </c>
      <c r="N39" s="128" t="str">
        <f>IFERROR(PERCENTILE($N$6:$N$35,0.75),"---")</f>
        <v>---</v>
      </c>
    </row>
    <row r="40" spans="1:15" ht="27" customHeight="1" x14ac:dyDescent="0.3">
      <c r="B40" s="131" t="s">
        <v>15</v>
      </c>
      <c r="C40" s="92"/>
      <c r="D40" s="92"/>
      <c r="E40" s="92"/>
      <c r="F40" s="92"/>
      <c r="G40" s="92"/>
      <c r="H40" s="94">
        <f t="shared" ref="H40:M40" si="1">MEDIAN(H6:H35)</f>
        <v>70814917</v>
      </c>
      <c r="I40" s="94">
        <f t="shared" si="1"/>
        <v>40387654.5</v>
      </c>
      <c r="J40" s="94">
        <f t="shared" si="1"/>
        <v>38007688.5</v>
      </c>
      <c r="K40" s="94">
        <f t="shared" si="1"/>
        <v>0</v>
      </c>
      <c r="L40" s="94">
        <f t="shared" si="1"/>
        <v>0</v>
      </c>
      <c r="M40" s="94">
        <f t="shared" si="1"/>
        <v>0</v>
      </c>
      <c r="N40" s="132" t="str">
        <f>IFERROR(MEDIAN(N6:N35),"---")</f>
        <v>---</v>
      </c>
    </row>
    <row r="41" spans="1:15" ht="27" customHeight="1" x14ac:dyDescent="0.3">
      <c r="B41" s="129" t="s">
        <v>16</v>
      </c>
      <c r="C41" s="98"/>
      <c r="D41" s="98"/>
      <c r="E41" s="98"/>
      <c r="F41" s="98"/>
      <c r="G41" s="98"/>
      <c r="H41" s="72">
        <f>PERCENTILE($H$6:$H$35,0.25)</f>
        <v>67541078.5</v>
      </c>
      <c r="I41" s="72">
        <f>PERCENTILE($I$6:$I$35,0.25)</f>
        <v>37856105.75</v>
      </c>
      <c r="J41" s="72">
        <f>PERCENTILE($J$6:$J$35,0.25)</f>
        <v>36834051.25</v>
      </c>
      <c r="K41" s="72">
        <f>PERCENTILE($K$6:$K$35,0.25)</f>
        <v>0</v>
      </c>
      <c r="L41" s="72">
        <f>PERCENTILE($L$6:$L$35,0.25)</f>
        <v>0</v>
      </c>
      <c r="M41" s="72">
        <f>PERCENTILE($M$6:$M$35,0.25)</f>
        <v>0</v>
      </c>
      <c r="N41" s="128" t="str">
        <f>IFERROR(PERCENTILE($N$6:$N$35,0.25),"---")</f>
        <v>---</v>
      </c>
    </row>
    <row r="42" spans="1:15" x14ac:dyDescent="0.3">
      <c r="N42" s="12"/>
    </row>
    <row r="43" spans="1:15" ht="27" customHeight="1" x14ac:dyDescent="0.3">
      <c r="A43" s="124">
        <v>100</v>
      </c>
      <c r="B43" s="35" t="str">
        <f>B2</f>
        <v>NFP Organization XYZ</v>
      </c>
      <c r="C43" s="36"/>
      <c r="D43" s="36"/>
      <c r="E43" s="36"/>
      <c r="F43" s="36" t="str">
        <f>SETUP!C9</f>
        <v>Cambridge</v>
      </c>
      <c r="G43" s="121" t="str">
        <f>SETUP!C10</f>
        <v>Massachusetts</v>
      </c>
      <c r="H43" s="39">
        <f>SETUP!C11</f>
        <v>999999</v>
      </c>
      <c r="I43" s="39">
        <f>SETUP!C13</f>
        <v>999999</v>
      </c>
      <c r="J43" s="39">
        <f>SETUP!C12</f>
        <v>999999</v>
      </c>
      <c r="K43" s="39">
        <f>H43/1000000</f>
        <v>0.99999899999999997</v>
      </c>
      <c r="L43" s="39">
        <f>I43/1000000</f>
        <v>0.99999899999999997</v>
      </c>
      <c r="M43" s="39">
        <f>J43/1000000</f>
        <v>0.99999899999999997</v>
      </c>
      <c r="N43" s="99">
        <f>SETUP!C14</f>
        <v>50</v>
      </c>
    </row>
  </sheetData>
  <autoFilter ref="A5:O5" xr:uid="{0BB2107F-3F47-4C6C-A971-3D6217FC4528}"/>
  <mergeCells count="1">
    <mergeCell ref="B37:N37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44"/>
  <sheetViews>
    <sheetView showGridLines="0" topLeftCell="A19" zoomScale="62" zoomScaleNormal="85" zoomScaleSheetLayoutView="85" workbookViewId="0">
      <selection activeCell="B6" sqref="B6:G35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55" t="s">
        <v>47</v>
      </c>
      <c r="V1" s="155"/>
      <c r="W1" s="74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58" t="str">
        <f>"Peer Group Data ($000) - Effective: "&amp;TEXT(W1,"mmmm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77"/>
      <c r="O4" s="77"/>
      <c r="P4" s="159" t="s">
        <v>28</v>
      </c>
      <c r="Q4" s="159"/>
      <c r="R4" s="159"/>
      <c r="S4" s="159"/>
      <c r="T4" s="159"/>
      <c r="U4" s="159"/>
      <c r="V4" s="159"/>
      <c r="W4" s="78"/>
      <c r="X4" s="153"/>
      <c r="Y4" s="153"/>
      <c r="Z4" s="153"/>
      <c r="AA4" s="153"/>
      <c r="AB4" s="153"/>
      <c r="AC4" s="153"/>
      <c r="AD4" s="153"/>
      <c r="AE4" s="41" t="s">
        <v>11</v>
      </c>
      <c r="AF4" s="20"/>
      <c r="AG4" s="157" t="s">
        <v>30</v>
      </c>
      <c r="AH4" s="157"/>
      <c r="AI4" s="157"/>
      <c r="AJ4" s="157"/>
      <c r="AK4" s="157"/>
      <c r="AL4" s="157"/>
      <c r="AM4" s="157"/>
      <c r="AN4" s="156" t="s">
        <v>31</v>
      </c>
      <c r="AO4" s="156"/>
      <c r="AP4" s="156"/>
      <c r="AQ4" s="156"/>
      <c r="AR4" s="156"/>
      <c r="AS4" s="156"/>
      <c r="AT4" s="156"/>
    </row>
    <row r="5" spans="1:46" ht="36" customHeight="1" x14ac:dyDescent="0.3">
      <c r="A5" s="7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64</v>
      </c>
      <c r="L5" s="138" t="s">
        <v>9</v>
      </c>
      <c r="M5" s="138" t="s">
        <v>10</v>
      </c>
      <c r="N5" s="77" t="s">
        <v>19</v>
      </c>
      <c r="O5" s="77" t="s">
        <v>20</v>
      </c>
      <c r="P5" s="79" t="s">
        <v>21</v>
      </c>
      <c r="Q5" s="79" t="s">
        <v>22</v>
      </c>
      <c r="R5" s="79" t="s">
        <v>24</v>
      </c>
      <c r="S5" s="79" t="s">
        <v>23</v>
      </c>
      <c r="T5" s="79" t="s">
        <v>25</v>
      </c>
      <c r="U5" s="79" t="s">
        <v>26</v>
      </c>
      <c r="V5" s="79" t="s">
        <v>27</v>
      </c>
      <c r="W5" s="78" t="s">
        <v>29</v>
      </c>
      <c r="X5" s="139" t="s">
        <v>21</v>
      </c>
      <c r="Y5" s="139" t="s">
        <v>22</v>
      </c>
      <c r="Z5" s="139" t="s">
        <v>60</v>
      </c>
      <c r="AA5" s="139" t="s">
        <v>23</v>
      </c>
      <c r="AB5" s="139" t="s">
        <v>62</v>
      </c>
      <c r="AC5" s="139" t="s">
        <v>26</v>
      </c>
      <c r="AD5" s="139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82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69">
        <f>INDEX('PEER GROUP'!M:M,MATCH($A6,'PEER GROUP'!$A:$A,0))</f>
        <v>40.354962999999998</v>
      </c>
      <c r="M6" s="83">
        <f>INDEX('PEER GROUP'!N:N,MATCH($A6,'PEER GROUP'!$A:$A,0))</f>
        <v>0</v>
      </c>
      <c r="N6" s="118"/>
      <c r="O6" s="91"/>
      <c r="P6" s="118"/>
      <c r="Q6" s="84"/>
      <c r="R6" s="84">
        <f t="shared" ref="R6:R35" si="0">SUM(P6:Q6)</f>
        <v>0</v>
      </c>
      <c r="S6" s="84"/>
      <c r="T6" s="84"/>
      <c r="U6" s="84"/>
      <c r="V6" s="84">
        <f t="shared" ref="V6:V35" si="1">SUM(R6:U6)</f>
        <v>0</v>
      </c>
      <c r="W6" s="114">
        <f t="shared" ref="W6:W35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8">
        <f t="shared" ref="X6:X35" si="3">P6*$W6</f>
        <v>0</v>
      </c>
      <c r="Y6" s="69">
        <f t="shared" ref="Y6:Y35" si="4">Q6*$W6</f>
        <v>0</v>
      </c>
      <c r="Z6" s="69">
        <f t="shared" ref="Z6:Z35" si="5">SUM(X6:Y6)</f>
        <v>0</v>
      </c>
      <c r="AA6" s="69">
        <f t="shared" ref="AA6:AA35" si="6">S6*$W6</f>
        <v>0</v>
      </c>
      <c r="AB6" s="69">
        <f t="shared" ref="AB6:AB35" si="7">T6*$W6</f>
        <v>0</v>
      </c>
      <c r="AC6" s="69">
        <f t="shared" ref="AC6:AC35" si="8">U6*$W6</f>
        <v>0</v>
      </c>
      <c r="AD6" s="70">
        <f t="shared" ref="AD6:AD35" si="9">SUM(Z6:AC6)</f>
        <v>0</v>
      </c>
      <c r="AE6" s="49"/>
      <c r="AF6" s="21"/>
      <c r="AG6" s="68"/>
      <c r="AH6" s="69"/>
      <c r="AI6" s="69"/>
      <c r="AJ6" s="69"/>
      <c r="AK6" s="69"/>
      <c r="AL6" s="69"/>
      <c r="AM6" s="69"/>
      <c r="AN6" s="69" t="str">
        <f t="shared" ref="AN6:AN35" si="10">IFERROR(P6/AG6-1,"---")</f>
        <v>---</v>
      </c>
      <c r="AO6" s="69" t="str">
        <f t="shared" ref="AO6:AO35" si="11">IFERROR(Q6/AH6-1,"---")</f>
        <v>---</v>
      </c>
      <c r="AP6" s="69" t="str">
        <f t="shared" ref="AP6:AP35" si="12">IFERROR(R6/AI6-1,"---")</f>
        <v>---</v>
      </c>
      <c r="AQ6" s="69" t="str">
        <f t="shared" ref="AQ6:AQ35" si="13">IFERROR(S6/AJ6-1,"---")</f>
        <v>---</v>
      </c>
      <c r="AR6" s="69" t="str">
        <f t="shared" ref="AR6:AR35" si="14">IFERROR(T6/AK6-1,"---")</f>
        <v>---</v>
      </c>
      <c r="AS6" s="69" t="str">
        <f t="shared" ref="AS6:AS35" si="15">IFERROR(U6/AL6-1,"---")</f>
        <v>---</v>
      </c>
      <c r="AT6" s="70" t="str">
        <f t="shared" ref="AT6:AT35" si="16">IFERROR(V6/AM6-1,"---")</f>
        <v>---</v>
      </c>
    </row>
    <row r="7" spans="1:46" ht="27" customHeight="1" x14ac:dyDescent="0.3">
      <c r="A7" s="7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87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72">
        <f>INDEX('PEER GROUP'!M:M,MATCH($A7,'PEER GROUP'!$A:$A,0))</f>
        <v>35.660414000000003</v>
      </c>
      <c r="M7" s="88">
        <f>INDEX('PEER GROUP'!N:N,MATCH($A7,'PEER GROUP'!$A:$A,0))</f>
        <v>0</v>
      </c>
      <c r="N7" s="120"/>
      <c r="O7" s="117"/>
      <c r="P7" s="119"/>
      <c r="Q7" s="89"/>
      <c r="R7" s="89">
        <f t="shared" si="0"/>
        <v>0</v>
      </c>
      <c r="S7" s="89"/>
      <c r="T7" s="89"/>
      <c r="U7" s="89"/>
      <c r="V7" s="89">
        <f t="shared" si="1"/>
        <v>0</v>
      </c>
      <c r="W7" s="115">
        <f t="shared" si="2"/>
        <v>1.0400809862990532</v>
      </c>
      <c r="X7" s="71">
        <f t="shared" si="3"/>
        <v>0</v>
      </c>
      <c r="Y7" s="72">
        <f t="shared" si="4"/>
        <v>0</v>
      </c>
      <c r="Z7" s="72">
        <f t="shared" si="5"/>
        <v>0</v>
      </c>
      <c r="AA7" s="72">
        <f t="shared" si="6"/>
        <v>0</v>
      </c>
      <c r="AB7" s="72">
        <f t="shared" si="7"/>
        <v>0</v>
      </c>
      <c r="AC7" s="72">
        <f t="shared" si="8"/>
        <v>0</v>
      </c>
      <c r="AD7" s="73">
        <f t="shared" si="9"/>
        <v>0</v>
      </c>
      <c r="AE7" s="49"/>
      <c r="AF7" s="21"/>
      <c r="AG7" s="71"/>
      <c r="AH7" s="72"/>
      <c r="AI7" s="72"/>
      <c r="AJ7" s="72"/>
      <c r="AK7" s="72"/>
      <c r="AL7" s="72"/>
      <c r="AM7" s="72"/>
      <c r="AN7" s="72" t="str">
        <f t="shared" si="10"/>
        <v>---</v>
      </c>
      <c r="AO7" s="72" t="str">
        <f t="shared" si="11"/>
        <v>---</v>
      </c>
      <c r="AP7" s="72" t="str">
        <f t="shared" si="12"/>
        <v>---</v>
      </c>
      <c r="AQ7" s="72" t="str">
        <f t="shared" si="13"/>
        <v>---</v>
      </c>
      <c r="AR7" s="72" t="str">
        <f t="shared" si="14"/>
        <v>---</v>
      </c>
      <c r="AS7" s="72" t="str">
        <f t="shared" si="15"/>
        <v>---</v>
      </c>
      <c r="AT7" s="73" t="str">
        <f t="shared" si="16"/>
        <v>---</v>
      </c>
    </row>
    <row r="8" spans="1:46" ht="27" customHeight="1" x14ac:dyDescent="0.3">
      <c r="A8" s="7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87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72">
        <f>INDEX('PEER GROUP'!M:M,MATCH($A8,'PEER GROUP'!$A:$A,0))</f>
        <v>0</v>
      </c>
      <c r="M8" s="88">
        <f>INDEX('PEER GROUP'!N:N,MATCH($A8,'PEER GROUP'!$A:$A,0))</f>
        <v>0</v>
      </c>
      <c r="N8" s="120"/>
      <c r="O8" s="117"/>
      <c r="P8" s="119"/>
      <c r="Q8" s="89"/>
      <c r="R8" s="89">
        <f t="shared" si="0"/>
        <v>0</v>
      </c>
      <c r="S8" s="89"/>
      <c r="T8" s="89"/>
      <c r="U8" s="89"/>
      <c r="V8" s="89">
        <f t="shared" si="1"/>
        <v>0</v>
      </c>
      <c r="W8" s="115">
        <f t="shared" si="2"/>
        <v>36.871574135302126</v>
      </c>
      <c r="X8" s="71">
        <f t="shared" si="3"/>
        <v>0</v>
      </c>
      <c r="Y8" s="72">
        <f t="shared" si="4"/>
        <v>0</v>
      </c>
      <c r="Z8" s="72">
        <f t="shared" si="5"/>
        <v>0</v>
      </c>
      <c r="AA8" s="72">
        <f t="shared" si="6"/>
        <v>0</v>
      </c>
      <c r="AB8" s="72">
        <f t="shared" si="7"/>
        <v>0</v>
      </c>
      <c r="AC8" s="72">
        <f t="shared" si="8"/>
        <v>0</v>
      </c>
      <c r="AD8" s="73">
        <f t="shared" si="9"/>
        <v>0</v>
      </c>
      <c r="AE8" s="49"/>
      <c r="AF8" s="21"/>
      <c r="AG8" s="71"/>
      <c r="AH8" s="72"/>
      <c r="AI8" s="72"/>
      <c r="AJ8" s="72"/>
      <c r="AK8" s="72"/>
      <c r="AL8" s="72"/>
      <c r="AM8" s="72"/>
      <c r="AN8" s="72" t="str">
        <f t="shared" si="10"/>
        <v>---</v>
      </c>
      <c r="AO8" s="72" t="str">
        <f t="shared" si="11"/>
        <v>---</v>
      </c>
      <c r="AP8" s="72" t="str">
        <f t="shared" si="12"/>
        <v>---</v>
      </c>
      <c r="AQ8" s="72" t="str">
        <f t="shared" si="13"/>
        <v>---</v>
      </c>
      <c r="AR8" s="72" t="str">
        <f t="shared" si="14"/>
        <v>---</v>
      </c>
      <c r="AS8" s="72" t="str">
        <f t="shared" si="15"/>
        <v>---</v>
      </c>
      <c r="AT8" s="73" t="str">
        <f t="shared" si="16"/>
        <v>---</v>
      </c>
    </row>
    <row r="9" spans="1:46" ht="27" customHeight="1" x14ac:dyDescent="0.3">
      <c r="A9" s="7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87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72">
        <f>INDEX('PEER GROUP'!M:M,MATCH($A9,'PEER GROUP'!$A:$A,0))</f>
        <v>0</v>
      </c>
      <c r="M9" s="88">
        <f>INDEX('PEER GROUP'!N:N,MATCH($A9,'PEER GROUP'!$A:$A,0))</f>
        <v>0</v>
      </c>
      <c r="N9" s="120"/>
      <c r="O9" s="117"/>
      <c r="P9" s="119"/>
      <c r="Q9" s="89"/>
      <c r="R9" s="89">
        <f t="shared" si="0"/>
        <v>0</v>
      </c>
      <c r="S9" s="89"/>
      <c r="T9" s="89"/>
      <c r="U9" s="89"/>
      <c r="V9" s="89">
        <f t="shared" si="1"/>
        <v>0</v>
      </c>
      <c r="W9" s="115">
        <f t="shared" si="2"/>
        <v>36.871574135302126</v>
      </c>
      <c r="X9" s="71">
        <f t="shared" si="3"/>
        <v>0</v>
      </c>
      <c r="Y9" s="72">
        <f t="shared" si="4"/>
        <v>0</v>
      </c>
      <c r="Z9" s="72">
        <f t="shared" si="5"/>
        <v>0</v>
      </c>
      <c r="AA9" s="72">
        <f t="shared" si="6"/>
        <v>0</v>
      </c>
      <c r="AB9" s="72">
        <f t="shared" si="7"/>
        <v>0</v>
      </c>
      <c r="AC9" s="72">
        <f t="shared" si="8"/>
        <v>0</v>
      </c>
      <c r="AD9" s="73">
        <f t="shared" si="9"/>
        <v>0</v>
      </c>
      <c r="AE9" s="49"/>
      <c r="AF9" s="21"/>
      <c r="AG9" s="71"/>
      <c r="AH9" s="72"/>
      <c r="AI9" s="72"/>
      <c r="AJ9" s="72"/>
      <c r="AK9" s="72"/>
      <c r="AL9" s="72"/>
      <c r="AM9" s="72"/>
      <c r="AN9" s="72" t="str">
        <f t="shared" si="10"/>
        <v>---</v>
      </c>
      <c r="AO9" s="72" t="str">
        <f t="shared" si="11"/>
        <v>---</v>
      </c>
      <c r="AP9" s="72" t="str">
        <f t="shared" si="12"/>
        <v>---</v>
      </c>
      <c r="AQ9" s="72" t="str">
        <f t="shared" si="13"/>
        <v>---</v>
      </c>
      <c r="AR9" s="72" t="str">
        <f t="shared" si="14"/>
        <v>---</v>
      </c>
      <c r="AS9" s="72" t="str">
        <f t="shared" si="15"/>
        <v>---</v>
      </c>
      <c r="AT9" s="73" t="str">
        <f t="shared" si="16"/>
        <v>---</v>
      </c>
    </row>
    <row r="10" spans="1:46" ht="27" customHeight="1" x14ac:dyDescent="0.3">
      <c r="A10" s="7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87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72">
        <f>INDEX('PEER GROUP'!M:M,MATCH($A10,'PEER GROUP'!$A:$A,0))</f>
        <v>0</v>
      </c>
      <c r="M10" s="88">
        <f>INDEX('PEER GROUP'!N:N,MATCH($A10,'PEER GROUP'!$A:$A,0))</f>
        <v>0</v>
      </c>
      <c r="N10" s="120"/>
      <c r="O10" s="117"/>
      <c r="P10" s="119"/>
      <c r="Q10" s="89"/>
      <c r="R10" s="89">
        <f t="shared" si="0"/>
        <v>0</v>
      </c>
      <c r="S10" s="89"/>
      <c r="T10" s="89"/>
      <c r="U10" s="89"/>
      <c r="V10" s="89">
        <f t="shared" si="1"/>
        <v>0</v>
      </c>
      <c r="W10" s="115">
        <f t="shared" si="2"/>
        <v>36.871574135302126</v>
      </c>
      <c r="X10" s="71">
        <f t="shared" si="3"/>
        <v>0</v>
      </c>
      <c r="Y10" s="72">
        <f t="shared" si="4"/>
        <v>0</v>
      </c>
      <c r="Z10" s="72">
        <f t="shared" si="5"/>
        <v>0</v>
      </c>
      <c r="AA10" s="72">
        <f t="shared" si="6"/>
        <v>0</v>
      </c>
      <c r="AB10" s="72">
        <f t="shared" si="7"/>
        <v>0</v>
      </c>
      <c r="AC10" s="72">
        <f t="shared" si="8"/>
        <v>0</v>
      </c>
      <c r="AD10" s="73">
        <f t="shared" si="9"/>
        <v>0</v>
      </c>
      <c r="AE10" s="49"/>
      <c r="AF10" s="21"/>
      <c r="AG10" s="71"/>
      <c r="AH10" s="72"/>
      <c r="AI10" s="72"/>
      <c r="AJ10" s="72"/>
      <c r="AK10" s="72"/>
      <c r="AL10" s="72"/>
      <c r="AM10" s="72"/>
      <c r="AN10" s="72" t="str">
        <f t="shared" si="10"/>
        <v>---</v>
      </c>
      <c r="AO10" s="72" t="str">
        <f t="shared" si="11"/>
        <v>---</v>
      </c>
      <c r="AP10" s="72" t="str">
        <f t="shared" si="12"/>
        <v>---</v>
      </c>
      <c r="AQ10" s="72" t="str">
        <f t="shared" si="13"/>
        <v>---</v>
      </c>
      <c r="AR10" s="72" t="str">
        <f t="shared" si="14"/>
        <v>---</v>
      </c>
      <c r="AS10" s="72" t="str">
        <f t="shared" si="15"/>
        <v>---</v>
      </c>
      <c r="AT10" s="73" t="str">
        <f t="shared" si="16"/>
        <v>---</v>
      </c>
    </row>
    <row r="11" spans="1:46" ht="27" customHeight="1" x14ac:dyDescent="0.3">
      <c r="A11" s="7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87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72">
        <f>INDEX('PEER GROUP'!M:M,MATCH($A11,'PEER GROUP'!$A:$A,0))</f>
        <v>0</v>
      </c>
      <c r="M11" s="88">
        <f>INDEX('PEER GROUP'!N:N,MATCH($A11,'PEER GROUP'!$A:$A,0))</f>
        <v>0</v>
      </c>
      <c r="N11" s="120"/>
      <c r="O11" s="117"/>
      <c r="P11" s="119"/>
      <c r="Q11" s="89"/>
      <c r="R11" s="89">
        <f t="shared" si="0"/>
        <v>0</v>
      </c>
      <c r="S11" s="89"/>
      <c r="T11" s="89"/>
      <c r="U11" s="89"/>
      <c r="V11" s="89">
        <f t="shared" si="1"/>
        <v>0</v>
      </c>
      <c r="W11" s="115">
        <f t="shared" si="2"/>
        <v>36.871574135302126</v>
      </c>
      <c r="X11" s="71">
        <f t="shared" si="3"/>
        <v>0</v>
      </c>
      <c r="Y11" s="72">
        <f t="shared" si="4"/>
        <v>0</v>
      </c>
      <c r="Z11" s="72">
        <f t="shared" si="5"/>
        <v>0</v>
      </c>
      <c r="AA11" s="72">
        <f t="shared" si="6"/>
        <v>0</v>
      </c>
      <c r="AB11" s="72">
        <f t="shared" si="7"/>
        <v>0</v>
      </c>
      <c r="AC11" s="72">
        <f t="shared" si="8"/>
        <v>0</v>
      </c>
      <c r="AD11" s="73">
        <f t="shared" si="9"/>
        <v>0</v>
      </c>
      <c r="AE11" s="49"/>
      <c r="AF11" s="21"/>
      <c r="AG11" s="71"/>
      <c r="AH11" s="72"/>
      <c r="AI11" s="72"/>
      <c r="AJ11" s="72"/>
      <c r="AK11" s="72"/>
      <c r="AL11" s="72"/>
      <c r="AM11" s="72"/>
      <c r="AN11" s="72" t="str">
        <f t="shared" si="10"/>
        <v>---</v>
      </c>
      <c r="AO11" s="72" t="str">
        <f t="shared" si="11"/>
        <v>---</v>
      </c>
      <c r="AP11" s="72" t="str">
        <f t="shared" si="12"/>
        <v>---</v>
      </c>
      <c r="AQ11" s="72" t="str">
        <f t="shared" si="13"/>
        <v>---</v>
      </c>
      <c r="AR11" s="72" t="str">
        <f t="shared" si="14"/>
        <v>---</v>
      </c>
      <c r="AS11" s="72" t="str">
        <f t="shared" si="15"/>
        <v>---</v>
      </c>
      <c r="AT11" s="73" t="str">
        <f t="shared" si="16"/>
        <v>---</v>
      </c>
    </row>
    <row r="12" spans="1:46" ht="27" customHeight="1" x14ac:dyDescent="0.3">
      <c r="A12" s="7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87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72">
        <f>INDEX('PEER GROUP'!M:M,MATCH($A12,'PEER GROUP'!$A:$A,0))</f>
        <v>0</v>
      </c>
      <c r="M12" s="88">
        <f>INDEX('PEER GROUP'!N:N,MATCH($A12,'PEER GROUP'!$A:$A,0))</f>
        <v>0</v>
      </c>
      <c r="N12" s="120"/>
      <c r="O12" s="117"/>
      <c r="P12" s="119"/>
      <c r="Q12" s="89"/>
      <c r="R12" s="89">
        <f t="shared" si="0"/>
        <v>0</v>
      </c>
      <c r="S12" s="89"/>
      <c r="T12" s="89"/>
      <c r="U12" s="89"/>
      <c r="V12" s="89">
        <f t="shared" si="1"/>
        <v>0</v>
      </c>
      <c r="W12" s="115">
        <f t="shared" si="2"/>
        <v>36.871574135302126</v>
      </c>
      <c r="X12" s="71">
        <f t="shared" si="3"/>
        <v>0</v>
      </c>
      <c r="Y12" s="72">
        <f t="shared" si="4"/>
        <v>0</v>
      </c>
      <c r="Z12" s="72">
        <f t="shared" si="5"/>
        <v>0</v>
      </c>
      <c r="AA12" s="72">
        <f t="shared" si="6"/>
        <v>0</v>
      </c>
      <c r="AB12" s="72">
        <f t="shared" si="7"/>
        <v>0</v>
      </c>
      <c r="AC12" s="72">
        <f t="shared" si="8"/>
        <v>0</v>
      </c>
      <c r="AD12" s="73">
        <f t="shared" si="9"/>
        <v>0</v>
      </c>
      <c r="AE12" s="49"/>
      <c r="AF12" s="21"/>
      <c r="AG12" s="71"/>
      <c r="AH12" s="72"/>
      <c r="AI12" s="72"/>
      <c r="AJ12" s="72"/>
      <c r="AK12" s="72"/>
      <c r="AL12" s="72"/>
      <c r="AM12" s="72"/>
      <c r="AN12" s="72" t="str">
        <f t="shared" si="10"/>
        <v>---</v>
      </c>
      <c r="AO12" s="72" t="str">
        <f t="shared" si="11"/>
        <v>---</v>
      </c>
      <c r="AP12" s="72" t="str">
        <f t="shared" si="12"/>
        <v>---</v>
      </c>
      <c r="AQ12" s="72" t="str">
        <f t="shared" si="13"/>
        <v>---</v>
      </c>
      <c r="AR12" s="72" t="str">
        <f t="shared" si="14"/>
        <v>---</v>
      </c>
      <c r="AS12" s="72" t="str">
        <f t="shared" si="15"/>
        <v>---</v>
      </c>
      <c r="AT12" s="73" t="str">
        <f t="shared" si="16"/>
        <v>---</v>
      </c>
    </row>
    <row r="13" spans="1:46" ht="27" customHeight="1" x14ac:dyDescent="0.3">
      <c r="A13" s="7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87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72">
        <f>INDEX('PEER GROUP'!M:M,MATCH($A13,'PEER GROUP'!$A:$A,0))</f>
        <v>0</v>
      </c>
      <c r="M13" s="88">
        <f>INDEX('PEER GROUP'!N:N,MATCH($A13,'PEER GROUP'!$A:$A,0))</f>
        <v>0</v>
      </c>
      <c r="N13" s="120"/>
      <c r="O13" s="117"/>
      <c r="P13" s="119"/>
      <c r="Q13" s="89"/>
      <c r="R13" s="89">
        <f t="shared" si="0"/>
        <v>0</v>
      </c>
      <c r="S13" s="89"/>
      <c r="T13" s="89"/>
      <c r="U13" s="89"/>
      <c r="V13" s="89">
        <f t="shared" si="1"/>
        <v>0</v>
      </c>
      <c r="W13" s="115">
        <f t="shared" si="2"/>
        <v>36.871574135302126</v>
      </c>
      <c r="X13" s="71">
        <f t="shared" si="3"/>
        <v>0</v>
      </c>
      <c r="Y13" s="72">
        <f t="shared" si="4"/>
        <v>0</v>
      </c>
      <c r="Z13" s="72">
        <f t="shared" si="5"/>
        <v>0</v>
      </c>
      <c r="AA13" s="72">
        <f t="shared" si="6"/>
        <v>0</v>
      </c>
      <c r="AB13" s="72">
        <f t="shared" si="7"/>
        <v>0</v>
      </c>
      <c r="AC13" s="72">
        <f t="shared" si="8"/>
        <v>0</v>
      </c>
      <c r="AD13" s="73">
        <f t="shared" si="9"/>
        <v>0</v>
      </c>
      <c r="AE13" s="49"/>
      <c r="AF13" s="21"/>
      <c r="AG13" s="71"/>
      <c r="AH13" s="72"/>
      <c r="AI13" s="72"/>
      <c r="AJ13" s="72"/>
      <c r="AK13" s="72"/>
      <c r="AL13" s="72"/>
      <c r="AM13" s="72"/>
      <c r="AN13" s="72" t="str">
        <f t="shared" si="10"/>
        <v>---</v>
      </c>
      <c r="AO13" s="72" t="str">
        <f t="shared" si="11"/>
        <v>---</v>
      </c>
      <c r="AP13" s="72" t="str">
        <f t="shared" si="12"/>
        <v>---</v>
      </c>
      <c r="AQ13" s="72" t="str">
        <f t="shared" si="13"/>
        <v>---</v>
      </c>
      <c r="AR13" s="72" t="str">
        <f t="shared" si="14"/>
        <v>---</v>
      </c>
      <c r="AS13" s="72" t="str">
        <f t="shared" si="15"/>
        <v>---</v>
      </c>
      <c r="AT13" s="73" t="str">
        <f t="shared" si="16"/>
        <v>---</v>
      </c>
    </row>
    <row r="14" spans="1:46" ht="27" customHeight="1" x14ac:dyDescent="0.3">
      <c r="A14" s="7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87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72">
        <f>INDEX('PEER GROUP'!M:M,MATCH($A14,'PEER GROUP'!$A:$A,0))</f>
        <v>0</v>
      </c>
      <c r="M14" s="88">
        <f>INDEX('PEER GROUP'!N:N,MATCH($A14,'PEER GROUP'!$A:$A,0))</f>
        <v>0</v>
      </c>
      <c r="N14" s="120"/>
      <c r="O14" s="117"/>
      <c r="P14" s="119"/>
      <c r="Q14" s="89"/>
      <c r="R14" s="89">
        <f t="shared" si="0"/>
        <v>0</v>
      </c>
      <c r="S14" s="89"/>
      <c r="T14" s="89"/>
      <c r="U14" s="89"/>
      <c r="V14" s="89">
        <f t="shared" si="1"/>
        <v>0</v>
      </c>
      <c r="W14" s="115">
        <f t="shared" si="2"/>
        <v>36.871574135302126</v>
      </c>
      <c r="X14" s="71">
        <f t="shared" si="3"/>
        <v>0</v>
      </c>
      <c r="Y14" s="72">
        <f t="shared" si="4"/>
        <v>0</v>
      </c>
      <c r="Z14" s="72">
        <f t="shared" si="5"/>
        <v>0</v>
      </c>
      <c r="AA14" s="72">
        <f t="shared" si="6"/>
        <v>0</v>
      </c>
      <c r="AB14" s="72">
        <f t="shared" si="7"/>
        <v>0</v>
      </c>
      <c r="AC14" s="72">
        <f t="shared" si="8"/>
        <v>0</v>
      </c>
      <c r="AD14" s="73">
        <f t="shared" si="9"/>
        <v>0</v>
      </c>
      <c r="AE14" s="49"/>
      <c r="AF14" s="21"/>
      <c r="AG14" s="71"/>
      <c r="AH14" s="72"/>
      <c r="AI14" s="72"/>
      <c r="AJ14" s="72"/>
      <c r="AK14" s="72"/>
      <c r="AL14" s="72"/>
      <c r="AM14" s="72"/>
      <c r="AN14" s="72" t="str">
        <f t="shared" si="10"/>
        <v>---</v>
      </c>
      <c r="AO14" s="72" t="str">
        <f t="shared" si="11"/>
        <v>---</v>
      </c>
      <c r="AP14" s="72" t="str">
        <f t="shared" si="12"/>
        <v>---</v>
      </c>
      <c r="AQ14" s="72" t="str">
        <f t="shared" si="13"/>
        <v>---</v>
      </c>
      <c r="AR14" s="72" t="str">
        <f t="shared" si="14"/>
        <v>---</v>
      </c>
      <c r="AS14" s="72" t="str">
        <f t="shared" si="15"/>
        <v>---</v>
      </c>
      <c r="AT14" s="73" t="str">
        <f t="shared" si="16"/>
        <v>---</v>
      </c>
    </row>
    <row r="15" spans="1:46" ht="27" customHeight="1" x14ac:dyDescent="0.3">
      <c r="A15" s="7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87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72">
        <f>INDEX('PEER GROUP'!M:M,MATCH($A15,'PEER GROUP'!$A:$A,0))</f>
        <v>0</v>
      </c>
      <c r="M15" s="88">
        <f>INDEX('PEER GROUP'!N:N,MATCH($A15,'PEER GROUP'!$A:$A,0))</f>
        <v>0</v>
      </c>
      <c r="N15" s="120"/>
      <c r="O15" s="117"/>
      <c r="P15" s="119"/>
      <c r="Q15" s="89"/>
      <c r="R15" s="89">
        <f t="shared" si="0"/>
        <v>0</v>
      </c>
      <c r="S15" s="89"/>
      <c r="T15" s="89"/>
      <c r="U15" s="89"/>
      <c r="V15" s="89">
        <f t="shared" si="1"/>
        <v>0</v>
      </c>
      <c r="W15" s="115">
        <f t="shared" si="2"/>
        <v>36.871574135302126</v>
      </c>
      <c r="X15" s="71">
        <f t="shared" si="3"/>
        <v>0</v>
      </c>
      <c r="Y15" s="72">
        <f t="shared" si="4"/>
        <v>0</v>
      </c>
      <c r="Z15" s="72">
        <f t="shared" si="5"/>
        <v>0</v>
      </c>
      <c r="AA15" s="72">
        <f t="shared" si="6"/>
        <v>0</v>
      </c>
      <c r="AB15" s="72">
        <f t="shared" si="7"/>
        <v>0</v>
      </c>
      <c r="AC15" s="72">
        <f t="shared" si="8"/>
        <v>0</v>
      </c>
      <c r="AD15" s="73">
        <f t="shared" si="9"/>
        <v>0</v>
      </c>
      <c r="AE15" s="49"/>
      <c r="AF15" s="21"/>
      <c r="AG15" s="71"/>
      <c r="AH15" s="72"/>
      <c r="AI15" s="72"/>
      <c r="AJ15" s="72"/>
      <c r="AK15" s="72"/>
      <c r="AL15" s="72"/>
      <c r="AM15" s="72"/>
      <c r="AN15" s="72" t="str">
        <f t="shared" si="10"/>
        <v>---</v>
      </c>
      <c r="AO15" s="72" t="str">
        <f t="shared" si="11"/>
        <v>---</v>
      </c>
      <c r="AP15" s="72" t="str">
        <f t="shared" si="12"/>
        <v>---</v>
      </c>
      <c r="AQ15" s="72" t="str">
        <f t="shared" si="13"/>
        <v>---</v>
      </c>
      <c r="AR15" s="72" t="str">
        <f t="shared" si="14"/>
        <v>---</v>
      </c>
      <c r="AS15" s="72" t="str">
        <f t="shared" si="15"/>
        <v>---</v>
      </c>
      <c r="AT15" s="73" t="str">
        <f t="shared" si="16"/>
        <v>---</v>
      </c>
    </row>
    <row r="16" spans="1:46" ht="27" customHeight="1" x14ac:dyDescent="0.3">
      <c r="A16" s="7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87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72">
        <f>INDEX('PEER GROUP'!M:M,MATCH($A16,'PEER GROUP'!$A:$A,0))</f>
        <v>0</v>
      </c>
      <c r="M16" s="88">
        <f>INDEX('PEER GROUP'!N:N,MATCH($A16,'PEER GROUP'!$A:$A,0))</f>
        <v>0</v>
      </c>
      <c r="N16" s="120"/>
      <c r="O16" s="117"/>
      <c r="P16" s="119"/>
      <c r="Q16" s="89"/>
      <c r="R16" s="89">
        <f t="shared" si="0"/>
        <v>0</v>
      </c>
      <c r="S16" s="89"/>
      <c r="T16" s="89"/>
      <c r="U16" s="89"/>
      <c r="V16" s="89">
        <f t="shared" si="1"/>
        <v>0</v>
      </c>
      <c r="W16" s="115">
        <f t="shared" si="2"/>
        <v>36.871574135302126</v>
      </c>
      <c r="X16" s="71">
        <f t="shared" si="3"/>
        <v>0</v>
      </c>
      <c r="Y16" s="72">
        <f t="shared" si="4"/>
        <v>0</v>
      </c>
      <c r="Z16" s="72">
        <f t="shared" si="5"/>
        <v>0</v>
      </c>
      <c r="AA16" s="72">
        <f t="shared" si="6"/>
        <v>0</v>
      </c>
      <c r="AB16" s="72">
        <f t="shared" si="7"/>
        <v>0</v>
      </c>
      <c r="AC16" s="72">
        <f t="shared" si="8"/>
        <v>0</v>
      </c>
      <c r="AD16" s="73">
        <f t="shared" si="9"/>
        <v>0</v>
      </c>
      <c r="AE16" s="49"/>
      <c r="AF16" s="21"/>
      <c r="AG16" s="71"/>
      <c r="AH16" s="72"/>
      <c r="AI16" s="72"/>
      <c r="AJ16" s="72"/>
      <c r="AK16" s="72"/>
      <c r="AL16" s="72"/>
      <c r="AM16" s="72"/>
      <c r="AN16" s="72" t="str">
        <f t="shared" si="10"/>
        <v>---</v>
      </c>
      <c r="AO16" s="72" t="str">
        <f t="shared" si="11"/>
        <v>---</v>
      </c>
      <c r="AP16" s="72" t="str">
        <f t="shared" si="12"/>
        <v>---</v>
      </c>
      <c r="AQ16" s="72" t="str">
        <f t="shared" si="13"/>
        <v>---</v>
      </c>
      <c r="AR16" s="72" t="str">
        <f t="shared" si="14"/>
        <v>---</v>
      </c>
      <c r="AS16" s="72" t="str">
        <f t="shared" si="15"/>
        <v>---</v>
      </c>
      <c r="AT16" s="73" t="str">
        <f t="shared" si="16"/>
        <v>---</v>
      </c>
    </row>
    <row r="17" spans="1:46" ht="27" customHeight="1" x14ac:dyDescent="0.3">
      <c r="A17" s="7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87"/>
      <c r="I17" s="87"/>
      <c r="J17" s="72">
        <f>INDEX('PEER GROUP'!K:K,MATCH($A17,'PEER GROUP'!$A:$A,0))</f>
        <v>0</v>
      </c>
      <c r="K17" s="72">
        <f>INDEX('PEER GROUP'!L:L,MATCH($A17,'PEER GROUP'!$A:$A,0))</f>
        <v>0</v>
      </c>
      <c r="L17" s="72">
        <f>INDEX('PEER GROUP'!M:M,MATCH($A17,'PEER GROUP'!$A:$A,0))</f>
        <v>0</v>
      </c>
      <c r="M17" s="88">
        <f>INDEX('PEER GROUP'!N:N,MATCH($A17,'PEER GROUP'!$A:$A,0))</f>
        <v>0</v>
      </c>
      <c r="N17" s="120"/>
      <c r="O17" s="117"/>
      <c r="P17" s="119"/>
      <c r="Q17" s="89"/>
      <c r="R17" s="89">
        <f t="shared" si="0"/>
        <v>0</v>
      </c>
      <c r="S17" s="89"/>
      <c r="T17" s="89"/>
      <c r="U17" s="89"/>
      <c r="V17" s="89">
        <f t="shared" si="1"/>
        <v>0</v>
      </c>
      <c r="W17" s="115">
        <f t="shared" si="2"/>
        <v>36.871574135302126</v>
      </c>
      <c r="X17" s="71">
        <f t="shared" si="3"/>
        <v>0</v>
      </c>
      <c r="Y17" s="72">
        <f t="shared" si="4"/>
        <v>0</v>
      </c>
      <c r="Z17" s="72">
        <f t="shared" si="5"/>
        <v>0</v>
      </c>
      <c r="AA17" s="72">
        <f t="shared" si="6"/>
        <v>0</v>
      </c>
      <c r="AB17" s="72">
        <f t="shared" si="7"/>
        <v>0</v>
      </c>
      <c r="AC17" s="72">
        <f t="shared" si="8"/>
        <v>0</v>
      </c>
      <c r="AD17" s="73">
        <f t="shared" si="9"/>
        <v>0</v>
      </c>
      <c r="AE17" s="49"/>
      <c r="AF17" s="21"/>
      <c r="AG17" s="71"/>
      <c r="AH17" s="72"/>
      <c r="AI17" s="72"/>
      <c r="AJ17" s="72"/>
      <c r="AK17" s="72"/>
      <c r="AL17" s="72"/>
      <c r="AM17" s="72"/>
      <c r="AN17" s="72" t="str">
        <f t="shared" si="10"/>
        <v>---</v>
      </c>
      <c r="AO17" s="72" t="str">
        <f t="shared" si="11"/>
        <v>---</v>
      </c>
      <c r="AP17" s="72" t="str">
        <f t="shared" si="12"/>
        <v>---</v>
      </c>
      <c r="AQ17" s="72" t="str">
        <f t="shared" si="13"/>
        <v>---</v>
      </c>
      <c r="AR17" s="72" t="str">
        <f t="shared" si="14"/>
        <v>---</v>
      </c>
      <c r="AS17" s="72" t="str">
        <f t="shared" si="15"/>
        <v>---</v>
      </c>
      <c r="AT17" s="73" t="str">
        <f t="shared" si="16"/>
        <v>---</v>
      </c>
    </row>
    <row r="18" spans="1:46" ht="27" customHeight="1" x14ac:dyDescent="0.3">
      <c r="A18" s="7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87"/>
      <c r="I18" s="87"/>
      <c r="J18" s="72">
        <f>INDEX('PEER GROUP'!K:K,MATCH($A18,'PEER GROUP'!$A:$A,0))</f>
        <v>0</v>
      </c>
      <c r="K18" s="72">
        <f>INDEX('PEER GROUP'!L:L,MATCH($A18,'PEER GROUP'!$A:$A,0))</f>
        <v>0</v>
      </c>
      <c r="L18" s="72">
        <f>INDEX('PEER GROUP'!M:M,MATCH($A18,'PEER GROUP'!$A:$A,0))</f>
        <v>0</v>
      </c>
      <c r="M18" s="88">
        <f>INDEX('PEER GROUP'!N:N,MATCH($A18,'PEER GROUP'!$A:$A,0))</f>
        <v>0</v>
      </c>
      <c r="N18" s="120"/>
      <c r="O18" s="117"/>
      <c r="P18" s="119"/>
      <c r="Q18" s="89"/>
      <c r="R18" s="89">
        <f t="shared" si="0"/>
        <v>0</v>
      </c>
      <c r="S18" s="89"/>
      <c r="T18" s="89"/>
      <c r="U18" s="89"/>
      <c r="V18" s="89">
        <f t="shared" si="1"/>
        <v>0</v>
      </c>
      <c r="W18" s="115">
        <f t="shared" si="2"/>
        <v>36.871574135302126</v>
      </c>
      <c r="X18" s="71">
        <f t="shared" si="3"/>
        <v>0</v>
      </c>
      <c r="Y18" s="72">
        <f t="shared" si="4"/>
        <v>0</v>
      </c>
      <c r="Z18" s="72">
        <f t="shared" si="5"/>
        <v>0</v>
      </c>
      <c r="AA18" s="72">
        <f t="shared" si="6"/>
        <v>0</v>
      </c>
      <c r="AB18" s="72">
        <f t="shared" si="7"/>
        <v>0</v>
      </c>
      <c r="AC18" s="72">
        <f t="shared" si="8"/>
        <v>0</v>
      </c>
      <c r="AD18" s="73">
        <f t="shared" si="9"/>
        <v>0</v>
      </c>
      <c r="AE18" s="49"/>
      <c r="AF18" s="21"/>
      <c r="AG18" s="71"/>
      <c r="AH18" s="72"/>
      <c r="AI18" s="72"/>
      <c r="AJ18" s="72"/>
      <c r="AK18" s="72"/>
      <c r="AL18" s="72"/>
      <c r="AM18" s="72"/>
      <c r="AN18" s="72" t="str">
        <f t="shared" si="10"/>
        <v>---</v>
      </c>
      <c r="AO18" s="72" t="str">
        <f t="shared" si="11"/>
        <v>---</v>
      </c>
      <c r="AP18" s="72" t="str">
        <f t="shared" si="12"/>
        <v>---</v>
      </c>
      <c r="AQ18" s="72" t="str">
        <f t="shared" si="13"/>
        <v>---</v>
      </c>
      <c r="AR18" s="72" t="str">
        <f t="shared" si="14"/>
        <v>---</v>
      </c>
      <c r="AS18" s="72" t="str">
        <f t="shared" si="15"/>
        <v>---</v>
      </c>
      <c r="AT18" s="73" t="str">
        <f t="shared" si="16"/>
        <v>---</v>
      </c>
    </row>
    <row r="19" spans="1:46" ht="27" customHeight="1" x14ac:dyDescent="0.3">
      <c r="A19" s="7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87"/>
      <c r="I19" s="87"/>
      <c r="J19" s="72">
        <f>INDEX('PEER GROUP'!K:K,MATCH($A19,'PEER GROUP'!$A:$A,0))</f>
        <v>0</v>
      </c>
      <c r="K19" s="72">
        <f>INDEX('PEER GROUP'!L:L,MATCH($A19,'PEER GROUP'!$A:$A,0))</f>
        <v>0</v>
      </c>
      <c r="L19" s="72">
        <f>INDEX('PEER GROUP'!M:M,MATCH($A19,'PEER GROUP'!$A:$A,0))</f>
        <v>0</v>
      </c>
      <c r="M19" s="88">
        <f>INDEX('PEER GROUP'!N:N,MATCH($A19,'PEER GROUP'!$A:$A,0))</f>
        <v>0</v>
      </c>
      <c r="N19" s="120"/>
      <c r="O19" s="117"/>
      <c r="P19" s="119"/>
      <c r="Q19" s="89"/>
      <c r="R19" s="89">
        <f t="shared" si="0"/>
        <v>0</v>
      </c>
      <c r="S19" s="89"/>
      <c r="T19" s="89"/>
      <c r="U19" s="89"/>
      <c r="V19" s="89">
        <f t="shared" si="1"/>
        <v>0</v>
      </c>
      <c r="W19" s="115">
        <f t="shared" si="2"/>
        <v>36.871574135302126</v>
      </c>
      <c r="X19" s="71">
        <f t="shared" si="3"/>
        <v>0</v>
      </c>
      <c r="Y19" s="72">
        <f t="shared" si="4"/>
        <v>0</v>
      </c>
      <c r="Z19" s="72">
        <f t="shared" si="5"/>
        <v>0</v>
      </c>
      <c r="AA19" s="72">
        <f t="shared" si="6"/>
        <v>0</v>
      </c>
      <c r="AB19" s="72">
        <f t="shared" si="7"/>
        <v>0</v>
      </c>
      <c r="AC19" s="72">
        <f t="shared" si="8"/>
        <v>0</v>
      </c>
      <c r="AD19" s="73">
        <f t="shared" si="9"/>
        <v>0</v>
      </c>
      <c r="AE19" s="49"/>
      <c r="AF19" s="21"/>
      <c r="AG19" s="71"/>
      <c r="AH19" s="72"/>
      <c r="AI19" s="72"/>
      <c r="AJ19" s="72"/>
      <c r="AK19" s="72"/>
      <c r="AL19" s="72"/>
      <c r="AM19" s="72"/>
      <c r="AN19" s="72" t="str">
        <f t="shared" si="10"/>
        <v>---</v>
      </c>
      <c r="AO19" s="72" t="str">
        <f t="shared" si="11"/>
        <v>---</v>
      </c>
      <c r="AP19" s="72" t="str">
        <f t="shared" si="12"/>
        <v>---</v>
      </c>
      <c r="AQ19" s="72" t="str">
        <f t="shared" si="13"/>
        <v>---</v>
      </c>
      <c r="AR19" s="72" t="str">
        <f t="shared" si="14"/>
        <v>---</v>
      </c>
      <c r="AS19" s="72" t="str">
        <f t="shared" si="15"/>
        <v>---</v>
      </c>
      <c r="AT19" s="73" t="str">
        <f t="shared" si="16"/>
        <v>---</v>
      </c>
    </row>
    <row r="20" spans="1:46" ht="27" customHeight="1" x14ac:dyDescent="0.3">
      <c r="A20" s="7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87"/>
      <c r="I20" s="87"/>
      <c r="J20" s="72">
        <f>INDEX('PEER GROUP'!K:K,MATCH($A20,'PEER GROUP'!$A:$A,0))</f>
        <v>0</v>
      </c>
      <c r="K20" s="72">
        <f>INDEX('PEER GROUP'!L:L,MATCH($A20,'PEER GROUP'!$A:$A,0))</f>
        <v>0</v>
      </c>
      <c r="L20" s="72">
        <f>INDEX('PEER GROUP'!M:M,MATCH($A20,'PEER GROUP'!$A:$A,0))</f>
        <v>0</v>
      </c>
      <c r="M20" s="88">
        <f>INDEX('PEER GROUP'!N:N,MATCH($A20,'PEER GROUP'!$A:$A,0))</f>
        <v>0</v>
      </c>
      <c r="N20" s="120"/>
      <c r="O20" s="117"/>
      <c r="P20" s="119"/>
      <c r="Q20" s="89"/>
      <c r="R20" s="89">
        <f t="shared" si="0"/>
        <v>0</v>
      </c>
      <c r="S20" s="89"/>
      <c r="T20" s="89"/>
      <c r="U20" s="89"/>
      <c r="V20" s="89">
        <f t="shared" si="1"/>
        <v>0</v>
      </c>
      <c r="W20" s="115">
        <f t="shared" si="2"/>
        <v>36.871574135302126</v>
      </c>
      <c r="X20" s="71">
        <f t="shared" si="3"/>
        <v>0</v>
      </c>
      <c r="Y20" s="72">
        <f t="shared" si="4"/>
        <v>0</v>
      </c>
      <c r="Z20" s="72">
        <f t="shared" si="5"/>
        <v>0</v>
      </c>
      <c r="AA20" s="72">
        <f t="shared" si="6"/>
        <v>0</v>
      </c>
      <c r="AB20" s="72">
        <f t="shared" si="7"/>
        <v>0</v>
      </c>
      <c r="AC20" s="72">
        <f t="shared" si="8"/>
        <v>0</v>
      </c>
      <c r="AD20" s="73">
        <f t="shared" si="9"/>
        <v>0</v>
      </c>
      <c r="AE20" s="49"/>
      <c r="AF20" s="21"/>
      <c r="AG20" s="71"/>
      <c r="AH20" s="72"/>
      <c r="AI20" s="72"/>
      <c r="AJ20" s="72"/>
      <c r="AK20" s="72"/>
      <c r="AL20" s="72"/>
      <c r="AM20" s="72"/>
      <c r="AN20" s="72" t="str">
        <f t="shared" si="10"/>
        <v>---</v>
      </c>
      <c r="AO20" s="72" t="str">
        <f t="shared" si="11"/>
        <v>---</v>
      </c>
      <c r="AP20" s="72" t="str">
        <f t="shared" si="12"/>
        <v>---</v>
      </c>
      <c r="AQ20" s="72" t="str">
        <f t="shared" si="13"/>
        <v>---</v>
      </c>
      <c r="AR20" s="72" t="str">
        <f t="shared" si="14"/>
        <v>---</v>
      </c>
      <c r="AS20" s="72" t="str">
        <f t="shared" si="15"/>
        <v>---</v>
      </c>
      <c r="AT20" s="73" t="str">
        <f t="shared" si="16"/>
        <v>---</v>
      </c>
    </row>
    <row r="21" spans="1:46" ht="27" customHeight="1" x14ac:dyDescent="0.3">
      <c r="A21" s="7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87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72">
        <f>INDEX('PEER GROUP'!M:M,MATCH($A21,'PEER GROUP'!$A:$A,0))</f>
        <v>0</v>
      </c>
      <c r="M21" s="88">
        <f>INDEX('PEER GROUP'!N:N,MATCH($A21,'PEER GROUP'!$A:$A,0))</f>
        <v>0</v>
      </c>
      <c r="N21" s="119"/>
      <c r="O21" s="96"/>
      <c r="P21" s="119"/>
      <c r="Q21" s="89"/>
      <c r="R21" s="89">
        <f t="shared" si="0"/>
        <v>0</v>
      </c>
      <c r="S21" s="89"/>
      <c r="T21" s="89"/>
      <c r="U21" s="89"/>
      <c r="V21" s="89">
        <f t="shared" si="1"/>
        <v>0</v>
      </c>
      <c r="W21" s="115">
        <f t="shared" si="2"/>
        <v>36.871574135302126</v>
      </c>
      <c r="X21" s="71">
        <f t="shared" si="3"/>
        <v>0</v>
      </c>
      <c r="Y21" s="72">
        <f t="shared" si="4"/>
        <v>0</v>
      </c>
      <c r="Z21" s="72">
        <f t="shared" si="5"/>
        <v>0</v>
      </c>
      <c r="AA21" s="72">
        <f t="shared" si="6"/>
        <v>0</v>
      </c>
      <c r="AB21" s="72">
        <f t="shared" si="7"/>
        <v>0</v>
      </c>
      <c r="AC21" s="72">
        <f t="shared" si="8"/>
        <v>0</v>
      </c>
      <c r="AD21" s="73">
        <f t="shared" si="9"/>
        <v>0</v>
      </c>
      <c r="AE21" s="49"/>
      <c r="AF21" s="21"/>
      <c r="AG21" s="71"/>
      <c r="AH21" s="72"/>
      <c r="AI21" s="72"/>
      <c r="AJ21" s="72"/>
      <c r="AK21" s="72"/>
      <c r="AL21" s="72"/>
      <c r="AM21" s="72"/>
      <c r="AN21" s="72" t="str">
        <f t="shared" si="10"/>
        <v>---</v>
      </c>
      <c r="AO21" s="72" t="str">
        <f t="shared" si="11"/>
        <v>---</v>
      </c>
      <c r="AP21" s="72" t="str">
        <f t="shared" si="12"/>
        <v>---</v>
      </c>
      <c r="AQ21" s="72" t="str">
        <f t="shared" si="13"/>
        <v>---</v>
      </c>
      <c r="AR21" s="72" t="str">
        <f t="shared" si="14"/>
        <v>---</v>
      </c>
      <c r="AS21" s="72" t="str">
        <f t="shared" si="15"/>
        <v>---</v>
      </c>
      <c r="AT21" s="73" t="str">
        <f t="shared" si="16"/>
        <v>---</v>
      </c>
    </row>
    <row r="22" spans="1:46" ht="27" customHeight="1" x14ac:dyDescent="0.3">
      <c r="A22" s="7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87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72">
        <f>INDEX('PEER GROUP'!M:M,MATCH($A22,'PEER GROUP'!$A:$A,0))</f>
        <v>0</v>
      </c>
      <c r="M22" s="88">
        <f>INDEX('PEER GROUP'!N:N,MATCH($A22,'PEER GROUP'!$A:$A,0))</f>
        <v>0</v>
      </c>
      <c r="N22" s="120"/>
      <c r="O22" s="117"/>
      <c r="P22" s="119"/>
      <c r="Q22" s="89"/>
      <c r="R22" s="89">
        <f t="shared" si="0"/>
        <v>0</v>
      </c>
      <c r="S22" s="89"/>
      <c r="T22" s="89"/>
      <c r="U22" s="89"/>
      <c r="V22" s="89">
        <f t="shared" si="1"/>
        <v>0</v>
      </c>
      <c r="W22" s="115">
        <f t="shared" si="2"/>
        <v>36.871574135302126</v>
      </c>
      <c r="X22" s="71">
        <f t="shared" si="3"/>
        <v>0</v>
      </c>
      <c r="Y22" s="72">
        <f t="shared" si="4"/>
        <v>0</v>
      </c>
      <c r="Z22" s="72">
        <f t="shared" si="5"/>
        <v>0</v>
      </c>
      <c r="AA22" s="72">
        <f t="shared" si="6"/>
        <v>0</v>
      </c>
      <c r="AB22" s="72">
        <f t="shared" si="7"/>
        <v>0</v>
      </c>
      <c r="AC22" s="72">
        <f t="shared" si="8"/>
        <v>0</v>
      </c>
      <c r="AD22" s="73">
        <f t="shared" si="9"/>
        <v>0</v>
      </c>
      <c r="AE22" s="49"/>
      <c r="AF22" s="21"/>
      <c r="AG22" s="71"/>
      <c r="AH22" s="72"/>
      <c r="AI22" s="72"/>
      <c r="AJ22" s="72"/>
      <c r="AK22" s="72"/>
      <c r="AL22" s="72"/>
      <c r="AM22" s="72"/>
      <c r="AN22" s="72" t="str">
        <f t="shared" si="10"/>
        <v>---</v>
      </c>
      <c r="AO22" s="72" t="str">
        <f t="shared" si="11"/>
        <v>---</v>
      </c>
      <c r="AP22" s="72" t="str">
        <f t="shared" si="12"/>
        <v>---</v>
      </c>
      <c r="AQ22" s="72" t="str">
        <f t="shared" si="13"/>
        <v>---</v>
      </c>
      <c r="AR22" s="72" t="str">
        <f t="shared" si="14"/>
        <v>---</v>
      </c>
      <c r="AS22" s="72" t="str">
        <f t="shared" si="15"/>
        <v>---</v>
      </c>
      <c r="AT22" s="73" t="str">
        <f t="shared" si="16"/>
        <v>---</v>
      </c>
    </row>
    <row r="23" spans="1:46" ht="27" customHeight="1" x14ac:dyDescent="0.3">
      <c r="A23" s="7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87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72">
        <f>INDEX('PEER GROUP'!M:M,MATCH($A23,'PEER GROUP'!$A:$A,0))</f>
        <v>0</v>
      </c>
      <c r="M23" s="88">
        <f>INDEX('PEER GROUP'!N:N,MATCH($A23,'PEER GROUP'!$A:$A,0))</f>
        <v>0</v>
      </c>
      <c r="N23" s="120"/>
      <c r="O23" s="117"/>
      <c r="P23" s="119"/>
      <c r="Q23" s="89"/>
      <c r="R23" s="89">
        <f t="shared" si="0"/>
        <v>0</v>
      </c>
      <c r="S23" s="89"/>
      <c r="T23" s="89"/>
      <c r="U23" s="89"/>
      <c r="V23" s="89">
        <f t="shared" si="1"/>
        <v>0</v>
      </c>
      <c r="W23" s="115">
        <f t="shared" si="2"/>
        <v>36.871574135302126</v>
      </c>
      <c r="X23" s="71">
        <f t="shared" si="3"/>
        <v>0</v>
      </c>
      <c r="Y23" s="72">
        <f t="shared" si="4"/>
        <v>0</v>
      </c>
      <c r="Z23" s="72">
        <f t="shared" si="5"/>
        <v>0</v>
      </c>
      <c r="AA23" s="72">
        <f t="shared" si="6"/>
        <v>0</v>
      </c>
      <c r="AB23" s="72">
        <f t="shared" si="7"/>
        <v>0</v>
      </c>
      <c r="AC23" s="72">
        <f t="shared" si="8"/>
        <v>0</v>
      </c>
      <c r="AD23" s="73">
        <f t="shared" si="9"/>
        <v>0</v>
      </c>
      <c r="AE23" s="49"/>
      <c r="AF23" s="21"/>
      <c r="AG23" s="71"/>
      <c r="AH23" s="72"/>
      <c r="AI23" s="72"/>
      <c r="AJ23" s="72"/>
      <c r="AK23" s="72"/>
      <c r="AL23" s="72"/>
      <c r="AM23" s="72"/>
      <c r="AN23" s="72" t="str">
        <f t="shared" si="10"/>
        <v>---</v>
      </c>
      <c r="AO23" s="72" t="str">
        <f t="shared" si="11"/>
        <v>---</v>
      </c>
      <c r="AP23" s="72" t="str">
        <f t="shared" si="12"/>
        <v>---</v>
      </c>
      <c r="AQ23" s="72" t="str">
        <f t="shared" si="13"/>
        <v>---</v>
      </c>
      <c r="AR23" s="72" t="str">
        <f t="shared" si="14"/>
        <v>---</v>
      </c>
      <c r="AS23" s="72" t="str">
        <f t="shared" si="15"/>
        <v>---</v>
      </c>
      <c r="AT23" s="73" t="str">
        <f t="shared" si="16"/>
        <v>---</v>
      </c>
    </row>
    <row r="24" spans="1:46" ht="27" customHeight="1" x14ac:dyDescent="0.3">
      <c r="A24" s="7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87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72">
        <f>INDEX('PEER GROUP'!M:M,MATCH($A24,'PEER GROUP'!$A:$A,0))</f>
        <v>0</v>
      </c>
      <c r="M24" s="88">
        <f>INDEX('PEER GROUP'!N:N,MATCH($A24,'PEER GROUP'!$A:$A,0))</f>
        <v>0</v>
      </c>
      <c r="N24" s="120"/>
      <c r="O24" s="117"/>
      <c r="P24" s="119"/>
      <c r="Q24" s="89"/>
      <c r="R24" s="89">
        <f t="shared" si="0"/>
        <v>0</v>
      </c>
      <c r="S24" s="89"/>
      <c r="T24" s="89"/>
      <c r="U24" s="89"/>
      <c r="V24" s="89">
        <f t="shared" si="1"/>
        <v>0</v>
      </c>
      <c r="W24" s="115">
        <f t="shared" si="2"/>
        <v>36.871574135302126</v>
      </c>
      <c r="X24" s="71">
        <f t="shared" si="3"/>
        <v>0</v>
      </c>
      <c r="Y24" s="72">
        <f t="shared" si="4"/>
        <v>0</v>
      </c>
      <c r="Z24" s="72">
        <f t="shared" si="5"/>
        <v>0</v>
      </c>
      <c r="AA24" s="72">
        <f t="shared" si="6"/>
        <v>0</v>
      </c>
      <c r="AB24" s="72">
        <f t="shared" si="7"/>
        <v>0</v>
      </c>
      <c r="AC24" s="72">
        <f t="shared" si="8"/>
        <v>0</v>
      </c>
      <c r="AD24" s="73">
        <f t="shared" si="9"/>
        <v>0</v>
      </c>
      <c r="AE24" s="49"/>
      <c r="AF24" s="21"/>
      <c r="AG24" s="71"/>
      <c r="AH24" s="72"/>
      <c r="AI24" s="72"/>
      <c r="AJ24" s="72"/>
      <c r="AK24" s="72"/>
      <c r="AL24" s="72"/>
      <c r="AM24" s="72"/>
      <c r="AN24" s="72" t="str">
        <f t="shared" si="10"/>
        <v>---</v>
      </c>
      <c r="AO24" s="72" t="str">
        <f t="shared" si="11"/>
        <v>---</v>
      </c>
      <c r="AP24" s="72" t="str">
        <f t="shared" si="12"/>
        <v>---</v>
      </c>
      <c r="AQ24" s="72" t="str">
        <f t="shared" si="13"/>
        <v>---</v>
      </c>
      <c r="AR24" s="72" t="str">
        <f t="shared" si="14"/>
        <v>---</v>
      </c>
      <c r="AS24" s="72" t="str">
        <f t="shared" si="15"/>
        <v>---</v>
      </c>
      <c r="AT24" s="73" t="str">
        <f t="shared" si="16"/>
        <v>---</v>
      </c>
    </row>
    <row r="25" spans="1:46" ht="27" customHeight="1" x14ac:dyDescent="0.3">
      <c r="A25" s="7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87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72">
        <f>INDEX('PEER GROUP'!M:M,MATCH($A25,'PEER GROUP'!$A:$A,0))</f>
        <v>0</v>
      </c>
      <c r="M25" s="88">
        <f>INDEX('PEER GROUP'!N:N,MATCH($A25,'PEER GROUP'!$A:$A,0))</f>
        <v>0</v>
      </c>
      <c r="N25" s="120"/>
      <c r="O25" s="117"/>
      <c r="P25" s="119"/>
      <c r="Q25" s="89"/>
      <c r="R25" s="89">
        <f t="shared" si="0"/>
        <v>0</v>
      </c>
      <c r="S25" s="89"/>
      <c r="T25" s="89"/>
      <c r="U25" s="89"/>
      <c r="V25" s="89">
        <f t="shared" si="1"/>
        <v>0</v>
      </c>
      <c r="W25" s="115">
        <f t="shared" si="2"/>
        <v>36.871574135302126</v>
      </c>
      <c r="X25" s="71">
        <f t="shared" si="3"/>
        <v>0</v>
      </c>
      <c r="Y25" s="72">
        <f t="shared" si="4"/>
        <v>0</v>
      </c>
      <c r="Z25" s="72">
        <f t="shared" si="5"/>
        <v>0</v>
      </c>
      <c r="AA25" s="72">
        <f t="shared" si="6"/>
        <v>0</v>
      </c>
      <c r="AB25" s="72">
        <f t="shared" si="7"/>
        <v>0</v>
      </c>
      <c r="AC25" s="72">
        <f t="shared" si="8"/>
        <v>0</v>
      </c>
      <c r="AD25" s="73">
        <f t="shared" si="9"/>
        <v>0</v>
      </c>
      <c r="AE25" s="49"/>
      <c r="AF25" s="21"/>
      <c r="AG25" s="71"/>
      <c r="AH25" s="72"/>
      <c r="AI25" s="72"/>
      <c r="AJ25" s="72"/>
      <c r="AK25" s="72"/>
      <c r="AL25" s="72"/>
      <c r="AM25" s="72"/>
      <c r="AN25" s="72" t="str">
        <f t="shared" si="10"/>
        <v>---</v>
      </c>
      <c r="AO25" s="72" t="str">
        <f t="shared" si="11"/>
        <v>---</v>
      </c>
      <c r="AP25" s="72" t="str">
        <f t="shared" si="12"/>
        <v>---</v>
      </c>
      <c r="AQ25" s="72" t="str">
        <f t="shared" si="13"/>
        <v>---</v>
      </c>
      <c r="AR25" s="72" t="str">
        <f t="shared" si="14"/>
        <v>---</v>
      </c>
      <c r="AS25" s="72" t="str">
        <f t="shared" si="15"/>
        <v>---</v>
      </c>
      <c r="AT25" s="73" t="str">
        <f t="shared" si="16"/>
        <v>---</v>
      </c>
    </row>
    <row r="26" spans="1:46" ht="27" customHeight="1" x14ac:dyDescent="0.3">
      <c r="A26" s="7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87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72">
        <f>INDEX('PEER GROUP'!M:M,MATCH($A26,'PEER GROUP'!$A:$A,0))</f>
        <v>0</v>
      </c>
      <c r="M26" s="88">
        <f>INDEX('PEER GROUP'!N:N,MATCH($A26,'PEER GROUP'!$A:$A,0))</f>
        <v>0</v>
      </c>
      <c r="N26" s="120"/>
      <c r="O26" s="117"/>
      <c r="P26" s="119"/>
      <c r="Q26" s="89"/>
      <c r="R26" s="89">
        <f t="shared" si="0"/>
        <v>0</v>
      </c>
      <c r="S26" s="89"/>
      <c r="T26" s="89"/>
      <c r="U26" s="89"/>
      <c r="V26" s="89">
        <f t="shared" si="1"/>
        <v>0</v>
      </c>
      <c r="W26" s="115">
        <f t="shared" si="2"/>
        <v>36.871574135302126</v>
      </c>
      <c r="X26" s="71">
        <f t="shared" si="3"/>
        <v>0</v>
      </c>
      <c r="Y26" s="72">
        <f t="shared" si="4"/>
        <v>0</v>
      </c>
      <c r="Z26" s="72">
        <f t="shared" si="5"/>
        <v>0</v>
      </c>
      <c r="AA26" s="72">
        <f t="shared" si="6"/>
        <v>0</v>
      </c>
      <c r="AB26" s="72">
        <f t="shared" si="7"/>
        <v>0</v>
      </c>
      <c r="AC26" s="72">
        <f t="shared" si="8"/>
        <v>0</v>
      </c>
      <c r="AD26" s="73">
        <f t="shared" si="9"/>
        <v>0</v>
      </c>
      <c r="AE26" s="49"/>
      <c r="AF26" s="21"/>
      <c r="AG26" s="71"/>
      <c r="AH26" s="72"/>
      <c r="AI26" s="72"/>
      <c r="AJ26" s="72"/>
      <c r="AK26" s="72"/>
      <c r="AL26" s="72"/>
      <c r="AM26" s="72"/>
      <c r="AN26" s="72" t="str">
        <f t="shared" si="10"/>
        <v>---</v>
      </c>
      <c r="AO26" s="72" t="str">
        <f t="shared" si="11"/>
        <v>---</v>
      </c>
      <c r="AP26" s="72" t="str">
        <f t="shared" si="12"/>
        <v>---</v>
      </c>
      <c r="AQ26" s="72" t="str">
        <f t="shared" si="13"/>
        <v>---</v>
      </c>
      <c r="AR26" s="72" t="str">
        <f t="shared" si="14"/>
        <v>---</v>
      </c>
      <c r="AS26" s="72" t="str">
        <f t="shared" si="15"/>
        <v>---</v>
      </c>
      <c r="AT26" s="73" t="str">
        <f t="shared" si="16"/>
        <v>---</v>
      </c>
    </row>
    <row r="27" spans="1:46" ht="27" customHeight="1" x14ac:dyDescent="0.3">
      <c r="A27" s="7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87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72">
        <f>INDEX('PEER GROUP'!M:M,MATCH($A27,'PEER GROUP'!$A:$A,0))</f>
        <v>0</v>
      </c>
      <c r="M27" s="88">
        <f>INDEX('PEER GROUP'!N:N,MATCH($A27,'PEER GROUP'!$A:$A,0))</f>
        <v>0</v>
      </c>
      <c r="N27" s="120"/>
      <c r="O27" s="117"/>
      <c r="P27" s="119"/>
      <c r="Q27" s="89"/>
      <c r="R27" s="89">
        <f t="shared" si="0"/>
        <v>0</v>
      </c>
      <c r="S27" s="89"/>
      <c r="T27" s="89"/>
      <c r="U27" s="89"/>
      <c r="V27" s="89">
        <f t="shared" si="1"/>
        <v>0</v>
      </c>
      <c r="W27" s="115">
        <f t="shared" si="2"/>
        <v>36.871574135302126</v>
      </c>
      <c r="X27" s="71">
        <f t="shared" si="3"/>
        <v>0</v>
      </c>
      <c r="Y27" s="72">
        <f t="shared" si="4"/>
        <v>0</v>
      </c>
      <c r="Z27" s="72">
        <f t="shared" si="5"/>
        <v>0</v>
      </c>
      <c r="AA27" s="72">
        <f t="shared" si="6"/>
        <v>0</v>
      </c>
      <c r="AB27" s="72">
        <f t="shared" si="7"/>
        <v>0</v>
      </c>
      <c r="AC27" s="72">
        <f t="shared" si="8"/>
        <v>0</v>
      </c>
      <c r="AD27" s="73">
        <f t="shared" si="9"/>
        <v>0</v>
      </c>
      <c r="AE27" s="49"/>
      <c r="AF27" s="21"/>
      <c r="AG27" s="71"/>
      <c r="AH27" s="72"/>
      <c r="AI27" s="72"/>
      <c r="AJ27" s="72"/>
      <c r="AK27" s="72"/>
      <c r="AL27" s="72"/>
      <c r="AM27" s="72"/>
      <c r="AN27" s="72" t="str">
        <f t="shared" si="10"/>
        <v>---</v>
      </c>
      <c r="AO27" s="72" t="str">
        <f t="shared" si="11"/>
        <v>---</v>
      </c>
      <c r="AP27" s="72" t="str">
        <f t="shared" si="12"/>
        <v>---</v>
      </c>
      <c r="AQ27" s="72" t="str">
        <f t="shared" si="13"/>
        <v>---</v>
      </c>
      <c r="AR27" s="72" t="str">
        <f t="shared" si="14"/>
        <v>---</v>
      </c>
      <c r="AS27" s="72" t="str">
        <f t="shared" si="15"/>
        <v>---</v>
      </c>
      <c r="AT27" s="73" t="str">
        <f t="shared" si="16"/>
        <v>---</v>
      </c>
    </row>
    <row r="28" spans="1:46" ht="27" customHeight="1" x14ac:dyDescent="0.3">
      <c r="A28" s="7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87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72">
        <f>INDEX('PEER GROUP'!M:M,MATCH($A28,'PEER GROUP'!$A:$A,0))</f>
        <v>0</v>
      </c>
      <c r="M28" s="88">
        <f>INDEX('PEER GROUP'!N:N,MATCH($A28,'PEER GROUP'!$A:$A,0))</f>
        <v>0</v>
      </c>
      <c r="N28" s="120"/>
      <c r="O28" s="117"/>
      <c r="P28" s="119"/>
      <c r="Q28" s="89"/>
      <c r="R28" s="89">
        <f t="shared" si="0"/>
        <v>0</v>
      </c>
      <c r="S28" s="89"/>
      <c r="T28" s="89"/>
      <c r="U28" s="89"/>
      <c r="V28" s="89">
        <f t="shared" si="1"/>
        <v>0</v>
      </c>
      <c r="W28" s="115">
        <f t="shared" si="2"/>
        <v>36.871574135302126</v>
      </c>
      <c r="X28" s="71">
        <f t="shared" si="3"/>
        <v>0</v>
      </c>
      <c r="Y28" s="72">
        <f t="shared" si="4"/>
        <v>0</v>
      </c>
      <c r="Z28" s="72">
        <f t="shared" si="5"/>
        <v>0</v>
      </c>
      <c r="AA28" s="72">
        <f t="shared" si="6"/>
        <v>0</v>
      </c>
      <c r="AB28" s="72">
        <f t="shared" si="7"/>
        <v>0</v>
      </c>
      <c r="AC28" s="72">
        <f t="shared" si="8"/>
        <v>0</v>
      </c>
      <c r="AD28" s="73">
        <f t="shared" si="9"/>
        <v>0</v>
      </c>
      <c r="AE28" s="49"/>
      <c r="AF28" s="21"/>
      <c r="AG28" s="71"/>
      <c r="AH28" s="72"/>
      <c r="AI28" s="72"/>
      <c r="AJ28" s="72"/>
      <c r="AK28" s="72"/>
      <c r="AL28" s="72"/>
      <c r="AM28" s="72"/>
      <c r="AN28" s="72" t="str">
        <f t="shared" si="10"/>
        <v>---</v>
      </c>
      <c r="AO28" s="72" t="str">
        <f t="shared" si="11"/>
        <v>---</v>
      </c>
      <c r="AP28" s="72" t="str">
        <f t="shared" si="12"/>
        <v>---</v>
      </c>
      <c r="AQ28" s="72" t="str">
        <f t="shared" si="13"/>
        <v>---</v>
      </c>
      <c r="AR28" s="72" t="str">
        <f t="shared" si="14"/>
        <v>---</v>
      </c>
      <c r="AS28" s="72" t="str">
        <f t="shared" si="15"/>
        <v>---</v>
      </c>
      <c r="AT28" s="73" t="str">
        <f t="shared" si="16"/>
        <v>---</v>
      </c>
    </row>
    <row r="29" spans="1:46" ht="27" customHeight="1" x14ac:dyDescent="0.3">
      <c r="A29" s="7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87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72">
        <f>INDEX('PEER GROUP'!M:M,MATCH($A29,'PEER GROUP'!$A:$A,0))</f>
        <v>0</v>
      </c>
      <c r="M29" s="88">
        <f>INDEX('PEER GROUP'!N:N,MATCH($A29,'PEER GROUP'!$A:$A,0))</f>
        <v>0</v>
      </c>
      <c r="N29" s="120"/>
      <c r="O29" s="117"/>
      <c r="P29" s="119"/>
      <c r="Q29" s="89"/>
      <c r="R29" s="89">
        <f t="shared" si="0"/>
        <v>0</v>
      </c>
      <c r="S29" s="89"/>
      <c r="T29" s="89"/>
      <c r="U29" s="89"/>
      <c r="V29" s="89">
        <f t="shared" si="1"/>
        <v>0</v>
      </c>
      <c r="W29" s="115">
        <f t="shared" si="2"/>
        <v>36.871574135302126</v>
      </c>
      <c r="X29" s="71">
        <f t="shared" si="3"/>
        <v>0</v>
      </c>
      <c r="Y29" s="72">
        <f t="shared" si="4"/>
        <v>0</v>
      </c>
      <c r="Z29" s="72">
        <f t="shared" si="5"/>
        <v>0</v>
      </c>
      <c r="AA29" s="72">
        <f t="shared" si="6"/>
        <v>0</v>
      </c>
      <c r="AB29" s="72">
        <f t="shared" si="7"/>
        <v>0</v>
      </c>
      <c r="AC29" s="72">
        <f t="shared" si="8"/>
        <v>0</v>
      </c>
      <c r="AD29" s="73">
        <f t="shared" si="9"/>
        <v>0</v>
      </c>
      <c r="AE29" s="49"/>
      <c r="AF29" s="21"/>
      <c r="AG29" s="71"/>
      <c r="AH29" s="72"/>
      <c r="AI29" s="72"/>
      <c r="AJ29" s="72"/>
      <c r="AK29" s="72"/>
      <c r="AL29" s="72"/>
      <c r="AM29" s="72"/>
      <c r="AN29" s="72" t="str">
        <f t="shared" si="10"/>
        <v>---</v>
      </c>
      <c r="AO29" s="72" t="str">
        <f t="shared" si="11"/>
        <v>---</v>
      </c>
      <c r="AP29" s="72" t="str">
        <f t="shared" si="12"/>
        <v>---</v>
      </c>
      <c r="AQ29" s="72" t="str">
        <f t="shared" si="13"/>
        <v>---</v>
      </c>
      <c r="AR29" s="72" t="str">
        <f t="shared" si="14"/>
        <v>---</v>
      </c>
      <c r="AS29" s="72" t="str">
        <f t="shared" si="15"/>
        <v>---</v>
      </c>
      <c r="AT29" s="73" t="str">
        <f t="shared" si="16"/>
        <v>---</v>
      </c>
    </row>
    <row r="30" spans="1:46" ht="27" customHeight="1" x14ac:dyDescent="0.3">
      <c r="A30" s="7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87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72">
        <f>INDEX('PEER GROUP'!M:M,MATCH($A30,'PEER GROUP'!$A:$A,0))</f>
        <v>0</v>
      </c>
      <c r="M30" s="88">
        <f>INDEX('PEER GROUP'!N:N,MATCH($A30,'PEER GROUP'!$A:$A,0))</f>
        <v>0</v>
      </c>
      <c r="N30" s="120"/>
      <c r="O30" s="117"/>
      <c r="P30" s="119"/>
      <c r="Q30" s="89"/>
      <c r="R30" s="89">
        <f t="shared" si="0"/>
        <v>0</v>
      </c>
      <c r="S30" s="89"/>
      <c r="T30" s="89"/>
      <c r="U30" s="89"/>
      <c r="V30" s="89">
        <f t="shared" si="1"/>
        <v>0</v>
      </c>
      <c r="W30" s="115">
        <f t="shared" si="2"/>
        <v>36.871574135302126</v>
      </c>
      <c r="X30" s="71">
        <f t="shared" si="3"/>
        <v>0</v>
      </c>
      <c r="Y30" s="72">
        <f t="shared" si="4"/>
        <v>0</v>
      </c>
      <c r="Z30" s="72">
        <f t="shared" si="5"/>
        <v>0</v>
      </c>
      <c r="AA30" s="72">
        <f t="shared" si="6"/>
        <v>0</v>
      </c>
      <c r="AB30" s="72">
        <f t="shared" si="7"/>
        <v>0</v>
      </c>
      <c r="AC30" s="72">
        <f t="shared" si="8"/>
        <v>0</v>
      </c>
      <c r="AD30" s="73">
        <f t="shared" si="9"/>
        <v>0</v>
      </c>
      <c r="AE30" s="49"/>
      <c r="AF30" s="21"/>
      <c r="AG30" s="68"/>
      <c r="AH30" s="69"/>
      <c r="AI30" s="69"/>
      <c r="AJ30" s="69"/>
      <c r="AK30" s="69"/>
      <c r="AL30" s="69"/>
      <c r="AM30" s="69"/>
      <c r="AN30" s="69" t="str">
        <f t="shared" si="10"/>
        <v>---</v>
      </c>
      <c r="AO30" s="69" t="str">
        <f t="shared" si="11"/>
        <v>---</v>
      </c>
      <c r="AP30" s="69" t="str">
        <f t="shared" si="12"/>
        <v>---</v>
      </c>
      <c r="AQ30" s="69" t="str">
        <f t="shared" si="13"/>
        <v>---</v>
      </c>
      <c r="AR30" s="69" t="str">
        <f t="shared" si="14"/>
        <v>---</v>
      </c>
      <c r="AS30" s="69" t="str">
        <f t="shared" si="15"/>
        <v>---</v>
      </c>
      <c r="AT30" s="70" t="str">
        <f t="shared" si="16"/>
        <v>---</v>
      </c>
    </row>
    <row r="31" spans="1:46" ht="27" customHeight="1" x14ac:dyDescent="0.3">
      <c r="A31" s="7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87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72">
        <f>INDEX('PEER GROUP'!M:M,MATCH($A31,'PEER GROUP'!$A:$A,0))</f>
        <v>0</v>
      </c>
      <c r="M31" s="88">
        <f>INDEX('PEER GROUP'!N:N,MATCH($A31,'PEER GROUP'!$A:$A,0))</f>
        <v>0</v>
      </c>
      <c r="N31" s="120"/>
      <c r="O31" s="117"/>
      <c r="P31" s="119"/>
      <c r="Q31" s="89"/>
      <c r="R31" s="89">
        <f t="shared" si="0"/>
        <v>0</v>
      </c>
      <c r="S31" s="89"/>
      <c r="T31" s="89"/>
      <c r="U31" s="89"/>
      <c r="V31" s="89">
        <f t="shared" si="1"/>
        <v>0</v>
      </c>
      <c r="W31" s="115">
        <f t="shared" si="2"/>
        <v>36.871574135302126</v>
      </c>
      <c r="X31" s="71">
        <f t="shared" si="3"/>
        <v>0</v>
      </c>
      <c r="Y31" s="72">
        <f t="shared" si="4"/>
        <v>0</v>
      </c>
      <c r="Z31" s="72">
        <f t="shared" si="5"/>
        <v>0</v>
      </c>
      <c r="AA31" s="72">
        <f t="shared" si="6"/>
        <v>0</v>
      </c>
      <c r="AB31" s="72">
        <f t="shared" si="7"/>
        <v>0</v>
      </c>
      <c r="AC31" s="72">
        <f t="shared" si="8"/>
        <v>0</v>
      </c>
      <c r="AD31" s="73">
        <f t="shared" si="9"/>
        <v>0</v>
      </c>
      <c r="AE31" s="49"/>
      <c r="AF31" s="21"/>
      <c r="AG31" s="71"/>
      <c r="AH31" s="72"/>
      <c r="AI31" s="72"/>
      <c r="AJ31" s="72"/>
      <c r="AK31" s="72"/>
      <c r="AL31" s="72"/>
      <c r="AM31" s="72"/>
      <c r="AN31" s="72" t="str">
        <f t="shared" si="10"/>
        <v>---</v>
      </c>
      <c r="AO31" s="72" t="str">
        <f t="shared" si="11"/>
        <v>---</v>
      </c>
      <c r="AP31" s="72" t="str">
        <f t="shared" si="12"/>
        <v>---</v>
      </c>
      <c r="AQ31" s="72" t="str">
        <f t="shared" si="13"/>
        <v>---</v>
      </c>
      <c r="AR31" s="72" t="str">
        <f t="shared" si="14"/>
        <v>---</v>
      </c>
      <c r="AS31" s="72" t="str">
        <f t="shared" si="15"/>
        <v>---</v>
      </c>
      <c r="AT31" s="73" t="str">
        <f t="shared" si="16"/>
        <v>---</v>
      </c>
    </row>
    <row r="32" spans="1:46" ht="27" customHeight="1" x14ac:dyDescent="0.3">
      <c r="A32" s="7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87"/>
      <c r="I32" s="87"/>
      <c r="J32" s="72">
        <f>INDEX('PEER GROUP'!K:K,MATCH($A32,'PEER GROUP'!$A:$A,0))</f>
        <v>0</v>
      </c>
      <c r="K32" s="72">
        <f>INDEX('PEER GROUP'!L:L,MATCH($A32,'PEER GROUP'!$A:$A,0))</f>
        <v>0</v>
      </c>
      <c r="L32" s="72">
        <f>INDEX('PEER GROUP'!M:M,MATCH($A32,'PEER GROUP'!$A:$A,0))</f>
        <v>0</v>
      </c>
      <c r="M32" s="88">
        <f>INDEX('PEER GROUP'!N:N,MATCH($A32,'PEER GROUP'!$A:$A,0))</f>
        <v>0</v>
      </c>
      <c r="N32" s="120"/>
      <c r="O32" s="117"/>
      <c r="P32" s="119"/>
      <c r="Q32" s="89"/>
      <c r="R32" s="89">
        <f t="shared" si="0"/>
        <v>0</v>
      </c>
      <c r="S32" s="89"/>
      <c r="T32" s="89"/>
      <c r="U32" s="89"/>
      <c r="V32" s="89">
        <f t="shared" si="1"/>
        <v>0</v>
      </c>
      <c r="W32" s="115">
        <f t="shared" si="2"/>
        <v>36.871574135302126</v>
      </c>
      <c r="X32" s="71">
        <f t="shared" si="3"/>
        <v>0</v>
      </c>
      <c r="Y32" s="72">
        <f t="shared" si="4"/>
        <v>0</v>
      </c>
      <c r="Z32" s="72">
        <f t="shared" si="5"/>
        <v>0</v>
      </c>
      <c r="AA32" s="72">
        <f t="shared" si="6"/>
        <v>0</v>
      </c>
      <c r="AB32" s="72">
        <f t="shared" si="7"/>
        <v>0</v>
      </c>
      <c r="AC32" s="72">
        <f t="shared" si="8"/>
        <v>0</v>
      </c>
      <c r="AD32" s="73">
        <f t="shared" si="9"/>
        <v>0</v>
      </c>
      <c r="AE32" s="49"/>
      <c r="AF32" s="21"/>
      <c r="AG32" s="71"/>
      <c r="AH32" s="72"/>
      <c r="AI32" s="72"/>
      <c r="AJ32" s="72"/>
      <c r="AK32" s="72"/>
      <c r="AL32" s="72"/>
      <c r="AM32" s="72"/>
      <c r="AN32" s="72" t="str">
        <f t="shared" si="10"/>
        <v>---</v>
      </c>
      <c r="AO32" s="72" t="str">
        <f t="shared" si="11"/>
        <v>---</v>
      </c>
      <c r="AP32" s="72" t="str">
        <f t="shared" si="12"/>
        <v>---</v>
      </c>
      <c r="AQ32" s="72" t="str">
        <f t="shared" si="13"/>
        <v>---</v>
      </c>
      <c r="AR32" s="72" t="str">
        <f t="shared" si="14"/>
        <v>---</v>
      </c>
      <c r="AS32" s="72" t="str">
        <f t="shared" si="15"/>
        <v>---</v>
      </c>
      <c r="AT32" s="73" t="str">
        <f t="shared" si="16"/>
        <v>---</v>
      </c>
    </row>
    <row r="33" spans="1:46" ht="27" customHeight="1" x14ac:dyDescent="0.3">
      <c r="A33" s="7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87"/>
      <c r="I33" s="87"/>
      <c r="J33" s="72">
        <f>INDEX('PEER GROUP'!K:K,MATCH($A33,'PEER GROUP'!$A:$A,0))</f>
        <v>0</v>
      </c>
      <c r="K33" s="72">
        <f>INDEX('PEER GROUP'!L:L,MATCH($A33,'PEER GROUP'!$A:$A,0))</f>
        <v>0</v>
      </c>
      <c r="L33" s="72">
        <f>INDEX('PEER GROUP'!M:M,MATCH($A33,'PEER GROUP'!$A:$A,0))</f>
        <v>0</v>
      </c>
      <c r="M33" s="88">
        <f>INDEX('PEER GROUP'!N:N,MATCH($A33,'PEER GROUP'!$A:$A,0))</f>
        <v>0</v>
      </c>
      <c r="N33" s="120"/>
      <c r="O33" s="117"/>
      <c r="P33" s="119"/>
      <c r="Q33" s="89"/>
      <c r="R33" s="89">
        <f t="shared" si="0"/>
        <v>0</v>
      </c>
      <c r="S33" s="89"/>
      <c r="T33" s="89"/>
      <c r="U33" s="89"/>
      <c r="V33" s="89">
        <f t="shared" si="1"/>
        <v>0</v>
      </c>
      <c r="W33" s="115">
        <f t="shared" si="2"/>
        <v>36.871574135302126</v>
      </c>
      <c r="X33" s="71">
        <f t="shared" si="3"/>
        <v>0</v>
      </c>
      <c r="Y33" s="72">
        <f t="shared" si="4"/>
        <v>0</v>
      </c>
      <c r="Z33" s="72">
        <f t="shared" si="5"/>
        <v>0</v>
      </c>
      <c r="AA33" s="72">
        <f t="shared" si="6"/>
        <v>0</v>
      </c>
      <c r="AB33" s="72">
        <f t="shared" si="7"/>
        <v>0</v>
      </c>
      <c r="AC33" s="72">
        <f t="shared" si="8"/>
        <v>0</v>
      </c>
      <c r="AD33" s="73">
        <f t="shared" si="9"/>
        <v>0</v>
      </c>
      <c r="AE33" s="49"/>
      <c r="AF33" s="21"/>
      <c r="AG33" s="71"/>
      <c r="AH33" s="72"/>
      <c r="AI33" s="72"/>
      <c r="AJ33" s="72"/>
      <c r="AK33" s="72"/>
      <c r="AL33" s="72"/>
      <c r="AM33" s="72"/>
      <c r="AN33" s="72" t="str">
        <f t="shared" si="10"/>
        <v>---</v>
      </c>
      <c r="AO33" s="72" t="str">
        <f t="shared" si="11"/>
        <v>---</v>
      </c>
      <c r="AP33" s="72" t="str">
        <f t="shared" si="12"/>
        <v>---</v>
      </c>
      <c r="AQ33" s="72" t="str">
        <f t="shared" si="13"/>
        <v>---</v>
      </c>
      <c r="AR33" s="72" t="str">
        <f t="shared" si="14"/>
        <v>---</v>
      </c>
      <c r="AS33" s="72" t="str">
        <f t="shared" si="15"/>
        <v>---</v>
      </c>
      <c r="AT33" s="73" t="str">
        <f t="shared" si="16"/>
        <v>---</v>
      </c>
    </row>
    <row r="34" spans="1:46" ht="27" customHeight="1" x14ac:dyDescent="0.3">
      <c r="A34" s="75">
        <v>29</v>
      </c>
      <c r="B34" s="142">
        <f>INDEX('PEER GROUP'!B:B,MATCH($A34,'PEER GROUP'!$A:$A,0))</f>
        <v>0</v>
      </c>
      <c r="C34" s="85">
        <f>INDEX('PEER GROUP'!C:C,MATCH($A34,'PEER GROUP'!$A:$A,0))</f>
        <v>0</v>
      </c>
      <c r="D34" s="85">
        <f>INDEX('PEER GROUP'!D:D,MATCH($A34,'PEER GROUP'!$A:$A,0))</f>
        <v>0</v>
      </c>
      <c r="E34" s="85">
        <f>INDEX('PEER GROUP'!E:E,MATCH(A34,'PEER GROUP'!$A:$A,0))</f>
        <v>0</v>
      </c>
      <c r="F34" s="86">
        <f>INDEX('PEER GROUP'!F:F,MATCH($A34,'PEER GROUP'!$A:$A,0))</f>
        <v>0</v>
      </c>
      <c r="G34" s="86">
        <f>INDEX('PEER GROUP'!G:G,MATCH($A34,'PEER GROUP'!$A:$A,0))</f>
        <v>0</v>
      </c>
      <c r="H34" s="87"/>
      <c r="I34" s="87"/>
      <c r="J34" s="72">
        <f>INDEX('PEER GROUP'!K:K,MATCH($A34,'PEER GROUP'!$A:$A,0))</f>
        <v>0</v>
      </c>
      <c r="K34" s="72">
        <f>INDEX('PEER GROUP'!L:L,MATCH($A34,'PEER GROUP'!$A:$A,0))</f>
        <v>0</v>
      </c>
      <c r="L34" s="72">
        <f>INDEX('PEER GROUP'!M:M,MATCH($A34,'PEER GROUP'!$A:$A,0))</f>
        <v>0</v>
      </c>
      <c r="M34" s="88">
        <f>INDEX('PEER GROUP'!N:N,MATCH($A34,'PEER GROUP'!$A:$A,0))</f>
        <v>0</v>
      </c>
      <c r="N34" s="120"/>
      <c r="O34" s="117"/>
      <c r="P34" s="119"/>
      <c r="Q34" s="89"/>
      <c r="R34" s="89">
        <f t="shared" si="0"/>
        <v>0</v>
      </c>
      <c r="S34" s="89"/>
      <c r="T34" s="89"/>
      <c r="U34" s="89"/>
      <c r="V34" s="89">
        <f t="shared" si="1"/>
        <v>0</v>
      </c>
      <c r="W34" s="115">
        <f t="shared" si="2"/>
        <v>36.871574135302126</v>
      </c>
      <c r="X34" s="71">
        <f t="shared" si="3"/>
        <v>0</v>
      </c>
      <c r="Y34" s="72">
        <f t="shared" si="4"/>
        <v>0</v>
      </c>
      <c r="Z34" s="72">
        <f t="shared" si="5"/>
        <v>0</v>
      </c>
      <c r="AA34" s="72">
        <f t="shared" si="6"/>
        <v>0</v>
      </c>
      <c r="AB34" s="72">
        <f t="shared" si="7"/>
        <v>0</v>
      </c>
      <c r="AC34" s="72">
        <f t="shared" si="8"/>
        <v>0</v>
      </c>
      <c r="AD34" s="73">
        <f t="shared" si="9"/>
        <v>0</v>
      </c>
      <c r="AE34" s="49"/>
      <c r="AF34" s="21"/>
      <c r="AG34" s="71"/>
      <c r="AH34" s="72"/>
      <c r="AI34" s="72"/>
      <c r="AJ34" s="72"/>
      <c r="AK34" s="72"/>
      <c r="AL34" s="72"/>
      <c r="AM34" s="72"/>
      <c r="AN34" s="72" t="str">
        <f t="shared" si="10"/>
        <v>---</v>
      </c>
      <c r="AO34" s="72" t="str">
        <f t="shared" si="11"/>
        <v>---</v>
      </c>
      <c r="AP34" s="72" t="str">
        <f t="shared" si="12"/>
        <v>---</v>
      </c>
      <c r="AQ34" s="72" t="str">
        <f t="shared" si="13"/>
        <v>---</v>
      </c>
      <c r="AR34" s="72" t="str">
        <f t="shared" si="14"/>
        <v>---</v>
      </c>
      <c r="AS34" s="72" t="str">
        <f t="shared" si="15"/>
        <v>---</v>
      </c>
      <c r="AT34" s="73" t="str">
        <f t="shared" si="16"/>
        <v>---</v>
      </c>
    </row>
    <row r="35" spans="1:46" ht="27" customHeight="1" x14ac:dyDescent="0.3">
      <c r="A35" s="7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87"/>
      <c r="I35" s="87"/>
      <c r="J35" s="72">
        <f>INDEX('PEER GROUP'!K:K,MATCH($A35,'PEER GROUP'!$A:$A,0))</f>
        <v>0</v>
      </c>
      <c r="K35" s="72">
        <f>INDEX('PEER GROUP'!L:L,MATCH($A35,'PEER GROUP'!$A:$A,0))</f>
        <v>0</v>
      </c>
      <c r="L35" s="72">
        <f>INDEX('PEER GROUP'!M:M,MATCH($A35,'PEER GROUP'!$A:$A,0))</f>
        <v>0</v>
      </c>
      <c r="M35" s="88">
        <f>INDEX('PEER GROUP'!N:N,MATCH($A35,'PEER GROUP'!$A:$A,0))</f>
        <v>0</v>
      </c>
      <c r="N35" s="120"/>
      <c r="O35" s="117"/>
      <c r="P35" s="119"/>
      <c r="Q35" s="89"/>
      <c r="R35" s="89">
        <f t="shared" si="0"/>
        <v>0</v>
      </c>
      <c r="S35" s="89"/>
      <c r="T35" s="89"/>
      <c r="U35" s="89"/>
      <c r="V35" s="89">
        <f t="shared" si="1"/>
        <v>0</v>
      </c>
      <c r="W35" s="115">
        <f t="shared" si="2"/>
        <v>36.871574135302126</v>
      </c>
      <c r="X35" s="71">
        <f t="shared" si="3"/>
        <v>0</v>
      </c>
      <c r="Y35" s="72">
        <f t="shared" si="4"/>
        <v>0</v>
      </c>
      <c r="Z35" s="72">
        <f t="shared" si="5"/>
        <v>0</v>
      </c>
      <c r="AA35" s="72">
        <f t="shared" si="6"/>
        <v>0</v>
      </c>
      <c r="AB35" s="72">
        <f t="shared" si="7"/>
        <v>0</v>
      </c>
      <c r="AC35" s="72">
        <f t="shared" si="8"/>
        <v>0</v>
      </c>
      <c r="AD35" s="73">
        <f t="shared" si="9"/>
        <v>0</v>
      </c>
      <c r="AE35" s="49"/>
      <c r="AF35" s="21"/>
      <c r="AG35" s="71"/>
      <c r="AH35" s="72"/>
      <c r="AI35" s="72"/>
      <c r="AJ35" s="72"/>
      <c r="AK35" s="72"/>
      <c r="AL35" s="72"/>
      <c r="AM35" s="72"/>
      <c r="AN35" s="72" t="str">
        <f t="shared" si="10"/>
        <v>---</v>
      </c>
      <c r="AO35" s="72" t="str">
        <f t="shared" si="11"/>
        <v>---</v>
      </c>
      <c r="AP35" s="72" t="str">
        <f t="shared" si="12"/>
        <v>---</v>
      </c>
      <c r="AQ35" s="72" t="str">
        <f t="shared" si="13"/>
        <v>---</v>
      </c>
      <c r="AR35" s="72" t="str">
        <f t="shared" si="14"/>
        <v>---</v>
      </c>
      <c r="AS35" s="72" t="str">
        <f t="shared" si="15"/>
        <v>---</v>
      </c>
      <c r="AT35" s="73" t="str">
        <f t="shared" si="16"/>
        <v>---</v>
      </c>
    </row>
    <row r="36" spans="1:46" outlineLevel="1" x14ac:dyDescent="0.3">
      <c r="B36" s="116"/>
      <c r="N36" s="116"/>
      <c r="P36" s="116"/>
      <c r="X36" s="116"/>
      <c r="AE36" s="44"/>
      <c r="AG36" s="52"/>
      <c r="AT36" s="53"/>
    </row>
    <row r="37" spans="1:46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43"/>
      <c r="AF37" s="23"/>
      <c r="AG37" s="54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55"/>
    </row>
    <row r="38" spans="1:46" ht="27" customHeight="1" x14ac:dyDescent="0.3">
      <c r="B38" s="130" t="s">
        <v>13</v>
      </c>
      <c r="C38" s="90"/>
      <c r="D38" s="90"/>
      <c r="E38" s="90"/>
      <c r="F38" s="90"/>
      <c r="G38" s="90"/>
      <c r="H38" s="82"/>
      <c r="I38" s="82"/>
      <c r="J38" s="69">
        <f>PERCENTILE($J$6:$J$35,0.9)</f>
        <v>0</v>
      </c>
      <c r="K38" s="69">
        <f>PERCENTILE($K$6:$K$35,0.9)</f>
        <v>0</v>
      </c>
      <c r="L38" s="69">
        <f>PERCENTILE($L$6:$L$35,0.9)</f>
        <v>0</v>
      </c>
      <c r="M38" s="83">
        <f>PERCENTILE($M$6:$M$35,0.9)</f>
        <v>0</v>
      </c>
      <c r="N38" s="100"/>
      <c r="O38" s="101"/>
      <c r="P38" s="100"/>
      <c r="Q38" s="91"/>
      <c r="R38" s="91"/>
      <c r="S38" s="91"/>
      <c r="T38" s="91"/>
      <c r="U38" s="91"/>
      <c r="V38" s="91"/>
      <c r="W38" s="101"/>
      <c r="X38" s="69">
        <f>PERCENTILE(X6:X35,0.9)</f>
        <v>0</v>
      </c>
      <c r="Y38" s="69">
        <f t="shared" ref="Y38:AD38" si="17">PERCENTILE(Y6:Y35,0.9)</f>
        <v>0</v>
      </c>
      <c r="Z38" s="69">
        <f t="shared" si="17"/>
        <v>0</v>
      </c>
      <c r="AA38" s="69">
        <f t="shared" si="17"/>
        <v>0</v>
      </c>
      <c r="AB38" s="69">
        <f t="shared" si="17"/>
        <v>0</v>
      </c>
      <c r="AC38" s="69">
        <f t="shared" si="17"/>
        <v>0</v>
      </c>
      <c r="AD38" s="70">
        <f t="shared" si="17"/>
        <v>0</v>
      </c>
      <c r="AE38" s="45"/>
      <c r="AF38" s="24"/>
      <c r="AG38" s="56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57"/>
    </row>
    <row r="39" spans="1:46" ht="27" customHeight="1" x14ac:dyDescent="0.3">
      <c r="B39" s="129" t="s">
        <v>14</v>
      </c>
      <c r="C39" s="98"/>
      <c r="D39" s="98"/>
      <c r="E39" s="98"/>
      <c r="F39" s="98"/>
      <c r="G39" s="98"/>
      <c r="H39" s="87"/>
      <c r="I39" s="87"/>
      <c r="J39" s="72">
        <f>PERCENTILE($J$6:$J$35,0.75)</f>
        <v>0</v>
      </c>
      <c r="K39" s="72">
        <f>PERCENTILE($K$6:$K$35,0.75)</f>
        <v>0</v>
      </c>
      <c r="L39" s="72">
        <f>PERCENTILE($L$6:$L$35,0.75)</f>
        <v>0</v>
      </c>
      <c r="M39" s="88">
        <f>PERCENTILE($M$6:$M$35,0.75)</f>
        <v>0</v>
      </c>
      <c r="N39" s="102"/>
      <c r="O39" s="103"/>
      <c r="P39" s="102"/>
      <c r="Q39" s="96"/>
      <c r="R39" s="96"/>
      <c r="S39" s="96"/>
      <c r="T39" s="96"/>
      <c r="U39" s="96"/>
      <c r="V39" s="96"/>
      <c r="W39" s="103"/>
      <c r="X39" s="72">
        <f>PERCENTILE(X6:X35,0.75)</f>
        <v>0</v>
      </c>
      <c r="Y39" s="72">
        <f t="shared" ref="Y39:AD39" si="18">PERCENTILE(Y6:Y35,0.75)</f>
        <v>0</v>
      </c>
      <c r="Z39" s="72">
        <f t="shared" si="18"/>
        <v>0</v>
      </c>
      <c r="AA39" s="72">
        <f t="shared" si="18"/>
        <v>0</v>
      </c>
      <c r="AB39" s="72">
        <f t="shared" si="18"/>
        <v>0</v>
      </c>
      <c r="AC39" s="72">
        <f t="shared" si="18"/>
        <v>0</v>
      </c>
      <c r="AD39" s="73">
        <f t="shared" si="18"/>
        <v>0</v>
      </c>
      <c r="AE39" s="46"/>
      <c r="AF39" s="24"/>
      <c r="AG39" s="56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57"/>
    </row>
    <row r="40" spans="1:46" ht="27" customHeight="1" x14ac:dyDescent="0.3">
      <c r="B40" s="131" t="s">
        <v>15</v>
      </c>
      <c r="C40" s="92"/>
      <c r="D40" s="92"/>
      <c r="E40" s="92"/>
      <c r="F40" s="92"/>
      <c r="G40" s="92"/>
      <c r="H40" s="93"/>
      <c r="I40" s="93"/>
      <c r="J40" s="94">
        <f>MEDIAN(J6:J35)</f>
        <v>0</v>
      </c>
      <c r="K40" s="94">
        <f>MEDIAN(K6:K35)</f>
        <v>0</v>
      </c>
      <c r="L40" s="94">
        <f>MEDIAN(L6:L35)</f>
        <v>0</v>
      </c>
      <c r="M40" s="95">
        <f>MEDIAN(M6:M35)</f>
        <v>0</v>
      </c>
      <c r="N40" s="102"/>
      <c r="O40" s="103"/>
      <c r="P40" s="102"/>
      <c r="Q40" s="96"/>
      <c r="R40" s="96"/>
      <c r="S40" s="96"/>
      <c r="T40" s="96"/>
      <c r="U40" s="96"/>
      <c r="V40" s="96"/>
      <c r="W40" s="103"/>
      <c r="X40" s="94">
        <f t="shared" ref="X40:AD40" si="19">MEDIAN(X6:X35)</f>
        <v>0</v>
      </c>
      <c r="Y40" s="94">
        <f t="shared" si="19"/>
        <v>0</v>
      </c>
      <c r="Z40" s="94">
        <f t="shared" si="19"/>
        <v>0</v>
      </c>
      <c r="AA40" s="94">
        <f t="shared" si="19"/>
        <v>0</v>
      </c>
      <c r="AB40" s="94">
        <f t="shared" si="19"/>
        <v>0</v>
      </c>
      <c r="AC40" s="94">
        <f t="shared" si="19"/>
        <v>0</v>
      </c>
      <c r="AD40" s="97">
        <f t="shared" si="19"/>
        <v>0</v>
      </c>
      <c r="AE40" s="47"/>
      <c r="AF40" s="24"/>
      <c r="AG40" s="56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57"/>
    </row>
    <row r="41" spans="1:46" ht="27" customHeight="1" x14ac:dyDescent="0.3">
      <c r="B41" s="129" t="s">
        <v>16</v>
      </c>
      <c r="C41" s="98"/>
      <c r="D41" s="98"/>
      <c r="E41" s="98"/>
      <c r="F41" s="98"/>
      <c r="G41" s="98"/>
      <c r="H41" s="87"/>
      <c r="I41" s="87"/>
      <c r="J41" s="72">
        <f>PERCENTILE($J$6:$J$35,0.25)</f>
        <v>0</v>
      </c>
      <c r="K41" s="72">
        <f>PERCENTILE($K$6:$K$35,0.25)</f>
        <v>0</v>
      </c>
      <c r="L41" s="72">
        <f>PERCENTILE($L$6:$L$35,0.25)</f>
        <v>0</v>
      </c>
      <c r="M41" s="88">
        <f>PERCENTILE($M$6:$M$35,0.25)</f>
        <v>0</v>
      </c>
      <c r="N41" s="102"/>
      <c r="O41" s="103"/>
      <c r="P41" s="102"/>
      <c r="Q41" s="96"/>
      <c r="R41" s="96"/>
      <c r="S41" s="96"/>
      <c r="T41" s="96"/>
      <c r="U41" s="96"/>
      <c r="V41" s="96"/>
      <c r="W41" s="103"/>
      <c r="X41" s="72">
        <f t="shared" ref="X41:AD41" si="20">PERCENTILE(X6:X35,0.25)</f>
        <v>0</v>
      </c>
      <c r="Y41" s="72">
        <f t="shared" si="20"/>
        <v>0</v>
      </c>
      <c r="Z41" s="72">
        <f t="shared" si="20"/>
        <v>0</v>
      </c>
      <c r="AA41" s="72">
        <f t="shared" si="20"/>
        <v>0</v>
      </c>
      <c r="AB41" s="72">
        <f t="shared" si="20"/>
        <v>0</v>
      </c>
      <c r="AC41" s="72">
        <f t="shared" si="20"/>
        <v>0</v>
      </c>
      <c r="AD41" s="73">
        <f t="shared" si="20"/>
        <v>0</v>
      </c>
      <c r="AE41" s="46"/>
      <c r="AF41" s="24"/>
      <c r="AG41" s="58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59"/>
    </row>
    <row r="42" spans="1:46" x14ac:dyDescent="0.3">
      <c r="N42" s="104"/>
      <c r="O42" s="106"/>
      <c r="P42" s="104"/>
      <c r="Q42" s="105"/>
      <c r="R42" s="105"/>
      <c r="S42" s="105"/>
      <c r="T42" s="105"/>
      <c r="U42" s="105"/>
      <c r="V42" s="105"/>
      <c r="W42" s="106"/>
      <c r="AE42" s="48"/>
      <c r="AG42" s="60"/>
      <c r="AH42" s="154" t="s">
        <v>21</v>
      </c>
      <c r="AI42" s="154"/>
      <c r="AJ42" s="154"/>
      <c r="AK42" s="154"/>
      <c r="AL42" s="154" t="s">
        <v>24</v>
      </c>
      <c r="AM42" s="154"/>
      <c r="AN42" s="154"/>
      <c r="AO42" s="154"/>
      <c r="AP42" s="154" t="s">
        <v>27</v>
      </c>
      <c r="AQ42" s="154"/>
      <c r="AR42" s="154"/>
      <c r="AS42" s="154"/>
      <c r="AT42" s="61"/>
    </row>
    <row r="43" spans="1:46" ht="27" customHeight="1" x14ac:dyDescent="0.3">
      <c r="A43" s="76">
        <f>'PEER GROUP'!$A$43</f>
        <v>100</v>
      </c>
      <c r="B43" s="35" t="str">
        <f>$B$1</f>
        <v>NFP Organization XYZ</v>
      </c>
      <c r="C43" s="36"/>
      <c r="D43" s="36"/>
      <c r="E43" s="36"/>
      <c r="F43" s="37" t="str">
        <f>SETUP!C9</f>
        <v>Cambridge</v>
      </c>
      <c r="G43" s="38" t="str">
        <f>SETUP!C10</f>
        <v>Massachusetts</v>
      </c>
      <c r="H43" s="37" t="s">
        <v>18</v>
      </c>
      <c r="I43" s="37" t="s">
        <v>17</v>
      </c>
      <c r="J43" s="39">
        <f>'PEER GROUP'!K43</f>
        <v>0.99999899999999997</v>
      </c>
      <c r="K43" s="39">
        <f>'PEER GROUP'!L43</f>
        <v>0.99999899999999997</v>
      </c>
      <c r="L43" s="39">
        <f>'PEER GROUP'!M43</f>
        <v>0.99999899999999997</v>
      </c>
      <c r="M43" s="99">
        <f>'PEER GROUP'!N43</f>
        <v>50</v>
      </c>
      <c r="N43" s="133"/>
      <c r="O43" s="135"/>
      <c r="P43" s="133"/>
      <c r="Q43" s="134"/>
      <c r="R43" s="134"/>
      <c r="S43" s="134"/>
      <c r="T43" s="134"/>
      <c r="U43" s="134"/>
      <c r="V43" s="134">
        <f>COUNTIF(V6:V35,"&lt;&gt;---")</f>
        <v>30</v>
      </c>
      <c r="W43" s="135"/>
      <c r="X43" s="39">
        <v>0</v>
      </c>
      <c r="Y43" s="39">
        <v>0</v>
      </c>
      <c r="Z43" s="39">
        <f>SUM(X43:Y43)</f>
        <v>0</v>
      </c>
      <c r="AA43" s="39">
        <v>0</v>
      </c>
      <c r="AB43" s="39">
        <v>0</v>
      </c>
      <c r="AC43" s="39">
        <v>0</v>
      </c>
      <c r="AD43" s="40">
        <f>SUM(Z43:AC43)</f>
        <v>0</v>
      </c>
      <c r="AE43" s="43"/>
      <c r="AF43" s="23"/>
      <c r="AG43" s="62">
        <f>A43+0.99</f>
        <v>100.99</v>
      </c>
      <c r="AH43" s="67">
        <f>X41</f>
        <v>0</v>
      </c>
      <c r="AI43" s="67">
        <f>X40</f>
        <v>0</v>
      </c>
      <c r="AJ43" s="67">
        <f>X39</f>
        <v>0</v>
      </c>
      <c r="AK43" s="67">
        <f>X38</f>
        <v>0</v>
      </c>
      <c r="AL43" s="67">
        <f>Z41</f>
        <v>0</v>
      </c>
      <c r="AM43" s="67">
        <f>Z40</f>
        <v>0</v>
      </c>
      <c r="AN43" s="67">
        <f>Z39</f>
        <v>0</v>
      </c>
      <c r="AO43" s="67">
        <f>Z38</f>
        <v>0</v>
      </c>
      <c r="AP43" s="67">
        <f>AD41</f>
        <v>0</v>
      </c>
      <c r="AQ43" s="67">
        <f>AD40</f>
        <v>0</v>
      </c>
      <c r="AR43" s="67">
        <f>AD39</f>
        <v>0</v>
      </c>
      <c r="AS43" s="67">
        <f>AD38</f>
        <v>0</v>
      </c>
      <c r="AT43" s="63"/>
    </row>
    <row r="44" spans="1:46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2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13" t="str">
        <f>IFERROR(IF(M43&lt;M41,"&lt;25",IF(M43&lt;=M40,25+25*(M43-M41)/(M40-M41),IF(M43&lt;=M39,50+25*(M43-M40)/(M39-M40),IF(M43&lt;=M38,75+15*(M43-M39)/(M38-M39),IF(M43/M38&lt;1.005,90,"&gt;90 (+"&amp;TEXT(M43/M38-1,"0%")&amp;")"))))),"---")</f>
        <v>---</v>
      </c>
      <c r="N44" s="107"/>
      <c r="O44" s="108"/>
      <c r="P44" s="107"/>
      <c r="Q44" s="109"/>
      <c r="R44" s="109"/>
      <c r="S44" s="109"/>
      <c r="T44" s="109"/>
      <c r="U44" s="109"/>
      <c r="V44" s="109"/>
      <c r="W44" s="108"/>
      <c r="X44" s="110" t="str">
        <f>IFERROR(IF(X43&lt;X41,"&lt;25",IF(X43&lt;=X40,25+25*(X43-X41)/(X40-X41),IF(X43&lt;=X39,50+25*(X43-X40)/(X39-X40),IF(X43&lt;=X38,75+15*(X43-X39)/(X38-X39),IF(X43/X38&lt;1.005,90,"&gt;90 (+"&amp;TEXT(X43/X38-1,"0%")&amp;")"))))),"---")</f>
        <v>---</v>
      </c>
      <c r="Y44" s="111"/>
      <c r="Z44" s="112" t="str">
        <f>IFERROR(IF(Z43&lt;Z41,"&lt;25",IF(Z43&lt;=Z40,25+25*(Z43-Z41)/(Z40-Z41),IF(Z43&lt;=Z39,50+25*(Z43-Z40)/(Z39-Z40),IF(Z43&lt;=Z38,75+15*(Z43-Z39)/(Z38-Z39),IF(Z43/Z38&lt;1.005,90,"&gt;90 (+"&amp;TEXT(Z43/Z38-1,"0%")&amp;")"))))),"---")</f>
        <v>---</v>
      </c>
      <c r="AA44" s="111"/>
      <c r="AB44" s="111"/>
      <c r="AC44" s="111"/>
      <c r="AD44" s="113" t="str">
        <f>IFERROR(IF(AD43&lt;AD41,"&lt;25",IF(AD43&lt;=AD40,25+25*(AD43-AD41)/(AD40-AD41),IF(AD43&lt;=AD39,50+25*(AD43-AD40)/(AD39-AD40),IF(AD43&lt;=AD38,75+15*(AD43-AD39)/(AD38-AD39),IF(AD43/AD38&lt;1.005,90,"&gt;90 (+"&amp;TEXT(AD43/AD38-1,"0%")&amp;")"))))),"---")</f>
        <v>---</v>
      </c>
      <c r="AE44" s="44"/>
      <c r="AG44" s="64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6"/>
    </row>
  </sheetData>
  <autoFilter ref="A5:AT5" xr:uid="{474D6C73-1F09-435D-B15B-666702D29536}"/>
  <mergeCells count="10">
    <mergeCell ref="B37:AD37"/>
    <mergeCell ref="AH42:AK42"/>
    <mergeCell ref="AL42:AO42"/>
    <mergeCell ref="U1:V1"/>
    <mergeCell ref="AP42:AS4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44"/>
  <sheetViews>
    <sheetView showGridLines="0" tabSelected="1" zoomScale="85" zoomScaleNormal="85" zoomScaleSheetLayoutView="85" workbookViewId="0">
      <selection activeCell="H6" sqref="H6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9"/>
      <c r="S1" s="74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58" t="str">
        <f>"Peer Group Data ($000) - Effective: "&amp;TEXT(S1,"mmmm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77" t="s">
        <v>19</v>
      </c>
      <c r="N4" s="77" t="s">
        <v>20</v>
      </c>
      <c r="O4" s="159" t="s">
        <v>28</v>
      </c>
      <c r="P4" s="159"/>
      <c r="Q4" s="159"/>
      <c r="R4" s="159"/>
      <c r="S4" s="78"/>
      <c r="T4" s="153"/>
      <c r="U4" s="153"/>
      <c r="V4" s="153"/>
      <c r="W4" s="153"/>
      <c r="X4" s="166" t="s">
        <v>11</v>
      </c>
      <c r="Y4" s="167"/>
      <c r="Z4" s="157" t="s">
        <v>30</v>
      </c>
      <c r="AA4" s="157"/>
      <c r="AB4" s="157"/>
      <c r="AC4" s="168" t="s">
        <v>31</v>
      </c>
      <c r="AD4" s="168"/>
      <c r="AE4" s="168"/>
      <c r="AF4" s="168"/>
      <c r="AG4" s="168"/>
      <c r="AH4" s="168"/>
      <c r="AI4" s="168"/>
    </row>
    <row r="5" spans="1:35" ht="36" customHeight="1" x14ac:dyDescent="0.3">
      <c r="A5" s="12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70</v>
      </c>
      <c r="L5" s="138" t="s">
        <v>10</v>
      </c>
      <c r="M5" s="77"/>
      <c r="N5" s="77"/>
      <c r="O5" s="79" t="s">
        <v>71</v>
      </c>
      <c r="P5" s="79" t="s">
        <v>72</v>
      </c>
      <c r="Q5" s="79" t="s">
        <v>73</v>
      </c>
      <c r="R5" s="79" t="s">
        <v>27</v>
      </c>
      <c r="S5" s="78" t="s">
        <v>29</v>
      </c>
      <c r="T5" s="139" t="s">
        <v>71</v>
      </c>
      <c r="U5" s="139" t="s">
        <v>72</v>
      </c>
      <c r="V5" s="139" t="s">
        <v>73</v>
      </c>
      <c r="W5" s="139" t="s">
        <v>45</v>
      </c>
      <c r="X5" s="166"/>
      <c r="Y5" s="167"/>
      <c r="Z5" s="50" t="s">
        <v>21</v>
      </c>
      <c r="AA5" s="50" t="s">
        <v>26</v>
      </c>
      <c r="AB5" s="50" t="s">
        <v>27</v>
      </c>
      <c r="AC5" s="169" t="s">
        <v>21</v>
      </c>
      <c r="AD5" s="169" t="s">
        <v>22</v>
      </c>
      <c r="AE5" s="169" t="s">
        <v>24</v>
      </c>
      <c r="AF5" s="169" t="s">
        <v>23</v>
      </c>
      <c r="AG5" s="169" t="s">
        <v>25</v>
      </c>
      <c r="AH5" s="169" t="s">
        <v>26</v>
      </c>
      <c r="AI5" s="169" t="s">
        <v>27</v>
      </c>
    </row>
    <row r="6" spans="1:35" ht="27" customHeight="1" x14ac:dyDescent="0.3">
      <c r="A6" s="12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69"/>
      <c r="I6" s="82"/>
      <c r="J6" s="69">
        <v>77.362594000000001</v>
      </c>
      <c r="K6" s="69">
        <v>45.450752000000001</v>
      </c>
      <c r="L6" s="83">
        <v>0</v>
      </c>
      <c r="M6" s="118"/>
      <c r="N6" s="91"/>
      <c r="O6" s="118"/>
      <c r="P6" s="84"/>
      <c r="Q6" s="84"/>
      <c r="R6" s="84">
        <f>SUM(O6:Q6)</f>
        <v>0</v>
      </c>
      <c r="S6" s="114">
        <f t="shared" ref="S6:S35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T6" s="68">
        <f>O6*$S6</f>
        <v>0</v>
      </c>
      <c r="U6" s="69">
        <f>P6*$S6</f>
        <v>0</v>
      </c>
      <c r="V6" s="69">
        <f>Q6*$S6</f>
        <v>0</v>
      </c>
      <c r="W6" s="70">
        <f>SUM(T6:V6)</f>
        <v>0</v>
      </c>
      <c r="X6" s="49"/>
      <c r="Y6" s="170"/>
      <c r="Z6" s="68"/>
      <c r="AA6" s="69"/>
      <c r="AB6" s="69"/>
      <c r="AC6" s="69" t="str">
        <f t="shared" ref="AC6:AC35" si="1">IFERROR(O6/Z6-1,"---")</f>
        <v>---</v>
      </c>
      <c r="AD6" s="69" t="str">
        <f>IFERROR(P6/#REF!-1,"---")</f>
        <v>---</v>
      </c>
      <c r="AE6" s="69" t="str">
        <f>IFERROR(#REF!/#REF!-1,"---")</f>
        <v>---</v>
      </c>
      <c r="AF6" s="69" t="str">
        <f>IFERROR(Q6/#REF!-1,"---")</f>
        <v>---</v>
      </c>
      <c r="AG6" s="69" t="str">
        <f>IFERROR(#REF!/#REF!-1,"---")</f>
        <v>---</v>
      </c>
      <c r="AH6" s="69" t="str">
        <f>IFERROR(#REF!/AA6-1,"---")</f>
        <v>---</v>
      </c>
      <c r="AI6" s="70" t="str">
        <f t="shared" ref="AI6:AI35" si="2">IFERROR(R6/AB6-1,"---")</f>
        <v>---</v>
      </c>
    </row>
    <row r="7" spans="1:35" ht="27" customHeight="1" x14ac:dyDescent="0.3">
      <c r="A7" s="12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72"/>
      <c r="I7" s="87"/>
      <c r="J7" s="72">
        <v>64.267240000000001</v>
      </c>
      <c r="K7" s="72">
        <v>35.324556999999999</v>
      </c>
      <c r="L7" s="88">
        <v>0</v>
      </c>
      <c r="M7" s="120"/>
      <c r="N7" s="117"/>
      <c r="O7" s="119"/>
      <c r="P7" s="89"/>
      <c r="Q7" s="89"/>
      <c r="R7" s="89">
        <f t="shared" ref="R7:R35" si="3">SUM(O7:Q7)</f>
        <v>0</v>
      </c>
      <c r="S7" s="115">
        <f t="shared" si="0"/>
        <v>1.0400809862990532</v>
      </c>
      <c r="T7" s="71">
        <f t="shared" ref="T7:V35" si="4">O7*$S7</f>
        <v>0</v>
      </c>
      <c r="U7" s="72">
        <f t="shared" si="4"/>
        <v>0</v>
      </c>
      <c r="V7" s="72">
        <f t="shared" si="4"/>
        <v>0</v>
      </c>
      <c r="W7" s="73">
        <f t="shared" ref="W7:W35" si="5">SUM(T7:V7)</f>
        <v>0</v>
      </c>
      <c r="X7" s="49"/>
      <c r="Y7" s="170"/>
      <c r="Z7" s="71"/>
      <c r="AA7" s="72"/>
      <c r="AB7" s="72"/>
      <c r="AC7" s="72" t="str">
        <f t="shared" si="1"/>
        <v>---</v>
      </c>
      <c r="AD7" s="72" t="str">
        <f>IFERROR(P7/#REF!-1,"---")</f>
        <v>---</v>
      </c>
      <c r="AE7" s="72" t="str">
        <f>IFERROR(#REF!/#REF!-1,"---")</f>
        <v>---</v>
      </c>
      <c r="AF7" s="72" t="str">
        <f>IFERROR(Q7/#REF!-1,"---")</f>
        <v>---</v>
      </c>
      <c r="AG7" s="72" t="str">
        <f>IFERROR(#REF!/#REF!-1,"---")</f>
        <v>---</v>
      </c>
      <c r="AH7" s="72" t="str">
        <f>IFERROR(#REF!/AA7-1,"---")</f>
        <v>---</v>
      </c>
      <c r="AI7" s="73" t="str">
        <f t="shared" si="2"/>
        <v>---</v>
      </c>
    </row>
    <row r="8" spans="1:35" ht="27" customHeight="1" x14ac:dyDescent="0.3">
      <c r="A8" s="12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72"/>
      <c r="I8" s="87"/>
      <c r="J8" s="72">
        <v>0</v>
      </c>
      <c r="K8" s="72">
        <v>0</v>
      </c>
      <c r="L8" s="88">
        <v>0</v>
      </c>
      <c r="M8" s="120"/>
      <c r="N8" s="117"/>
      <c r="O8" s="119"/>
      <c r="P8" s="89"/>
      <c r="Q8" s="89"/>
      <c r="R8" s="89">
        <f t="shared" si="3"/>
        <v>0</v>
      </c>
      <c r="S8" s="115">
        <f t="shared" si="0"/>
        <v>36.871574135302126</v>
      </c>
      <c r="T8" s="71">
        <f t="shared" si="4"/>
        <v>0</v>
      </c>
      <c r="U8" s="72">
        <f t="shared" si="4"/>
        <v>0</v>
      </c>
      <c r="V8" s="72">
        <f t="shared" si="4"/>
        <v>0</v>
      </c>
      <c r="W8" s="73">
        <f t="shared" si="5"/>
        <v>0</v>
      </c>
      <c r="X8" s="49"/>
      <c r="Y8" s="170"/>
      <c r="Z8" s="71"/>
      <c r="AA8" s="72"/>
      <c r="AB8" s="72"/>
      <c r="AC8" s="72" t="str">
        <f t="shared" si="1"/>
        <v>---</v>
      </c>
      <c r="AD8" s="72" t="str">
        <f>IFERROR(P8/#REF!-1,"---")</f>
        <v>---</v>
      </c>
      <c r="AE8" s="72" t="str">
        <f>IFERROR(#REF!/#REF!-1,"---")</f>
        <v>---</v>
      </c>
      <c r="AF8" s="72" t="str">
        <f>IFERROR(Q8/#REF!-1,"---")</f>
        <v>---</v>
      </c>
      <c r="AG8" s="72" t="str">
        <f>IFERROR(#REF!/#REF!-1,"---")</f>
        <v>---</v>
      </c>
      <c r="AH8" s="72" t="str">
        <f>IFERROR(#REF!/AA8-1,"---")</f>
        <v>---</v>
      </c>
      <c r="AI8" s="73" t="str">
        <f t="shared" si="2"/>
        <v>---</v>
      </c>
    </row>
    <row r="9" spans="1:35" ht="27" customHeight="1" x14ac:dyDescent="0.3">
      <c r="A9" s="12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72"/>
      <c r="I9" s="87"/>
      <c r="J9" s="72">
        <v>0</v>
      </c>
      <c r="K9" s="72">
        <v>0</v>
      </c>
      <c r="L9" s="88">
        <v>0</v>
      </c>
      <c r="M9" s="120"/>
      <c r="N9" s="117"/>
      <c r="O9" s="119"/>
      <c r="P9" s="89"/>
      <c r="Q9" s="89"/>
      <c r="R9" s="89">
        <f t="shared" si="3"/>
        <v>0</v>
      </c>
      <c r="S9" s="115">
        <f t="shared" si="0"/>
        <v>36.871574135302126</v>
      </c>
      <c r="T9" s="71">
        <f t="shared" si="4"/>
        <v>0</v>
      </c>
      <c r="U9" s="72">
        <f t="shared" si="4"/>
        <v>0</v>
      </c>
      <c r="V9" s="72">
        <f t="shared" si="4"/>
        <v>0</v>
      </c>
      <c r="W9" s="73">
        <f t="shared" si="5"/>
        <v>0</v>
      </c>
      <c r="X9" s="49"/>
      <c r="Y9" s="170"/>
      <c r="Z9" s="71"/>
      <c r="AA9" s="72"/>
      <c r="AB9" s="72"/>
      <c r="AC9" s="72" t="str">
        <f t="shared" si="1"/>
        <v>---</v>
      </c>
      <c r="AD9" s="72" t="str">
        <f>IFERROR(P9/#REF!-1,"---")</f>
        <v>---</v>
      </c>
      <c r="AE9" s="72" t="str">
        <f>IFERROR(#REF!/#REF!-1,"---")</f>
        <v>---</v>
      </c>
      <c r="AF9" s="72" t="str">
        <f>IFERROR(Q9/#REF!-1,"---")</f>
        <v>---</v>
      </c>
      <c r="AG9" s="72" t="str">
        <f>IFERROR(#REF!/#REF!-1,"---")</f>
        <v>---</v>
      </c>
      <c r="AH9" s="72" t="str">
        <f>IFERROR(#REF!/AA9-1,"---")</f>
        <v>---</v>
      </c>
      <c r="AI9" s="73" t="str">
        <f t="shared" si="2"/>
        <v>---</v>
      </c>
    </row>
    <row r="10" spans="1:35" ht="27" customHeight="1" x14ac:dyDescent="0.3">
      <c r="A10" s="12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72"/>
      <c r="I10" s="87"/>
      <c r="J10" s="72">
        <v>0</v>
      </c>
      <c r="K10" s="72">
        <v>0</v>
      </c>
      <c r="L10" s="88">
        <v>0</v>
      </c>
      <c r="M10" s="120"/>
      <c r="N10" s="117"/>
      <c r="O10" s="119"/>
      <c r="P10" s="89"/>
      <c r="Q10" s="89"/>
      <c r="R10" s="89">
        <f t="shared" si="3"/>
        <v>0</v>
      </c>
      <c r="S10" s="115">
        <f t="shared" si="0"/>
        <v>36.871574135302126</v>
      </c>
      <c r="T10" s="71">
        <f t="shared" si="4"/>
        <v>0</v>
      </c>
      <c r="U10" s="72">
        <f t="shared" si="4"/>
        <v>0</v>
      </c>
      <c r="V10" s="72">
        <f t="shared" si="4"/>
        <v>0</v>
      </c>
      <c r="W10" s="73">
        <f t="shared" si="5"/>
        <v>0</v>
      </c>
      <c r="X10" s="49"/>
      <c r="Y10" s="170"/>
      <c r="Z10" s="71"/>
      <c r="AA10" s="72"/>
      <c r="AB10" s="72"/>
      <c r="AC10" s="72" t="str">
        <f t="shared" si="1"/>
        <v>---</v>
      </c>
      <c r="AD10" s="72" t="str">
        <f>IFERROR(P10/#REF!-1,"---")</f>
        <v>---</v>
      </c>
      <c r="AE10" s="72" t="str">
        <f>IFERROR(#REF!/#REF!-1,"---")</f>
        <v>---</v>
      </c>
      <c r="AF10" s="72" t="str">
        <f>IFERROR(Q10/#REF!-1,"---")</f>
        <v>---</v>
      </c>
      <c r="AG10" s="72" t="str">
        <f>IFERROR(#REF!/#REF!-1,"---")</f>
        <v>---</v>
      </c>
      <c r="AH10" s="72" t="str">
        <f>IFERROR(#REF!/AA10-1,"---")</f>
        <v>---</v>
      </c>
      <c r="AI10" s="73" t="str">
        <f t="shared" si="2"/>
        <v>---</v>
      </c>
    </row>
    <row r="11" spans="1:35" ht="27" customHeight="1" x14ac:dyDescent="0.3">
      <c r="A11" s="12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72"/>
      <c r="I11" s="87"/>
      <c r="J11" s="72">
        <v>0</v>
      </c>
      <c r="K11" s="72">
        <v>0</v>
      </c>
      <c r="L11" s="88">
        <v>0</v>
      </c>
      <c r="M11" s="120"/>
      <c r="N11" s="117"/>
      <c r="O11" s="119"/>
      <c r="P11" s="89"/>
      <c r="Q11" s="89"/>
      <c r="R11" s="89">
        <f t="shared" si="3"/>
        <v>0</v>
      </c>
      <c r="S11" s="115">
        <f t="shared" si="0"/>
        <v>36.871574135302126</v>
      </c>
      <c r="T11" s="71">
        <f t="shared" si="4"/>
        <v>0</v>
      </c>
      <c r="U11" s="72">
        <f t="shared" si="4"/>
        <v>0</v>
      </c>
      <c r="V11" s="72">
        <f t="shared" si="4"/>
        <v>0</v>
      </c>
      <c r="W11" s="73">
        <f t="shared" si="5"/>
        <v>0</v>
      </c>
      <c r="X11" s="49"/>
      <c r="Y11" s="170"/>
      <c r="Z11" s="71"/>
      <c r="AA11" s="72"/>
      <c r="AB11" s="72"/>
      <c r="AC11" s="72" t="str">
        <f t="shared" si="1"/>
        <v>---</v>
      </c>
      <c r="AD11" s="72" t="str">
        <f>IFERROR(P11/#REF!-1,"---")</f>
        <v>---</v>
      </c>
      <c r="AE11" s="72" t="str">
        <f>IFERROR(#REF!/#REF!-1,"---")</f>
        <v>---</v>
      </c>
      <c r="AF11" s="72" t="str">
        <f>IFERROR(Q11/#REF!-1,"---")</f>
        <v>---</v>
      </c>
      <c r="AG11" s="72" t="str">
        <f>IFERROR(#REF!/#REF!-1,"---")</f>
        <v>---</v>
      </c>
      <c r="AH11" s="72" t="str">
        <f>IFERROR(#REF!/AA11-1,"---")</f>
        <v>---</v>
      </c>
      <c r="AI11" s="73" t="str">
        <f t="shared" si="2"/>
        <v>---</v>
      </c>
    </row>
    <row r="12" spans="1:35" ht="27" customHeight="1" x14ac:dyDescent="0.3">
      <c r="A12" s="12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72"/>
      <c r="I12" s="87"/>
      <c r="J12" s="72">
        <v>0</v>
      </c>
      <c r="K12" s="72">
        <v>0</v>
      </c>
      <c r="L12" s="88">
        <v>0</v>
      </c>
      <c r="M12" s="120"/>
      <c r="N12" s="117"/>
      <c r="O12" s="119"/>
      <c r="P12" s="89"/>
      <c r="Q12" s="89"/>
      <c r="R12" s="89">
        <f t="shared" si="3"/>
        <v>0</v>
      </c>
      <c r="S12" s="115">
        <f t="shared" si="0"/>
        <v>36.871574135302126</v>
      </c>
      <c r="T12" s="71">
        <f t="shared" si="4"/>
        <v>0</v>
      </c>
      <c r="U12" s="72">
        <f t="shared" si="4"/>
        <v>0</v>
      </c>
      <c r="V12" s="72">
        <f t="shared" si="4"/>
        <v>0</v>
      </c>
      <c r="W12" s="73">
        <f t="shared" si="5"/>
        <v>0</v>
      </c>
      <c r="X12" s="49"/>
      <c r="Y12" s="170"/>
      <c r="Z12" s="71"/>
      <c r="AA12" s="72"/>
      <c r="AB12" s="72"/>
      <c r="AC12" s="72" t="str">
        <f t="shared" si="1"/>
        <v>---</v>
      </c>
      <c r="AD12" s="72" t="str">
        <f>IFERROR(P12/#REF!-1,"---")</f>
        <v>---</v>
      </c>
      <c r="AE12" s="72" t="str">
        <f>IFERROR(#REF!/#REF!-1,"---")</f>
        <v>---</v>
      </c>
      <c r="AF12" s="72" t="str">
        <f>IFERROR(Q12/#REF!-1,"---")</f>
        <v>---</v>
      </c>
      <c r="AG12" s="72" t="str">
        <f>IFERROR(#REF!/#REF!-1,"---")</f>
        <v>---</v>
      </c>
      <c r="AH12" s="72" t="str">
        <f>IFERROR(#REF!/AA12-1,"---")</f>
        <v>---</v>
      </c>
      <c r="AI12" s="73" t="str">
        <f t="shared" si="2"/>
        <v>---</v>
      </c>
    </row>
    <row r="13" spans="1:35" ht="27" customHeight="1" x14ac:dyDescent="0.3">
      <c r="A13" s="12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72"/>
      <c r="I13" s="87"/>
      <c r="J13" s="72">
        <v>0</v>
      </c>
      <c r="K13" s="72">
        <v>0</v>
      </c>
      <c r="L13" s="88">
        <v>0</v>
      </c>
      <c r="M13" s="120"/>
      <c r="N13" s="117"/>
      <c r="O13" s="119"/>
      <c r="P13" s="89"/>
      <c r="Q13" s="89"/>
      <c r="R13" s="89">
        <f t="shared" si="3"/>
        <v>0</v>
      </c>
      <c r="S13" s="115">
        <f t="shared" si="0"/>
        <v>36.871574135302126</v>
      </c>
      <c r="T13" s="71">
        <f t="shared" si="4"/>
        <v>0</v>
      </c>
      <c r="U13" s="72">
        <f t="shared" si="4"/>
        <v>0</v>
      </c>
      <c r="V13" s="72">
        <f t="shared" si="4"/>
        <v>0</v>
      </c>
      <c r="W13" s="73">
        <f t="shared" si="5"/>
        <v>0</v>
      </c>
      <c r="X13" s="49"/>
      <c r="Y13" s="170"/>
      <c r="Z13" s="71"/>
      <c r="AA13" s="72"/>
      <c r="AB13" s="72"/>
      <c r="AC13" s="72" t="str">
        <f t="shared" si="1"/>
        <v>---</v>
      </c>
      <c r="AD13" s="72" t="str">
        <f>IFERROR(P13/#REF!-1,"---")</f>
        <v>---</v>
      </c>
      <c r="AE13" s="72" t="str">
        <f>IFERROR(#REF!/#REF!-1,"---")</f>
        <v>---</v>
      </c>
      <c r="AF13" s="72" t="str">
        <f>IFERROR(Q13/#REF!-1,"---")</f>
        <v>---</v>
      </c>
      <c r="AG13" s="72" t="str">
        <f>IFERROR(#REF!/#REF!-1,"---")</f>
        <v>---</v>
      </c>
      <c r="AH13" s="72" t="str">
        <f>IFERROR(#REF!/AA13-1,"---")</f>
        <v>---</v>
      </c>
      <c r="AI13" s="73" t="str">
        <f t="shared" si="2"/>
        <v>---</v>
      </c>
    </row>
    <row r="14" spans="1:35" ht="27" customHeight="1" x14ac:dyDescent="0.3">
      <c r="A14" s="12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72"/>
      <c r="I14" s="87"/>
      <c r="J14" s="72">
        <v>0</v>
      </c>
      <c r="K14" s="72">
        <v>0</v>
      </c>
      <c r="L14" s="88">
        <v>0</v>
      </c>
      <c r="M14" s="120"/>
      <c r="N14" s="117"/>
      <c r="O14" s="119"/>
      <c r="P14" s="89"/>
      <c r="Q14" s="89"/>
      <c r="R14" s="89">
        <f t="shared" si="3"/>
        <v>0</v>
      </c>
      <c r="S14" s="115">
        <f t="shared" si="0"/>
        <v>36.871574135302126</v>
      </c>
      <c r="T14" s="71">
        <f t="shared" si="4"/>
        <v>0</v>
      </c>
      <c r="U14" s="72">
        <f t="shared" si="4"/>
        <v>0</v>
      </c>
      <c r="V14" s="72">
        <f t="shared" si="4"/>
        <v>0</v>
      </c>
      <c r="W14" s="73">
        <f t="shared" si="5"/>
        <v>0</v>
      </c>
      <c r="X14" s="49"/>
      <c r="Y14" s="170"/>
      <c r="Z14" s="71"/>
      <c r="AA14" s="72"/>
      <c r="AB14" s="72"/>
      <c r="AC14" s="72" t="str">
        <f t="shared" si="1"/>
        <v>---</v>
      </c>
      <c r="AD14" s="72" t="str">
        <f>IFERROR(P14/#REF!-1,"---")</f>
        <v>---</v>
      </c>
      <c r="AE14" s="72" t="str">
        <f>IFERROR(#REF!/#REF!-1,"---")</f>
        <v>---</v>
      </c>
      <c r="AF14" s="72" t="str">
        <f>IFERROR(Q14/#REF!-1,"---")</f>
        <v>---</v>
      </c>
      <c r="AG14" s="72" t="str">
        <f>IFERROR(#REF!/#REF!-1,"---")</f>
        <v>---</v>
      </c>
      <c r="AH14" s="72" t="str">
        <f>IFERROR(#REF!/AA14-1,"---")</f>
        <v>---</v>
      </c>
      <c r="AI14" s="73" t="str">
        <f t="shared" si="2"/>
        <v>---</v>
      </c>
    </row>
    <row r="15" spans="1:35" ht="27" customHeight="1" x14ac:dyDescent="0.3">
      <c r="A15" s="12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72"/>
      <c r="I15" s="87"/>
      <c r="J15" s="72">
        <v>0</v>
      </c>
      <c r="K15" s="72">
        <v>0</v>
      </c>
      <c r="L15" s="88">
        <v>0</v>
      </c>
      <c r="M15" s="120"/>
      <c r="N15" s="117"/>
      <c r="O15" s="119"/>
      <c r="P15" s="89"/>
      <c r="Q15" s="89"/>
      <c r="R15" s="89">
        <f t="shared" si="3"/>
        <v>0</v>
      </c>
      <c r="S15" s="115">
        <f t="shared" si="0"/>
        <v>36.871574135302126</v>
      </c>
      <c r="T15" s="71">
        <f t="shared" si="4"/>
        <v>0</v>
      </c>
      <c r="U15" s="72">
        <f t="shared" si="4"/>
        <v>0</v>
      </c>
      <c r="V15" s="72">
        <f t="shared" si="4"/>
        <v>0</v>
      </c>
      <c r="W15" s="73">
        <f t="shared" si="5"/>
        <v>0</v>
      </c>
      <c r="X15" s="49"/>
      <c r="Y15" s="170"/>
      <c r="Z15" s="71"/>
      <c r="AA15" s="72"/>
      <c r="AB15" s="72"/>
      <c r="AC15" s="72" t="str">
        <f t="shared" si="1"/>
        <v>---</v>
      </c>
      <c r="AD15" s="72" t="str">
        <f>IFERROR(P15/#REF!-1,"---")</f>
        <v>---</v>
      </c>
      <c r="AE15" s="72" t="str">
        <f>IFERROR(#REF!/#REF!-1,"---")</f>
        <v>---</v>
      </c>
      <c r="AF15" s="72" t="str">
        <f>IFERROR(Q15/#REF!-1,"---")</f>
        <v>---</v>
      </c>
      <c r="AG15" s="72" t="str">
        <f>IFERROR(#REF!/#REF!-1,"---")</f>
        <v>---</v>
      </c>
      <c r="AH15" s="72" t="str">
        <f>IFERROR(#REF!/AA15-1,"---")</f>
        <v>---</v>
      </c>
      <c r="AI15" s="73" t="str">
        <f t="shared" si="2"/>
        <v>---</v>
      </c>
    </row>
    <row r="16" spans="1:35" ht="27" customHeight="1" x14ac:dyDescent="0.3">
      <c r="A16" s="12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72"/>
      <c r="I16" s="87"/>
      <c r="J16" s="72">
        <v>0</v>
      </c>
      <c r="K16" s="72">
        <v>0</v>
      </c>
      <c r="L16" s="88">
        <v>0</v>
      </c>
      <c r="M16" s="120"/>
      <c r="N16" s="117"/>
      <c r="O16" s="119"/>
      <c r="P16" s="89"/>
      <c r="Q16" s="89"/>
      <c r="R16" s="89">
        <f t="shared" si="3"/>
        <v>0</v>
      </c>
      <c r="S16" s="115">
        <f t="shared" si="0"/>
        <v>36.871574135302126</v>
      </c>
      <c r="T16" s="71">
        <f t="shared" si="4"/>
        <v>0</v>
      </c>
      <c r="U16" s="72">
        <f t="shared" si="4"/>
        <v>0</v>
      </c>
      <c r="V16" s="72">
        <f t="shared" si="4"/>
        <v>0</v>
      </c>
      <c r="W16" s="73">
        <f t="shared" si="5"/>
        <v>0</v>
      </c>
      <c r="X16" s="49"/>
      <c r="Y16" s="170"/>
      <c r="Z16" s="71"/>
      <c r="AA16" s="72"/>
      <c r="AB16" s="72"/>
      <c r="AC16" s="72" t="str">
        <f t="shared" si="1"/>
        <v>---</v>
      </c>
      <c r="AD16" s="72" t="str">
        <f>IFERROR(P16/#REF!-1,"---")</f>
        <v>---</v>
      </c>
      <c r="AE16" s="72" t="str">
        <f>IFERROR(#REF!/#REF!-1,"---")</f>
        <v>---</v>
      </c>
      <c r="AF16" s="72" t="str">
        <f>IFERROR(Q16/#REF!-1,"---")</f>
        <v>---</v>
      </c>
      <c r="AG16" s="72" t="str">
        <f>IFERROR(#REF!/#REF!-1,"---")</f>
        <v>---</v>
      </c>
      <c r="AH16" s="72" t="str">
        <f>IFERROR(#REF!/AA16-1,"---")</f>
        <v>---</v>
      </c>
      <c r="AI16" s="73" t="str">
        <f t="shared" si="2"/>
        <v>---</v>
      </c>
    </row>
    <row r="17" spans="1:35" ht="27" customHeight="1" x14ac:dyDescent="0.3">
      <c r="A17" s="12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72"/>
      <c r="I17" s="72"/>
      <c r="J17" s="72">
        <v>0</v>
      </c>
      <c r="K17" s="72">
        <v>0</v>
      </c>
      <c r="L17" s="88">
        <v>0</v>
      </c>
      <c r="M17" s="120"/>
      <c r="N17" s="117"/>
      <c r="O17" s="119"/>
      <c r="P17" s="89"/>
      <c r="Q17" s="89"/>
      <c r="R17" s="89">
        <f t="shared" si="3"/>
        <v>0</v>
      </c>
      <c r="S17" s="115">
        <f t="shared" si="0"/>
        <v>36.871574135302126</v>
      </c>
      <c r="T17" s="71">
        <f t="shared" si="4"/>
        <v>0</v>
      </c>
      <c r="U17" s="72">
        <f t="shared" si="4"/>
        <v>0</v>
      </c>
      <c r="V17" s="72">
        <f t="shared" si="4"/>
        <v>0</v>
      </c>
      <c r="W17" s="73">
        <f t="shared" si="5"/>
        <v>0</v>
      </c>
      <c r="X17" s="49"/>
      <c r="Y17" s="170"/>
      <c r="Z17" s="71"/>
      <c r="AA17" s="72"/>
      <c r="AB17" s="72"/>
      <c r="AC17" s="72" t="str">
        <f t="shared" si="1"/>
        <v>---</v>
      </c>
      <c r="AD17" s="72" t="str">
        <f>IFERROR(P17/#REF!-1,"---")</f>
        <v>---</v>
      </c>
      <c r="AE17" s="72" t="str">
        <f>IFERROR(#REF!/#REF!-1,"---")</f>
        <v>---</v>
      </c>
      <c r="AF17" s="72" t="str">
        <f>IFERROR(Q17/#REF!-1,"---")</f>
        <v>---</v>
      </c>
      <c r="AG17" s="72" t="str">
        <f>IFERROR(#REF!/#REF!-1,"---")</f>
        <v>---</v>
      </c>
      <c r="AH17" s="72" t="str">
        <f>IFERROR(#REF!/AA17-1,"---")</f>
        <v>---</v>
      </c>
      <c r="AI17" s="73" t="str">
        <f t="shared" si="2"/>
        <v>---</v>
      </c>
    </row>
    <row r="18" spans="1:35" ht="27" customHeight="1" x14ac:dyDescent="0.3">
      <c r="A18" s="12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72"/>
      <c r="I18" s="72"/>
      <c r="J18" s="72">
        <v>0</v>
      </c>
      <c r="K18" s="72">
        <v>0</v>
      </c>
      <c r="L18" s="88">
        <v>0</v>
      </c>
      <c r="M18" s="120"/>
      <c r="N18" s="117"/>
      <c r="O18" s="119"/>
      <c r="P18" s="89"/>
      <c r="Q18" s="89"/>
      <c r="R18" s="89">
        <f t="shared" si="3"/>
        <v>0</v>
      </c>
      <c r="S18" s="115">
        <f t="shared" si="0"/>
        <v>36.871574135302126</v>
      </c>
      <c r="T18" s="71">
        <f t="shared" si="4"/>
        <v>0</v>
      </c>
      <c r="U18" s="72">
        <f t="shared" si="4"/>
        <v>0</v>
      </c>
      <c r="V18" s="72">
        <f t="shared" si="4"/>
        <v>0</v>
      </c>
      <c r="W18" s="73">
        <f t="shared" si="5"/>
        <v>0</v>
      </c>
      <c r="X18" s="49"/>
      <c r="Y18" s="170"/>
      <c r="Z18" s="71"/>
      <c r="AA18" s="72"/>
      <c r="AB18" s="72"/>
      <c r="AC18" s="72" t="str">
        <f t="shared" si="1"/>
        <v>---</v>
      </c>
      <c r="AD18" s="72" t="str">
        <f>IFERROR(P18/#REF!-1,"---")</f>
        <v>---</v>
      </c>
      <c r="AE18" s="72" t="str">
        <f>IFERROR(#REF!/#REF!-1,"---")</f>
        <v>---</v>
      </c>
      <c r="AF18" s="72" t="str">
        <f>IFERROR(Q18/#REF!-1,"---")</f>
        <v>---</v>
      </c>
      <c r="AG18" s="72" t="str">
        <f>IFERROR(#REF!/#REF!-1,"---")</f>
        <v>---</v>
      </c>
      <c r="AH18" s="72" t="str">
        <f>IFERROR(#REF!/AA18-1,"---")</f>
        <v>---</v>
      </c>
      <c r="AI18" s="73" t="str">
        <f t="shared" si="2"/>
        <v>---</v>
      </c>
    </row>
    <row r="19" spans="1:35" ht="27" customHeight="1" x14ac:dyDescent="0.3">
      <c r="A19" s="12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72"/>
      <c r="I19" s="72"/>
      <c r="J19" s="72">
        <v>0</v>
      </c>
      <c r="K19" s="72">
        <v>0</v>
      </c>
      <c r="L19" s="88">
        <v>0</v>
      </c>
      <c r="M19" s="120"/>
      <c r="N19" s="117"/>
      <c r="O19" s="119"/>
      <c r="P19" s="89"/>
      <c r="Q19" s="89"/>
      <c r="R19" s="89">
        <f t="shared" si="3"/>
        <v>0</v>
      </c>
      <c r="S19" s="115">
        <f t="shared" si="0"/>
        <v>36.871574135302126</v>
      </c>
      <c r="T19" s="71">
        <f t="shared" si="4"/>
        <v>0</v>
      </c>
      <c r="U19" s="72">
        <f t="shared" si="4"/>
        <v>0</v>
      </c>
      <c r="V19" s="72">
        <f t="shared" si="4"/>
        <v>0</v>
      </c>
      <c r="W19" s="73">
        <f t="shared" si="5"/>
        <v>0</v>
      </c>
      <c r="X19" s="49"/>
      <c r="Y19" s="170"/>
      <c r="Z19" s="71"/>
      <c r="AA19" s="72"/>
      <c r="AB19" s="72"/>
      <c r="AC19" s="72" t="str">
        <f t="shared" si="1"/>
        <v>---</v>
      </c>
      <c r="AD19" s="72" t="str">
        <f>IFERROR(P19/#REF!-1,"---")</f>
        <v>---</v>
      </c>
      <c r="AE19" s="72" t="str">
        <f>IFERROR(#REF!/#REF!-1,"---")</f>
        <v>---</v>
      </c>
      <c r="AF19" s="72" t="str">
        <f>IFERROR(Q19/#REF!-1,"---")</f>
        <v>---</v>
      </c>
      <c r="AG19" s="72" t="str">
        <f>IFERROR(#REF!/#REF!-1,"---")</f>
        <v>---</v>
      </c>
      <c r="AH19" s="72" t="str">
        <f>IFERROR(#REF!/AA19-1,"---")</f>
        <v>---</v>
      </c>
      <c r="AI19" s="73" t="str">
        <f t="shared" si="2"/>
        <v>---</v>
      </c>
    </row>
    <row r="20" spans="1:35" ht="27" customHeight="1" x14ac:dyDescent="0.3">
      <c r="A20" s="12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72"/>
      <c r="I20" s="72"/>
      <c r="J20" s="72">
        <v>0</v>
      </c>
      <c r="K20" s="72">
        <v>0</v>
      </c>
      <c r="L20" s="88">
        <v>0</v>
      </c>
      <c r="M20" s="120"/>
      <c r="N20" s="117"/>
      <c r="O20" s="119"/>
      <c r="P20" s="89"/>
      <c r="Q20" s="89"/>
      <c r="R20" s="89">
        <f t="shared" si="3"/>
        <v>0</v>
      </c>
      <c r="S20" s="115">
        <f t="shared" si="0"/>
        <v>36.871574135302126</v>
      </c>
      <c r="T20" s="71">
        <f t="shared" si="4"/>
        <v>0</v>
      </c>
      <c r="U20" s="72">
        <f t="shared" si="4"/>
        <v>0</v>
      </c>
      <c r="V20" s="72">
        <f t="shared" si="4"/>
        <v>0</v>
      </c>
      <c r="W20" s="73">
        <f t="shared" si="5"/>
        <v>0</v>
      </c>
      <c r="X20" s="49"/>
      <c r="Y20" s="170"/>
      <c r="Z20" s="71"/>
      <c r="AA20" s="72"/>
      <c r="AB20" s="72"/>
      <c r="AC20" s="72" t="str">
        <f t="shared" si="1"/>
        <v>---</v>
      </c>
      <c r="AD20" s="72" t="str">
        <f>IFERROR(P20/#REF!-1,"---")</f>
        <v>---</v>
      </c>
      <c r="AE20" s="72" t="str">
        <f>IFERROR(#REF!/#REF!-1,"---")</f>
        <v>---</v>
      </c>
      <c r="AF20" s="72" t="str">
        <f>IFERROR(Q20/#REF!-1,"---")</f>
        <v>---</v>
      </c>
      <c r="AG20" s="72" t="str">
        <f>IFERROR(#REF!/#REF!-1,"---")</f>
        <v>---</v>
      </c>
      <c r="AH20" s="72" t="str">
        <f>IFERROR(#REF!/AA20-1,"---")</f>
        <v>---</v>
      </c>
      <c r="AI20" s="73" t="str">
        <f t="shared" si="2"/>
        <v>---</v>
      </c>
    </row>
    <row r="21" spans="1:35" ht="27" customHeight="1" x14ac:dyDescent="0.3">
      <c r="A21" s="12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72"/>
      <c r="I21" s="87"/>
      <c r="J21" s="72">
        <v>0</v>
      </c>
      <c r="K21" s="72">
        <v>0</v>
      </c>
      <c r="L21" s="88">
        <v>0</v>
      </c>
      <c r="M21" s="119"/>
      <c r="N21" s="96"/>
      <c r="O21" s="119"/>
      <c r="P21" s="89"/>
      <c r="Q21" s="89"/>
      <c r="R21" s="89">
        <f t="shared" si="3"/>
        <v>0</v>
      </c>
      <c r="S21" s="115">
        <f t="shared" si="0"/>
        <v>36.871574135302126</v>
      </c>
      <c r="T21" s="71">
        <f t="shared" si="4"/>
        <v>0</v>
      </c>
      <c r="U21" s="72">
        <f t="shared" si="4"/>
        <v>0</v>
      </c>
      <c r="V21" s="72">
        <f t="shared" si="4"/>
        <v>0</v>
      </c>
      <c r="W21" s="73">
        <f t="shared" si="5"/>
        <v>0</v>
      </c>
      <c r="X21" s="49"/>
      <c r="Y21" s="170"/>
      <c r="Z21" s="71"/>
      <c r="AA21" s="72"/>
      <c r="AB21" s="72"/>
      <c r="AC21" s="72" t="str">
        <f t="shared" si="1"/>
        <v>---</v>
      </c>
      <c r="AD21" s="72" t="str">
        <f>IFERROR(P21/#REF!-1,"---")</f>
        <v>---</v>
      </c>
      <c r="AE21" s="72" t="str">
        <f>IFERROR(#REF!/#REF!-1,"---")</f>
        <v>---</v>
      </c>
      <c r="AF21" s="72" t="str">
        <f>IFERROR(Q21/#REF!-1,"---")</f>
        <v>---</v>
      </c>
      <c r="AG21" s="72" t="str">
        <f>IFERROR(#REF!/#REF!-1,"---")</f>
        <v>---</v>
      </c>
      <c r="AH21" s="72" t="str">
        <f>IFERROR(#REF!/AA21-1,"---")</f>
        <v>---</v>
      </c>
      <c r="AI21" s="73" t="str">
        <f t="shared" si="2"/>
        <v>---</v>
      </c>
    </row>
    <row r="22" spans="1:35" ht="27" customHeight="1" x14ac:dyDescent="0.3">
      <c r="A22" s="12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72"/>
      <c r="I22" s="87"/>
      <c r="J22" s="72">
        <v>0</v>
      </c>
      <c r="K22" s="72">
        <v>0</v>
      </c>
      <c r="L22" s="88">
        <v>0</v>
      </c>
      <c r="M22" s="120"/>
      <c r="N22" s="117"/>
      <c r="O22" s="119"/>
      <c r="P22" s="89"/>
      <c r="Q22" s="89"/>
      <c r="R22" s="89">
        <f t="shared" si="3"/>
        <v>0</v>
      </c>
      <c r="S22" s="115">
        <f t="shared" si="0"/>
        <v>36.871574135302126</v>
      </c>
      <c r="T22" s="71">
        <f t="shared" si="4"/>
        <v>0</v>
      </c>
      <c r="U22" s="72">
        <f t="shared" si="4"/>
        <v>0</v>
      </c>
      <c r="V22" s="72">
        <f t="shared" si="4"/>
        <v>0</v>
      </c>
      <c r="W22" s="73">
        <f t="shared" si="5"/>
        <v>0</v>
      </c>
      <c r="X22" s="49"/>
      <c r="Y22" s="170"/>
      <c r="Z22" s="71"/>
      <c r="AA22" s="72"/>
      <c r="AB22" s="72"/>
      <c r="AC22" s="72" t="str">
        <f t="shared" si="1"/>
        <v>---</v>
      </c>
      <c r="AD22" s="72" t="str">
        <f>IFERROR(P22/#REF!-1,"---")</f>
        <v>---</v>
      </c>
      <c r="AE22" s="72" t="str">
        <f>IFERROR(#REF!/#REF!-1,"---")</f>
        <v>---</v>
      </c>
      <c r="AF22" s="72" t="str">
        <f>IFERROR(Q22/#REF!-1,"---")</f>
        <v>---</v>
      </c>
      <c r="AG22" s="72" t="str">
        <f>IFERROR(#REF!/#REF!-1,"---")</f>
        <v>---</v>
      </c>
      <c r="AH22" s="72" t="str">
        <f>IFERROR(#REF!/AA22-1,"---")</f>
        <v>---</v>
      </c>
      <c r="AI22" s="73" t="str">
        <f t="shared" si="2"/>
        <v>---</v>
      </c>
    </row>
    <row r="23" spans="1:35" ht="27" customHeight="1" x14ac:dyDescent="0.3">
      <c r="A23" s="12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72"/>
      <c r="I23" s="87"/>
      <c r="J23" s="72">
        <v>0</v>
      </c>
      <c r="K23" s="72">
        <v>0</v>
      </c>
      <c r="L23" s="88">
        <v>0</v>
      </c>
      <c r="M23" s="120"/>
      <c r="N23" s="117"/>
      <c r="O23" s="119"/>
      <c r="P23" s="89"/>
      <c r="Q23" s="89"/>
      <c r="R23" s="89">
        <f t="shared" si="3"/>
        <v>0</v>
      </c>
      <c r="S23" s="115">
        <f t="shared" si="0"/>
        <v>36.871574135302126</v>
      </c>
      <c r="T23" s="71">
        <f t="shared" si="4"/>
        <v>0</v>
      </c>
      <c r="U23" s="72">
        <f t="shared" si="4"/>
        <v>0</v>
      </c>
      <c r="V23" s="72">
        <f t="shared" si="4"/>
        <v>0</v>
      </c>
      <c r="W23" s="73">
        <f t="shared" si="5"/>
        <v>0</v>
      </c>
      <c r="X23" s="49"/>
      <c r="Y23" s="170"/>
      <c r="Z23" s="71"/>
      <c r="AA23" s="72"/>
      <c r="AB23" s="72"/>
      <c r="AC23" s="72" t="str">
        <f t="shared" si="1"/>
        <v>---</v>
      </c>
      <c r="AD23" s="72" t="str">
        <f>IFERROR(P23/#REF!-1,"---")</f>
        <v>---</v>
      </c>
      <c r="AE23" s="72" t="str">
        <f>IFERROR(#REF!/#REF!-1,"---")</f>
        <v>---</v>
      </c>
      <c r="AF23" s="72" t="str">
        <f>IFERROR(Q23/#REF!-1,"---")</f>
        <v>---</v>
      </c>
      <c r="AG23" s="72" t="str">
        <f>IFERROR(#REF!/#REF!-1,"---")</f>
        <v>---</v>
      </c>
      <c r="AH23" s="72" t="str">
        <f>IFERROR(#REF!/AA23-1,"---")</f>
        <v>---</v>
      </c>
      <c r="AI23" s="73" t="str">
        <f t="shared" si="2"/>
        <v>---</v>
      </c>
    </row>
    <row r="24" spans="1:35" ht="27" customHeight="1" x14ac:dyDescent="0.3">
      <c r="A24" s="12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72"/>
      <c r="I24" s="87"/>
      <c r="J24" s="72">
        <v>0</v>
      </c>
      <c r="K24" s="72">
        <v>0</v>
      </c>
      <c r="L24" s="88">
        <v>0</v>
      </c>
      <c r="M24" s="120"/>
      <c r="N24" s="117"/>
      <c r="O24" s="119"/>
      <c r="P24" s="89"/>
      <c r="Q24" s="89"/>
      <c r="R24" s="89">
        <f t="shared" si="3"/>
        <v>0</v>
      </c>
      <c r="S24" s="115">
        <f t="shared" si="0"/>
        <v>36.871574135302126</v>
      </c>
      <c r="T24" s="71">
        <f t="shared" si="4"/>
        <v>0</v>
      </c>
      <c r="U24" s="72">
        <f t="shared" si="4"/>
        <v>0</v>
      </c>
      <c r="V24" s="72">
        <f t="shared" si="4"/>
        <v>0</v>
      </c>
      <c r="W24" s="73">
        <f t="shared" si="5"/>
        <v>0</v>
      </c>
      <c r="X24" s="49"/>
      <c r="Y24" s="170"/>
      <c r="Z24" s="71"/>
      <c r="AA24" s="72"/>
      <c r="AB24" s="72"/>
      <c r="AC24" s="72" t="str">
        <f t="shared" si="1"/>
        <v>---</v>
      </c>
      <c r="AD24" s="72" t="str">
        <f>IFERROR(P24/#REF!-1,"---")</f>
        <v>---</v>
      </c>
      <c r="AE24" s="72" t="str">
        <f>IFERROR(#REF!/#REF!-1,"---")</f>
        <v>---</v>
      </c>
      <c r="AF24" s="72" t="str">
        <f>IFERROR(Q24/#REF!-1,"---")</f>
        <v>---</v>
      </c>
      <c r="AG24" s="72" t="str">
        <f>IFERROR(#REF!/#REF!-1,"---")</f>
        <v>---</v>
      </c>
      <c r="AH24" s="72" t="str">
        <f>IFERROR(#REF!/AA24-1,"---")</f>
        <v>---</v>
      </c>
      <c r="AI24" s="73" t="str">
        <f t="shared" si="2"/>
        <v>---</v>
      </c>
    </row>
    <row r="25" spans="1:35" ht="27" customHeight="1" x14ac:dyDescent="0.3">
      <c r="A25" s="12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72"/>
      <c r="I25" s="87"/>
      <c r="J25" s="72">
        <v>0</v>
      </c>
      <c r="K25" s="72">
        <v>0</v>
      </c>
      <c r="L25" s="88">
        <v>0</v>
      </c>
      <c r="M25" s="120"/>
      <c r="N25" s="117"/>
      <c r="O25" s="119"/>
      <c r="P25" s="89"/>
      <c r="Q25" s="89"/>
      <c r="R25" s="89">
        <f t="shared" si="3"/>
        <v>0</v>
      </c>
      <c r="S25" s="115">
        <f t="shared" si="0"/>
        <v>36.871574135302126</v>
      </c>
      <c r="T25" s="71">
        <f t="shared" si="4"/>
        <v>0</v>
      </c>
      <c r="U25" s="72">
        <f t="shared" si="4"/>
        <v>0</v>
      </c>
      <c r="V25" s="72">
        <f t="shared" si="4"/>
        <v>0</v>
      </c>
      <c r="W25" s="73">
        <f t="shared" si="5"/>
        <v>0</v>
      </c>
      <c r="X25" s="49"/>
      <c r="Y25" s="170"/>
      <c r="Z25" s="68"/>
      <c r="AA25" s="69"/>
      <c r="AB25" s="69"/>
      <c r="AC25" s="69" t="str">
        <f t="shared" si="1"/>
        <v>---</v>
      </c>
      <c r="AD25" s="69" t="str">
        <f>IFERROR(P25/#REF!-1,"---")</f>
        <v>---</v>
      </c>
      <c r="AE25" s="69" t="str">
        <f>IFERROR(#REF!/#REF!-1,"---")</f>
        <v>---</v>
      </c>
      <c r="AF25" s="69" t="str">
        <f>IFERROR(Q25/#REF!-1,"---")</f>
        <v>---</v>
      </c>
      <c r="AG25" s="69" t="str">
        <f>IFERROR(#REF!/#REF!-1,"---")</f>
        <v>---</v>
      </c>
      <c r="AH25" s="69" t="str">
        <f>IFERROR(#REF!/AA25-1,"---")</f>
        <v>---</v>
      </c>
      <c r="AI25" s="70" t="str">
        <f t="shared" si="2"/>
        <v>---</v>
      </c>
    </row>
    <row r="26" spans="1:35" ht="27" customHeight="1" x14ac:dyDescent="0.3">
      <c r="A26" s="12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72"/>
      <c r="I26" s="87"/>
      <c r="J26" s="72">
        <v>0</v>
      </c>
      <c r="K26" s="72">
        <v>0</v>
      </c>
      <c r="L26" s="88">
        <v>0</v>
      </c>
      <c r="M26" s="120"/>
      <c r="N26" s="117"/>
      <c r="O26" s="119"/>
      <c r="P26" s="89"/>
      <c r="Q26" s="89"/>
      <c r="R26" s="89">
        <f t="shared" si="3"/>
        <v>0</v>
      </c>
      <c r="S26" s="115">
        <f t="shared" si="0"/>
        <v>36.871574135302126</v>
      </c>
      <c r="T26" s="71">
        <f t="shared" si="4"/>
        <v>0</v>
      </c>
      <c r="U26" s="72">
        <f t="shared" si="4"/>
        <v>0</v>
      </c>
      <c r="V26" s="72">
        <f t="shared" si="4"/>
        <v>0</v>
      </c>
      <c r="W26" s="73">
        <f t="shared" si="5"/>
        <v>0</v>
      </c>
      <c r="X26" s="49"/>
      <c r="Y26" s="170"/>
      <c r="Z26" s="71"/>
      <c r="AA26" s="72"/>
      <c r="AB26" s="72"/>
      <c r="AC26" s="72" t="str">
        <f t="shared" si="1"/>
        <v>---</v>
      </c>
      <c r="AD26" s="72" t="str">
        <f>IFERROR(P26/#REF!-1,"---")</f>
        <v>---</v>
      </c>
      <c r="AE26" s="72" t="str">
        <f>IFERROR(#REF!/#REF!-1,"---")</f>
        <v>---</v>
      </c>
      <c r="AF26" s="72" t="str">
        <f>IFERROR(Q26/#REF!-1,"---")</f>
        <v>---</v>
      </c>
      <c r="AG26" s="72" t="str">
        <f>IFERROR(#REF!/#REF!-1,"---")</f>
        <v>---</v>
      </c>
      <c r="AH26" s="72" t="str">
        <f>IFERROR(#REF!/AA26-1,"---")</f>
        <v>---</v>
      </c>
      <c r="AI26" s="73" t="str">
        <f t="shared" si="2"/>
        <v>---</v>
      </c>
    </row>
    <row r="27" spans="1:35" ht="27" customHeight="1" x14ac:dyDescent="0.3">
      <c r="A27" s="12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72"/>
      <c r="I27" s="87"/>
      <c r="J27" s="72">
        <v>0</v>
      </c>
      <c r="K27" s="72">
        <v>0</v>
      </c>
      <c r="L27" s="88">
        <v>0</v>
      </c>
      <c r="M27" s="120"/>
      <c r="N27" s="117"/>
      <c r="O27" s="119"/>
      <c r="P27" s="89"/>
      <c r="Q27" s="89"/>
      <c r="R27" s="89">
        <f t="shared" si="3"/>
        <v>0</v>
      </c>
      <c r="S27" s="115">
        <f t="shared" si="0"/>
        <v>36.871574135302126</v>
      </c>
      <c r="T27" s="71">
        <f t="shared" si="4"/>
        <v>0</v>
      </c>
      <c r="U27" s="72">
        <f t="shared" si="4"/>
        <v>0</v>
      </c>
      <c r="V27" s="72">
        <f t="shared" si="4"/>
        <v>0</v>
      </c>
      <c r="W27" s="73">
        <f t="shared" si="5"/>
        <v>0</v>
      </c>
      <c r="X27" s="49"/>
      <c r="Y27" s="170"/>
      <c r="Z27" s="71"/>
      <c r="AA27" s="72"/>
      <c r="AB27" s="72"/>
      <c r="AC27" s="72" t="str">
        <f t="shared" si="1"/>
        <v>---</v>
      </c>
      <c r="AD27" s="72" t="str">
        <f>IFERROR(P27/#REF!-1,"---")</f>
        <v>---</v>
      </c>
      <c r="AE27" s="72" t="str">
        <f>IFERROR(#REF!/#REF!-1,"---")</f>
        <v>---</v>
      </c>
      <c r="AF27" s="72" t="str">
        <f>IFERROR(Q27/#REF!-1,"---")</f>
        <v>---</v>
      </c>
      <c r="AG27" s="72" t="str">
        <f>IFERROR(#REF!/#REF!-1,"---")</f>
        <v>---</v>
      </c>
      <c r="AH27" s="72" t="str">
        <f>IFERROR(#REF!/AA27-1,"---")</f>
        <v>---</v>
      </c>
      <c r="AI27" s="73" t="str">
        <f t="shared" si="2"/>
        <v>---</v>
      </c>
    </row>
    <row r="28" spans="1:35" ht="27" customHeight="1" x14ac:dyDescent="0.3">
      <c r="A28" s="12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72"/>
      <c r="I28" s="87"/>
      <c r="J28" s="72">
        <v>0</v>
      </c>
      <c r="K28" s="72">
        <v>0</v>
      </c>
      <c r="L28" s="88">
        <v>0</v>
      </c>
      <c r="M28" s="120"/>
      <c r="N28" s="117"/>
      <c r="O28" s="119"/>
      <c r="P28" s="89"/>
      <c r="Q28" s="89"/>
      <c r="R28" s="89">
        <f t="shared" si="3"/>
        <v>0</v>
      </c>
      <c r="S28" s="115">
        <f t="shared" si="0"/>
        <v>36.871574135302126</v>
      </c>
      <c r="T28" s="71">
        <f t="shared" si="4"/>
        <v>0</v>
      </c>
      <c r="U28" s="72">
        <f t="shared" si="4"/>
        <v>0</v>
      </c>
      <c r="V28" s="72">
        <f t="shared" si="4"/>
        <v>0</v>
      </c>
      <c r="W28" s="73">
        <f t="shared" si="5"/>
        <v>0</v>
      </c>
      <c r="X28" s="49"/>
      <c r="Y28" s="170"/>
      <c r="Z28" s="71"/>
      <c r="AA28" s="72"/>
      <c r="AB28" s="72"/>
      <c r="AC28" s="72" t="str">
        <f t="shared" si="1"/>
        <v>---</v>
      </c>
      <c r="AD28" s="72" t="str">
        <f>IFERROR(P28/#REF!-1,"---")</f>
        <v>---</v>
      </c>
      <c r="AE28" s="72" t="str">
        <f>IFERROR(#REF!/#REF!-1,"---")</f>
        <v>---</v>
      </c>
      <c r="AF28" s="72" t="str">
        <f>IFERROR(Q28/#REF!-1,"---")</f>
        <v>---</v>
      </c>
      <c r="AG28" s="72" t="str">
        <f>IFERROR(#REF!/#REF!-1,"---")</f>
        <v>---</v>
      </c>
      <c r="AH28" s="72" t="str">
        <f>IFERROR(#REF!/AA28-1,"---")</f>
        <v>---</v>
      </c>
      <c r="AI28" s="73" t="str">
        <f t="shared" si="2"/>
        <v>---</v>
      </c>
    </row>
    <row r="29" spans="1:35" ht="27" customHeight="1" x14ac:dyDescent="0.3">
      <c r="A29" s="12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72"/>
      <c r="I29" s="87"/>
      <c r="J29" s="72">
        <v>0</v>
      </c>
      <c r="K29" s="72">
        <v>0</v>
      </c>
      <c r="L29" s="88">
        <v>0</v>
      </c>
      <c r="M29" s="120"/>
      <c r="N29" s="117"/>
      <c r="O29" s="119"/>
      <c r="P29" s="89"/>
      <c r="Q29" s="89"/>
      <c r="R29" s="89">
        <f t="shared" si="3"/>
        <v>0</v>
      </c>
      <c r="S29" s="115">
        <f t="shared" si="0"/>
        <v>36.871574135302126</v>
      </c>
      <c r="T29" s="71">
        <f t="shared" si="4"/>
        <v>0</v>
      </c>
      <c r="U29" s="72">
        <f t="shared" si="4"/>
        <v>0</v>
      </c>
      <c r="V29" s="72">
        <f t="shared" si="4"/>
        <v>0</v>
      </c>
      <c r="W29" s="73">
        <f t="shared" si="5"/>
        <v>0</v>
      </c>
      <c r="X29" s="49"/>
      <c r="Y29" s="170"/>
      <c r="Z29" s="71"/>
      <c r="AA29" s="72"/>
      <c r="AB29" s="72"/>
      <c r="AC29" s="72" t="str">
        <f t="shared" si="1"/>
        <v>---</v>
      </c>
      <c r="AD29" s="72" t="str">
        <f>IFERROR(P29/#REF!-1,"---")</f>
        <v>---</v>
      </c>
      <c r="AE29" s="72" t="str">
        <f>IFERROR(#REF!/#REF!-1,"---")</f>
        <v>---</v>
      </c>
      <c r="AF29" s="72" t="str">
        <f>IFERROR(Q29/#REF!-1,"---")</f>
        <v>---</v>
      </c>
      <c r="AG29" s="72" t="str">
        <f>IFERROR(#REF!/#REF!-1,"---")</f>
        <v>---</v>
      </c>
      <c r="AH29" s="72" t="str">
        <f>IFERROR(#REF!/AA29-1,"---")</f>
        <v>---</v>
      </c>
      <c r="AI29" s="73" t="str">
        <f t="shared" si="2"/>
        <v>---</v>
      </c>
    </row>
    <row r="30" spans="1:35" ht="27" customHeight="1" x14ac:dyDescent="0.3">
      <c r="A30" s="12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72"/>
      <c r="I30" s="87"/>
      <c r="J30" s="72">
        <v>0</v>
      </c>
      <c r="K30" s="72">
        <v>0</v>
      </c>
      <c r="L30" s="88">
        <v>0</v>
      </c>
      <c r="M30" s="120"/>
      <c r="N30" s="117"/>
      <c r="O30" s="119"/>
      <c r="P30" s="89"/>
      <c r="Q30" s="89"/>
      <c r="R30" s="89">
        <f t="shared" si="3"/>
        <v>0</v>
      </c>
      <c r="S30" s="115">
        <f t="shared" si="0"/>
        <v>36.871574135302126</v>
      </c>
      <c r="T30" s="71">
        <f t="shared" si="4"/>
        <v>0</v>
      </c>
      <c r="U30" s="72">
        <f t="shared" si="4"/>
        <v>0</v>
      </c>
      <c r="V30" s="72">
        <f t="shared" si="4"/>
        <v>0</v>
      </c>
      <c r="W30" s="73">
        <f t="shared" si="5"/>
        <v>0</v>
      </c>
      <c r="X30" s="49"/>
      <c r="Y30" s="170"/>
      <c r="Z30" s="71"/>
      <c r="AA30" s="72"/>
      <c r="AB30" s="72"/>
      <c r="AC30" s="72" t="str">
        <f t="shared" si="1"/>
        <v>---</v>
      </c>
      <c r="AD30" s="72" t="str">
        <f>IFERROR(P30/#REF!-1,"---")</f>
        <v>---</v>
      </c>
      <c r="AE30" s="72" t="str">
        <f>IFERROR(#REF!/#REF!-1,"---")</f>
        <v>---</v>
      </c>
      <c r="AF30" s="72" t="str">
        <f>IFERROR(Q30/#REF!-1,"---")</f>
        <v>---</v>
      </c>
      <c r="AG30" s="72" t="str">
        <f>IFERROR(#REF!/#REF!-1,"---")</f>
        <v>---</v>
      </c>
      <c r="AH30" s="72" t="str">
        <f>IFERROR(#REF!/AA30-1,"---")</f>
        <v>---</v>
      </c>
      <c r="AI30" s="73" t="str">
        <f t="shared" si="2"/>
        <v>---</v>
      </c>
    </row>
    <row r="31" spans="1:35" ht="27" customHeight="1" x14ac:dyDescent="0.3">
      <c r="A31" s="12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72"/>
      <c r="I31" s="87"/>
      <c r="J31" s="72">
        <v>0</v>
      </c>
      <c r="K31" s="72">
        <v>0</v>
      </c>
      <c r="L31" s="88">
        <v>0</v>
      </c>
      <c r="M31" s="120"/>
      <c r="N31" s="117"/>
      <c r="O31" s="119"/>
      <c r="P31" s="89"/>
      <c r="Q31" s="89"/>
      <c r="R31" s="89">
        <f t="shared" si="3"/>
        <v>0</v>
      </c>
      <c r="S31" s="115">
        <f t="shared" si="0"/>
        <v>36.871574135302126</v>
      </c>
      <c r="T31" s="71">
        <f t="shared" si="4"/>
        <v>0</v>
      </c>
      <c r="U31" s="72">
        <f t="shared" si="4"/>
        <v>0</v>
      </c>
      <c r="V31" s="72">
        <f t="shared" si="4"/>
        <v>0</v>
      </c>
      <c r="W31" s="73">
        <f t="shared" si="5"/>
        <v>0</v>
      </c>
      <c r="X31" s="49"/>
      <c r="Y31" s="170"/>
      <c r="Z31" s="71"/>
      <c r="AA31" s="72"/>
      <c r="AB31" s="72"/>
      <c r="AC31" s="72" t="str">
        <f t="shared" si="1"/>
        <v>---</v>
      </c>
      <c r="AD31" s="72" t="str">
        <f>IFERROR(P31/#REF!-1,"---")</f>
        <v>---</v>
      </c>
      <c r="AE31" s="72" t="str">
        <f>IFERROR(#REF!/#REF!-1,"---")</f>
        <v>---</v>
      </c>
      <c r="AF31" s="72" t="str">
        <f>IFERROR(Q31/#REF!-1,"---")</f>
        <v>---</v>
      </c>
      <c r="AG31" s="72" t="str">
        <f>IFERROR(#REF!/#REF!-1,"---")</f>
        <v>---</v>
      </c>
      <c r="AH31" s="72" t="str">
        <f>IFERROR(#REF!/AA31-1,"---")</f>
        <v>---</v>
      </c>
      <c r="AI31" s="73" t="str">
        <f t="shared" si="2"/>
        <v>---</v>
      </c>
    </row>
    <row r="32" spans="1:35" ht="27" customHeight="1" x14ac:dyDescent="0.3">
      <c r="A32" s="12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72"/>
      <c r="I32" s="72"/>
      <c r="J32" s="72">
        <v>0</v>
      </c>
      <c r="K32" s="72">
        <v>0</v>
      </c>
      <c r="L32" s="88">
        <v>0</v>
      </c>
      <c r="M32" s="120"/>
      <c r="N32" s="117"/>
      <c r="O32" s="119"/>
      <c r="P32" s="89"/>
      <c r="Q32" s="89"/>
      <c r="R32" s="89">
        <f t="shared" si="3"/>
        <v>0</v>
      </c>
      <c r="S32" s="115">
        <f t="shared" si="0"/>
        <v>36.871574135302126</v>
      </c>
      <c r="T32" s="71">
        <f t="shared" si="4"/>
        <v>0</v>
      </c>
      <c r="U32" s="72">
        <f t="shared" si="4"/>
        <v>0</v>
      </c>
      <c r="V32" s="72">
        <f t="shared" si="4"/>
        <v>0</v>
      </c>
      <c r="W32" s="73">
        <f t="shared" si="5"/>
        <v>0</v>
      </c>
      <c r="X32" s="49"/>
      <c r="Y32" s="170"/>
      <c r="Z32" s="71"/>
      <c r="AA32" s="72"/>
      <c r="AB32" s="72"/>
      <c r="AC32" s="72" t="str">
        <f t="shared" si="1"/>
        <v>---</v>
      </c>
      <c r="AD32" s="72" t="str">
        <f>IFERROR(P32/#REF!-1,"---")</f>
        <v>---</v>
      </c>
      <c r="AE32" s="72" t="str">
        <f>IFERROR(#REF!/#REF!-1,"---")</f>
        <v>---</v>
      </c>
      <c r="AF32" s="72" t="str">
        <f>IFERROR(Q32/#REF!-1,"---")</f>
        <v>---</v>
      </c>
      <c r="AG32" s="72" t="str">
        <f>IFERROR(#REF!/#REF!-1,"---")</f>
        <v>---</v>
      </c>
      <c r="AH32" s="72" t="str">
        <f>IFERROR(#REF!/AA32-1,"---")</f>
        <v>---</v>
      </c>
      <c r="AI32" s="73" t="str">
        <f t="shared" si="2"/>
        <v>---</v>
      </c>
    </row>
    <row r="33" spans="1:35" ht="27" customHeight="1" x14ac:dyDescent="0.3">
      <c r="A33" s="12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72"/>
      <c r="I33" s="72"/>
      <c r="J33" s="72">
        <v>0</v>
      </c>
      <c r="K33" s="72">
        <v>0</v>
      </c>
      <c r="L33" s="88">
        <v>0</v>
      </c>
      <c r="M33" s="120"/>
      <c r="N33" s="117"/>
      <c r="O33" s="119"/>
      <c r="P33" s="89"/>
      <c r="Q33" s="89"/>
      <c r="R33" s="89">
        <f t="shared" si="3"/>
        <v>0</v>
      </c>
      <c r="S33" s="115">
        <f t="shared" si="0"/>
        <v>36.871574135302126</v>
      </c>
      <c r="T33" s="71">
        <f t="shared" si="4"/>
        <v>0</v>
      </c>
      <c r="U33" s="72">
        <f t="shared" si="4"/>
        <v>0</v>
      </c>
      <c r="V33" s="72">
        <f t="shared" si="4"/>
        <v>0</v>
      </c>
      <c r="W33" s="73">
        <f t="shared" si="5"/>
        <v>0</v>
      </c>
      <c r="X33" s="49"/>
      <c r="Y33" s="170"/>
      <c r="Z33" s="71"/>
      <c r="AA33" s="72"/>
      <c r="AB33" s="72"/>
      <c r="AC33" s="72" t="str">
        <f t="shared" si="1"/>
        <v>---</v>
      </c>
      <c r="AD33" s="72" t="str">
        <f>IFERROR(P33/#REF!-1,"---")</f>
        <v>---</v>
      </c>
      <c r="AE33" s="72" t="str">
        <f>IFERROR(#REF!/#REF!-1,"---")</f>
        <v>---</v>
      </c>
      <c r="AF33" s="72" t="str">
        <f>IFERROR(Q33/#REF!-1,"---")</f>
        <v>---</v>
      </c>
      <c r="AG33" s="72" t="str">
        <f>IFERROR(#REF!/#REF!-1,"---")</f>
        <v>---</v>
      </c>
      <c r="AH33" s="72" t="str">
        <f>IFERROR(#REF!/AA33-1,"---")</f>
        <v>---</v>
      </c>
      <c r="AI33" s="73" t="str">
        <f t="shared" si="2"/>
        <v>---</v>
      </c>
    </row>
    <row r="34" spans="1:35" ht="27" customHeight="1" x14ac:dyDescent="0.3">
      <c r="A34" s="125">
        <v>29</v>
      </c>
      <c r="B34" s="141">
        <f>INDEX('PEER GROUP'!B:B,MATCH($A34,'PEER GROUP'!$A:$A,0))</f>
        <v>0</v>
      </c>
      <c r="C34" s="80">
        <f>INDEX('PEER GROUP'!C:C,MATCH($A34,'PEER GROUP'!$A:$A,0))</f>
        <v>0</v>
      </c>
      <c r="D34" s="80">
        <f>INDEX('PEER GROUP'!D:D,MATCH($A34,'PEER GROUP'!$A:$A,0))</f>
        <v>0</v>
      </c>
      <c r="E34" s="80">
        <f>INDEX('PEER GROUP'!E:E,MATCH(A34,'PEER GROUP'!$A:$A,0))</f>
        <v>0</v>
      </c>
      <c r="F34" s="81">
        <f>INDEX('PEER GROUP'!F:F,MATCH($A34,'PEER GROUP'!$A:$A,0))</f>
        <v>0</v>
      </c>
      <c r="G34" s="81">
        <f>INDEX('PEER GROUP'!G:G,MATCH($A34,'PEER GROUP'!$A:$A,0))</f>
        <v>0</v>
      </c>
      <c r="H34" s="69"/>
      <c r="I34" s="69"/>
      <c r="J34" s="69">
        <v>0</v>
      </c>
      <c r="K34" s="69">
        <v>0</v>
      </c>
      <c r="L34" s="83">
        <v>0</v>
      </c>
      <c r="M34" s="171"/>
      <c r="N34" s="172"/>
      <c r="O34" s="118"/>
      <c r="P34" s="84"/>
      <c r="Q34" s="84"/>
      <c r="R34" s="84">
        <f t="shared" si="3"/>
        <v>0</v>
      </c>
      <c r="S34" s="114">
        <f t="shared" si="0"/>
        <v>36.871574135302126</v>
      </c>
      <c r="T34" s="68">
        <f t="shared" si="4"/>
        <v>0</v>
      </c>
      <c r="U34" s="69">
        <f t="shared" si="4"/>
        <v>0</v>
      </c>
      <c r="V34" s="69">
        <f t="shared" si="4"/>
        <v>0</v>
      </c>
      <c r="W34" s="70">
        <f t="shared" si="5"/>
        <v>0</v>
      </c>
      <c r="X34" s="49"/>
      <c r="Y34" s="170"/>
      <c r="Z34" s="71"/>
      <c r="AA34" s="72"/>
      <c r="AB34" s="72"/>
      <c r="AC34" s="72" t="str">
        <f t="shared" si="1"/>
        <v>---</v>
      </c>
      <c r="AD34" s="72" t="str">
        <f>IFERROR(P34/#REF!-1,"---")</f>
        <v>---</v>
      </c>
      <c r="AE34" s="72" t="str">
        <f>IFERROR(#REF!/#REF!-1,"---")</f>
        <v>---</v>
      </c>
      <c r="AF34" s="72" t="str">
        <f>IFERROR(Q34/#REF!-1,"---")</f>
        <v>---</v>
      </c>
      <c r="AG34" s="72" t="str">
        <f>IFERROR(#REF!/#REF!-1,"---")</f>
        <v>---</v>
      </c>
      <c r="AH34" s="72" t="str">
        <f>IFERROR(#REF!/AA34-1,"---")</f>
        <v>---</v>
      </c>
      <c r="AI34" s="73" t="str">
        <f t="shared" si="2"/>
        <v>---</v>
      </c>
    </row>
    <row r="35" spans="1:35" ht="27" customHeight="1" x14ac:dyDescent="0.3">
      <c r="A35" s="12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72"/>
      <c r="I35" s="72"/>
      <c r="J35" s="72">
        <v>0</v>
      </c>
      <c r="K35" s="72">
        <v>0</v>
      </c>
      <c r="L35" s="88">
        <v>0</v>
      </c>
      <c r="M35" s="120"/>
      <c r="N35" s="117"/>
      <c r="O35" s="119"/>
      <c r="P35" s="89"/>
      <c r="Q35" s="89"/>
      <c r="R35" s="89">
        <f t="shared" si="3"/>
        <v>0</v>
      </c>
      <c r="S35" s="115">
        <f t="shared" si="0"/>
        <v>36.871574135302126</v>
      </c>
      <c r="T35" s="71">
        <f t="shared" si="4"/>
        <v>0</v>
      </c>
      <c r="U35" s="72">
        <f t="shared" si="4"/>
        <v>0</v>
      </c>
      <c r="V35" s="72">
        <f t="shared" si="4"/>
        <v>0</v>
      </c>
      <c r="W35" s="73">
        <f t="shared" si="5"/>
        <v>0</v>
      </c>
      <c r="X35" s="49"/>
      <c r="Y35" s="170"/>
      <c r="Z35" s="71"/>
      <c r="AA35" s="72"/>
      <c r="AB35" s="72"/>
      <c r="AC35" s="72" t="str">
        <f t="shared" si="1"/>
        <v>---</v>
      </c>
      <c r="AD35" s="72" t="str">
        <f>IFERROR(P35/#REF!-1,"---")</f>
        <v>---</v>
      </c>
      <c r="AE35" s="72" t="str">
        <f>IFERROR(#REF!/#REF!-1,"---")</f>
        <v>---</v>
      </c>
      <c r="AF35" s="72" t="str">
        <f>IFERROR(Q35/#REF!-1,"---")</f>
        <v>---</v>
      </c>
      <c r="AG35" s="72" t="str">
        <f>IFERROR(#REF!/#REF!-1,"---")</f>
        <v>---</v>
      </c>
      <c r="AH35" s="72" t="str">
        <f>IFERROR(#REF!/AA35-1,"---")</f>
        <v>---</v>
      </c>
      <c r="AI35" s="73" t="str">
        <f t="shared" si="2"/>
        <v>---</v>
      </c>
    </row>
    <row r="36" spans="1:35" outlineLevel="1" x14ac:dyDescent="0.3">
      <c r="B36" s="116"/>
      <c r="M36" s="116"/>
      <c r="O36" s="116"/>
      <c r="T36" s="116"/>
      <c r="X36" s="44"/>
      <c r="Z36" s="52"/>
      <c r="AI36" s="53"/>
    </row>
    <row r="37" spans="1:35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0"/>
      <c r="X37" s="148"/>
      <c r="Y37" s="173"/>
      <c r="Z37" s="174"/>
      <c r="AA37" s="173"/>
      <c r="AB37" s="173"/>
      <c r="AC37" s="173"/>
      <c r="AD37" s="173"/>
      <c r="AE37" s="173"/>
      <c r="AF37" s="173"/>
      <c r="AG37" s="173"/>
      <c r="AH37" s="173"/>
      <c r="AI37" s="175"/>
    </row>
    <row r="38" spans="1:35" ht="27" customHeight="1" x14ac:dyDescent="0.3">
      <c r="B38" s="130" t="s">
        <v>13</v>
      </c>
      <c r="C38" s="90"/>
      <c r="D38" s="90"/>
      <c r="E38" s="90"/>
      <c r="F38" s="90"/>
      <c r="G38" s="90"/>
      <c r="H38" s="176"/>
      <c r="I38" s="176"/>
      <c r="J38" s="69">
        <f>PERCENTILE($J$6:$J$35,0.9)</f>
        <v>0</v>
      </c>
      <c r="K38" s="69">
        <f>PERCENTILE($K$6:$K$35,0.9)</f>
        <v>0</v>
      </c>
      <c r="L38" s="83">
        <f>PERCENTILE($L$6:$L$35,0.9)</f>
        <v>0</v>
      </c>
      <c r="M38" s="100"/>
      <c r="N38" s="91"/>
      <c r="O38" s="100"/>
      <c r="P38" s="91"/>
      <c r="Q38" s="91"/>
      <c r="R38" s="91"/>
      <c r="S38" s="91"/>
      <c r="T38" s="68">
        <f>PERCENTILE(T6:T35,0.9)</f>
        <v>0</v>
      </c>
      <c r="U38" s="69">
        <f t="shared" ref="U38:W38" si="6">PERCENTILE(U6:U35,0.9)</f>
        <v>0</v>
      </c>
      <c r="V38" s="69">
        <f t="shared" si="6"/>
        <v>0</v>
      </c>
      <c r="W38" s="70">
        <f t="shared" si="6"/>
        <v>0</v>
      </c>
      <c r="X38" s="45"/>
      <c r="Y38" s="177"/>
      <c r="Z38" s="178"/>
      <c r="AA38" s="177"/>
      <c r="AB38" s="177"/>
      <c r="AC38" s="177"/>
      <c r="AD38" s="177"/>
      <c r="AE38" s="177"/>
      <c r="AF38" s="177"/>
      <c r="AG38" s="177"/>
      <c r="AH38" s="177"/>
      <c r="AI38" s="179"/>
    </row>
    <row r="39" spans="1:35" ht="27" customHeight="1" x14ac:dyDescent="0.3">
      <c r="B39" s="129" t="s">
        <v>14</v>
      </c>
      <c r="C39" s="98"/>
      <c r="D39" s="98"/>
      <c r="E39" s="98"/>
      <c r="F39" s="98"/>
      <c r="G39" s="98"/>
      <c r="H39" s="180"/>
      <c r="I39" s="180"/>
      <c r="J39" s="72">
        <f>PERCENTILE($J$6:$J$35,0.75)</f>
        <v>0</v>
      </c>
      <c r="K39" s="72">
        <f>PERCENTILE($K$6:$K$35,0.75)</f>
        <v>0</v>
      </c>
      <c r="L39" s="88">
        <f>PERCENTILE($L$6:$L$35,0.75)</f>
        <v>0</v>
      </c>
      <c r="M39" s="102"/>
      <c r="N39" s="96"/>
      <c r="O39" s="102"/>
      <c r="P39" s="96"/>
      <c r="Q39" s="96"/>
      <c r="R39" s="96"/>
      <c r="S39" s="96"/>
      <c r="T39" s="71">
        <f>PERCENTILE(T6:T35,0.75)</f>
        <v>0</v>
      </c>
      <c r="U39" s="72">
        <f t="shared" ref="U39:W39" si="7">PERCENTILE(U6:U35,0.75)</f>
        <v>0</v>
      </c>
      <c r="V39" s="72">
        <f t="shared" si="7"/>
        <v>0</v>
      </c>
      <c r="W39" s="73">
        <f t="shared" si="7"/>
        <v>0</v>
      </c>
      <c r="X39" s="46"/>
      <c r="Y39" s="177"/>
      <c r="Z39" s="178"/>
      <c r="AA39" s="177"/>
      <c r="AB39" s="177"/>
      <c r="AC39" s="177"/>
      <c r="AD39" s="177"/>
      <c r="AE39" s="177"/>
      <c r="AF39" s="177"/>
      <c r="AG39" s="177"/>
      <c r="AH39" s="177"/>
      <c r="AI39" s="179"/>
    </row>
    <row r="40" spans="1:35" ht="27" customHeight="1" x14ac:dyDescent="0.3">
      <c r="B40" s="131" t="s">
        <v>15</v>
      </c>
      <c r="C40" s="92"/>
      <c r="D40" s="92"/>
      <c r="E40" s="92"/>
      <c r="F40" s="92"/>
      <c r="G40" s="92"/>
      <c r="H40" s="181"/>
      <c r="I40" s="181"/>
      <c r="J40" s="94">
        <f>MEDIAN(J6:J35)</f>
        <v>0</v>
      </c>
      <c r="K40" s="94">
        <f>MEDIAN(K6:K35)</f>
        <v>0</v>
      </c>
      <c r="L40" s="95">
        <f>MEDIAN(L6:L35)</f>
        <v>0</v>
      </c>
      <c r="M40" s="102"/>
      <c r="N40" s="96"/>
      <c r="O40" s="102"/>
      <c r="P40" s="96"/>
      <c r="Q40" s="96"/>
      <c r="R40" s="96"/>
      <c r="S40" s="96"/>
      <c r="T40" s="182">
        <f>MEDIAN(T6:T35)</f>
        <v>0</v>
      </c>
      <c r="U40" s="94">
        <f>MEDIAN(U6:U35)</f>
        <v>0</v>
      </c>
      <c r="V40" s="94">
        <f>MEDIAN(V6:V35)</f>
        <v>0</v>
      </c>
      <c r="W40" s="97">
        <f>MEDIAN(W6:W35)</f>
        <v>0</v>
      </c>
      <c r="X40" s="47"/>
      <c r="Y40" s="177"/>
      <c r="Z40" s="178"/>
      <c r="AA40" s="177"/>
      <c r="AB40" s="177"/>
      <c r="AC40" s="177"/>
      <c r="AD40" s="177"/>
      <c r="AE40" s="177"/>
      <c r="AF40" s="177"/>
      <c r="AG40" s="177"/>
      <c r="AH40" s="177"/>
      <c r="AI40" s="179"/>
    </row>
    <row r="41" spans="1:35" ht="27" customHeight="1" x14ac:dyDescent="0.3">
      <c r="B41" s="129" t="s">
        <v>16</v>
      </c>
      <c r="C41" s="183"/>
      <c r="D41" s="183"/>
      <c r="E41" s="183"/>
      <c r="F41" s="183"/>
      <c r="G41" s="183"/>
      <c r="H41" s="184"/>
      <c r="I41" s="184"/>
      <c r="J41" s="170">
        <f>PERCENTILE($J$6:$J$35,0.25)</f>
        <v>0</v>
      </c>
      <c r="K41" s="170">
        <f>PERCENTILE($K$6:$K$35,0.25)</f>
        <v>0</v>
      </c>
      <c r="L41" s="177">
        <f>PERCENTILE($L$6:$L$35,0.25)</f>
        <v>0</v>
      </c>
      <c r="M41" s="102"/>
      <c r="N41" s="103"/>
      <c r="O41" s="185"/>
      <c r="P41" s="185"/>
      <c r="Q41" s="185"/>
      <c r="R41" s="185"/>
      <c r="S41" s="185"/>
      <c r="T41" s="71">
        <f>PERCENTILE(T6:T35,0.25)</f>
        <v>0</v>
      </c>
      <c r="U41" s="170">
        <f>PERCENTILE(U6:U35,0.25)</f>
        <v>0</v>
      </c>
      <c r="V41" s="170">
        <f>PERCENTILE(V6:V35,0.25)</f>
        <v>0</v>
      </c>
      <c r="W41" s="170">
        <f>PERCENTILE(W6:W35,0.25)</f>
        <v>0</v>
      </c>
      <c r="X41" s="46"/>
      <c r="Y41" s="177"/>
      <c r="Z41" s="186"/>
      <c r="AA41" s="187"/>
      <c r="AB41" s="187"/>
      <c r="AC41" s="187"/>
      <c r="AD41" s="187"/>
      <c r="AE41" s="187"/>
      <c r="AF41" s="187"/>
      <c r="AG41" s="187"/>
      <c r="AH41" s="187"/>
      <c r="AI41" s="188"/>
    </row>
    <row r="42" spans="1:35" x14ac:dyDescent="0.3">
      <c r="B42" s="189"/>
      <c r="C42" s="111"/>
      <c r="D42" s="111"/>
      <c r="E42" s="111"/>
      <c r="F42" s="111"/>
      <c r="G42" s="111"/>
      <c r="H42" s="111"/>
      <c r="I42" s="111"/>
      <c r="J42" s="111"/>
      <c r="K42" s="111"/>
      <c r="L42" s="190"/>
      <c r="M42" s="191"/>
      <c r="N42" s="191"/>
      <c r="O42" s="107"/>
      <c r="P42" s="109"/>
      <c r="Q42" s="109"/>
      <c r="R42" s="109"/>
      <c r="S42" s="109"/>
      <c r="T42" s="111"/>
      <c r="U42" s="111"/>
      <c r="V42" s="111"/>
      <c r="W42" s="190"/>
      <c r="X42" s="48"/>
      <c r="Z42" s="192"/>
      <c r="AA42" s="154" t="s">
        <v>24</v>
      </c>
      <c r="AB42" s="154"/>
      <c r="AC42" s="154"/>
      <c r="AD42" s="154"/>
      <c r="AE42" s="154" t="s">
        <v>27</v>
      </c>
      <c r="AF42" s="154"/>
      <c r="AG42" s="154"/>
      <c r="AH42" s="154"/>
      <c r="AI42" s="193"/>
    </row>
    <row r="43" spans="1:35" ht="27" customHeight="1" x14ac:dyDescent="0.3">
      <c r="A43" s="124">
        <f>'[1]PEER GROUP'!$A$42</f>
        <v>100</v>
      </c>
      <c r="B43" s="35" t="str">
        <f>$B$1</f>
        <v>NFP Organization XYZ</v>
      </c>
      <c r="C43" s="36"/>
      <c r="D43" s="36"/>
      <c r="E43" s="36"/>
      <c r="F43" s="36" t="str">
        <f>[1]SETUP!C9</f>
        <v>City</v>
      </c>
      <c r="G43" s="121" t="str">
        <f>[1]SETUP!C10</f>
        <v>State</v>
      </c>
      <c r="H43" s="36" t="s">
        <v>18</v>
      </c>
      <c r="I43" s="36" t="s">
        <v>17</v>
      </c>
      <c r="J43" s="39">
        <f>'[1]PEER GROUP'!J42</f>
        <v>0.99999899999999997</v>
      </c>
      <c r="K43" s="39">
        <f>'[1]PEER GROUP'!K42</f>
        <v>0.99999899999999997</v>
      </c>
      <c r="L43" s="99">
        <f>'[1]PEER GROUP'!L42</f>
        <v>999</v>
      </c>
      <c r="M43" s="145"/>
      <c r="N43" s="147"/>
      <c r="O43" s="145"/>
      <c r="P43" s="146"/>
      <c r="Q43" s="146"/>
      <c r="R43" s="146">
        <f>COUNTIF(R6:R35,"&lt;&gt;---")</f>
        <v>30</v>
      </c>
      <c r="S43" s="147"/>
      <c r="T43" s="194">
        <v>0</v>
      </c>
      <c r="U43" s="39">
        <v>0</v>
      </c>
      <c r="V43" s="39">
        <v>0</v>
      </c>
      <c r="W43" s="40">
        <f>SUM(V43:V43)</f>
        <v>0</v>
      </c>
      <c r="X43" s="148"/>
      <c r="Y43" s="173"/>
      <c r="Z43" s="195">
        <f>A43+0.99</f>
        <v>100.99</v>
      </c>
      <c r="AA43" s="67">
        <f>T41</f>
        <v>0</v>
      </c>
      <c r="AB43" s="67">
        <f>T40</f>
        <v>0</v>
      </c>
      <c r="AC43" s="67">
        <f>T39</f>
        <v>0</v>
      </c>
      <c r="AD43" s="67">
        <f>T38</f>
        <v>0</v>
      </c>
      <c r="AE43" s="67">
        <f>W41</f>
        <v>0</v>
      </c>
      <c r="AF43" s="67">
        <f>W40</f>
        <v>0</v>
      </c>
      <c r="AG43" s="67">
        <f>W39</f>
        <v>0</v>
      </c>
      <c r="AH43" s="67">
        <f>W38</f>
        <v>0</v>
      </c>
      <c r="AI43" s="196"/>
    </row>
    <row r="44" spans="1:35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3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07"/>
      <c r="N44" s="108"/>
      <c r="O44" s="107"/>
      <c r="P44" s="109"/>
      <c r="Q44" s="109"/>
      <c r="R44" s="109"/>
      <c r="S44" s="108"/>
      <c r="T44" s="110" t="str">
        <f>IFERROR(IF(T43&lt;T41,"&lt;25",IF(T43&lt;=T40,25+25*(T43-T41)/(T40-T41),IF(T43&lt;=T39,50+25*(T43-T40)/(T39-T40),IF(T43&lt;=T38,75+15*(T43-T39)/(T38-T39),IF(T43/T38&lt;1.005,90,"&gt;90 (+"&amp;TEXT(T43/T38-1,"0%")&amp;")"))))),"---")</f>
        <v>---</v>
      </c>
      <c r="U44" s="111"/>
      <c r="V44" s="111"/>
      <c r="W44" s="113" t="str">
        <f>IFERROR(IF(W43&lt;W41,"&lt;25",IF(W43&lt;=W40,25+25*(W43-W41)/(W40-W41),IF(W43&lt;=W39,50+25*(W43-W40)/(W39-W40),IF(W43&lt;=W38,75+15*(W43-W39)/(W38-W39),IF(W43/W38&lt;1.005,90,"&gt;90 (+"&amp;TEXT(W43/W38-1,"0%")&amp;")"))))),"---")</f>
        <v>---</v>
      </c>
      <c r="X44" s="44"/>
      <c r="Z44" s="116"/>
      <c r="AA44" s="122"/>
      <c r="AB44" s="122"/>
      <c r="AC44" s="122"/>
      <c r="AD44" s="122"/>
      <c r="AE44" s="122"/>
      <c r="AF44" s="122"/>
      <c r="AG44" s="122"/>
      <c r="AH44" s="122"/>
      <c r="AI44" s="123"/>
    </row>
  </sheetData>
  <autoFilter ref="A5:AJ5" xr:uid="{474D6C73-1F09-435D-B15B-666702D29536}"/>
  <mergeCells count="8">
    <mergeCell ref="AA42:AD42"/>
    <mergeCell ref="AE42:AH42"/>
    <mergeCell ref="B4:L4"/>
    <mergeCell ref="O4:R4"/>
    <mergeCell ref="T4:W4"/>
    <mergeCell ref="Z4:AB4"/>
    <mergeCell ref="AC4:AI4"/>
    <mergeCell ref="B37:W3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61" t="s">
        <v>34</v>
      </c>
      <c r="D5" s="161"/>
      <c r="E5" s="161"/>
      <c r="F5" s="161"/>
      <c r="G5" s="161"/>
      <c r="H5" s="161"/>
      <c r="I5" s="161"/>
      <c r="J5" s="161"/>
      <c r="K5" s="161"/>
    </row>
    <row r="6" spans="1:15" ht="25.5" customHeight="1" x14ac:dyDescent="0.3">
      <c r="C6" s="162" t="s">
        <v>69</v>
      </c>
      <c r="D6" s="162" t="s">
        <v>35</v>
      </c>
      <c r="E6" s="163" t="s">
        <v>36</v>
      </c>
      <c r="F6" s="163" t="s">
        <v>57</v>
      </c>
      <c r="G6" s="164" t="s">
        <v>37</v>
      </c>
      <c r="H6" s="163"/>
      <c r="I6" s="163"/>
      <c r="J6" s="163"/>
      <c r="K6" s="163" t="s">
        <v>38</v>
      </c>
    </row>
    <row r="7" spans="1:15" ht="25.5" customHeight="1" x14ac:dyDescent="0.3">
      <c r="C7" s="162"/>
      <c r="D7" s="162" t="s">
        <v>39</v>
      </c>
      <c r="E7" s="163" t="s">
        <v>39</v>
      </c>
      <c r="F7" s="163"/>
      <c r="G7" s="29" t="s">
        <v>40</v>
      </c>
      <c r="H7" s="29" t="s">
        <v>41</v>
      </c>
      <c r="I7" s="29" t="s">
        <v>42</v>
      </c>
      <c r="J7" s="29" t="s">
        <v>43</v>
      </c>
      <c r="K7" s="163"/>
    </row>
    <row r="8" spans="1:15" ht="30.75" customHeight="1" x14ac:dyDescent="0.3">
      <c r="A8" s="12">
        <v>100</v>
      </c>
      <c r="B8" s="12">
        <f>A8+0.99</f>
        <v>100.99</v>
      </c>
      <c r="C8" s="160" t="str">
        <f>INDEX('Form 990 - Position Title'!I:I,MATCH('Summary Table'!A8,'Form 990 - Position Title'!A:A,0))&amp;" ("&amp;INDEX('Form 990 - Position Title'!H:H,MATCH('Summary Table'!A8,'Form 990 - Position Title'!A:A,0))&amp;")"</f>
        <v>Position (Name)</v>
      </c>
      <c r="D8" s="30" t="s">
        <v>21</v>
      </c>
      <c r="E8" s="31">
        <f>INDEX('Form 990 - Position Title'!X:X,MATCH('Summary Table'!A8,'Form 990 - Position Title'!A:A,0))</f>
        <v>0</v>
      </c>
      <c r="F8" s="165">
        <f>INDEX('Form 990 - Position Title'!V:V,MATCH('Summary Table'!A8,'Form 990 - Position Title'!A:A,0))</f>
        <v>30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60"/>
      <c r="D9" s="30" t="s">
        <v>44</v>
      </c>
      <c r="E9" s="31">
        <f>INDEX('Form 990 - Position Title'!Z:Z,MATCH('Summary Table'!A9,'Form 990 - Position Title'!A:A,0))</f>
        <v>0</v>
      </c>
      <c r="F9" s="165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60"/>
      <c r="D10" s="30" t="s">
        <v>45</v>
      </c>
      <c r="E10" s="31">
        <f>INDEX('Form 990 - Position Title'!AD:AD,MATCH('Summary Table'!A10,'Form 990 - Position Title'!A:A,0))</f>
        <v>0</v>
      </c>
      <c r="F10" s="165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2024-05-28T21:14:21Z</dcterms:modified>
</cp:coreProperties>
</file>