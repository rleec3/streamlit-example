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/>
  <workbookPr codeName="ThisWorkbook"/>
  <mc:AlternateContent xmlns:mc="http://schemas.openxmlformats.org/markup-compatibility/2006">
    <mc:Choice Requires="x15">
      <x15ac:absPath xmlns:x15ac="http://schemas.microsoft.com/office/spreadsheetml/2010/11/ac" url="https://sullivancotter-my.sharepoint.com/personal/rianalee_c3nonprofitconsulting_com/Documents/Documents/Streamlit Sources and Files/"/>
    </mc:Choice>
  </mc:AlternateContent>
  <xr:revisionPtr revIDLastSave="100" documentId="8_{75624B65-669A-4702-A0DF-84E7D7AE42D3}" xr6:coauthVersionLast="47" xr6:coauthVersionMax="47" xr10:uidLastSave="{99AB178F-4707-4C4C-9629-007343EFE2B9}"/>
  <bookViews>
    <workbookView xWindow="16140" yWindow="-16370" windowWidth="29020" windowHeight="15820" activeTab="1" xr2:uid="{0C20C25D-D8B5-44C8-BF2E-02E941D96FE6}"/>
  </bookViews>
  <sheets>
    <sheet name="SETUP" sheetId="5" r:id="rId1"/>
    <sheet name="PEER GROUP" sheetId="1" r:id="rId2"/>
    <sheet name="Form 990 - Position Title" sheetId="2" r:id="rId3"/>
    <sheet name="Form 990PF - Position Title" sheetId="6" r:id="rId4"/>
    <sheet name="Summary Table" sheetId="4" r:id="rId5"/>
  </sheets>
  <definedNames>
    <definedName name="_xlnm._FilterDatabase" localSheetId="2" hidden="1">'Form 990 - Position Title'!$A$5:$AT$5</definedName>
    <definedName name="_xlnm._FilterDatabase" localSheetId="3" hidden="1">'Form 990PF - Position Title'!$A$5:$AJ$5</definedName>
    <definedName name="_xlnm._FilterDatabase" localSheetId="1" hidden="1">'PEER GROUP'!$A$5:$O$5</definedName>
    <definedName name="DataEffDate">SETUP!$C$5</definedName>
    <definedName name="_xlnm.Print_Area" localSheetId="2">'Form 990 - Position Title'!$B$1:$AD$15</definedName>
    <definedName name="_xlnm.Print_Area" localSheetId="3">'Form 990PF - Position Title'!$B$1:$W$15</definedName>
    <definedName name="_xlnm.Print_Area" localSheetId="1">'PEER GROUP'!$B$2:$N$14</definedName>
    <definedName name="_xlnm.Print_Area" localSheetId="4">'Summary Table'!$C$1:$K$10</definedName>
    <definedName name="UpdateFactor">SETUP!$C$6</definedName>
    <definedName name="UpdateFactor_TEMP">SETUP!$C$7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W6" i="2" l="1"/>
  <c r="M14" i="2"/>
  <c r="L14" i="2"/>
  <c r="K14" i="2"/>
  <c r="J14" i="2"/>
  <c r="L14" i="6"/>
  <c r="K14" i="6"/>
  <c r="J14" i="6"/>
  <c r="W15" i="6"/>
  <c r="A15" i="6"/>
  <c r="AF14" i="6" s="1"/>
  <c r="AR14" i="6"/>
  <c r="AQ14" i="6"/>
  <c r="AP14" i="6"/>
  <c r="AO14" i="6"/>
  <c r="AN14" i="6"/>
  <c r="AM14" i="6"/>
  <c r="AL14" i="6"/>
  <c r="AK14" i="6"/>
  <c r="AJ14" i="6"/>
  <c r="AI14" i="6"/>
  <c r="AH14" i="6"/>
  <c r="AG14" i="6"/>
  <c r="Y14" i="6"/>
  <c r="AC14" i="6" s="1"/>
  <c r="AC15" i="6" s="1"/>
  <c r="L15" i="6"/>
  <c r="F14" i="6"/>
  <c r="E14" i="6"/>
  <c r="M14" i="1"/>
  <c r="L14" i="1"/>
  <c r="K14" i="1"/>
  <c r="A15" i="2"/>
  <c r="B1" i="6"/>
  <c r="B14" i="6" s="1"/>
  <c r="H9" i="1"/>
  <c r="R6" i="6"/>
  <c r="AI6" i="6" s="1"/>
  <c r="AC6" i="6"/>
  <c r="AD6" i="6"/>
  <c r="AE6" i="6"/>
  <c r="AF6" i="6"/>
  <c r="AG6" i="6"/>
  <c r="AH6" i="6"/>
  <c r="S6" i="6"/>
  <c r="V6" i="6" s="1"/>
  <c r="U14" i="6" s="1"/>
  <c r="S1" i="6"/>
  <c r="B4" i="6" s="1"/>
  <c r="Y15" i="6" l="1"/>
  <c r="U6" i="6"/>
  <c r="T6" i="6"/>
  <c r="W6" i="6" l="1"/>
  <c r="N12" i="1" l="1"/>
  <c r="N11" i="1"/>
  <c r="N10" i="1"/>
  <c r="N9" i="1"/>
  <c r="W1" i="2" l="1"/>
  <c r="M10" i="1" l="1"/>
  <c r="G14" i="2"/>
  <c r="F14" i="2"/>
  <c r="B1" i="2"/>
  <c r="J14" i="1"/>
  <c r="I14" i="1"/>
  <c r="H14" i="1"/>
  <c r="J12" i="1"/>
  <c r="J10" i="1"/>
  <c r="J9" i="1"/>
  <c r="I12" i="1"/>
  <c r="I10" i="1"/>
  <c r="I9" i="1"/>
  <c r="H12" i="1"/>
  <c r="H10" i="1"/>
  <c r="N14" i="1"/>
  <c r="G14" i="1"/>
  <c r="F14" i="1"/>
  <c r="B2" i="1"/>
  <c r="M12" i="1" l="1"/>
  <c r="M11" i="1"/>
  <c r="M9" i="1"/>
  <c r="L12" i="1"/>
  <c r="L11" i="1"/>
  <c r="L10" i="1"/>
  <c r="L9" i="1"/>
  <c r="J11" i="1"/>
  <c r="I11" i="1"/>
  <c r="H11" i="1"/>
  <c r="C8" i="4"/>
  <c r="B14" i="2"/>
  <c r="C1" i="4"/>
  <c r="B10" i="4" l="1"/>
  <c r="B9" i="4"/>
  <c r="B8" i="4"/>
  <c r="AG14" i="2"/>
  <c r="B4" i="2" l="1"/>
  <c r="Z14" i="2"/>
  <c r="AS6" i="2"/>
  <c r="AR6" i="2"/>
  <c r="AQ6" i="2"/>
  <c r="AO6" i="2"/>
  <c r="AN6" i="2"/>
  <c r="V6" i="2"/>
  <c r="AT6" i="2" l="1"/>
  <c r="AD14" i="2"/>
  <c r="AP6" i="2"/>
  <c r="K11" i="1"/>
  <c r="K12" i="1"/>
  <c r="K10" i="1"/>
  <c r="K9" i="1"/>
  <c r="B14" i="1"/>
  <c r="AC6" i="2" l="1"/>
  <c r="AA6" i="2"/>
  <c r="Y6" i="2"/>
  <c r="X6" i="2"/>
  <c r="AB6" i="2"/>
  <c r="V14" i="2"/>
  <c r="F8" i="4" s="1"/>
  <c r="Z6" i="2" l="1"/>
  <c r="L12" i="6" l="1"/>
  <c r="K15" i="6" s="1"/>
  <c r="L10" i="6"/>
  <c r="L9" i="6"/>
  <c r="L11" i="6"/>
  <c r="AD6" i="2"/>
  <c r="K11" i="6" l="1"/>
  <c r="K10" i="6"/>
  <c r="K9" i="6"/>
  <c r="K12" i="6"/>
  <c r="J15" i="6" s="1"/>
  <c r="M9" i="2" l="1"/>
  <c r="M12" i="2"/>
  <c r="M10" i="2"/>
  <c r="M11" i="2"/>
  <c r="K11" i="2"/>
  <c r="K12" i="2"/>
  <c r="K10" i="2"/>
  <c r="K9" i="2"/>
  <c r="L11" i="2"/>
  <c r="L9" i="2"/>
  <c r="L10" i="2"/>
  <c r="L12" i="2"/>
  <c r="L15" i="2" s="1"/>
  <c r="J9" i="2"/>
  <c r="J10" i="2"/>
  <c r="J12" i="2"/>
  <c r="J15" i="2" s="1"/>
  <c r="J11" i="2"/>
  <c r="J11" i="6"/>
  <c r="J10" i="6"/>
  <c r="J12" i="6"/>
  <c r="J9" i="6"/>
  <c r="M15" i="2" l="1"/>
  <c r="X12" i="2"/>
  <c r="X10" i="2"/>
  <c r="AJ14" i="2" s="1"/>
  <c r="I8" i="4" s="1"/>
  <c r="X9" i="2"/>
  <c r="AK14" i="2" s="1"/>
  <c r="J8" i="4" s="1"/>
  <c r="X11" i="2"/>
  <c r="AI14" i="2" s="1"/>
  <c r="H8" i="4" s="1"/>
  <c r="Y10" i="2"/>
  <c r="Y9" i="2"/>
  <c r="Y11" i="2"/>
  <c r="Y12" i="2"/>
  <c r="U9" i="6"/>
  <c r="U11" i="6"/>
  <c r="U10" i="6"/>
  <c r="U12" i="6"/>
  <c r="AB10" i="2"/>
  <c r="AB9" i="2"/>
  <c r="AB11" i="2"/>
  <c r="AB12" i="2"/>
  <c r="K15" i="2"/>
  <c r="V12" i="6"/>
  <c r="V9" i="6"/>
  <c r="V10" i="6"/>
  <c r="V11" i="6"/>
  <c r="AC10" i="2"/>
  <c r="AC9" i="2"/>
  <c r="AC11" i="2"/>
  <c r="AC12" i="2"/>
  <c r="T11" i="6"/>
  <c r="T10" i="6"/>
  <c r="T9" i="6"/>
  <c r="T12" i="6"/>
  <c r="AA10" i="2"/>
  <c r="AA9" i="2"/>
  <c r="AA11" i="2"/>
  <c r="AA12" i="2"/>
  <c r="W10" i="6" l="1"/>
  <c r="W11" i="6"/>
  <c r="W9" i="6"/>
  <c r="W12" i="6"/>
  <c r="X15" i="2"/>
  <c r="E8" i="4" s="1"/>
  <c r="AH14" i="2"/>
  <c r="G8" i="4" s="1"/>
  <c r="Z12" i="2"/>
  <c r="Z10" i="2"/>
  <c r="AN14" i="2" s="1"/>
  <c r="I9" i="4" s="1"/>
  <c r="Z11" i="2"/>
  <c r="AM14" i="2" s="1"/>
  <c r="H9" i="4" s="1"/>
  <c r="Z9" i="2"/>
  <c r="AO14" i="2" s="1"/>
  <c r="J9" i="4" s="1"/>
  <c r="K8" i="4" l="1"/>
  <c r="AL14" i="2"/>
  <c r="G9" i="4" s="1"/>
  <c r="Z15" i="2"/>
  <c r="E9" i="4" s="1"/>
  <c r="AD10" i="2"/>
  <c r="AR14" i="2" s="1"/>
  <c r="I10" i="4" s="1"/>
  <c r="AD12" i="2"/>
  <c r="AD11" i="2"/>
  <c r="AQ14" i="2" s="1"/>
  <c r="H10" i="4" s="1"/>
  <c r="AD9" i="2"/>
  <c r="AS14" i="2" s="1"/>
  <c r="J10" i="4" s="1"/>
  <c r="K9" i="4" l="1"/>
  <c r="AD15" i="2"/>
  <c r="E10" i="4" s="1"/>
  <c r="AP14" i="2"/>
  <c r="G10" i="4" s="1"/>
  <c r="K10" i="4" l="1"/>
</calcChain>
</file>

<file path=xl/sharedStrings.xml><?xml version="1.0" encoding="utf-8"?>
<sst xmlns="http://schemas.openxmlformats.org/spreadsheetml/2006/main" count="163" uniqueCount="72">
  <si>
    <t>Peer Group Organization Listing and Comparability Criteria</t>
  </si>
  <si>
    <t>Index #</t>
  </si>
  <si>
    <t>Organization</t>
  </si>
  <si>
    <t>EIN</t>
  </si>
  <si>
    <t>FYE</t>
  </si>
  <si>
    <t>W2E</t>
  </si>
  <si>
    <t>City</t>
  </si>
  <si>
    <t>State</t>
  </si>
  <si>
    <t>Total Assets ($M)</t>
  </si>
  <si>
    <t>Total Revenue ($M)</t>
  </si>
  <si>
    <t>Employees</t>
  </si>
  <si>
    <t>Notes</t>
  </si>
  <si>
    <t>Summary Statistics</t>
  </si>
  <si>
    <t>90th Percentile</t>
  </si>
  <si>
    <t>75th Percentile</t>
  </si>
  <si>
    <t>50th Percentile</t>
  </si>
  <si>
    <t>25th Percentile</t>
  </si>
  <si>
    <t>Position</t>
  </si>
  <si>
    <t>Name</t>
  </si>
  <si>
    <t>CES ID Lookup</t>
  </si>
  <si>
    <t>CES ID</t>
  </si>
  <si>
    <t>Base Salary</t>
  </si>
  <si>
    <t>Bonus/Incentive</t>
  </si>
  <si>
    <t>Other Comp</t>
  </si>
  <si>
    <t>TCC</t>
  </si>
  <si>
    <t>Retirement/Deferred Comp</t>
  </si>
  <si>
    <t>Non-taxable Benefits</t>
  </si>
  <si>
    <t>TC</t>
  </si>
  <si>
    <t>Compensation Data in Thousands, as reported in 990</t>
  </si>
  <si>
    <t>Aging Factor</t>
  </si>
  <si>
    <t>PY Analysis Data (Unaged)</t>
  </si>
  <si>
    <t>% Change</t>
  </si>
  <si>
    <t>Percentile Position:</t>
  </si>
  <si>
    <t>DRAFT</t>
  </si>
  <si>
    <t>Competitive Assessment</t>
  </si>
  <si>
    <t>Compensation
Element</t>
  </si>
  <si>
    <t>Incumbent Compensation ($000)</t>
  </si>
  <si>
    <t>Market Data Percentiles ($000)</t>
  </si>
  <si>
    <t>Market Positioning (Percentile)</t>
  </si>
  <si>
    <t>Salary</t>
  </si>
  <si>
    <t>P25</t>
  </si>
  <si>
    <t>P50</t>
  </si>
  <si>
    <t>P75</t>
  </si>
  <si>
    <t>P90</t>
  </si>
  <si>
    <t>Total Cash Compensation</t>
  </si>
  <si>
    <t>Total Compensation</t>
  </si>
  <si>
    <t>Compensation Comparison</t>
  </si>
  <si>
    <t>Effective Date</t>
  </si>
  <si>
    <t>Org Name</t>
  </si>
  <si>
    <t>Data Effective Date</t>
  </si>
  <si>
    <t>NFP Organization XYZ</t>
  </si>
  <si>
    <t>Org City</t>
  </si>
  <si>
    <t>Org State</t>
  </si>
  <si>
    <t>Org Assets</t>
  </si>
  <si>
    <t>Org Revenue</t>
  </si>
  <si>
    <t>Org Expenses</t>
  </si>
  <si>
    <t>Org Employees</t>
  </si>
  <si>
    <t>n</t>
  </si>
  <si>
    <t>Update Factor (Pre 1/1/22)</t>
  </si>
  <si>
    <t>Update Factor (Post 1/1/22)</t>
  </si>
  <si>
    <t>Total Cash Comp</t>
  </si>
  <si>
    <t>Total Comp</t>
  </si>
  <si>
    <t>Retirement/ 
Deferred Comp</t>
  </si>
  <si>
    <t>Peer Group Analysis - [Position Name]</t>
  </si>
  <si>
    <t>Total Expenses ($)</t>
  </si>
  <si>
    <t>Massachusetts</t>
  </si>
  <si>
    <t>Cambridge</t>
  </si>
  <si>
    <t>Position (Incumbent)</t>
  </si>
  <si>
    <t>Total Expenses ($M)</t>
  </si>
  <si>
    <t>Compensation</t>
  </si>
  <si>
    <t>Contributions to Benefits and Deferred Compensation</t>
  </si>
  <si>
    <t>Expense Accounts and Other Allowances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</si>
</sst>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$&quot;#,##0"/>
  </numFmts>
  <fonts count="17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theme="1"/>
      <name val="Avenir Next LT Pro"/>
      <family val="2"/>
    </font>
    <font>
      <b/>
      <sz val="20"/>
      <color rgb="FF0076BE"/>
      <name val="Avenir Next LT Pro"/>
      <family val="2"/>
    </font>
    <font>
      <b/>
      <sz val="14"/>
      <color theme="1"/>
      <name val="Avenir Next LT Pro"/>
      <family val="2"/>
    </font>
    <font>
      <sz val="11"/>
      <color rgb="FFFF0000"/>
      <name val="Avenir Next LT Pro"/>
      <family val="2"/>
    </font>
    <font>
      <sz val="10"/>
      <color theme="1"/>
      <name val="Avenir Next LT Pro"/>
      <family val="2"/>
    </font>
    <font>
      <sz val="10"/>
      <color theme="0"/>
      <name val="Avenir Next LT Pro"/>
      <family val="2"/>
    </font>
    <font>
      <sz val="10"/>
      <name val="Avenir Next LT Pro"/>
      <family val="2"/>
    </font>
    <font>
      <sz val="11"/>
      <name val="Avenir Next LT Pro"/>
      <family val="2"/>
    </font>
    <font>
      <b/>
      <sz val="14"/>
      <color theme="5"/>
      <name val="Avenir Next LT Pro"/>
      <family val="2"/>
    </font>
    <font>
      <sz val="11"/>
      <color theme="5"/>
      <name val="Avenir Next LT Pro"/>
      <family val="2"/>
    </font>
    <font>
      <b/>
      <sz val="14"/>
      <name val="Avenir Next LT Pro"/>
      <family val="2"/>
    </font>
    <font>
      <sz val="10"/>
      <color rgb="FFFF0000"/>
      <name val="Avenir Next LT Pro"/>
      <family val="2"/>
    </font>
    <font>
      <sz val="11"/>
      <color theme="0"/>
      <name val="Avenir Next LT Pro"/>
      <family val="2"/>
    </font>
    <font>
      <sz val="11"/>
      <color indexed="9"/>
      <name val="Avenir Next LT Pro"/>
      <family val="2"/>
    </font>
    <font>
      <b/>
      <sz val="20"/>
      <color theme="4" tint="-0.249977111117893"/>
      <name val="Avenir Next LT Pro"/>
      <family val="2"/>
    </font>
  </fonts>
  <fills count="12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-0.249977111117893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0" tint="-0.249977111117893"/>
      </left>
      <right/>
      <top/>
      <bottom/>
      <diagonal/>
    </border>
    <border>
      <left/>
      <right style="thin">
        <color theme="0" tint="-0.249977111117893"/>
      </right>
      <top/>
      <bottom/>
      <diagonal/>
    </border>
    <border>
      <left style="thin">
        <color theme="0" tint="-0.249977111117893"/>
      </left>
      <right/>
      <top/>
      <bottom style="thin">
        <color theme="0" tint="-0.249977111117893"/>
      </bottom>
      <diagonal/>
    </border>
    <border>
      <left/>
      <right/>
      <top/>
      <bottom style="thin">
        <color theme="0" tint="-0.249977111117893"/>
      </bottom>
      <diagonal/>
    </border>
    <border>
      <left/>
      <right style="thin">
        <color theme="0" tint="-0.249977111117893"/>
      </right>
      <top/>
      <bottom style="thin">
        <color theme="0" tint="-0.249977111117893"/>
      </bottom>
      <diagonal/>
    </border>
  </borders>
  <cellStyleXfs count="3">
    <xf numFmtId="0" fontId="0" fillId="0" borderId="0"/>
    <xf numFmtId="0" fontId="1" fillId="0" borderId="0"/>
    <xf numFmtId="0" fontId="1" fillId="0" borderId="0"/>
  </cellStyleXfs>
  <cellXfs count="187">
    <xf numFmtId="0" fontId="0" fillId="0" borderId="0" xfId="0"/>
    <xf numFmtId="0" fontId="2" fillId="0" borderId="0" xfId="0" applyFont="1"/>
    <xf numFmtId="0" fontId="3" fillId="0" borderId="0" xfId="0" applyFont="1"/>
    <xf numFmtId="0" fontId="4" fillId="0" borderId="1" xfId="0" applyFont="1" applyBorder="1"/>
    <xf numFmtId="0" fontId="2" fillId="0" borderId="1" xfId="0" applyFont="1" applyBorder="1"/>
    <xf numFmtId="0" fontId="5" fillId="0" borderId="0" xfId="0" applyFont="1"/>
    <xf numFmtId="0" fontId="6" fillId="0" borderId="0" xfId="0" applyFont="1"/>
    <xf numFmtId="0" fontId="6" fillId="0" borderId="0" xfId="0" applyFont="1" applyBorder="1"/>
    <xf numFmtId="14" fontId="2" fillId="0" borderId="0" xfId="0" applyNumberFormat="1" applyFont="1"/>
    <xf numFmtId="0" fontId="2" fillId="0" borderId="0" xfId="0" applyFont="1" applyFill="1" applyBorder="1"/>
    <xf numFmtId="0" fontId="12" fillId="0" borderId="1" xfId="0" applyFont="1" applyBorder="1"/>
    <xf numFmtId="0" fontId="9" fillId="0" borderId="1" xfId="0" applyFont="1" applyBorder="1"/>
    <xf numFmtId="0" fontId="12" fillId="0" borderId="1" xfId="0" applyFont="1" applyBorder="1" applyAlignment="1">
      <alignment horizontal="right"/>
    </xf>
    <xf numFmtId="0" fontId="2" fillId="0" borderId="0" xfId="0" applyFont="1" applyBorder="1"/>
    <xf numFmtId="0" fontId="7" fillId="0" borderId="0" xfId="0" applyFont="1" applyFill="1" applyBorder="1" applyAlignment="1">
      <alignment horizontal="center" vertical="center" wrapText="1"/>
    </xf>
    <xf numFmtId="164" fontId="6" fillId="0" borderId="0" xfId="0" applyNumberFormat="1" applyFont="1" applyFill="1" applyBorder="1" applyAlignment="1">
      <alignment horizontal="center" vertical="center"/>
    </xf>
    <xf numFmtId="0" fontId="6" fillId="0" borderId="0" xfId="0" applyFont="1" applyFill="1" applyBorder="1"/>
    <xf numFmtId="0" fontId="7" fillId="0" borderId="0" xfId="0" applyFont="1" applyFill="1" applyBorder="1" applyAlignment="1">
      <alignment horizontal="center" vertical="center"/>
    </xf>
    <xf numFmtId="3" fontId="6" fillId="0" borderId="0" xfId="0" applyNumberFormat="1" applyFont="1" applyFill="1" applyBorder="1" applyAlignment="1">
      <alignment horizontal="center" vertical="center"/>
    </xf>
    <xf numFmtId="3" fontId="13" fillId="0" borderId="0" xfId="0" applyNumberFormat="1" applyFont="1" applyFill="1" applyBorder="1" applyAlignment="1">
      <alignment horizontal="center" vertical="center"/>
    </xf>
    <xf numFmtId="0" fontId="6" fillId="0" borderId="0" xfId="0" applyFont="1" applyFill="1"/>
    <xf numFmtId="0" fontId="16" fillId="0" borderId="0" xfId="0" applyFont="1" applyFill="1"/>
    <xf numFmtId="0" fontId="16" fillId="0" borderId="0" xfId="0" applyFont="1"/>
    <xf numFmtId="0" fontId="15" fillId="6" borderId="2" xfId="1" applyFont="1" applyFill="1" applyBorder="1" applyAlignment="1">
      <alignment horizontal="center" vertical="center"/>
    </xf>
    <xf numFmtId="164" fontId="9" fillId="0" borderId="2" xfId="1" applyNumberFormat="1" applyFont="1" applyBorder="1" applyAlignment="1">
      <alignment horizontal="left" vertical="center" indent="1"/>
    </xf>
    <xf numFmtId="164" fontId="9" fillId="0" borderId="2" xfId="1" applyNumberFormat="1" applyFont="1" applyBorder="1" applyAlignment="1">
      <alignment horizontal="center" vertical="center"/>
    </xf>
    <xf numFmtId="1" fontId="9" fillId="0" borderId="2" xfId="1" applyNumberFormat="1" applyFont="1" applyBorder="1" applyAlignment="1">
      <alignment horizontal="center" vertical="center"/>
    </xf>
    <xf numFmtId="0" fontId="7" fillId="5" borderId="2" xfId="0" applyFont="1" applyFill="1" applyBorder="1"/>
    <xf numFmtId="0" fontId="7" fillId="5" borderId="2" xfId="0" applyFont="1" applyFill="1" applyBorder="1" applyAlignment="1">
      <alignment horizontal="center"/>
    </xf>
    <xf numFmtId="0" fontId="7" fillId="5" borderId="3" xfId="0" applyFont="1" applyFill="1" applyBorder="1" applyAlignment="1">
      <alignment vertical="center"/>
    </xf>
    <xf numFmtId="0" fontId="7" fillId="5" borderId="4" xfId="0" applyFont="1" applyFill="1" applyBorder="1" applyAlignment="1">
      <alignment vertical="center"/>
    </xf>
    <xf numFmtId="0" fontId="7" fillId="5" borderId="4" xfId="0" applyFont="1" applyFill="1" applyBorder="1" applyAlignment="1">
      <alignment horizontal="left" vertical="center"/>
    </xf>
    <xf numFmtId="14" fontId="7" fillId="5" borderId="4" xfId="0" applyNumberFormat="1" applyFont="1" applyFill="1" applyBorder="1" applyAlignment="1">
      <alignment horizontal="left" vertical="center"/>
    </xf>
    <xf numFmtId="164" fontId="7" fillId="5" borderId="4" xfId="0" applyNumberFormat="1" applyFont="1" applyFill="1" applyBorder="1" applyAlignment="1">
      <alignment horizontal="center" vertical="center"/>
    </xf>
    <xf numFmtId="164" fontId="7" fillId="5" borderId="5" xfId="0" applyNumberFormat="1" applyFont="1" applyFill="1" applyBorder="1" applyAlignment="1">
      <alignment horizontal="center" vertical="center"/>
    </xf>
    <xf numFmtId="0" fontId="7" fillId="5" borderId="6" xfId="0" applyFont="1" applyFill="1" applyBorder="1" applyAlignment="1">
      <alignment vertical="center" wrapText="1"/>
    </xf>
    <xf numFmtId="0" fontId="7" fillId="5" borderId="7" xfId="0" applyFont="1" applyFill="1" applyBorder="1" applyAlignment="1">
      <alignment vertical="center" wrapText="1"/>
    </xf>
    <xf numFmtId="0" fontId="7" fillId="5" borderId="2" xfId="0" applyFont="1" applyFill="1" applyBorder="1" applyAlignment="1">
      <alignment horizontal="center" vertical="center"/>
    </xf>
    <xf numFmtId="0" fontId="6" fillId="0" borderId="2" xfId="0" applyFont="1" applyBorder="1"/>
    <xf numFmtId="3" fontId="6" fillId="0" borderId="6" xfId="0" applyNumberFormat="1" applyFont="1" applyBorder="1" applyAlignment="1">
      <alignment horizontal="center" vertical="center"/>
    </xf>
    <xf numFmtId="3" fontId="6" fillId="0" borderId="8" xfId="0" applyNumberFormat="1" applyFont="1" applyBorder="1" applyAlignment="1">
      <alignment horizontal="center" vertical="center"/>
    </xf>
    <xf numFmtId="3" fontId="6" fillId="2" borderId="8" xfId="0" applyNumberFormat="1" applyFont="1" applyFill="1" applyBorder="1" applyAlignment="1">
      <alignment horizontal="center" vertical="center"/>
    </xf>
    <xf numFmtId="0" fontId="6" fillId="0" borderId="7" xfId="0" applyFont="1" applyBorder="1"/>
    <xf numFmtId="164" fontId="6" fillId="9" borderId="2" xfId="0" applyNumberFormat="1" applyFont="1" applyFill="1" applyBorder="1" applyAlignment="1">
      <alignment horizontal="center" vertical="center"/>
    </xf>
    <xf numFmtId="0" fontId="7" fillId="3" borderId="2" xfId="0" applyFont="1" applyFill="1" applyBorder="1" applyAlignment="1">
      <alignment horizontal="center" wrapText="1"/>
    </xf>
    <xf numFmtId="0" fontId="7" fillId="10" borderId="2" xfId="0" applyFont="1" applyFill="1" applyBorder="1" applyAlignment="1">
      <alignment horizontal="center" wrapText="1"/>
    </xf>
    <xf numFmtId="3" fontId="6" fillId="0" borderId="9" xfId="0" applyNumberFormat="1" applyFont="1" applyFill="1" applyBorder="1" applyAlignment="1">
      <alignment horizontal="center" vertical="center"/>
    </xf>
    <xf numFmtId="3" fontId="6" fillId="0" borderId="10" xfId="0" applyNumberFormat="1" applyFont="1" applyFill="1" applyBorder="1" applyAlignment="1">
      <alignment horizontal="center" vertical="center"/>
    </xf>
    <xf numFmtId="3" fontId="13" fillId="0" borderId="9" xfId="0" applyNumberFormat="1" applyFont="1" applyFill="1" applyBorder="1" applyAlignment="1">
      <alignment horizontal="center" vertical="center"/>
    </xf>
    <xf numFmtId="3" fontId="13" fillId="0" borderId="10" xfId="0" applyNumberFormat="1" applyFont="1" applyFill="1" applyBorder="1" applyAlignment="1">
      <alignment horizontal="center" vertical="center"/>
    </xf>
    <xf numFmtId="0" fontId="13" fillId="0" borderId="9" xfId="0" applyFont="1" applyFill="1" applyBorder="1"/>
    <xf numFmtId="0" fontId="13" fillId="0" borderId="10" xfId="0" applyFont="1" applyFill="1" applyBorder="1"/>
    <xf numFmtId="0" fontId="13" fillId="0" borderId="9" xfId="0" applyFont="1" applyFill="1" applyBorder="1" applyAlignment="1">
      <alignment horizontal="center" vertical="center"/>
    </xf>
    <xf numFmtId="0" fontId="13" fillId="0" borderId="10" xfId="0" applyFont="1" applyFill="1" applyBorder="1" applyAlignment="1">
      <alignment horizontal="center" vertical="center"/>
    </xf>
    <xf numFmtId="0" fontId="6" fillId="0" borderId="11" xfId="0" applyFont="1" applyFill="1" applyBorder="1"/>
    <xf numFmtId="0" fontId="6" fillId="0" borderId="12" xfId="0" applyFont="1" applyFill="1" applyBorder="1"/>
    <xf numFmtId="0" fontId="6" fillId="0" borderId="13" xfId="0" applyFont="1" applyFill="1" applyBorder="1"/>
    <xf numFmtId="164" fontId="13" fillId="4" borderId="2" xfId="0" applyNumberFormat="1" applyFont="1" applyFill="1" applyBorder="1" applyAlignment="1">
      <alignment horizontal="center" vertical="center"/>
    </xf>
    <xf numFmtId="164" fontId="6" fillId="0" borderId="3" xfId="0" applyNumberFormat="1" applyFont="1" applyBorder="1" applyAlignment="1">
      <alignment horizontal="center" vertical="center"/>
    </xf>
    <xf numFmtId="164" fontId="6" fillId="0" borderId="4" xfId="0" applyNumberFormat="1" applyFont="1" applyBorder="1" applyAlignment="1">
      <alignment horizontal="center" vertical="center"/>
    </xf>
    <xf numFmtId="164" fontId="6" fillId="0" borderId="5" xfId="0" applyNumberFormat="1" applyFont="1" applyBorder="1" applyAlignment="1">
      <alignment horizontal="center" vertical="center"/>
    </xf>
    <xf numFmtId="164" fontId="6" fillId="0" borderId="11" xfId="0" applyNumberFormat="1" applyFont="1" applyBorder="1" applyAlignment="1">
      <alignment horizontal="center" vertical="center"/>
    </xf>
    <xf numFmtId="164" fontId="6" fillId="0" borderId="12" xfId="0" applyNumberFormat="1" applyFont="1" applyBorder="1" applyAlignment="1">
      <alignment horizontal="center" vertical="center"/>
    </xf>
    <xf numFmtId="164" fontId="6" fillId="0" borderId="13" xfId="0" applyNumberFormat="1" applyFont="1" applyBorder="1" applyAlignment="1">
      <alignment horizontal="center" vertical="center"/>
    </xf>
    <xf numFmtId="14" fontId="11" fillId="8" borderId="0" xfId="0" applyNumberFormat="1" applyFont="1" applyFill="1" applyAlignment="1">
      <alignment horizontal="center" vertical="center"/>
    </xf>
    <xf numFmtId="0" fontId="6" fillId="8" borderId="0" xfId="0" applyFont="1" applyFill="1" applyBorder="1" applyAlignment="1">
      <alignment horizontal="center"/>
    </xf>
    <xf numFmtId="0" fontId="6" fillId="8" borderId="0" xfId="0" applyFont="1" applyFill="1" applyBorder="1" applyAlignment="1">
      <alignment horizontal="center" vertical="center"/>
    </xf>
    <xf numFmtId="0" fontId="7" fillId="7" borderId="2" xfId="0" applyFont="1" applyFill="1" applyBorder="1" applyAlignment="1">
      <alignment vertical="center"/>
    </xf>
    <xf numFmtId="0" fontId="7" fillId="7" borderId="2" xfId="0" applyFont="1" applyFill="1" applyBorder="1" applyAlignment="1">
      <alignment vertical="center" wrapText="1"/>
    </xf>
    <xf numFmtId="0" fontId="7" fillId="7" borderId="2" xfId="0" applyFont="1" applyFill="1" applyBorder="1" applyAlignment="1">
      <alignment horizontal="center" wrapText="1"/>
    </xf>
    <xf numFmtId="14" fontId="6" fillId="0" borderId="4" xfId="0" applyNumberFormat="1" applyFont="1" applyBorder="1" applyAlignment="1">
      <alignment horizontal="left" vertical="center"/>
    </xf>
    <xf numFmtId="0" fontId="6" fillId="0" borderId="4" xfId="0" applyFont="1" applyBorder="1" applyAlignment="1">
      <alignment horizontal="left" vertical="center"/>
    </xf>
    <xf numFmtId="3" fontId="6" fillId="0" borderId="4" xfId="0" applyNumberFormat="1" applyFont="1" applyBorder="1" applyAlignment="1">
      <alignment horizontal="center" vertical="center"/>
    </xf>
    <xf numFmtId="164" fontId="6" fillId="8" borderId="4" xfId="0" applyNumberFormat="1" applyFont="1" applyFill="1" applyBorder="1" applyAlignment="1">
      <alignment horizontal="center" vertical="center"/>
    </xf>
    <xf numFmtId="3" fontId="6" fillId="0" borderId="12" xfId="0" applyNumberFormat="1" applyFont="1" applyBorder="1" applyAlignment="1">
      <alignment horizontal="center" vertical="center"/>
    </xf>
    <xf numFmtId="0" fontId="6" fillId="0" borderId="4" xfId="0" applyFont="1" applyBorder="1" applyAlignment="1">
      <alignment vertical="center"/>
    </xf>
    <xf numFmtId="3" fontId="6" fillId="8" borderId="4" xfId="0" applyNumberFormat="1" applyFont="1" applyFill="1" applyBorder="1" applyAlignment="1">
      <alignment horizontal="center" vertical="center"/>
    </xf>
    <xf numFmtId="0" fontId="6" fillId="2" borderId="12" xfId="0" applyFont="1" applyFill="1" applyBorder="1" applyAlignment="1">
      <alignment vertical="center"/>
    </xf>
    <xf numFmtId="164" fontId="6" fillId="2" borderId="12" xfId="0" applyNumberFormat="1" applyFont="1" applyFill="1" applyBorder="1" applyAlignment="1">
      <alignment horizontal="center" vertical="center"/>
    </xf>
    <xf numFmtId="3" fontId="6" fillId="2" borderId="12" xfId="0" applyNumberFormat="1" applyFont="1" applyFill="1" applyBorder="1" applyAlignment="1">
      <alignment horizontal="center" vertical="center"/>
    </xf>
    <xf numFmtId="3" fontId="6" fillId="8" borderId="12" xfId="0" applyNumberFormat="1" applyFont="1" applyFill="1" applyBorder="1" applyAlignment="1">
      <alignment horizontal="center" vertical="center"/>
    </xf>
    <xf numFmtId="164" fontId="6" fillId="2" borderId="13" xfId="0" applyNumberFormat="1" applyFont="1" applyFill="1" applyBorder="1" applyAlignment="1">
      <alignment horizontal="center" vertical="center"/>
    </xf>
    <xf numFmtId="0" fontId="6" fillId="0" borderId="12" xfId="0" applyFont="1" applyBorder="1" applyAlignment="1">
      <alignment vertical="center"/>
    </xf>
    <xf numFmtId="1" fontId="7" fillId="5" borderId="5" xfId="0" applyNumberFormat="1" applyFont="1" applyFill="1" applyBorder="1" applyAlignment="1">
      <alignment horizontal="center" vertical="center"/>
    </xf>
    <xf numFmtId="3" fontId="6" fillId="8" borderId="3" xfId="0" applyNumberFormat="1" applyFont="1" applyFill="1" applyBorder="1" applyAlignment="1">
      <alignment horizontal="center" vertical="center"/>
    </xf>
    <xf numFmtId="3" fontId="6" fillId="8" borderId="11" xfId="0" applyNumberFormat="1" applyFont="1" applyFill="1" applyBorder="1" applyAlignment="1">
      <alignment horizontal="center" vertical="center"/>
    </xf>
    <xf numFmtId="3" fontId="6" fillId="8" borderId="13" xfId="0" applyNumberFormat="1" applyFont="1" applyFill="1" applyBorder="1" applyAlignment="1">
      <alignment horizontal="center" vertical="center"/>
    </xf>
    <xf numFmtId="0" fontId="6" fillId="8" borderId="11" xfId="0" applyFont="1" applyFill="1" applyBorder="1"/>
    <xf numFmtId="0" fontId="6" fillId="8" borderId="12" xfId="0" applyFont="1" applyFill="1" applyBorder="1"/>
    <xf numFmtId="0" fontId="6" fillId="8" borderId="13" xfId="0" applyFont="1" applyFill="1" applyBorder="1"/>
    <xf numFmtId="0" fontId="6" fillId="8" borderId="3" xfId="0" applyFont="1" applyFill="1" applyBorder="1"/>
    <xf numFmtId="0" fontId="6" fillId="8" borderId="5" xfId="0" applyFont="1" applyFill="1" applyBorder="1"/>
    <xf numFmtId="0" fontId="6" fillId="8" borderId="4" xfId="0" applyFont="1" applyFill="1" applyBorder="1"/>
    <xf numFmtId="1" fontId="8" fillId="0" borderId="3" xfId="0" applyNumberFormat="1" applyFont="1" applyBorder="1" applyAlignment="1">
      <alignment horizontal="center" vertical="center"/>
    </xf>
    <xf numFmtId="0" fontId="6" fillId="0" borderId="4" xfId="0" applyFont="1" applyBorder="1"/>
    <xf numFmtId="1" fontId="8" fillId="0" borderId="4" xfId="0" applyNumberFormat="1" applyFont="1" applyBorder="1" applyAlignment="1">
      <alignment horizontal="center" vertical="center"/>
    </xf>
    <xf numFmtId="1" fontId="8" fillId="0" borderId="5" xfId="0" applyNumberFormat="1" applyFont="1" applyBorder="1" applyAlignment="1">
      <alignment horizontal="center" vertical="center"/>
    </xf>
    <xf numFmtId="2" fontId="6" fillId="8" borderId="4" xfId="0" applyNumberFormat="1" applyFont="1" applyFill="1" applyBorder="1" applyAlignment="1">
      <alignment horizontal="center" vertical="center"/>
    </xf>
    <xf numFmtId="164" fontId="6" fillId="8" borderId="3" xfId="0" applyNumberFormat="1" applyFont="1" applyFill="1" applyBorder="1" applyAlignment="1">
      <alignment horizontal="center" vertical="center"/>
    </xf>
    <xf numFmtId="14" fontId="7" fillId="5" borderId="4" xfId="0" applyNumberFormat="1" applyFont="1" applyFill="1" applyBorder="1" applyAlignment="1">
      <alignment vertical="center"/>
    </xf>
    <xf numFmtId="0" fontId="6" fillId="8" borderId="0" xfId="0" applyFont="1" applyFill="1" applyAlignment="1">
      <alignment horizontal="center"/>
    </xf>
    <xf numFmtId="0" fontId="8" fillId="8" borderId="0" xfId="0" applyFont="1" applyFill="1"/>
    <xf numFmtId="3" fontId="6" fillId="0" borderId="5" xfId="0" applyNumberFormat="1" applyFont="1" applyBorder="1" applyAlignment="1">
      <alignment horizontal="center" vertical="center"/>
    </xf>
    <xf numFmtId="3" fontId="6" fillId="0" borderId="13" xfId="0" applyNumberFormat="1" applyFont="1" applyBorder="1" applyAlignment="1">
      <alignment horizontal="center" vertical="center"/>
    </xf>
    <xf numFmtId="0" fontId="6" fillId="0" borderId="11" xfId="0" applyFont="1" applyBorder="1" applyAlignment="1">
      <alignment vertical="center"/>
    </xf>
    <xf numFmtId="0" fontId="6" fillId="0" borderId="3" xfId="0" applyFont="1" applyBorder="1" applyAlignment="1">
      <alignment vertical="center"/>
    </xf>
    <xf numFmtId="0" fontId="6" fillId="2" borderId="11" xfId="0" applyFont="1" applyFill="1" applyBorder="1" applyAlignment="1">
      <alignment vertical="center"/>
    </xf>
    <xf numFmtId="3" fontId="6" fillId="2" borderId="13" xfId="0" applyNumberFormat="1" applyFont="1" applyFill="1" applyBorder="1" applyAlignment="1">
      <alignment horizontal="center" vertical="center"/>
    </xf>
    <xf numFmtId="0" fontId="7" fillId="5" borderId="3" xfId="0" applyFont="1" applyFill="1" applyBorder="1" applyAlignment="1">
      <alignment horizontal="center" vertical="center"/>
    </xf>
    <xf numFmtId="0" fontId="7" fillId="5" borderId="4" xfId="0" applyFont="1" applyFill="1" applyBorder="1" applyAlignment="1">
      <alignment horizontal="center" vertical="center"/>
    </xf>
    <xf numFmtId="0" fontId="7" fillId="5" borderId="5" xfId="0" applyFont="1" applyFill="1" applyBorder="1" applyAlignment="1">
      <alignment horizontal="center" vertical="center"/>
    </xf>
    <xf numFmtId="0" fontId="7" fillId="6" borderId="2" xfId="0" applyFont="1" applyFill="1" applyBorder="1"/>
    <xf numFmtId="0" fontId="7" fillId="6" borderId="2" xfId="0" applyFont="1" applyFill="1" applyBorder="1" applyAlignment="1">
      <alignment horizontal="left"/>
    </xf>
    <xf numFmtId="0" fontId="7" fillId="6" borderId="2" xfId="0" applyFont="1" applyFill="1" applyBorder="1" applyAlignment="1">
      <alignment horizontal="center"/>
    </xf>
    <xf numFmtId="0" fontId="7" fillId="6" borderId="2" xfId="0" applyFont="1" applyFill="1" applyBorder="1" applyAlignment="1">
      <alignment horizontal="center" wrapText="1"/>
    </xf>
    <xf numFmtId="1" fontId="8" fillId="0" borderId="3" xfId="0" applyNumberFormat="1" applyFont="1" applyBorder="1" applyAlignment="1">
      <alignment horizontal="left" vertical="center"/>
    </xf>
    <xf numFmtId="0" fontId="6" fillId="0" borderId="3" xfId="0" applyFont="1" applyBorder="1" applyAlignment="1">
      <alignment horizontal="left" vertical="center"/>
    </xf>
    <xf numFmtId="0" fontId="8" fillId="0" borderId="3" xfId="2" applyFont="1" applyBorder="1" applyAlignment="1" applyProtection="1">
      <alignment vertical="center" wrapText="1"/>
      <protection locked="0"/>
    </xf>
    <xf numFmtId="0" fontId="7" fillId="5" borderId="3" xfId="0" applyFont="1" applyFill="1" applyBorder="1" applyAlignment="1">
      <alignment horizontal="center" vertical="center"/>
    </xf>
    <xf numFmtId="0" fontId="7" fillId="5" borderId="4" xfId="0" applyFont="1" applyFill="1" applyBorder="1" applyAlignment="1">
      <alignment horizontal="center" vertical="center"/>
    </xf>
    <xf numFmtId="0" fontId="7" fillId="5" borderId="5" xfId="0" applyFont="1" applyFill="1" applyBorder="1" applyAlignment="1">
      <alignment horizontal="center" vertical="center"/>
    </xf>
    <xf numFmtId="0" fontId="7" fillId="5" borderId="2" xfId="0" applyFont="1" applyFill="1" applyBorder="1" applyAlignment="1">
      <alignment horizontal="center" vertical="center"/>
    </xf>
    <xf numFmtId="0" fontId="10" fillId="0" borderId="0" xfId="0" applyFont="1" applyAlignment="1">
      <alignment horizontal="right"/>
    </xf>
    <xf numFmtId="0" fontId="7" fillId="5" borderId="2" xfId="0" applyFont="1" applyFill="1" applyBorder="1" applyAlignment="1">
      <alignment vertical="center" wrapText="1"/>
    </xf>
    <xf numFmtId="0" fontId="7" fillId="0" borderId="0" xfId="0" applyFont="1" applyAlignment="1">
      <alignment horizontal="center" vertical="center" wrapText="1"/>
    </xf>
    <xf numFmtId="0" fontId="7" fillId="11" borderId="2" xfId="0" applyFont="1" applyFill="1" applyBorder="1" applyAlignment="1">
      <alignment horizontal="center" wrapText="1"/>
    </xf>
    <xf numFmtId="164" fontId="6" fillId="0" borderId="0" xfId="0" applyNumberFormat="1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9" xfId="0" applyFont="1" applyBorder="1" applyAlignment="1">
      <alignment horizontal="center" vertical="center"/>
    </xf>
    <xf numFmtId="0" fontId="7" fillId="0" borderId="10" xfId="0" applyFont="1" applyBorder="1" applyAlignment="1">
      <alignment horizontal="center" vertical="center"/>
    </xf>
    <xf numFmtId="164" fontId="6" fillId="0" borderId="4" xfId="0" applyNumberFormat="1" applyFont="1" applyBorder="1" applyAlignment="1">
      <alignment vertical="center"/>
    </xf>
    <xf numFmtId="3" fontId="6" fillId="0" borderId="0" xfId="0" applyNumberFormat="1" applyFont="1" applyAlignment="1">
      <alignment horizontal="center" vertical="center"/>
    </xf>
    <xf numFmtId="3" fontId="6" fillId="0" borderId="9" xfId="0" applyNumberFormat="1" applyFont="1" applyBorder="1" applyAlignment="1">
      <alignment horizontal="center" vertical="center"/>
    </xf>
    <xf numFmtId="3" fontId="6" fillId="0" borderId="10" xfId="0" applyNumberFormat="1" applyFont="1" applyBorder="1" applyAlignment="1">
      <alignment horizontal="center" vertical="center"/>
    </xf>
    <xf numFmtId="164" fontId="6" fillId="0" borderId="12" xfId="0" applyNumberFormat="1" applyFont="1" applyBorder="1" applyAlignment="1">
      <alignment vertical="center"/>
    </xf>
    <xf numFmtId="164" fontId="6" fillId="2" borderId="12" xfId="0" applyNumberFormat="1" applyFont="1" applyFill="1" applyBorder="1" applyAlignment="1">
      <alignment vertical="center"/>
    </xf>
    <xf numFmtId="164" fontId="6" fillId="2" borderId="11" xfId="0" applyNumberFormat="1" applyFont="1" applyFill="1" applyBorder="1" applyAlignment="1">
      <alignment horizontal="center" vertical="center"/>
    </xf>
    <xf numFmtId="0" fontId="6" fillId="0" borderId="0" xfId="0" applyFont="1" applyAlignment="1">
      <alignment vertical="center"/>
    </xf>
    <xf numFmtId="164" fontId="6" fillId="0" borderId="0" xfId="0" applyNumberFormat="1" applyFont="1" applyAlignment="1">
      <alignment vertical="center"/>
    </xf>
    <xf numFmtId="3" fontId="6" fillId="8" borderId="0" xfId="0" applyNumberFormat="1" applyFont="1" applyFill="1" applyAlignment="1">
      <alignment horizontal="center" vertical="center"/>
    </xf>
    <xf numFmtId="3" fontId="13" fillId="0" borderId="9" xfId="0" applyNumberFormat="1" applyFont="1" applyBorder="1" applyAlignment="1">
      <alignment horizontal="center" vertical="center"/>
    </xf>
    <xf numFmtId="3" fontId="13" fillId="0" borderId="0" xfId="0" applyNumberFormat="1" applyFont="1" applyAlignment="1">
      <alignment horizontal="center" vertical="center"/>
    </xf>
    <xf numFmtId="3" fontId="13" fillId="0" borderId="10" xfId="0" applyNumberFormat="1" applyFont="1" applyBorder="1" applyAlignment="1">
      <alignment horizontal="center" vertical="center"/>
    </xf>
    <xf numFmtId="0" fontId="6" fillId="0" borderId="3" xfId="0" applyFont="1" applyBorder="1"/>
    <xf numFmtId="0" fontId="6" fillId="0" borderId="5" xfId="0" applyFont="1" applyBorder="1"/>
    <xf numFmtId="0" fontId="6" fillId="8" borderId="0" xfId="0" applyFont="1" applyFill="1"/>
    <xf numFmtId="0" fontId="13" fillId="0" borderId="9" xfId="0" applyFont="1" applyBorder="1"/>
    <xf numFmtId="0" fontId="13" fillId="0" borderId="10" xfId="0" applyFont="1" applyBorder="1"/>
    <xf numFmtId="0" fontId="2" fillId="0" borderId="0" xfId="0" applyNumberFormat="1" applyFont="1"/>
    <xf numFmtId="0" fontId="2" fillId="0" borderId="1" xfId="0" applyNumberFormat="1" applyFont="1" applyBorder="1"/>
    <xf numFmtId="0" fontId="7" fillId="6" borderId="2" xfId="0" applyNumberFormat="1" applyFont="1" applyFill="1" applyBorder="1" applyAlignment="1">
      <alignment horizontal="left"/>
    </xf>
    <xf numFmtId="0" fontId="6" fillId="0" borderId="4" xfId="0" applyNumberFormat="1" applyFont="1" applyBorder="1" applyAlignment="1">
      <alignment horizontal="left" vertical="center"/>
    </xf>
    <xf numFmtId="0" fontId="6" fillId="0" borderId="12" xfId="0" applyNumberFormat="1" applyFont="1" applyBorder="1" applyAlignment="1">
      <alignment horizontal="left" vertical="center"/>
    </xf>
    <xf numFmtId="0" fontId="6" fillId="2" borderId="12" xfId="0" applyNumberFormat="1" applyFont="1" applyFill="1" applyBorder="1" applyAlignment="1">
      <alignment horizontal="left" vertical="center"/>
    </xf>
    <xf numFmtId="0" fontId="6" fillId="0" borderId="0" xfId="0" applyNumberFormat="1" applyFont="1" applyBorder="1"/>
    <xf numFmtId="0" fontId="7" fillId="5" borderId="4" xfId="0" applyNumberFormat="1" applyFont="1" applyFill="1" applyBorder="1" applyAlignment="1">
      <alignment horizontal="left" vertical="center"/>
    </xf>
    <xf numFmtId="0" fontId="6" fillId="0" borderId="4" xfId="0" applyNumberFormat="1" applyFont="1" applyBorder="1"/>
    <xf numFmtId="0" fontId="8" fillId="0" borderId="4" xfId="0" applyNumberFormat="1" applyFont="1" applyBorder="1" applyAlignment="1">
      <alignment horizontal="center" vertical="center"/>
    </xf>
    <xf numFmtId="164" fontId="6" fillId="0" borderId="9" xfId="0" applyNumberFormat="1" applyFont="1" applyBorder="1" applyAlignment="1">
      <alignment horizontal="center" vertical="center"/>
    </xf>
    <xf numFmtId="164" fontId="6" fillId="0" borderId="0" xfId="0" applyNumberFormat="1" applyFont="1" applyBorder="1" applyAlignment="1">
      <alignment horizontal="center" vertical="center"/>
    </xf>
    <xf numFmtId="164" fontId="6" fillId="0" borderId="10" xfId="0" applyNumberFormat="1" applyFont="1" applyBorder="1" applyAlignment="1">
      <alignment horizontal="center" vertical="center"/>
    </xf>
    <xf numFmtId="0" fontId="8" fillId="0" borderId="11" xfId="2" applyFont="1" applyBorder="1" applyAlignment="1" applyProtection="1">
      <alignment vertical="center" wrapText="1"/>
      <protection locked="0"/>
    </xf>
    <xf numFmtId="14" fontId="6" fillId="0" borderId="12" xfId="0" applyNumberFormat="1" applyFont="1" applyBorder="1" applyAlignment="1">
      <alignment horizontal="left" vertical="center"/>
    </xf>
    <xf numFmtId="0" fontId="14" fillId="7" borderId="0" xfId="0" applyFont="1" applyFill="1"/>
    <xf numFmtId="0" fontId="7" fillId="5" borderId="5" xfId="0" applyFont="1" applyFill="1" applyBorder="1" applyAlignment="1">
      <alignment vertical="center"/>
    </xf>
    <xf numFmtId="0" fontId="7" fillId="5" borderId="0" xfId="0" applyFont="1" applyFill="1" applyBorder="1" applyAlignment="1">
      <alignment vertical="center"/>
    </xf>
    <xf numFmtId="0" fontId="7" fillId="5" borderId="0" xfId="0" applyFont="1" applyFill="1" applyBorder="1" applyAlignment="1">
      <alignment horizontal="center" vertical="center"/>
    </xf>
    <xf numFmtId="0" fontId="7" fillId="5" borderId="2" xfId="0" applyFont="1" applyFill="1" applyBorder="1" applyAlignment="1">
      <alignment horizontal="center" vertical="center"/>
    </xf>
    <xf numFmtId="0" fontId="7" fillId="5" borderId="2" xfId="0" applyFont="1" applyFill="1" applyBorder="1" applyAlignment="1">
      <alignment horizontal="left" vertical="center"/>
    </xf>
    <xf numFmtId="0" fontId="7" fillId="7" borderId="2" xfId="0" applyFont="1" applyFill="1" applyBorder="1" applyAlignment="1">
      <alignment horizontal="center" vertical="center"/>
    </xf>
    <xf numFmtId="0" fontId="13" fillId="4" borderId="2" xfId="0" applyFont="1" applyFill="1" applyBorder="1" applyAlignment="1">
      <alignment horizontal="center"/>
    </xf>
    <xf numFmtId="0" fontId="10" fillId="0" borderId="0" xfId="0" applyFont="1" applyAlignment="1">
      <alignment horizontal="right"/>
    </xf>
    <xf numFmtId="0" fontId="7" fillId="10" borderId="2" xfId="0" applyFont="1" applyFill="1" applyBorder="1" applyAlignment="1">
      <alignment horizontal="center" vertical="center"/>
    </xf>
    <xf numFmtId="0" fontId="7" fillId="3" borderId="2" xfId="0" applyFont="1" applyFill="1" applyBorder="1" applyAlignment="1">
      <alignment horizontal="center" vertical="center"/>
    </xf>
    <xf numFmtId="0" fontId="7" fillId="5" borderId="2" xfId="0" applyFont="1" applyFill="1" applyBorder="1" applyAlignment="1">
      <alignment horizontal="center" vertical="center"/>
    </xf>
    <xf numFmtId="0" fontId="7" fillId="11" borderId="2" xfId="0" applyFont="1" applyFill="1" applyBorder="1" applyAlignment="1">
      <alignment horizontal="center" vertical="center"/>
    </xf>
    <xf numFmtId="0" fontId="9" fillId="0" borderId="2" xfId="1" applyFont="1" applyBorder="1" applyAlignment="1">
      <alignment horizontal="left" vertical="center" wrapText="1" indent="1"/>
    </xf>
    <xf numFmtId="0" fontId="14" fillId="5" borderId="2" xfId="1" applyFont="1" applyFill="1" applyBorder="1" applyAlignment="1">
      <alignment horizontal="center" vertical="center"/>
    </xf>
    <xf numFmtId="0" fontId="15" fillId="6" borderId="2" xfId="1" applyFont="1" applyFill="1" applyBorder="1" applyAlignment="1">
      <alignment horizontal="left" vertical="center" wrapText="1" indent="1"/>
    </xf>
    <xf numFmtId="0" fontId="15" fillId="6" borderId="2" xfId="1" applyFont="1" applyFill="1" applyBorder="1" applyAlignment="1">
      <alignment horizontal="center" vertical="center" wrapText="1"/>
    </xf>
    <xf numFmtId="0" fontId="15" fillId="6" borderId="2" xfId="1" quotePrefix="1" applyFont="1" applyFill="1" applyBorder="1" applyAlignment="1">
      <alignment horizontal="center" vertical="center" wrapText="1"/>
    </xf>
    <xf numFmtId="1" fontId="9" fillId="0" borderId="2" xfId="1" applyNumberFormat="1" applyFont="1" applyBorder="1" applyAlignment="1">
      <alignment horizontal="center" vertical="center"/>
    </xf>
    <xf numFmtId="0" fontId="2" fillId="8" borderId="0" xfId="0" applyFont="1" applyFill="1" applyAlignment="1">
      <alignment horizontal="center"/>
    </xf>
    <xf numFmtId="14" fontId="2" fillId="8" borderId="0" xfId="0" applyNumberFormat="1" applyFont="1" applyFill="1" applyAlignment="1">
      <alignment horizontal="center"/>
    </xf>
    <xf numFmtId="9" fontId="2" fillId="8" borderId="0" xfId="0" applyNumberFormat="1" applyFont="1" applyFill="1" applyAlignment="1">
      <alignment horizontal="center"/>
    </xf>
    <xf numFmtId="164" fontId="2" fillId="8" borderId="0" xfId="0" applyNumberFormat="1" applyFont="1" applyFill="1" applyAlignment="1">
      <alignment horizontal="center"/>
    </xf>
    <xf numFmtId="1" fontId="2" fillId="8" borderId="0" xfId="0" applyNumberFormat="1" applyFont="1" applyFill="1" applyAlignment="1">
      <alignment horizontal="center"/>
    </xf>
  </cellXfs>
  <cellStyles count="3">
    <cellStyle name="Normal" xfId="0" builtinId="0"/>
    <cellStyle name="Normal_Executive Market Data.v11" xfId="1" xr:uid="{0425C99F-9EC7-42D7-98F0-47E971AB5872}"/>
    <cellStyle name="Normal_PeerGroup" xfId="2" xr:uid="{AA1E7BC4-1396-4A7C-822C-1B566F13A51B}"/>
  </cellStyles>
  <dxfs count="0"/>
  <tableStyles count="0" defaultTableStyle="TableStyleMedium2" defaultPivotStyle="PivotStyleLight16"/>
  <colors>
    <mruColors>
      <color rgb="FF00B5EE"/>
      <color rgb="FF0098C8"/>
      <color rgb="FFCD65A3"/>
      <color rgb="FFC03E8B"/>
      <color rgb="FFD6E98F"/>
      <color rgb="FFB6D838"/>
      <color rgb="FF9EECE3"/>
      <color rgb="FF5BDFCF"/>
      <color rgb="FFAFC3CA"/>
      <color rgb="FF5F879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00799E"/>
      </a:accent1>
      <a:accent2>
        <a:srgbClr val="9A3270"/>
      </a:accent2>
      <a:accent3>
        <a:srgbClr val="92B022"/>
      </a:accent3>
      <a:accent4>
        <a:srgbClr val="27C6B2"/>
      </a:accent4>
      <a:accent5>
        <a:srgbClr val="00485F"/>
      </a:accent5>
      <a:accent6>
        <a:srgbClr val="555559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B19810-F637-4E07-8464-17B40FDF02BD}">
  <sheetPr codeName="Sheet1"/>
  <dimension ref="B4:C14"/>
  <sheetViews>
    <sheetView showGridLines="0" workbookViewId="0">
      <selection activeCell="J13" sqref="J13"/>
    </sheetView>
  </sheetViews>
  <sheetFormatPr defaultRowHeight="14.5" x14ac:dyDescent="0.35"/>
  <cols>
    <col min="1" max="1" width="8.7265625" style="1"/>
    <col min="2" max="2" width="35.1796875" style="1" customWidth="1"/>
    <col min="3" max="3" width="28.7265625" style="1" customWidth="1"/>
    <col min="4" max="16384" width="8.7265625" style="1"/>
  </cols>
  <sheetData>
    <row r="4" spans="2:3" x14ac:dyDescent="0.35">
      <c r="B4" s="163" t="s">
        <v>48</v>
      </c>
      <c r="C4" s="182" t="s">
        <v>50</v>
      </c>
    </row>
    <row r="5" spans="2:3" x14ac:dyDescent="0.35">
      <c r="B5" s="163" t="s">
        <v>49</v>
      </c>
      <c r="C5" s="183">
        <v>45292</v>
      </c>
    </row>
    <row r="6" spans="2:3" x14ac:dyDescent="0.35">
      <c r="B6" s="163" t="s">
        <v>58</v>
      </c>
      <c r="C6" s="184">
        <v>0.03</v>
      </c>
    </row>
    <row r="7" spans="2:3" x14ac:dyDescent="0.35">
      <c r="B7" s="163" t="s">
        <v>59</v>
      </c>
      <c r="C7" s="184">
        <v>0.04</v>
      </c>
    </row>
    <row r="9" spans="2:3" x14ac:dyDescent="0.35">
      <c r="B9" s="163" t="s">
        <v>51</v>
      </c>
      <c r="C9" s="182" t="s">
        <v>66</v>
      </c>
    </row>
    <row r="10" spans="2:3" x14ac:dyDescent="0.35">
      <c r="B10" s="163" t="s">
        <v>52</v>
      </c>
      <c r="C10" s="183" t="s">
        <v>65</v>
      </c>
    </row>
    <row r="11" spans="2:3" x14ac:dyDescent="0.35">
      <c r="B11" s="163" t="s">
        <v>53</v>
      </c>
      <c r="C11" s="185">
        <v>999999</v>
      </c>
    </row>
    <row r="12" spans="2:3" x14ac:dyDescent="0.35">
      <c r="B12" s="163" t="s">
        <v>54</v>
      </c>
      <c r="C12" s="185">
        <v>999999</v>
      </c>
    </row>
    <row r="13" spans="2:3" x14ac:dyDescent="0.35">
      <c r="B13" s="163" t="s">
        <v>55</v>
      </c>
      <c r="C13" s="185">
        <v>999999</v>
      </c>
    </row>
    <row r="14" spans="2:3" x14ac:dyDescent="0.35">
      <c r="B14" s="163" t="s">
        <v>56</v>
      </c>
      <c r="C14" s="186">
        <v>50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B2107F-3F47-4C6C-A971-3D6217FC4528}">
  <sheetPr codeName="Sheet2"/>
  <dimension ref="A1:O15"/>
  <sheetViews>
    <sheetView showGridLines="0" tabSelected="1" topLeftCell="A2" zoomScale="80" zoomScaleNormal="80" workbookViewId="0">
      <selection activeCell="G20" sqref="G20"/>
    </sheetView>
  </sheetViews>
  <sheetFormatPr defaultColWidth="9.1796875" defaultRowHeight="13" outlineLevelCol="1" x14ac:dyDescent="0.3"/>
  <cols>
    <col min="1" max="1" width="7.453125" style="6" bestFit="1" customWidth="1"/>
    <col min="2" max="2" width="51.1796875" style="6" customWidth="1"/>
    <col min="3" max="5" width="19" style="6" customWidth="1" outlineLevel="1"/>
    <col min="6" max="7" width="19" style="6" customWidth="1"/>
    <col min="8" max="8" width="19" style="6" customWidth="1" outlineLevel="1"/>
    <col min="9" max="9" width="20" style="6" customWidth="1" outlineLevel="1"/>
    <col min="10" max="10" width="19" style="6" customWidth="1" outlineLevel="1"/>
    <col min="11" max="11" width="19" style="6" customWidth="1"/>
    <col min="12" max="12" width="20" style="6" bestFit="1" customWidth="1"/>
    <col min="13" max="13" width="19" style="6" customWidth="1"/>
    <col min="14" max="14" width="19" style="7" customWidth="1"/>
    <col min="15" max="16384" width="9.1796875" style="6"/>
  </cols>
  <sheetData>
    <row r="1" spans="1:15" hidden="1" x14ac:dyDescent="0.3"/>
    <row r="2" spans="1:15" s="1" customFormat="1" ht="25.5" x14ac:dyDescent="0.55000000000000004">
      <c r="B2" s="21" t="str">
        <f>SETUP!C4</f>
        <v>NFP Organization XYZ</v>
      </c>
    </row>
    <row r="3" spans="1:15" s="1" customFormat="1" ht="18" x14ac:dyDescent="0.4">
      <c r="B3" s="3" t="s">
        <v>0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15" s="1" customFormat="1" ht="14.5" x14ac:dyDescent="0.35">
      <c r="D4" s="5"/>
      <c r="E4" s="5"/>
    </row>
    <row r="5" spans="1:15" ht="36" customHeight="1" x14ac:dyDescent="0.3">
      <c r="A5" s="100" t="s">
        <v>1</v>
      </c>
      <c r="B5" s="27" t="s">
        <v>2</v>
      </c>
      <c r="C5" s="27" t="s">
        <v>3</v>
      </c>
      <c r="D5" s="27" t="s">
        <v>4</v>
      </c>
      <c r="E5" s="27" t="s">
        <v>5</v>
      </c>
      <c r="F5" s="27" t="s">
        <v>6</v>
      </c>
      <c r="G5" s="27" t="s">
        <v>7</v>
      </c>
      <c r="H5" s="28" t="s">
        <v>8</v>
      </c>
      <c r="I5" s="28" t="s">
        <v>64</v>
      </c>
      <c r="J5" s="28" t="s">
        <v>9</v>
      </c>
      <c r="K5" s="28" t="s">
        <v>8</v>
      </c>
      <c r="L5" s="28" t="s">
        <v>64</v>
      </c>
      <c r="M5" s="28" t="s">
        <v>9</v>
      </c>
      <c r="N5" s="28" t="s">
        <v>10</v>
      </c>
      <c r="O5" s="101" t="s">
        <v>11</v>
      </c>
    </row>
    <row r="6" spans="1:15" ht="30" customHeight="1" x14ac:dyDescent="0.3">
      <c r="A6" s="100"/>
      <c r="B6" s="117"/>
      <c r="C6" s="75"/>
      <c r="D6" s="70"/>
      <c r="E6" s="70"/>
      <c r="F6" s="75"/>
      <c r="G6" s="75"/>
      <c r="H6" s="59"/>
      <c r="I6" s="59"/>
      <c r="J6" s="59"/>
      <c r="K6" s="59"/>
      <c r="L6" s="59"/>
      <c r="M6" s="59"/>
      <c r="N6" s="102"/>
      <c r="O6" s="101"/>
    </row>
    <row r="7" spans="1:15" ht="30" customHeight="1" x14ac:dyDescent="0.3">
      <c r="A7" s="100"/>
      <c r="B7" s="161"/>
      <c r="C7" s="82"/>
      <c r="D7" s="162"/>
      <c r="E7" s="162"/>
      <c r="F7" s="82"/>
      <c r="G7" s="82"/>
      <c r="H7" s="62"/>
      <c r="I7" s="62"/>
      <c r="J7" s="62"/>
      <c r="K7" s="59"/>
      <c r="L7" s="59"/>
      <c r="M7" s="59"/>
      <c r="N7" s="103"/>
      <c r="O7" s="101"/>
    </row>
    <row r="8" spans="1:15" ht="30" customHeight="1" x14ac:dyDescent="0.3">
      <c r="B8" s="29"/>
      <c r="C8" s="30"/>
      <c r="D8" s="30"/>
      <c r="E8" s="30"/>
      <c r="F8" s="30"/>
      <c r="G8" s="30"/>
      <c r="H8" s="30"/>
      <c r="I8" s="30"/>
      <c r="J8" s="30" t="s">
        <v>12</v>
      </c>
      <c r="K8" s="30"/>
      <c r="L8" s="30"/>
      <c r="M8" s="30"/>
      <c r="N8" s="164"/>
    </row>
    <row r="9" spans="1:15" ht="30" customHeight="1" x14ac:dyDescent="0.3">
      <c r="B9" s="105" t="s">
        <v>13</v>
      </c>
      <c r="C9" s="75"/>
      <c r="D9" s="75"/>
      <c r="E9" s="75"/>
      <c r="F9" s="75"/>
      <c r="G9" s="75"/>
      <c r="H9" s="59" t="e">
        <f>PERCENTILE($H$6:$H$6,0.9)</f>
        <v>#NUM!</v>
      </c>
      <c r="I9" s="59" t="e">
        <f>PERCENTILE($I$6:$I$6,0.9)</f>
        <v>#NUM!</v>
      </c>
      <c r="J9" s="59" t="e">
        <f>PERCENTILE($J$6:$J$6,0.9)</f>
        <v>#NUM!</v>
      </c>
      <c r="K9" s="59" t="e">
        <f>PERCENTILE($K$6:$K$6,0.9)</f>
        <v>#NUM!</v>
      </c>
      <c r="L9" s="59" t="e">
        <f>PERCENTILE($L$6:$L$6,0.9)</f>
        <v>#NUM!</v>
      </c>
      <c r="M9" s="59" t="e">
        <f>PERCENTILE($M$6:$M$6,0.9)</f>
        <v>#NUM!</v>
      </c>
      <c r="N9" s="102" t="str">
        <f>IFERROR(PERCENTILE($N$6:$N$6,0.9),"---")</f>
        <v>---</v>
      </c>
    </row>
    <row r="10" spans="1:15" ht="30" customHeight="1" x14ac:dyDescent="0.3">
      <c r="B10" s="104" t="s">
        <v>14</v>
      </c>
      <c r="C10" s="82"/>
      <c r="D10" s="82"/>
      <c r="E10" s="82"/>
      <c r="F10" s="82"/>
      <c r="G10" s="82"/>
      <c r="H10" s="62" t="e">
        <f>PERCENTILE($H$6:$H$6,0.75)</f>
        <v>#NUM!</v>
      </c>
      <c r="I10" s="62" t="e">
        <f>PERCENTILE($I$6:$I$6,0.75)</f>
        <v>#NUM!</v>
      </c>
      <c r="J10" s="62" t="e">
        <f>PERCENTILE($J$6:$J$6,0.75)</f>
        <v>#NUM!</v>
      </c>
      <c r="K10" s="62" t="e">
        <f>PERCENTILE($K$6:$K$6,0.75)</f>
        <v>#NUM!</v>
      </c>
      <c r="L10" s="62" t="e">
        <f>PERCENTILE($L$6:$L$6,0.75)</f>
        <v>#NUM!</v>
      </c>
      <c r="M10" s="62" t="e">
        <f>PERCENTILE($M$6:$M$6,0.75)</f>
        <v>#NUM!</v>
      </c>
      <c r="N10" s="103" t="str">
        <f>IFERROR(PERCENTILE($N$6:$N$6,0.75),"---")</f>
        <v>---</v>
      </c>
    </row>
    <row r="11" spans="1:15" ht="30" customHeight="1" x14ac:dyDescent="0.3">
      <c r="B11" s="106" t="s">
        <v>15</v>
      </c>
      <c r="C11" s="77"/>
      <c r="D11" s="77"/>
      <c r="E11" s="77"/>
      <c r="F11" s="77"/>
      <c r="G11" s="77"/>
      <c r="H11" s="78" t="e">
        <f t="shared" ref="H11:M11" si="0">MEDIAN(H6:H6)</f>
        <v>#NUM!</v>
      </c>
      <c r="I11" s="78" t="e">
        <f t="shared" si="0"/>
        <v>#NUM!</v>
      </c>
      <c r="J11" s="78" t="e">
        <f t="shared" si="0"/>
        <v>#NUM!</v>
      </c>
      <c r="K11" s="78" t="e">
        <f t="shared" si="0"/>
        <v>#NUM!</v>
      </c>
      <c r="L11" s="78" t="e">
        <f t="shared" si="0"/>
        <v>#NUM!</v>
      </c>
      <c r="M11" s="78" t="e">
        <f t="shared" si="0"/>
        <v>#NUM!</v>
      </c>
      <c r="N11" s="107" t="str">
        <f>IFERROR(MEDIAN(N6:N6),"---")</f>
        <v>---</v>
      </c>
    </row>
    <row r="12" spans="1:15" ht="30" customHeight="1" x14ac:dyDescent="0.3">
      <c r="B12" s="104" t="s">
        <v>16</v>
      </c>
      <c r="C12" s="82"/>
      <c r="D12" s="82"/>
      <c r="E12" s="82"/>
      <c r="F12" s="82"/>
      <c r="G12" s="82"/>
      <c r="H12" s="62" t="e">
        <f>PERCENTILE($H$6:$H$6,0.25)</f>
        <v>#NUM!</v>
      </c>
      <c r="I12" s="62" t="e">
        <f>PERCENTILE($I$6:$I$6,0.25)</f>
        <v>#NUM!</v>
      </c>
      <c r="J12" s="62" t="e">
        <f>PERCENTILE($J$6:$J$6,0.25)</f>
        <v>#NUM!</v>
      </c>
      <c r="K12" s="62" t="e">
        <f>PERCENTILE($K$6:$K$6,0.25)</f>
        <v>#NUM!</v>
      </c>
      <c r="L12" s="62" t="e">
        <f>PERCENTILE($L$6:$L$6,0.25)</f>
        <v>#NUM!</v>
      </c>
      <c r="M12" s="62" t="e">
        <f>PERCENTILE($M$6:$M$6,0.25)</f>
        <v>#NUM!</v>
      </c>
      <c r="N12" s="103" t="str">
        <f>IFERROR(PERCENTILE($N$6:$N$6,0.25),"---")</f>
        <v>---</v>
      </c>
    </row>
    <row r="13" spans="1:15" ht="30" customHeight="1" x14ac:dyDescent="0.3">
      <c r="N13" s="6"/>
    </row>
    <row r="14" spans="1:15" ht="30" customHeight="1" x14ac:dyDescent="0.3">
      <c r="A14" s="66">
        <v>100</v>
      </c>
      <c r="B14" s="29" t="str">
        <f>B2</f>
        <v>NFP Organization XYZ</v>
      </c>
      <c r="C14" s="30"/>
      <c r="D14" s="30"/>
      <c r="E14" s="30"/>
      <c r="F14" s="30" t="str">
        <f>SETUP!C9</f>
        <v>Cambridge</v>
      </c>
      <c r="G14" s="99" t="str">
        <f>SETUP!C10</f>
        <v>Massachusetts</v>
      </c>
      <c r="H14" s="33">
        <f>SETUP!C11</f>
        <v>999999</v>
      </c>
      <c r="I14" s="33">
        <f>SETUP!C13</f>
        <v>999999</v>
      </c>
      <c r="J14" s="33">
        <f>SETUP!C12</f>
        <v>999999</v>
      </c>
      <c r="K14" s="33">
        <f>SETUP!C11/1000000</f>
        <v>0.99999899999999997</v>
      </c>
      <c r="L14" s="33">
        <f>SETUP!C13/1000000</f>
        <v>0.99999899999999997</v>
      </c>
      <c r="M14" s="33">
        <f>SETUP!C12/1000000</f>
        <v>0.99999899999999997</v>
      </c>
      <c r="N14" s="83">
        <f>SETUP!C14</f>
        <v>50</v>
      </c>
    </row>
    <row r="15" spans="1:15" ht="30" customHeight="1" x14ac:dyDescent="0.3"/>
  </sheetData>
  <autoFilter ref="A5:O5" xr:uid="{0BB2107F-3F47-4C6C-A971-3D6217FC4528}"/>
  <pageMargins left="0.2" right="0.2" top="0.5" bottom="0.5" header="0.3" footer="0.3"/>
  <pageSetup scale="45" fitToWidth="0" fitToHeight="0" orientation="portrait" horizontalDpi="4294967293" verticalDpi="0" r:id="rId1"/>
  <headerFooter>
    <oddFooter>&amp;C&amp;"Arial,Regular"&amp;10 Copyright © 2021 by SullivanCotter&amp;R&amp;"Arial,Regular"&amp;10&amp;P&amp;L&amp;G</oddFooter>
  </headerFooter>
  <colBreaks count="1" manualBreakCount="1">
    <brk id="14" max="1048575" man="1"/>
  </colBreaks>
  <legacyDrawingHF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4D6C73-1F09-435D-B15B-666702D29536}">
  <sheetPr codeName="Sheet3">
    <pageSetUpPr fitToPage="1"/>
  </sheetPr>
  <dimension ref="A1:AT15"/>
  <sheetViews>
    <sheetView showGridLines="0" zoomScale="80" zoomScaleNormal="85" zoomScaleSheetLayoutView="85" workbookViewId="0">
      <selection activeCell="D30" sqref="D30"/>
    </sheetView>
  </sheetViews>
  <sheetFormatPr defaultColWidth="9.1796875" defaultRowHeight="13" outlineLevelCol="1" x14ac:dyDescent="0.3"/>
  <cols>
    <col min="1" max="1" width="7.54296875" style="7" bestFit="1" customWidth="1"/>
    <col min="2" max="2" width="34.1796875" style="7" customWidth="1"/>
    <col min="3" max="3" width="10.81640625" style="7" customWidth="1" outlineLevel="1"/>
    <col min="4" max="4" width="11" style="7" bestFit="1" customWidth="1" outlineLevel="1"/>
    <col min="5" max="5" width="10.36328125" style="7" customWidth="1" outlineLevel="1"/>
    <col min="6" max="6" width="10.90625" style="7" bestFit="1" customWidth="1"/>
    <col min="7" max="7" width="11.81640625" style="7" customWidth="1"/>
    <col min="8" max="8" width="16.1796875" style="154" bestFit="1" customWidth="1"/>
    <col min="9" max="9" width="31.54296875" style="154" bestFit="1" customWidth="1"/>
    <col min="10" max="10" width="15.90625" style="7" bestFit="1" customWidth="1"/>
    <col min="11" max="11" width="20.08984375" style="7" bestFit="1" customWidth="1"/>
    <col min="12" max="12" width="17.08984375" style="7" bestFit="1" customWidth="1"/>
    <col min="13" max="13" width="16.90625" style="7" bestFit="1" customWidth="1"/>
    <col min="14" max="14" width="13.81640625" style="7" customWidth="1" outlineLevel="1"/>
    <col min="15" max="15" width="12.81640625" style="7" customWidth="1" outlineLevel="1"/>
    <col min="16" max="16" width="11.1796875" style="7" customWidth="1" outlineLevel="1"/>
    <col min="17" max="17" width="14.1796875" style="7" customWidth="1" outlineLevel="1"/>
    <col min="18" max="18" width="10.54296875" style="7" customWidth="1" outlineLevel="1"/>
    <col min="19" max="19" width="11" style="7" customWidth="1" outlineLevel="1"/>
    <col min="20" max="20" width="16.54296875" style="7" customWidth="1" outlineLevel="1"/>
    <col min="21" max="21" width="10.81640625" style="7" customWidth="1" outlineLevel="1"/>
    <col min="22" max="22" width="15.54296875" style="7" customWidth="1" outlineLevel="1"/>
    <col min="23" max="23" width="11.54296875" style="7" customWidth="1" outlineLevel="1"/>
    <col min="24" max="27" width="16.81640625" style="7" customWidth="1"/>
    <col min="28" max="28" width="17.54296875" style="7" customWidth="1"/>
    <col min="29" max="30" width="16.81640625" style="7" customWidth="1"/>
    <col min="31" max="31" width="16.81640625" style="7" customWidth="1" outlineLevel="1"/>
    <col min="32" max="32" width="4.453125" style="16" customWidth="1"/>
    <col min="33" max="46" width="16.81640625" style="7" customWidth="1" outlineLevel="1"/>
    <col min="47" max="16384" width="9.1796875" style="7"/>
  </cols>
  <sheetData>
    <row r="1" spans="1:46" s="1" customFormat="1" ht="25.5" x14ac:dyDescent="0.55000000000000004">
      <c r="B1" s="22" t="str">
        <f>SETUP!$C$4</f>
        <v>NFP Organization XYZ</v>
      </c>
      <c r="C1" s="2"/>
      <c r="H1" s="148"/>
      <c r="I1" s="148"/>
      <c r="J1" s="8"/>
      <c r="U1" s="171" t="s">
        <v>47</v>
      </c>
      <c r="V1" s="171"/>
      <c r="W1" s="64">
        <f>DataEffDate</f>
        <v>45292</v>
      </c>
      <c r="AF1" s="9"/>
    </row>
    <row r="2" spans="1:46" s="1" customFormat="1" ht="18" x14ac:dyDescent="0.4">
      <c r="B2" s="10" t="s">
        <v>63</v>
      </c>
      <c r="C2" s="10"/>
      <c r="D2" s="11"/>
      <c r="E2" s="4"/>
      <c r="F2" s="4"/>
      <c r="G2" s="4"/>
      <c r="H2" s="149"/>
      <c r="I2" s="149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12" t="s">
        <v>33</v>
      </c>
      <c r="AE2" s="4"/>
      <c r="AF2" s="9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</row>
    <row r="3" spans="1:46" s="1" customFormat="1" ht="14.5" x14ac:dyDescent="0.35">
      <c r="H3" s="148"/>
      <c r="I3" s="148"/>
      <c r="AF3" s="9"/>
    </row>
    <row r="4" spans="1:46" s="13" customFormat="1" ht="15" customHeight="1" x14ac:dyDescent="0.35">
      <c r="B4" s="168" t="str">
        <f>"Peer Group Data ($000) - Effective: "&amp;TEXT(W1,"mmmm d, Yyyy")</f>
        <v>Peer Group Data ($000) - Effective: January 1, 2024</v>
      </c>
      <c r="C4" s="168"/>
      <c r="D4" s="168"/>
      <c r="E4" s="168"/>
      <c r="F4" s="168"/>
      <c r="G4" s="168"/>
      <c r="H4" s="168"/>
      <c r="I4" s="168"/>
      <c r="J4" s="168"/>
      <c r="K4" s="168"/>
      <c r="L4" s="168"/>
      <c r="M4" s="168"/>
      <c r="N4" s="67"/>
      <c r="O4" s="67"/>
      <c r="P4" s="169" t="s">
        <v>28</v>
      </c>
      <c r="Q4" s="169"/>
      <c r="R4" s="169"/>
      <c r="S4" s="169"/>
      <c r="T4" s="169"/>
      <c r="U4" s="169"/>
      <c r="V4" s="169"/>
      <c r="W4" s="68"/>
      <c r="X4" s="174"/>
      <c r="Y4" s="174"/>
      <c r="Z4" s="174"/>
      <c r="AA4" s="174"/>
      <c r="AB4" s="174"/>
      <c r="AC4" s="174"/>
      <c r="AD4" s="174"/>
      <c r="AE4" s="35" t="s">
        <v>11</v>
      </c>
      <c r="AF4" s="14"/>
      <c r="AG4" s="173" t="s">
        <v>30</v>
      </c>
      <c r="AH4" s="173"/>
      <c r="AI4" s="173"/>
      <c r="AJ4" s="173"/>
      <c r="AK4" s="173"/>
      <c r="AL4" s="173"/>
      <c r="AM4" s="173"/>
      <c r="AN4" s="172" t="s">
        <v>31</v>
      </c>
      <c r="AO4" s="172"/>
      <c r="AP4" s="172"/>
      <c r="AQ4" s="172"/>
      <c r="AR4" s="172"/>
      <c r="AS4" s="172"/>
      <c r="AT4" s="172"/>
    </row>
    <row r="5" spans="1:46" ht="36" customHeight="1" x14ac:dyDescent="0.3">
      <c r="A5" s="65" t="s">
        <v>1</v>
      </c>
      <c r="B5" s="111" t="s">
        <v>2</v>
      </c>
      <c r="C5" s="111" t="s">
        <v>3</v>
      </c>
      <c r="D5" s="111" t="s">
        <v>4</v>
      </c>
      <c r="E5" s="111" t="s">
        <v>5</v>
      </c>
      <c r="F5" s="111" t="s">
        <v>6</v>
      </c>
      <c r="G5" s="111" t="s">
        <v>7</v>
      </c>
      <c r="H5" s="150" t="s">
        <v>18</v>
      </c>
      <c r="I5" s="150" t="s">
        <v>17</v>
      </c>
      <c r="J5" s="113" t="s">
        <v>8</v>
      </c>
      <c r="K5" s="113" t="s">
        <v>64</v>
      </c>
      <c r="L5" s="113" t="s">
        <v>9</v>
      </c>
      <c r="M5" s="113" t="s">
        <v>10</v>
      </c>
      <c r="N5" s="67" t="s">
        <v>19</v>
      </c>
      <c r="O5" s="67" t="s">
        <v>20</v>
      </c>
      <c r="P5" s="69" t="s">
        <v>21</v>
      </c>
      <c r="Q5" s="69" t="s">
        <v>22</v>
      </c>
      <c r="R5" s="69" t="s">
        <v>24</v>
      </c>
      <c r="S5" s="69" t="s">
        <v>23</v>
      </c>
      <c r="T5" s="69" t="s">
        <v>25</v>
      </c>
      <c r="U5" s="69" t="s">
        <v>26</v>
      </c>
      <c r="V5" s="69" t="s">
        <v>27</v>
      </c>
      <c r="W5" s="68" t="s">
        <v>29</v>
      </c>
      <c r="X5" s="114" t="s">
        <v>21</v>
      </c>
      <c r="Y5" s="114" t="s">
        <v>22</v>
      </c>
      <c r="Z5" s="114" t="s">
        <v>60</v>
      </c>
      <c r="AA5" s="114" t="s">
        <v>23</v>
      </c>
      <c r="AB5" s="114" t="s">
        <v>62</v>
      </c>
      <c r="AC5" s="114" t="s">
        <v>26</v>
      </c>
      <c r="AD5" s="114" t="s">
        <v>61</v>
      </c>
      <c r="AE5" s="36"/>
      <c r="AF5" s="14"/>
      <c r="AG5" s="44" t="s">
        <v>21</v>
      </c>
      <c r="AH5" s="44" t="s">
        <v>22</v>
      </c>
      <c r="AI5" s="44" t="s">
        <v>24</v>
      </c>
      <c r="AJ5" s="44" t="s">
        <v>23</v>
      </c>
      <c r="AK5" s="44" t="s">
        <v>25</v>
      </c>
      <c r="AL5" s="44" t="s">
        <v>26</v>
      </c>
      <c r="AM5" s="44" t="s">
        <v>27</v>
      </c>
      <c r="AN5" s="45" t="s">
        <v>21</v>
      </c>
      <c r="AO5" s="45" t="s">
        <v>22</v>
      </c>
      <c r="AP5" s="45" t="s">
        <v>24</v>
      </c>
      <c r="AQ5" s="45" t="s">
        <v>23</v>
      </c>
      <c r="AR5" s="45" t="s">
        <v>25</v>
      </c>
      <c r="AS5" s="45" t="s">
        <v>26</v>
      </c>
      <c r="AT5" s="45" t="s">
        <v>27</v>
      </c>
    </row>
    <row r="6" spans="1:46" ht="30" customHeight="1" x14ac:dyDescent="0.3">
      <c r="A6" s="65"/>
      <c r="B6" s="116"/>
      <c r="C6" s="151"/>
      <c r="D6" s="70"/>
      <c r="E6" s="70"/>
      <c r="F6" s="71"/>
      <c r="G6" s="71"/>
      <c r="H6" s="151"/>
      <c r="I6" s="151"/>
      <c r="J6" s="59"/>
      <c r="K6" s="59"/>
      <c r="L6" s="59"/>
      <c r="M6" s="72"/>
      <c r="N6" s="98"/>
      <c r="O6" s="76"/>
      <c r="P6" s="98"/>
      <c r="Q6" s="73"/>
      <c r="R6" s="73"/>
      <c r="S6" s="73"/>
      <c r="T6" s="73"/>
      <c r="U6" s="73"/>
      <c r="V6" s="73">
        <f t="shared" ref="V6" si="0">SUM(R6:U6)</f>
        <v>0</v>
      </c>
      <c r="W6" s="97">
        <f>IF(DataEffDate&gt;DATE(2022,1,1),
IF(E6&lt;DATE(2022,1,1),
(1+UpdateFactor)^(IF(E6&lt;DataEffDate,1,-1)*YEARFRAC(E6,DATE(2022,1,1),1))+(1+UpdateFactor_TEMP)^(IF(DATE(2022,1,1)&lt;DataEffDate,1,-1)*YEARFRAC(DATE(2022,1,1),DataEffDate,1))-1,
(1+UpdateFactor_TEMP)^(IF(E6&lt;DataEffDate,1,-1)*YEARFRAC(E6,DataEffDate,1))),
(1+UpdateFactor)^(IF(E6&lt;DataEffDate,1,-1)*YEARFRAC(E6,DataEffDate,1)))</f>
        <v>36.913096727263202</v>
      </c>
      <c r="X6" s="58">
        <f t="shared" ref="X6" si="1">P6*$W6</f>
        <v>0</v>
      </c>
      <c r="Y6" s="59">
        <f t="shared" ref="Y6" si="2">Q6*$W6</f>
        <v>0</v>
      </c>
      <c r="Z6" s="59">
        <f t="shared" ref="Z6" si="3">SUM(X6:Y6)</f>
        <v>0</v>
      </c>
      <c r="AA6" s="59">
        <f t="shared" ref="AA6" si="4">S6*$W6</f>
        <v>0</v>
      </c>
      <c r="AB6" s="59">
        <f t="shared" ref="AB6" si="5">T6*$W6</f>
        <v>0</v>
      </c>
      <c r="AC6" s="59">
        <f t="shared" ref="AC6" si="6">U6*$W6</f>
        <v>0</v>
      </c>
      <c r="AD6" s="60">
        <f t="shared" ref="AD6" si="7">SUM(Z6:AC6)</f>
        <v>0</v>
      </c>
      <c r="AE6" s="43"/>
      <c r="AF6" s="15"/>
      <c r="AG6" s="58"/>
      <c r="AH6" s="59"/>
      <c r="AI6" s="59"/>
      <c r="AJ6" s="59"/>
      <c r="AK6" s="59"/>
      <c r="AL6" s="59"/>
      <c r="AM6" s="59"/>
      <c r="AN6" s="59" t="str">
        <f t="shared" ref="AN6" si="8">IFERROR(P6/AG6-1,"---")</f>
        <v>---</v>
      </c>
      <c r="AO6" s="59" t="str">
        <f t="shared" ref="AO6" si="9">IFERROR(Q6/AH6-1,"---")</f>
        <v>---</v>
      </c>
      <c r="AP6" s="59" t="str">
        <f t="shared" ref="AP6" si="10">IFERROR(R6/AI6-1,"---")</f>
        <v>---</v>
      </c>
      <c r="AQ6" s="59" t="str">
        <f t="shared" ref="AQ6" si="11">IFERROR(S6/AJ6-1,"---")</f>
        <v>---</v>
      </c>
      <c r="AR6" s="59" t="str">
        <f t="shared" ref="AR6" si="12">IFERROR(T6/AK6-1,"---")</f>
        <v>---</v>
      </c>
      <c r="AS6" s="59" t="str">
        <f t="shared" ref="AS6" si="13">IFERROR(U6/AL6-1,"---")</f>
        <v>---</v>
      </c>
      <c r="AT6" s="60" t="str">
        <f t="shared" ref="AT6" si="14">IFERROR(V6/AM6-1,"---")</f>
        <v>---</v>
      </c>
    </row>
    <row r="7" spans="1:46" ht="30" customHeight="1" x14ac:dyDescent="0.3">
      <c r="A7" s="65"/>
      <c r="B7" s="116"/>
      <c r="C7" s="151"/>
      <c r="D7" s="70"/>
      <c r="E7" s="70"/>
      <c r="F7" s="71"/>
      <c r="G7" s="71"/>
      <c r="H7" s="151"/>
      <c r="I7" s="151"/>
      <c r="J7" s="59"/>
      <c r="K7" s="59"/>
      <c r="L7" s="59"/>
      <c r="M7" s="72"/>
      <c r="N7" s="98"/>
      <c r="O7" s="76"/>
      <c r="P7" s="98"/>
      <c r="Q7" s="73"/>
      <c r="R7" s="73"/>
      <c r="S7" s="73"/>
      <c r="T7" s="73"/>
      <c r="U7" s="73"/>
      <c r="V7" s="73"/>
      <c r="W7" s="97"/>
      <c r="X7" s="58"/>
      <c r="Y7" s="59"/>
      <c r="Z7" s="59"/>
      <c r="AA7" s="59"/>
      <c r="AB7" s="59"/>
      <c r="AC7" s="59"/>
      <c r="AD7" s="60"/>
      <c r="AE7" s="43"/>
      <c r="AF7" s="15"/>
      <c r="AG7" s="158"/>
      <c r="AH7" s="159"/>
      <c r="AI7" s="159"/>
      <c r="AJ7" s="159"/>
      <c r="AK7" s="159"/>
      <c r="AL7" s="159"/>
      <c r="AM7" s="159"/>
      <c r="AN7" s="159"/>
      <c r="AO7" s="159"/>
      <c r="AP7" s="159"/>
      <c r="AQ7" s="159"/>
      <c r="AR7" s="159"/>
      <c r="AS7" s="159"/>
      <c r="AT7" s="160"/>
    </row>
    <row r="8" spans="1:46" ht="30" customHeight="1" x14ac:dyDescent="0.3">
      <c r="B8" s="165" t="s">
        <v>12</v>
      </c>
      <c r="C8" s="165"/>
      <c r="D8" s="165"/>
      <c r="E8" s="165"/>
      <c r="F8" s="165"/>
      <c r="G8" s="165"/>
      <c r="H8" s="165"/>
      <c r="I8" s="165"/>
      <c r="J8" s="165"/>
      <c r="K8" s="165"/>
      <c r="L8" s="165"/>
      <c r="M8" s="165"/>
      <c r="N8" s="165"/>
      <c r="O8" s="165" t="s">
        <v>12</v>
      </c>
      <c r="P8" s="165"/>
      <c r="Q8" s="165"/>
      <c r="R8" s="165"/>
      <c r="S8" s="165"/>
      <c r="T8" s="165"/>
      <c r="U8" s="165"/>
      <c r="V8" s="165"/>
      <c r="W8" s="165"/>
      <c r="X8" s="165"/>
      <c r="Y8" s="165"/>
      <c r="Z8" s="165"/>
      <c r="AA8" s="165"/>
      <c r="AB8" s="165"/>
      <c r="AC8" s="165"/>
      <c r="AD8" s="165"/>
      <c r="AE8" s="166"/>
      <c r="AF8" s="17"/>
      <c r="AG8" s="17"/>
      <c r="AH8" s="17"/>
      <c r="AI8" s="17"/>
      <c r="AJ8" s="17"/>
      <c r="AK8" s="17"/>
      <c r="AL8" s="17"/>
      <c r="AM8" s="17"/>
      <c r="AN8" s="17"/>
      <c r="AO8" s="17"/>
      <c r="AP8" s="17"/>
      <c r="AQ8" s="17"/>
      <c r="AR8" s="17"/>
      <c r="AS8" s="17"/>
      <c r="AT8" s="17"/>
    </row>
    <row r="9" spans="1:46" ht="30" customHeight="1" x14ac:dyDescent="0.3">
      <c r="B9" s="104" t="s">
        <v>13</v>
      </c>
      <c r="C9" s="82"/>
      <c r="D9" s="82"/>
      <c r="E9" s="82"/>
      <c r="F9" s="82"/>
      <c r="G9" s="82"/>
      <c r="H9" s="152"/>
      <c r="I9" s="152"/>
      <c r="J9" s="62" t="e">
        <f>PERCENTILE($J$6:$J$6,0.9)</f>
        <v>#NUM!</v>
      </c>
      <c r="K9" s="62" t="e">
        <f>PERCENTILE($K$6:$K$6,0.9)</f>
        <v>#NUM!</v>
      </c>
      <c r="L9" s="62" t="e">
        <f>PERCENTILE($L$6:$L$6,0.9)</f>
        <v>#NUM!</v>
      </c>
      <c r="M9" s="74" t="e">
        <f>PERCENTILE($M$6:$M$6,0.9)</f>
        <v>#NUM!</v>
      </c>
      <c r="N9" s="85"/>
      <c r="O9" s="86"/>
      <c r="P9" s="85"/>
      <c r="Q9" s="80"/>
      <c r="R9" s="80"/>
      <c r="S9" s="80"/>
      <c r="T9" s="80"/>
      <c r="U9" s="80"/>
      <c r="V9" s="80"/>
      <c r="W9" s="86"/>
      <c r="X9" s="62">
        <f t="shared" ref="X9:AD9" si="15">PERCENTILE(X6:X6,0.9)</f>
        <v>0</v>
      </c>
      <c r="Y9" s="62">
        <f t="shared" si="15"/>
        <v>0</v>
      </c>
      <c r="Z9" s="62">
        <f t="shared" si="15"/>
        <v>0</v>
      </c>
      <c r="AA9" s="62">
        <f t="shared" si="15"/>
        <v>0</v>
      </c>
      <c r="AB9" s="62">
        <f t="shared" si="15"/>
        <v>0</v>
      </c>
      <c r="AC9" s="62">
        <f t="shared" si="15"/>
        <v>0</v>
      </c>
      <c r="AD9" s="63">
        <f t="shared" si="15"/>
        <v>0</v>
      </c>
      <c r="AE9" s="40"/>
      <c r="AF9" s="18"/>
      <c r="AG9" s="46"/>
      <c r="AH9" s="18"/>
      <c r="AI9" s="18"/>
      <c r="AJ9" s="18"/>
      <c r="AK9" s="18"/>
      <c r="AL9" s="18"/>
      <c r="AM9" s="18"/>
      <c r="AN9" s="18"/>
      <c r="AO9" s="18"/>
      <c r="AP9" s="18"/>
      <c r="AQ9" s="18"/>
      <c r="AR9" s="18"/>
      <c r="AS9" s="18"/>
      <c r="AT9" s="47"/>
    </row>
    <row r="10" spans="1:46" ht="30" customHeight="1" x14ac:dyDescent="0.3">
      <c r="B10" s="104" t="s">
        <v>14</v>
      </c>
      <c r="C10" s="82"/>
      <c r="D10" s="82"/>
      <c r="E10" s="82"/>
      <c r="F10" s="82"/>
      <c r="G10" s="82"/>
      <c r="H10" s="152"/>
      <c r="I10" s="152"/>
      <c r="J10" s="62" t="e">
        <f>PERCENTILE($J$6:$J$6,0.75)</f>
        <v>#NUM!</v>
      </c>
      <c r="K10" s="62" t="e">
        <f>PERCENTILE($K$6:$K$6,0.75)</f>
        <v>#NUM!</v>
      </c>
      <c r="L10" s="62" t="e">
        <f>PERCENTILE($L$6:$L$6,0.75)</f>
        <v>#NUM!</v>
      </c>
      <c r="M10" s="74" t="e">
        <f>PERCENTILE($M$6:$M$6,0.75)</f>
        <v>#NUM!</v>
      </c>
      <c r="N10" s="85"/>
      <c r="O10" s="86"/>
      <c r="P10" s="85"/>
      <c r="Q10" s="80"/>
      <c r="R10" s="80"/>
      <c r="S10" s="80"/>
      <c r="T10" s="80"/>
      <c r="U10" s="80"/>
      <c r="V10" s="80"/>
      <c r="W10" s="86"/>
      <c r="X10" s="62">
        <f t="shared" ref="X10:AD10" si="16">PERCENTILE(X6:X6,0.75)</f>
        <v>0</v>
      </c>
      <c r="Y10" s="62">
        <f t="shared" si="16"/>
        <v>0</v>
      </c>
      <c r="Z10" s="62">
        <f t="shared" si="16"/>
        <v>0</v>
      </c>
      <c r="AA10" s="62">
        <f t="shared" si="16"/>
        <v>0</v>
      </c>
      <c r="AB10" s="62">
        <f t="shared" si="16"/>
        <v>0</v>
      </c>
      <c r="AC10" s="62">
        <f t="shared" si="16"/>
        <v>0</v>
      </c>
      <c r="AD10" s="63">
        <f t="shared" si="16"/>
        <v>0</v>
      </c>
      <c r="AE10" s="40"/>
      <c r="AF10" s="18"/>
      <c r="AG10" s="46"/>
      <c r="AH10" s="18"/>
      <c r="AI10" s="18"/>
      <c r="AJ10" s="18"/>
      <c r="AK10" s="18"/>
      <c r="AL10" s="18"/>
      <c r="AM10" s="18"/>
      <c r="AN10" s="18"/>
      <c r="AO10" s="18"/>
      <c r="AP10" s="18"/>
      <c r="AQ10" s="18"/>
      <c r="AR10" s="18"/>
      <c r="AS10" s="18"/>
      <c r="AT10" s="47"/>
    </row>
    <row r="11" spans="1:46" ht="30" customHeight="1" x14ac:dyDescent="0.3">
      <c r="B11" s="106" t="s">
        <v>15</v>
      </c>
      <c r="C11" s="77"/>
      <c r="D11" s="77"/>
      <c r="E11" s="77"/>
      <c r="F11" s="77"/>
      <c r="G11" s="77"/>
      <c r="H11" s="153"/>
      <c r="I11" s="153"/>
      <c r="J11" s="78" t="e">
        <f>MEDIAN(J6:J6)</f>
        <v>#NUM!</v>
      </c>
      <c r="K11" s="78" t="e">
        <f>MEDIAN(K6:K6)</f>
        <v>#NUM!</v>
      </c>
      <c r="L11" s="78" t="e">
        <f>MEDIAN(L6:L6)</f>
        <v>#NUM!</v>
      </c>
      <c r="M11" s="79" t="e">
        <f>MEDIAN(M6:M6)</f>
        <v>#NUM!</v>
      </c>
      <c r="N11" s="85"/>
      <c r="O11" s="86"/>
      <c r="P11" s="85"/>
      <c r="Q11" s="80"/>
      <c r="R11" s="80"/>
      <c r="S11" s="80"/>
      <c r="T11" s="80"/>
      <c r="U11" s="80"/>
      <c r="V11" s="80"/>
      <c r="W11" s="86"/>
      <c r="X11" s="78">
        <f t="shared" ref="X11:AD11" si="17">MEDIAN(X6:X6)</f>
        <v>0</v>
      </c>
      <c r="Y11" s="78">
        <f t="shared" si="17"/>
        <v>0</v>
      </c>
      <c r="Z11" s="78">
        <f t="shared" si="17"/>
        <v>0</v>
      </c>
      <c r="AA11" s="78">
        <f t="shared" si="17"/>
        <v>0</v>
      </c>
      <c r="AB11" s="78">
        <f t="shared" si="17"/>
        <v>0</v>
      </c>
      <c r="AC11" s="78">
        <f t="shared" si="17"/>
        <v>0</v>
      </c>
      <c r="AD11" s="81">
        <f t="shared" si="17"/>
        <v>0</v>
      </c>
      <c r="AE11" s="41"/>
      <c r="AF11" s="18"/>
      <c r="AG11" s="46"/>
      <c r="AH11" s="18"/>
      <c r="AI11" s="18"/>
      <c r="AJ11" s="18"/>
      <c r="AK11" s="18"/>
      <c r="AL11" s="18"/>
      <c r="AM11" s="18"/>
      <c r="AN11" s="18"/>
      <c r="AO11" s="18"/>
      <c r="AP11" s="18"/>
      <c r="AQ11" s="18"/>
      <c r="AR11" s="18"/>
      <c r="AS11" s="18"/>
      <c r="AT11" s="47"/>
    </row>
    <row r="12" spans="1:46" ht="30" customHeight="1" x14ac:dyDescent="0.3">
      <c r="B12" s="104" t="s">
        <v>16</v>
      </c>
      <c r="C12" s="82"/>
      <c r="D12" s="82"/>
      <c r="E12" s="82"/>
      <c r="F12" s="82"/>
      <c r="G12" s="82"/>
      <c r="H12" s="152"/>
      <c r="I12" s="152"/>
      <c r="J12" s="62" t="e">
        <f>PERCENTILE($J$6:$J$6,0.25)</f>
        <v>#NUM!</v>
      </c>
      <c r="K12" s="62" t="e">
        <f>PERCENTILE($K$6:$K$6,0.25)</f>
        <v>#NUM!</v>
      </c>
      <c r="L12" s="62" t="e">
        <f>PERCENTILE($L$6:$L$6,0.25)</f>
        <v>#NUM!</v>
      </c>
      <c r="M12" s="74" t="e">
        <f>PERCENTILE($M$6:$M$6,0.25)</f>
        <v>#NUM!</v>
      </c>
      <c r="N12" s="85"/>
      <c r="O12" s="86"/>
      <c r="P12" s="85"/>
      <c r="Q12" s="80"/>
      <c r="R12" s="80"/>
      <c r="S12" s="80"/>
      <c r="T12" s="80"/>
      <c r="U12" s="80"/>
      <c r="V12" s="80"/>
      <c r="W12" s="86"/>
      <c r="X12" s="62">
        <f t="shared" ref="X12:AD12" si="18">PERCENTILE(X6:X6,0.25)</f>
        <v>0</v>
      </c>
      <c r="Y12" s="62">
        <f t="shared" si="18"/>
        <v>0</v>
      </c>
      <c r="Z12" s="62">
        <f t="shared" si="18"/>
        <v>0</v>
      </c>
      <c r="AA12" s="62">
        <f t="shared" si="18"/>
        <v>0</v>
      </c>
      <c r="AB12" s="62">
        <f t="shared" si="18"/>
        <v>0</v>
      </c>
      <c r="AC12" s="62">
        <f t="shared" si="18"/>
        <v>0</v>
      </c>
      <c r="AD12" s="63">
        <f t="shared" si="18"/>
        <v>0</v>
      </c>
      <c r="AE12" s="40"/>
      <c r="AF12" s="18"/>
      <c r="AG12" s="48"/>
      <c r="AH12" s="19"/>
      <c r="AI12" s="19"/>
      <c r="AJ12" s="19"/>
      <c r="AK12" s="19"/>
      <c r="AL12" s="19"/>
      <c r="AM12" s="19"/>
      <c r="AN12" s="19"/>
      <c r="AO12" s="19"/>
      <c r="AP12" s="19"/>
      <c r="AQ12" s="19"/>
      <c r="AR12" s="19"/>
      <c r="AS12" s="19"/>
      <c r="AT12" s="49"/>
    </row>
    <row r="13" spans="1:46" ht="30" customHeight="1" x14ac:dyDescent="0.3">
      <c r="N13" s="87"/>
      <c r="O13" s="89"/>
      <c r="P13" s="87"/>
      <c r="Q13" s="88"/>
      <c r="R13" s="88"/>
      <c r="S13" s="88"/>
      <c r="T13" s="88"/>
      <c r="U13" s="88"/>
      <c r="V13" s="88"/>
      <c r="W13" s="89"/>
      <c r="AE13" s="42"/>
      <c r="AG13" s="50"/>
      <c r="AH13" s="170" t="s">
        <v>21</v>
      </c>
      <c r="AI13" s="170"/>
      <c r="AJ13" s="170"/>
      <c r="AK13" s="170"/>
      <c r="AL13" s="170" t="s">
        <v>24</v>
      </c>
      <c r="AM13" s="170"/>
      <c r="AN13" s="170"/>
      <c r="AO13" s="170"/>
      <c r="AP13" s="170" t="s">
        <v>27</v>
      </c>
      <c r="AQ13" s="170"/>
      <c r="AR13" s="170"/>
      <c r="AS13" s="170"/>
      <c r="AT13" s="51"/>
    </row>
    <row r="14" spans="1:46" ht="30" customHeight="1" x14ac:dyDescent="0.3">
      <c r="B14" s="29" t="str">
        <f>$B$1</f>
        <v>NFP Organization XYZ</v>
      </c>
      <c r="C14" s="30"/>
      <c r="D14" s="30"/>
      <c r="E14" s="30"/>
      <c r="F14" s="31" t="str">
        <f>SETUP!C9</f>
        <v>Cambridge</v>
      </c>
      <c r="G14" s="32" t="str">
        <f>SETUP!C10</f>
        <v>Massachusetts</v>
      </c>
      <c r="H14" s="155" t="s">
        <v>18</v>
      </c>
      <c r="I14" s="155" t="s">
        <v>17</v>
      </c>
      <c r="J14" s="33">
        <f>SETUP!C11/1000000</f>
        <v>0.99999899999999997</v>
      </c>
      <c r="K14" s="33">
        <f>SETUP!C13/1000000</f>
        <v>0.99999899999999997</v>
      </c>
      <c r="L14" s="33">
        <f>SETUP!C12/1000000</f>
        <v>0.99999899999999997</v>
      </c>
      <c r="M14" s="83">
        <f>SETUP!C14</f>
        <v>50</v>
      </c>
      <c r="N14" s="108"/>
      <c r="O14" s="110"/>
      <c r="P14" s="108"/>
      <c r="Q14" s="109"/>
      <c r="R14" s="109"/>
      <c r="S14" s="109"/>
      <c r="T14" s="109"/>
      <c r="U14" s="109"/>
      <c r="V14" s="109">
        <f>COUNTIF(V6:V6,"&lt;&gt;---")</f>
        <v>1</v>
      </c>
      <c r="W14" s="110"/>
      <c r="X14" s="33">
        <v>0</v>
      </c>
      <c r="Y14" s="33">
        <v>0</v>
      </c>
      <c r="Z14" s="33">
        <f>SUM(X14:Y14)</f>
        <v>0</v>
      </c>
      <c r="AA14" s="33">
        <v>0</v>
      </c>
      <c r="AB14" s="33">
        <v>0</v>
      </c>
      <c r="AC14" s="33">
        <v>0</v>
      </c>
      <c r="AD14" s="34">
        <f>SUM(Z14:AC14)</f>
        <v>0</v>
      </c>
      <c r="AE14" s="37"/>
      <c r="AF14" s="17"/>
      <c r="AG14" s="52">
        <f>A15+0.99</f>
        <v>100.99</v>
      </c>
      <c r="AH14" s="57">
        <f>X12</f>
        <v>0</v>
      </c>
      <c r="AI14" s="57">
        <f>X11</f>
        <v>0</v>
      </c>
      <c r="AJ14" s="57">
        <f>X10</f>
        <v>0</v>
      </c>
      <c r="AK14" s="57">
        <f>X9</f>
        <v>0</v>
      </c>
      <c r="AL14" s="57">
        <f>Z12</f>
        <v>0</v>
      </c>
      <c r="AM14" s="57">
        <f>Z11</f>
        <v>0</v>
      </c>
      <c r="AN14" s="57">
        <f>Z10</f>
        <v>0</v>
      </c>
      <c r="AO14" s="57">
        <f>Z9</f>
        <v>0</v>
      </c>
      <c r="AP14" s="57">
        <f>AD12</f>
        <v>0</v>
      </c>
      <c r="AQ14" s="57">
        <f>AD11</f>
        <v>0</v>
      </c>
      <c r="AR14" s="57">
        <f>AD10</f>
        <v>0</v>
      </c>
      <c r="AS14" s="57">
        <f>AD9</f>
        <v>0</v>
      </c>
      <c r="AT14" s="53"/>
    </row>
    <row r="15" spans="1:46" ht="30" customHeight="1" x14ac:dyDescent="0.3">
      <c r="A15" s="66">
        <f>'PEER GROUP'!A14</f>
        <v>100</v>
      </c>
      <c r="B15" s="115" t="s">
        <v>32</v>
      </c>
      <c r="C15" s="94"/>
      <c r="D15" s="94"/>
      <c r="E15" s="94"/>
      <c r="F15" s="94"/>
      <c r="G15" s="94"/>
      <c r="H15" s="156"/>
      <c r="I15" s="157"/>
      <c r="J15" s="95" t="str">
        <f>IFERROR(IF(J14&lt;J12,"&lt;25",IF(J14&lt;=J11,25+25*(J14-J12)/(J11-J12),IF(J14&lt;=J10,50+25*(J14-J11)/(J10-J11),IF(J14&lt;=J9,75+15*(J14-J10)/(J9-J10),IF(J14/J9&lt;1.005,90,"&gt;90 (+"&amp;TEXT(J14/J9-1,"0%")&amp;")"))))),"---")</f>
        <v>---</v>
      </c>
      <c r="K15" s="95" t="str">
        <f>IFERROR(IF(K14&lt;K12,"&lt;25",IF(K14&lt;=K11,25+25*(K14-K12)/(K11-K12),IF(K14&lt;=K10,50+25*(K14-K11)/(K10-K11),IF(K14&lt;=K9,75+15*(K14-K10)/(K9-K10),IF(K14/K9&lt;1.005,90,"&gt;90 (+"&amp;TEXT(K14/K9-1,"0%")&amp;")"))))),"---")</f>
        <v>---</v>
      </c>
      <c r="L15" s="95" t="str">
        <f>IFERROR(IF(L14&lt;L12,"&lt;25",IF(L14&lt;=L11,25+25*(L14-L12)/(L11-L12),IF(L14&lt;=L10,50+25*(L14-L11)/(L10-L11),IF(L14&lt;=L9,75+15*(L14-L10)/(L9-L10),IF(L14/L9&lt;1.005,90,"&gt;90 (+"&amp;TEXT(L14/L9-1,"0%")&amp;")"))))),"---")</f>
        <v>---</v>
      </c>
      <c r="M15" s="96" t="str">
        <f>IFERROR(IF(M14&lt;M12,"&lt;25",IF(M14&lt;=M11,25+25*(M14-M12)/(M11-M12),IF(M14&lt;=M10,50+25*(M14-M11)/(M10-M11),IF(M14&lt;=M9,75+15*(M14-M10)/(M9-M10),IF(M14/M9&lt;1.005,90,"&gt;90 (+"&amp;TEXT(M14/M9-1,"0%")&amp;")"))))),"---")</f>
        <v>---</v>
      </c>
      <c r="N15" s="90"/>
      <c r="O15" s="91"/>
      <c r="P15" s="90"/>
      <c r="Q15" s="92"/>
      <c r="R15" s="92"/>
      <c r="S15" s="92"/>
      <c r="T15" s="92"/>
      <c r="U15" s="92"/>
      <c r="V15" s="92"/>
      <c r="W15" s="91"/>
      <c r="X15" s="93" t="str">
        <f>IFERROR(IF(X14&lt;X12,"&lt;25",IF(X14&lt;=X11,25+25*(X14-X12)/(X11-X12),IF(X14&lt;=X10,50+25*(X14-X11)/(X10-X11),IF(X14&lt;=X9,75+15*(X14-X10)/(X9-X10),IF(X14/X9&lt;1.005,90,"&gt;90 (+"&amp;TEXT(X14/X9-1,"0%")&amp;")"))))),"---")</f>
        <v>---</v>
      </c>
      <c r="Y15" s="94"/>
      <c r="Z15" s="95" t="str">
        <f>IFERROR(IF(Z14&lt;Z12,"&lt;25",IF(Z14&lt;=Z11,25+25*(Z14-Z12)/(Z11-Z12),IF(Z14&lt;=Z10,50+25*(Z14-Z11)/(Z10-Z11),IF(Z14&lt;=Z9,75+15*(Z14-Z10)/(Z9-Z10),IF(Z14/Z9&lt;1.005,90,"&gt;90 (+"&amp;TEXT(Z14/Z9-1,"0%")&amp;")"))))),"---")</f>
        <v>---</v>
      </c>
      <c r="AA15" s="94"/>
      <c r="AB15" s="94"/>
      <c r="AC15" s="94"/>
      <c r="AD15" s="96" t="str">
        <f>IFERROR(IF(AD14&lt;AD12,"&lt;25",IF(AD14&lt;=AD11,25+25*(AD14-AD12)/(AD11-AD12),IF(AD14&lt;=AD10,50+25*(AD14-AD11)/(AD10-AD11),IF(AD14&lt;=AD9,75+15*(AD14-AD10)/(AD9-AD10),IF(AD14/AD9&lt;1.005,90,"&gt;90 (+"&amp;TEXT(AD14/AD9-1,"0%")&amp;")"))))),"---")</f>
        <v>---</v>
      </c>
      <c r="AE15" s="38"/>
      <c r="AG15" s="54"/>
      <c r="AH15" s="55"/>
      <c r="AI15" s="55"/>
      <c r="AJ15" s="55"/>
      <c r="AK15" s="55"/>
      <c r="AL15" s="55"/>
      <c r="AM15" s="55"/>
      <c r="AN15" s="55"/>
      <c r="AO15" s="55"/>
      <c r="AP15" s="55"/>
      <c r="AQ15" s="55"/>
      <c r="AR15" s="55"/>
      <c r="AS15" s="55"/>
      <c r="AT15" s="56"/>
    </row>
  </sheetData>
  <autoFilter ref="A5:AT5" xr:uid="{474D6C73-1F09-435D-B15B-666702D29536}"/>
  <mergeCells count="9">
    <mergeCell ref="AP13:AS13"/>
    <mergeCell ref="AN4:AT4"/>
    <mergeCell ref="AG4:AM4"/>
    <mergeCell ref="X4:AD4"/>
    <mergeCell ref="B4:M4"/>
    <mergeCell ref="P4:V4"/>
    <mergeCell ref="AH13:AK13"/>
    <mergeCell ref="AL13:AO13"/>
    <mergeCell ref="U1:V1"/>
  </mergeCells>
  <pageMargins left="0.2" right="0.2" top="0.5" bottom="0.5" header="0.3" footer="0.3"/>
  <pageSetup scale="29" fitToHeight="0" orientation="landscape" horizontalDpi="4294967293" verticalDpi="300" r:id="rId1"/>
  <headerFooter>
    <oddFooter>&amp;C&amp;"Arial,Regular"&amp;10 Copyright © 2021 by SullivanCotter&amp;R&amp;"Arial,Regular"&amp;10&amp;P&amp;L&amp;G</oddFooter>
  </headerFooter>
  <colBreaks count="1" manualBreakCount="1">
    <brk id="36" max="1048575" man="1"/>
  </colBreaks>
  <ignoredErrors>
    <ignoredError sqref="Z6" formula="1"/>
  </ignoredErrors>
  <legacyDrawingHF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BCF957-D841-4677-B1FD-71E314951E93}">
  <sheetPr codeName="Sheet4">
    <pageSetUpPr fitToPage="1"/>
  </sheetPr>
  <dimension ref="A1:AS15"/>
  <sheetViews>
    <sheetView showGridLines="0" zoomScale="90" zoomScaleNormal="90" zoomScaleSheetLayoutView="85" workbookViewId="0">
      <selection activeCell="C24" sqref="C24"/>
    </sheetView>
  </sheetViews>
  <sheetFormatPr defaultColWidth="9.1796875" defaultRowHeight="13" outlineLevelCol="1" x14ac:dyDescent="0.3"/>
  <cols>
    <col min="1" max="1" width="7.54296875" style="6" bestFit="1" customWidth="1"/>
    <col min="2" max="2" width="34.1796875" style="6" customWidth="1"/>
    <col min="3" max="3" width="10.81640625" style="6" customWidth="1" outlineLevel="1"/>
    <col min="4" max="4" width="10.81640625" style="6" bestFit="1" customWidth="1" outlineLevel="1"/>
    <col min="5" max="5" width="10.1796875" style="6" customWidth="1" outlineLevel="1"/>
    <col min="6" max="6" width="10.90625" style="6" bestFit="1" customWidth="1"/>
    <col min="7" max="7" width="11.81640625" style="6" customWidth="1"/>
    <col min="8" max="8" width="16.1796875" style="6" bestFit="1" customWidth="1"/>
    <col min="9" max="9" width="31.54296875" style="6" bestFit="1" customWidth="1"/>
    <col min="10" max="10" width="15.90625" style="6" bestFit="1" customWidth="1"/>
    <col min="11" max="11" width="20.08984375" style="6" bestFit="1" customWidth="1"/>
    <col min="12" max="12" width="16.90625" style="6" bestFit="1" customWidth="1"/>
    <col min="13" max="13" width="13.81640625" style="6" customWidth="1" outlineLevel="1"/>
    <col min="14" max="18" width="12.81640625" style="6" customWidth="1" outlineLevel="1"/>
    <col min="19" max="19" width="11.54296875" style="6" customWidth="1" outlineLevel="1"/>
    <col min="20" max="23" width="16.81640625" style="6" customWidth="1"/>
    <col min="24" max="24" width="16.81640625" style="6" customWidth="1" outlineLevel="1"/>
    <col min="25" max="25" width="4.453125" style="6" customWidth="1"/>
    <col min="26" max="35" width="16.81640625" style="6" customWidth="1" outlineLevel="1"/>
    <col min="36" max="16384" width="9.1796875" style="6"/>
  </cols>
  <sheetData>
    <row r="1" spans="1:45" s="1" customFormat="1" ht="25.5" x14ac:dyDescent="0.55000000000000004">
      <c r="B1" s="22" t="str">
        <f>SETUP!$C$4</f>
        <v>NFP Organization XYZ</v>
      </c>
      <c r="C1" s="2"/>
      <c r="J1" s="8"/>
      <c r="R1" s="122"/>
      <c r="S1" s="64">
        <f>DataEffDate</f>
        <v>45292</v>
      </c>
    </row>
    <row r="2" spans="1:45" s="1" customFormat="1" ht="18" x14ac:dyDescent="0.4">
      <c r="B2" s="10" t="s">
        <v>63</v>
      </c>
      <c r="C2" s="3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12" t="s">
        <v>33</v>
      </c>
      <c r="X2" s="11"/>
      <c r="Z2" s="4"/>
      <c r="AA2" s="4"/>
      <c r="AB2" s="4"/>
      <c r="AC2" s="4"/>
      <c r="AD2" s="4"/>
      <c r="AE2" s="4"/>
      <c r="AF2" s="4"/>
      <c r="AG2" s="4"/>
      <c r="AH2" s="4"/>
      <c r="AI2" s="4"/>
    </row>
    <row r="3" spans="1:45" s="1" customFormat="1" ht="14.5" x14ac:dyDescent="0.35"/>
    <row r="4" spans="1:45" s="1" customFormat="1" ht="15" customHeight="1" x14ac:dyDescent="0.35">
      <c r="B4" s="168" t="str">
        <f>"Peer Group Data ($000) - Effective: "&amp;TEXT(S1,"mmmm d, Yyyy")</f>
        <v>Peer Group Data ($000) - Effective: January 1, 2024</v>
      </c>
      <c r="C4" s="168"/>
      <c r="D4" s="168"/>
      <c r="E4" s="168"/>
      <c r="F4" s="168"/>
      <c r="G4" s="168"/>
      <c r="H4" s="168"/>
      <c r="I4" s="168"/>
      <c r="J4" s="168"/>
      <c r="K4" s="168"/>
      <c r="L4" s="168"/>
      <c r="M4" s="67" t="s">
        <v>19</v>
      </c>
      <c r="N4" s="67" t="s">
        <v>20</v>
      </c>
      <c r="O4" s="169" t="s">
        <v>28</v>
      </c>
      <c r="P4" s="169"/>
      <c r="Q4" s="169"/>
      <c r="R4" s="169"/>
      <c r="S4" s="68"/>
      <c r="T4" s="174"/>
      <c r="U4" s="174"/>
      <c r="V4" s="174"/>
      <c r="W4" s="174"/>
      <c r="X4" s="123" t="s">
        <v>11</v>
      </c>
      <c r="Y4" s="124"/>
      <c r="Z4" s="173" t="s">
        <v>30</v>
      </c>
      <c r="AA4" s="173"/>
      <c r="AB4" s="173"/>
      <c r="AC4" s="175" t="s">
        <v>31</v>
      </c>
      <c r="AD4" s="175"/>
      <c r="AE4" s="175"/>
      <c r="AF4" s="175"/>
      <c r="AG4" s="175"/>
      <c r="AH4" s="175"/>
      <c r="AI4" s="175"/>
    </row>
    <row r="5" spans="1:45" ht="36" customHeight="1" x14ac:dyDescent="0.3">
      <c r="A5" s="100" t="s">
        <v>1</v>
      </c>
      <c r="B5" s="111" t="s">
        <v>2</v>
      </c>
      <c r="C5" s="111" t="s">
        <v>3</v>
      </c>
      <c r="D5" s="111" t="s">
        <v>4</v>
      </c>
      <c r="E5" s="111" t="s">
        <v>5</v>
      </c>
      <c r="F5" s="111" t="s">
        <v>6</v>
      </c>
      <c r="G5" s="111" t="s">
        <v>7</v>
      </c>
      <c r="H5" s="112" t="s">
        <v>18</v>
      </c>
      <c r="I5" s="112" t="s">
        <v>17</v>
      </c>
      <c r="J5" s="113" t="s">
        <v>8</v>
      </c>
      <c r="K5" s="113" t="s">
        <v>68</v>
      </c>
      <c r="L5" s="113" t="s">
        <v>10</v>
      </c>
      <c r="M5" s="67"/>
      <c r="N5" s="67"/>
      <c r="O5" s="69" t="s">
        <v>69</v>
      </c>
      <c r="P5" s="69" t="s">
        <v>70</v>
      </c>
      <c r="Q5" s="69" t="s">
        <v>71</v>
      </c>
      <c r="R5" s="69" t="s">
        <v>27</v>
      </c>
      <c r="S5" s="68" t="s">
        <v>29</v>
      </c>
      <c r="T5" s="114" t="s">
        <v>69</v>
      </c>
      <c r="U5" s="114" t="s">
        <v>70</v>
      </c>
      <c r="V5" s="114" t="s">
        <v>71</v>
      </c>
      <c r="W5" s="114" t="s">
        <v>45</v>
      </c>
      <c r="X5" s="123"/>
      <c r="Y5" s="124"/>
      <c r="Z5" s="44" t="s">
        <v>21</v>
      </c>
      <c r="AA5" s="44" t="s">
        <v>26</v>
      </c>
      <c r="AB5" s="44" t="s">
        <v>27</v>
      </c>
      <c r="AC5" s="125" t="s">
        <v>21</v>
      </c>
      <c r="AD5" s="125" t="s">
        <v>22</v>
      </c>
      <c r="AE5" s="125" t="s">
        <v>24</v>
      </c>
      <c r="AF5" s="125" t="s">
        <v>23</v>
      </c>
      <c r="AG5" s="125" t="s">
        <v>25</v>
      </c>
      <c r="AH5" s="125" t="s">
        <v>26</v>
      </c>
      <c r="AI5" s="125" t="s">
        <v>27</v>
      </c>
    </row>
    <row r="6" spans="1:45" ht="30" customHeight="1" x14ac:dyDescent="0.3">
      <c r="A6" s="100"/>
      <c r="B6" s="116"/>
      <c r="C6" s="70"/>
      <c r="D6" s="70"/>
      <c r="E6" s="70"/>
      <c r="F6" s="71"/>
      <c r="G6" s="71"/>
      <c r="H6" s="151"/>
      <c r="I6" s="151"/>
      <c r="J6" s="59"/>
      <c r="K6" s="59"/>
      <c r="L6" s="72"/>
      <c r="M6" s="98"/>
      <c r="N6" s="76"/>
      <c r="O6" s="98"/>
      <c r="P6" s="73"/>
      <c r="Q6" s="73"/>
      <c r="R6" s="73">
        <f>SUM(O6:Q6)</f>
        <v>0</v>
      </c>
      <c r="S6" s="97">
        <f t="shared" ref="S6" si="0">IF(DataEffDate&gt;DATE(2022,1,1),
IF(E6&lt;DATE(2022,1,1),
(1+UpdateFactor)^(IF(E6&lt;DataEffDate,1,-1)*YEARFRAC(E6,DATE(2022,1,1),1))+(1+UpdateFactor_TEMP)^(IF(DATE(2022,1,1)&lt;DataEffDate,1,-1)*YEARFRAC(DATE(2022,1,1),DataEffDate,1))-1,
(1+UpdateFactor_TEMP)^(IF(E6&lt;DataEffDate,1,-1)*YEARFRAC(E6,DataEffDate,1))),
(1+UpdateFactor)^(IF(E6&lt;DataEffDate,1,-1)*YEARFRAC(E6,DataEffDate,1)))</f>
        <v>36.913096727263202</v>
      </c>
      <c r="T6" s="58">
        <f>O6*$S6</f>
        <v>0</v>
      </c>
      <c r="U6" s="59">
        <f>P6*$S6</f>
        <v>0</v>
      </c>
      <c r="V6" s="59">
        <f>Q6*$S6</f>
        <v>0</v>
      </c>
      <c r="W6" s="60">
        <f>SUM(T6:V6)</f>
        <v>0</v>
      </c>
      <c r="X6" s="43"/>
      <c r="Y6" s="126"/>
      <c r="Z6" s="58"/>
      <c r="AA6" s="59"/>
      <c r="AB6" s="59"/>
      <c r="AC6" s="59" t="str">
        <f t="shared" ref="AC6" si="1">IFERROR(O6/Z6-1,"---")</f>
        <v>---</v>
      </c>
      <c r="AD6" s="59" t="str">
        <f>IFERROR(P6/#REF!-1,"---")</f>
        <v>---</v>
      </c>
      <c r="AE6" s="59" t="str">
        <f>IFERROR(#REF!/#REF!-1,"---")</f>
        <v>---</v>
      </c>
      <c r="AF6" s="59" t="str">
        <f>IFERROR(Q6/#REF!-1,"---")</f>
        <v>---</v>
      </c>
      <c r="AG6" s="59" t="str">
        <f>IFERROR(#REF!/#REF!-1,"---")</f>
        <v>---</v>
      </c>
      <c r="AH6" s="59" t="str">
        <f>IFERROR(#REF!/AA6-1,"---")</f>
        <v>---</v>
      </c>
      <c r="AI6" s="60" t="str">
        <f t="shared" ref="AI6" si="2">IFERROR(R6/AB6-1,"---")</f>
        <v>---</v>
      </c>
    </row>
    <row r="7" spans="1:45" ht="30" customHeight="1" x14ac:dyDescent="0.3">
      <c r="A7" s="100"/>
      <c r="B7" s="116"/>
      <c r="C7" s="70"/>
      <c r="D7" s="70"/>
      <c r="E7" s="70"/>
      <c r="F7" s="71"/>
      <c r="G7" s="71"/>
      <c r="H7" s="151"/>
      <c r="I7" s="151"/>
      <c r="J7" s="59"/>
      <c r="K7" s="59"/>
      <c r="L7" s="72"/>
      <c r="M7" s="73"/>
      <c r="N7" s="76"/>
      <c r="O7" s="73"/>
      <c r="P7" s="73"/>
      <c r="Q7" s="73"/>
      <c r="R7" s="73"/>
      <c r="S7" s="97"/>
      <c r="T7" s="58"/>
      <c r="U7" s="59"/>
      <c r="V7" s="59"/>
      <c r="W7" s="60"/>
      <c r="X7" s="43"/>
      <c r="Y7" s="126"/>
      <c r="Z7" s="158"/>
      <c r="AA7" s="159"/>
      <c r="AB7" s="159"/>
      <c r="AC7" s="159"/>
      <c r="AD7" s="159"/>
      <c r="AE7" s="159"/>
      <c r="AF7" s="159"/>
      <c r="AG7" s="159"/>
      <c r="AH7" s="159"/>
      <c r="AI7" s="160"/>
    </row>
    <row r="8" spans="1:45" ht="30" customHeight="1" x14ac:dyDescent="0.3">
      <c r="B8" s="29"/>
      <c r="C8" s="30"/>
      <c r="D8" s="30"/>
      <c r="E8" s="30"/>
      <c r="F8" s="30"/>
      <c r="G8" s="30"/>
      <c r="H8" s="30"/>
      <c r="I8" s="30"/>
      <c r="J8" s="30"/>
      <c r="K8" s="30"/>
      <c r="L8" s="30"/>
      <c r="M8" s="30"/>
      <c r="N8" s="30" t="s">
        <v>12</v>
      </c>
      <c r="O8" s="30"/>
      <c r="P8" s="30"/>
      <c r="Q8" s="30"/>
      <c r="R8" s="30"/>
      <c r="S8" s="30"/>
      <c r="T8" s="30"/>
      <c r="U8" s="30"/>
      <c r="V8" s="30"/>
      <c r="W8" s="164"/>
      <c r="X8" s="121"/>
      <c r="Y8" s="127"/>
      <c r="Z8" s="128"/>
      <c r="AA8" s="127"/>
      <c r="AB8" s="127"/>
      <c r="AC8" s="127"/>
      <c r="AD8" s="127"/>
      <c r="AE8" s="127"/>
      <c r="AF8" s="127"/>
      <c r="AG8" s="127"/>
      <c r="AH8" s="127"/>
      <c r="AI8" s="129"/>
    </row>
    <row r="9" spans="1:45" ht="30" customHeight="1" x14ac:dyDescent="0.3">
      <c r="B9" s="105" t="s">
        <v>13</v>
      </c>
      <c r="C9" s="75"/>
      <c r="D9" s="75"/>
      <c r="E9" s="75"/>
      <c r="F9" s="75"/>
      <c r="G9" s="75"/>
      <c r="H9" s="130"/>
      <c r="I9" s="130"/>
      <c r="J9" s="59" t="e">
        <f>PERCENTILE($J$6:$J$6,0.9)</f>
        <v>#NUM!</v>
      </c>
      <c r="K9" s="59" t="e">
        <f>PERCENTILE($K$6:$K$6,0.9)</f>
        <v>#NUM!</v>
      </c>
      <c r="L9" s="72" t="e">
        <f>PERCENTILE($L$6:$L$6,0.9)</f>
        <v>#NUM!</v>
      </c>
      <c r="M9" s="84"/>
      <c r="N9" s="76"/>
      <c r="O9" s="84"/>
      <c r="P9" s="76"/>
      <c r="Q9" s="76"/>
      <c r="R9" s="76"/>
      <c r="S9" s="76"/>
      <c r="T9" s="58">
        <f>PERCENTILE(T6:T6,0.9)</f>
        <v>0</v>
      </c>
      <c r="U9" s="59">
        <f>PERCENTILE(U6:U6,0.9)</f>
        <v>0</v>
      </c>
      <c r="V9" s="59">
        <f>PERCENTILE(V6:V6,0.9)</f>
        <v>0</v>
      </c>
      <c r="W9" s="60">
        <f>PERCENTILE(W6:W6,0.9)</f>
        <v>0</v>
      </c>
      <c r="X9" s="39"/>
      <c r="Y9" s="131"/>
      <c r="Z9" s="132"/>
      <c r="AA9" s="131"/>
      <c r="AB9" s="131"/>
      <c r="AC9" s="131"/>
      <c r="AD9" s="131"/>
      <c r="AE9" s="131"/>
      <c r="AF9" s="131"/>
      <c r="AG9" s="131"/>
      <c r="AH9" s="131"/>
      <c r="AI9" s="133"/>
    </row>
    <row r="10" spans="1:45" ht="30" customHeight="1" x14ac:dyDescent="0.3">
      <c r="B10" s="104" t="s">
        <v>14</v>
      </c>
      <c r="C10" s="82"/>
      <c r="D10" s="82"/>
      <c r="E10" s="82"/>
      <c r="F10" s="82"/>
      <c r="G10" s="82"/>
      <c r="H10" s="134"/>
      <c r="I10" s="134"/>
      <c r="J10" s="62" t="e">
        <f>PERCENTILE($J$6:$J$6,0.75)</f>
        <v>#NUM!</v>
      </c>
      <c r="K10" s="62" t="e">
        <f>PERCENTILE($K$6:$K$6,0.75)</f>
        <v>#NUM!</v>
      </c>
      <c r="L10" s="74" t="e">
        <f>PERCENTILE($L$6:$L$6,0.75)</f>
        <v>#NUM!</v>
      </c>
      <c r="M10" s="85"/>
      <c r="N10" s="80"/>
      <c r="O10" s="85"/>
      <c r="P10" s="80"/>
      <c r="Q10" s="80"/>
      <c r="R10" s="80"/>
      <c r="S10" s="80"/>
      <c r="T10" s="61">
        <f>PERCENTILE(T6:T6,0.75)</f>
        <v>0</v>
      </c>
      <c r="U10" s="62">
        <f>PERCENTILE(U6:U6,0.75)</f>
        <v>0</v>
      </c>
      <c r="V10" s="62">
        <f>PERCENTILE(V6:V6,0.75)</f>
        <v>0</v>
      </c>
      <c r="W10" s="63">
        <f>PERCENTILE(W6:W6,0.75)</f>
        <v>0</v>
      </c>
      <c r="X10" s="40"/>
      <c r="Y10" s="131"/>
      <c r="Z10" s="132"/>
      <c r="AA10" s="131"/>
      <c r="AB10" s="131"/>
      <c r="AC10" s="131"/>
      <c r="AD10" s="131"/>
      <c r="AE10" s="131"/>
      <c r="AF10" s="131"/>
      <c r="AG10" s="131"/>
      <c r="AH10" s="131"/>
      <c r="AI10" s="133"/>
    </row>
    <row r="11" spans="1:45" ht="30" customHeight="1" x14ac:dyDescent="0.3">
      <c r="B11" s="106" t="s">
        <v>15</v>
      </c>
      <c r="C11" s="77"/>
      <c r="D11" s="77"/>
      <c r="E11" s="77"/>
      <c r="F11" s="77"/>
      <c r="G11" s="77"/>
      <c r="H11" s="135"/>
      <c r="I11" s="135"/>
      <c r="J11" s="78" t="e">
        <f>MEDIAN(J6:J6)</f>
        <v>#NUM!</v>
      </c>
      <c r="K11" s="78" t="e">
        <f>MEDIAN(K6:K6)</f>
        <v>#NUM!</v>
      </c>
      <c r="L11" s="79" t="e">
        <f>MEDIAN(L6:L6)</f>
        <v>#NUM!</v>
      </c>
      <c r="M11" s="85"/>
      <c r="N11" s="80"/>
      <c r="O11" s="85"/>
      <c r="P11" s="80"/>
      <c r="Q11" s="80"/>
      <c r="R11" s="80"/>
      <c r="S11" s="80"/>
      <c r="T11" s="136">
        <f>MEDIAN(T6:T6)</f>
        <v>0</v>
      </c>
      <c r="U11" s="78">
        <f>MEDIAN(U6:U6)</f>
        <v>0</v>
      </c>
      <c r="V11" s="78">
        <f>MEDIAN(V6:V6)</f>
        <v>0</v>
      </c>
      <c r="W11" s="81">
        <f>MEDIAN(W6:W6)</f>
        <v>0</v>
      </c>
      <c r="X11" s="41"/>
      <c r="Y11" s="131"/>
      <c r="Z11" s="132"/>
      <c r="AA11" s="131"/>
      <c r="AB11" s="131"/>
      <c r="AC11" s="131"/>
      <c r="AD11" s="131"/>
      <c r="AE11" s="131"/>
      <c r="AF11" s="131"/>
      <c r="AG11" s="131"/>
      <c r="AH11" s="131"/>
      <c r="AI11" s="133"/>
    </row>
    <row r="12" spans="1:45" ht="30" customHeight="1" x14ac:dyDescent="0.3">
      <c r="B12" s="104" t="s">
        <v>16</v>
      </c>
      <c r="C12" s="137"/>
      <c r="D12" s="137"/>
      <c r="E12" s="137"/>
      <c r="F12" s="137"/>
      <c r="G12" s="137"/>
      <c r="H12" s="138"/>
      <c r="I12" s="138"/>
      <c r="J12" s="126" t="e">
        <f>PERCENTILE($J$6:$J$6,0.25)</f>
        <v>#NUM!</v>
      </c>
      <c r="K12" s="126" t="e">
        <f>PERCENTILE($K$6:$K$6,0.25)</f>
        <v>#NUM!</v>
      </c>
      <c r="L12" s="131" t="e">
        <f>PERCENTILE($L$6:$L$6,0.25)</f>
        <v>#NUM!</v>
      </c>
      <c r="M12" s="85"/>
      <c r="N12" s="86"/>
      <c r="O12" s="139"/>
      <c r="P12" s="139"/>
      <c r="Q12" s="139"/>
      <c r="R12" s="139"/>
      <c r="S12" s="139"/>
      <c r="T12" s="61">
        <f>PERCENTILE(T6:T6,0.25)</f>
        <v>0</v>
      </c>
      <c r="U12" s="126">
        <f>PERCENTILE(U6:U6,0.25)</f>
        <v>0</v>
      </c>
      <c r="V12" s="126">
        <f>PERCENTILE(V6:V6,0.25)</f>
        <v>0</v>
      </c>
      <c r="W12" s="126">
        <f>PERCENTILE(W6:W6,0.25)</f>
        <v>0</v>
      </c>
      <c r="X12" s="40"/>
      <c r="Y12" s="131"/>
      <c r="Z12" s="140"/>
      <c r="AA12" s="141"/>
      <c r="AB12" s="141"/>
      <c r="AC12" s="141"/>
      <c r="AD12" s="141"/>
      <c r="AE12" s="141"/>
      <c r="AF12" s="141"/>
      <c r="AG12" s="141"/>
      <c r="AH12" s="141"/>
      <c r="AI12" s="142"/>
    </row>
    <row r="13" spans="1:45" ht="30" customHeight="1" x14ac:dyDescent="0.3">
      <c r="B13" s="143"/>
      <c r="C13" s="94"/>
      <c r="D13" s="94"/>
      <c r="E13" s="94"/>
      <c r="F13" s="94"/>
      <c r="G13" s="94"/>
      <c r="H13" s="94"/>
      <c r="I13" s="94"/>
      <c r="J13" s="94"/>
      <c r="K13" s="94"/>
      <c r="L13" s="144"/>
      <c r="M13" s="145"/>
      <c r="N13" s="145"/>
      <c r="O13" s="90"/>
      <c r="P13" s="92"/>
      <c r="Q13" s="92"/>
      <c r="R13" s="92"/>
      <c r="S13" s="92"/>
      <c r="T13" s="94"/>
      <c r="U13" s="94"/>
      <c r="V13" s="94"/>
      <c r="W13" s="144"/>
      <c r="X13" s="42"/>
      <c r="Z13" s="146"/>
      <c r="AA13" s="170" t="s">
        <v>24</v>
      </c>
      <c r="AB13" s="170"/>
      <c r="AC13" s="170"/>
      <c r="AD13" s="170"/>
      <c r="AE13" s="170" t="s">
        <v>27</v>
      </c>
      <c r="AF13" s="170"/>
      <c r="AG13" s="170"/>
      <c r="AH13" s="170"/>
      <c r="AI13" s="147"/>
    </row>
    <row r="14" spans="1:45" s="7" customFormat="1" ht="30" customHeight="1" x14ac:dyDescent="0.3">
      <c r="B14" s="29" t="str">
        <f>$B$1</f>
        <v>NFP Organization XYZ</v>
      </c>
      <c r="C14" s="30"/>
      <c r="D14" s="30"/>
      <c r="E14" s="31" t="str">
        <f>SETUP!C9</f>
        <v>Cambridge</v>
      </c>
      <c r="F14" s="32" t="str">
        <f>SETUP!C10</f>
        <v>Massachusetts</v>
      </c>
      <c r="G14" s="155" t="s">
        <v>18</v>
      </c>
      <c r="H14" s="155" t="s">
        <v>17</v>
      </c>
      <c r="I14" s="33"/>
      <c r="J14" s="33">
        <f>SETUP!C11/1000000</f>
        <v>0.99999899999999997</v>
      </c>
      <c r="K14" s="33">
        <f>SETUP!C13/1000000</f>
        <v>0.99999899999999997</v>
      </c>
      <c r="L14" s="83">
        <f>SETUP!C14</f>
        <v>50</v>
      </c>
      <c r="M14" s="118"/>
      <c r="N14" s="120"/>
      <c r="O14" s="118"/>
      <c r="P14" s="119"/>
      <c r="Q14" s="119"/>
      <c r="R14" s="119"/>
      <c r="S14" s="119"/>
      <c r="T14" s="119"/>
      <c r="U14" s="119">
        <f>COUNTIF(V6:V6,"&lt;&gt;---")</f>
        <v>1</v>
      </c>
      <c r="V14" s="120"/>
      <c r="W14" s="33">
        <v>0</v>
      </c>
      <c r="X14" s="33">
        <v>0</v>
      </c>
      <c r="Y14" s="33">
        <f>SUM(W14:X14)</f>
        <v>0</v>
      </c>
      <c r="Z14" s="33">
        <v>0</v>
      </c>
      <c r="AA14" s="33">
        <v>0</v>
      </c>
      <c r="AB14" s="33">
        <v>0</v>
      </c>
      <c r="AC14" s="34">
        <f>SUM(Y14:AB14)</f>
        <v>0</v>
      </c>
      <c r="AD14" s="167"/>
      <c r="AE14" s="17"/>
      <c r="AF14" s="52">
        <f>A15+0.99</f>
        <v>100.99</v>
      </c>
      <c r="AG14" s="57">
        <f>X12</f>
        <v>0</v>
      </c>
      <c r="AH14" s="57">
        <f>X11</f>
        <v>0</v>
      </c>
      <c r="AI14" s="57">
        <f>X10</f>
        <v>0</v>
      </c>
      <c r="AJ14" s="57">
        <f>X9</f>
        <v>0</v>
      </c>
      <c r="AK14" s="57">
        <f>Z12</f>
        <v>0</v>
      </c>
      <c r="AL14" s="57">
        <f>Z11</f>
        <v>0</v>
      </c>
      <c r="AM14" s="57">
        <f>Z10</f>
        <v>0</v>
      </c>
      <c r="AN14" s="57">
        <f>Z9</f>
        <v>0</v>
      </c>
      <c r="AO14" s="57">
        <f>AD12</f>
        <v>0</v>
      </c>
      <c r="AP14" s="57">
        <f>AD11</f>
        <v>0</v>
      </c>
      <c r="AQ14" s="57">
        <f>AD10</f>
        <v>0</v>
      </c>
      <c r="AR14" s="57">
        <f>AD9</f>
        <v>0</v>
      </c>
      <c r="AS14" s="53"/>
    </row>
    <row r="15" spans="1:45" s="7" customFormat="1" ht="30" customHeight="1" x14ac:dyDescent="0.3">
      <c r="A15" s="66">
        <f>'PEER GROUP'!A14</f>
        <v>100</v>
      </c>
      <c r="B15" s="115" t="s">
        <v>32</v>
      </c>
      <c r="C15" s="94"/>
      <c r="D15" s="94"/>
      <c r="E15" s="94"/>
      <c r="F15" s="94"/>
      <c r="G15" s="156"/>
      <c r="H15" s="157"/>
      <c r="I15" s="95"/>
      <c r="J15" s="95" t="str">
        <f>IFERROR(IF(J14&lt;K12,"&lt;25",IF(J14&lt;=K11,25+25*(J14-K12)/(K11-K12),IF(J14&lt;=K10,50+25*(J14-K11)/(K10-K11),IF(J14&lt;=K9,75+15*(J14-K10)/(K9-K10),IF(J14/K9&lt;1.005,90,"&gt;90 (+"&amp;TEXT(J14/K9-1,"0%")&amp;")"))))),"---")</f>
        <v>---</v>
      </c>
      <c r="K15" s="95" t="str">
        <f>IFERROR(IF(K14&lt;L12,"&lt;25",IF(K14&lt;=L11,25+25*(K14-L12)/(L11-L12),IF(K14&lt;=L10,50+25*(K14-L11)/(L10-L11),IF(K14&lt;=L9,75+15*(K14-L10)/(L9-L10),IF(K14/L9&lt;1.005,90,"&gt;90 (+"&amp;TEXT(K14/L9-1,"0%")&amp;")"))))),"---")</f>
        <v>---</v>
      </c>
      <c r="L15" s="96" t="str">
        <f>IFERROR(IF(L14&lt;M12,"&lt;25",IF(L14&lt;=M11,25+25*(L14-M12)/(M11-M12),IF(L14&lt;=M10,50+25*(L14-M11)/(M10-M11),IF(L14&lt;=M9,75+15*(L14-M10)/(M9-M10),IF(L14/M9&lt;1.005,90,"&gt;90 (+"&amp;TEXT(L14/M9-1,"0%")&amp;")"))))),"---")</f>
        <v>---</v>
      </c>
      <c r="M15" s="90"/>
      <c r="N15" s="91"/>
      <c r="O15" s="90"/>
      <c r="P15" s="92"/>
      <c r="Q15" s="92"/>
      <c r="R15" s="92"/>
      <c r="S15" s="92"/>
      <c r="T15" s="92"/>
      <c r="U15" s="92"/>
      <c r="V15" s="91"/>
      <c r="W15" s="93" t="str">
        <f>IFERROR(IF(W14&lt;X12,"&lt;25",IF(W14&lt;=X11,25+25*(W14-X12)/(X11-X12),IF(W14&lt;=X10,50+25*(W14-X11)/(X10-X11),IF(W14&lt;=X9,75+15*(W14-X10)/(X9-X10),IF(W14/X9&lt;1.005,90,"&gt;90 (+"&amp;TEXT(W14/X9-1,"0%")&amp;")"))))),"---")</f>
        <v>---</v>
      </c>
      <c r="X15" s="94"/>
      <c r="Y15" s="95" t="str">
        <f>IFERROR(IF(Y14&lt;Z12,"&lt;25",IF(Y14&lt;=Z11,25+25*(Y14-Z12)/(Z11-Z12),IF(Y14&lt;=Z10,50+25*(Y14-Z11)/(Z10-Z11),IF(Y14&lt;=Z9,75+15*(Y14-Z10)/(Z9-Z10),IF(Y14/Z9&lt;1.005,90,"&gt;90 (+"&amp;TEXT(Y14/Z9-1,"0%")&amp;")"))))),"---")</f>
        <v>---</v>
      </c>
      <c r="Z15" s="94"/>
      <c r="AA15" s="94"/>
      <c r="AB15" s="94"/>
      <c r="AC15" s="96" t="str">
        <f>IFERROR(IF(AC14&lt;AD12,"&lt;25",IF(AC14&lt;=AD11,25+25*(AC14-AD12)/(AD11-AD12),IF(AC14&lt;=AD10,50+25*(AC14-AD11)/(AD10-AD11),IF(AC14&lt;=AD9,75+15*(AC14-AD10)/(AD9-AD10),IF(AC14/AD9&lt;1.005,90,"&gt;90 (+"&amp;TEXT(AC14/AD9-1,"0%")&amp;")"))))),"---")</f>
        <v>---</v>
      </c>
      <c r="AD15" s="38"/>
      <c r="AE15" s="16"/>
      <c r="AF15" s="54"/>
      <c r="AG15" s="55"/>
      <c r="AH15" s="55"/>
      <c r="AI15" s="55"/>
      <c r="AJ15" s="55"/>
      <c r="AK15" s="55"/>
      <c r="AL15" s="55"/>
      <c r="AM15" s="55"/>
      <c r="AN15" s="55"/>
      <c r="AO15" s="55"/>
      <c r="AP15" s="55"/>
      <c r="AQ15" s="55"/>
      <c r="AR15" s="55"/>
      <c r="AS15" s="56"/>
    </row>
  </sheetData>
  <autoFilter ref="A5:AJ5" xr:uid="{474D6C73-1F09-435D-B15B-666702D29536}"/>
  <mergeCells count="7">
    <mergeCell ref="AA13:AD13"/>
    <mergeCell ref="AE13:AH13"/>
    <mergeCell ref="B4:L4"/>
    <mergeCell ref="O4:R4"/>
    <mergeCell ref="T4:W4"/>
    <mergeCell ref="Z4:AB4"/>
    <mergeCell ref="AC4:AI4"/>
  </mergeCells>
  <pageMargins left="0.2" right="0.2" top="0.5" bottom="0.5" header="0.3" footer="0.3"/>
  <pageSetup scale="39" fitToHeight="0" orientation="landscape" horizontalDpi="4294967293" verticalDpi="300" r:id="rId1"/>
  <headerFooter>
    <oddFooter>&amp;C&amp;"Arial,Regular"&amp;10 Copyright © 2021 by SullivanCotter&amp;R&amp;"Arial,Regular"&amp;10&amp;P&amp;L&amp;G</oddFooter>
  </headerFooter>
  <legacyDrawingHF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5A13DE-1B34-4587-A71C-C5664A51B500}">
  <sheetPr codeName="Sheet5"/>
  <dimension ref="A1:O14"/>
  <sheetViews>
    <sheetView showGridLines="0" zoomScaleNormal="100" workbookViewId="0">
      <selection activeCell="C30" sqref="C30"/>
    </sheetView>
  </sheetViews>
  <sheetFormatPr defaultColWidth="9.1796875" defaultRowHeight="13" outlineLevelCol="1" x14ac:dyDescent="0.3"/>
  <cols>
    <col min="1" max="1" width="9.1796875" style="6"/>
    <col min="2" max="2" width="7.453125" style="6" bestFit="1" customWidth="1"/>
    <col min="3" max="3" width="19.81640625" style="6" customWidth="1"/>
    <col min="4" max="4" width="31" style="6" customWidth="1" outlineLevel="1"/>
    <col min="5" max="5" width="16.54296875" style="6" customWidth="1" outlineLevel="1"/>
    <col min="6" max="7" width="11.453125" style="6" customWidth="1" outlineLevel="1"/>
    <col min="8" max="10" width="11.453125" style="6" customWidth="1"/>
    <col min="11" max="11" width="16.1796875" style="6" customWidth="1"/>
    <col min="12" max="13" width="19" style="6" customWidth="1"/>
    <col min="14" max="16384" width="9.1796875" style="6"/>
  </cols>
  <sheetData>
    <row r="1" spans="1:15" s="1" customFormat="1" ht="25.5" x14ac:dyDescent="0.55000000000000004">
      <c r="C1" s="22" t="str">
        <f>'PEER GROUP'!$B$2</f>
        <v>NFP Organization XYZ</v>
      </c>
      <c r="L1" s="13"/>
      <c r="M1" s="13"/>
      <c r="N1" s="13"/>
      <c r="O1" s="13"/>
    </row>
    <row r="2" spans="1:15" s="1" customFormat="1" ht="18" x14ac:dyDescent="0.4">
      <c r="C2" s="3" t="s">
        <v>46</v>
      </c>
      <c r="D2" s="4"/>
      <c r="E2" s="4"/>
      <c r="F2" s="4"/>
      <c r="G2" s="4"/>
      <c r="H2" s="4"/>
      <c r="I2" s="4"/>
      <c r="J2" s="4"/>
      <c r="K2" s="4"/>
      <c r="L2" s="13"/>
      <c r="M2" s="13"/>
      <c r="N2" s="13"/>
      <c r="O2" s="13"/>
    </row>
    <row r="3" spans="1:15" s="1" customFormat="1" ht="14.5" x14ac:dyDescent="0.35"/>
    <row r="5" spans="1:15" ht="27.5" customHeight="1" x14ac:dyDescent="0.3">
      <c r="C5" s="177" t="s">
        <v>34</v>
      </c>
      <c r="D5" s="177"/>
      <c r="E5" s="177"/>
      <c r="F5" s="177"/>
      <c r="G5" s="177"/>
      <c r="H5" s="177"/>
      <c r="I5" s="177"/>
      <c r="J5" s="177"/>
      <c r="K5" s="177"/>
    </row>
    <row r="6" spans="1:15" ht="25.5" customHeight="1" x14ac:dyDescent="0.3">
      <c r="C6" s="178" t="s">
        <v>67</v>
      </c>
      <c r="D6" s="178" t="s">
        <v>35</v>
      </c>
      <c r="E6" s="179" t="s">
        <v>36</v>
      </c>
      <c r="F6" s="179" t="s">
        <v>57</v>
      </c>
      <c r="G6" s="180" t="s">
        <v>37</v>
      </c>
      <c r="H6" s="179"/>
      <c r="I6" s="179"/>
      <c r="J6" s="179"/>
      <c r="K6" s="179" t="s">
        <v>38</v>
      </c>
    </row>
    <row r="7" spans="1:15" ht="25.5" customHeight="1" x14ac:dyDescent="0.3">
      <c r="C7" s="178"/>
      <c r="D7" s="178" t="s">
        <v>39</v>
      </c>
      <c r="E7" s="179" t="s">
        <v>39</v>
      </c>
      <c r="F7" s="179"/>
      <c r="G7" s="23" t="s">
        <v>40</v>
      </c>
      <c r="H7" s="23" t="s">
        <v>41</v>
      </c>
      <c r="I7" s="23" t="s">
        <v>42</v>
      </c>
      <c r="J7" s="23" t="s">
        <v>43</v>
      </c>
      <c r="K7" s="179"/>
    </row>
    <row r="8" spans="1:15" ht="30.75" customHeight="1" x14ac:dyDescent="0.3">
      <c r="A8" s="6">
        <v>100</v>
      </c>
      <c r="B8" s="6">
        <f>A8+0.99</f>
        <v>100.99</v>
      </c>
      <c r="C8" s="176" t="str">
        <f>INDEX('Form 990 - Position Title'!I:I,MATCH('Summary Table'!A8,'Form 990 - Position Title'!A:A,0))&amp;" ("&amp;INDEX('Form 990 - Position Title'!H:H,MATCH('Summary Table'!A8,'Form 990 - Position Title'!A:A,0))&amp;")"</f>
        <v xml:space="preserve"> ()</v>
      </c>
      <c r="D8" s="24" t="s">
        <v>21</v>
      </c>
      <c r="E8" s="25" t="str">
        <f>INDEX('Form 990 - Position Title'!X:X,MATCH('Summary Table'!A8,'Form 990 - Position Title'!A:A,0))</f>
        <v>---</v>
      </c>
      <c r="F8" s="181">
        <f>INDEX('Form 990 - Position Title'!V:V,MATCH('Summary Table'!A8,'Form 990 - Position Title'!A:A,0))</f>
        <v>0</v>
      </c>
      <c r="G8" s="25">
        <f>INDEX('Form 990 - Position Title'!AH:AH,MATCH('Summary Table'!$B8,'Form 990 - Position Title'!$AG:$AG,0))</f>
        <v>0</v>
      </c>
      <c r="H8" s="25">
        <f>INDEX('Form 990 - Position Title'!AI:AI,MATCH('Summary Table'!$B8,'Form 990 - Position Title'!$AG:$AG,0))</f>
        <v>0</v>
      </c>
      <c r="I8" s="25">
        <f>INDEX('Form 990 - Position Title'!AJ:AJ,MATCH('Summary Table'!$B8,'Form 990 - Position Title'!$AG:$AG,0))</f>
        <v>0</v>
      </c>
      <c r="J8" s="25">
        <f>INDEX('Form 990 - Position Title'!AK:AK,MATCH('Summary Table'!$B8,'Form 990 - Position Title'!$AG:$AG,0))</f>
        <v>0</v>
      </c>
      <c r="K8" s="26" t="str">
        <f>IFERROR(IF(E8&lt;$G8,IF(E8/$G8&gt;0.995,25,"&lt;25 ("&amp;TEXT(E8/$G8-1,"0%;-0%")&amp;")"),IF(AND(E8&lt;=$H8,ISNUMBER($H8)),25+25*(E8-$G8)/($H8-$G8),IF(AND(E8&lt;=$I8,ISNUMBER($I8)),50+25*(E8-$H8)/($I8-$H8),IF(AND(E8&lt;=$J8,ISNUMBER($J8)),75+15*(E8-$I8)/($J8-$I8),IF(E8/$J8&lt;1.005,90,"&gt;90 (+"&amp;TEXT(E8/$J8-1,"0%")&amp;")"))))),"---")</f>
        <v>---</v>
      </c>
    </row>
    <row r="9" spans="1:15" ht="30.75" customHeight="1" x14ac:dyDescent="0.3">
      <c r="A9" s="6">
        <v>100</v>
      </c>
      <c r="B9" s="6">
        <f>A9+0.99</f>
        <v>100.99</v>
      </c>
      <c r="C9" s="176"/>
      <c r="D9" s="24" t="s">
        <v>44</v>
      </c>
      <c r="E9" s="25" t="str">
        <f>INDEX('Form 990 - Position Title'!Z:Z,MATCH('Summary Table'!A9,'Form 990 - Position Title'!A:A,0))</f>
        <v>---</v>
      </c>
      <c r="F9" s="181"/>
      <c r="G9" s="25">
        <f>INDEX('Form 990 - Position Title'!AL:AL,MATCH('Summary Table'!$B9,'Form 990 - Position Title'!$AG:$AG,0))</f>
        <v>0</v>
      </c>
      <c r="H9" s="25">
        <f>INDEX('Form 990 - Position Title'!AM:AM,MATCH('Summary Table'!$B9,'Form 990 - Position Title'!$AG:$AG,0))</f>
        <v>0</v>
      </c>
      <c r="I9" s="25">
        <f>INDEX('Form 990 - Position Title'!AN:AN,MATCH('Summary Table'!$B9,'Form 990 - Position Title'!$AG:$AG,0))</f>
        <v>0</v>
      </c>
      <c r="J9" s="25">
        <f>INDEX('Form 990 - Position Title'!AO:AO,MATCH('Summary Table'!$B9,'Form 990 - Position Title'!$AG:$AG,0))</f>
        <v>0</v>
      </c>
      <c r="K9" s="26" t="str">
        <f>IFERROR(IF(E9&lt;$G9,IF(E9/$G9&gt;0.995,25,"&lt;25 ("&amp;TEXT(E9/$G9-1,"0%;-0%")&amp;")"),IF(AND(E9&lt;=$H9,ISNUMBER($H9)),25+25*(E9-$G9)/($H9-$G9),IF(AND(E9&lt;=$I9,ISNUMBER($I9)),50+25*(E9-$H9)/($I9-$H9),IF(AND(E9&lt;=$J9,ISNUMBER($J9)),75+15*(E9-$I9)/($J9-$I9),IF(E9/$J9&lt;1.005,90,"&gt;90 (+"&amp;TEXT(E9/$J9-1,"0%")&amp;")"))))),"---")</f>
        <v>---</v>
      </c>
    </row>
    <row r="10" spans="1:15" ht="30.75" customHeight="1" x14ac:dyDescent="0.3">
      <c r="A10" s="6">
        <v>100</v>
      </c>
      <c r="B10" s="6">
        <f>A10+0.99</f>
        <v>100.99</v>
      </c>
      <c r="C10" s="176"/>
      <c r="D10" s="24" t="s">
        <v>45</v>
      </c>
      <c r="E10" s="25" t="str">
        <f>INDEX('Form 990 - Position Title'!AD:AD,MATCH('Summary Table'!A10,'Form 990 - Position Title'!A:A,0))</f>
        <v>---</v>
      </c>
      <c r="F10" s="181"/>
      <c r="G10" s="25">
        <f>INDEX('Form 990 - Position Title'!AP:AP,MATCH('Summary Table'!$B10,'Form 990 - Position Title'!$AG:$AG,0))</f>
        <v>0</v>
      </c>
      <c r="H10" s="25">
        <f>INDEX('Form 990 - Position Title'!AQ:AQ,MATCH('Summary Table'!$B10,'Form 990 - Position Title'!$AG:$AG,0))</f>
        <v>0</v>
      </c>
      <c r="I10" s="25">
        <f>INDEX('Form 990 - Position Title'!AR:AR,MATCH('Summary Table'!$B10,'Form 990 - Position Title'!$AG:$AG,0))</f>
        <v>0</v>
      </c>
      <c r="J10" s="25">
        <f>INDEX('Form 990 - Position Title'!AS:AS,MATCH('Summary Table'!$B10,'Form 990 - Position Title'!$AG:$AG,0))</f>
        <v>0</v>
      </c>
      <c r="K10" s="26" t="str">
        <f>IFERROR(IF(E10&lt;$G10,IF(E10/$G10&gt;0.995,25,"&lt;25 ("&amp;TEXT(E10/$G10-1,"0%;-0%")&amp;")"),IF(AND(E10&lt;=$H10,ISNUMBER($H10)),25+25*(E10-$G10)/($H10-$G10),IF(AND(E10&lt;=$I10,ISNUMBER($I10)),50+25*(E10-$H10)/($I10-$H10),IF(AND(E10&lt;=$J10,ISNUMBER($J10)),75+15*(E10-$I10)/($J10-$I10),IF(E10/$J10&lt;1.005,90,"&gt;90 (+"&amp;TEXT(E10/$J10-1,"0%")&amp;")"))))),"---")</f>
        <v>---</v>
      </c>
    </row>
    <row r="14" spans="1:15" x14ac:dyDescent="0.3">
      <c r="G14" s="20"/>
    </row>
  </sheetData>
  <mergeCells count="9">
    <mergeCell ref="C8:C10"/>
    <mergeCell ref="C5:K5"/>
    <mergeCell ref="C6:C7"/>
    <mergeCell ref="D6:D7"/>
    <mergeCell ref="E6:E7"/>
    <mergeCell ref="G6:J6"/>
    <mergeCell ref="K6:K7"/>
    <mergeCell ref="F6:F7"/>
    <mergeCell ref="F8:F10"/>
  </mergeCells>
  <pageMargins left="0.2" right="0.2" top="0.5" bottom="0.5" header="0.3" footer="0.3"/>
  <pageSetup scale="45" fitToWidth="0" fitToHeight="0" orientation="portrait" horizontalDpi="4294967293" verticalDpi="0" r:id="rId1"/>
  <headerFooter>
    <oddFooter>&amp;C&amp;"Arial,Regular"&amp;10 Copyright © 2021 by SullivanCotter&amp;R&amp;"Arial,Regular"&amp;10&amp;P&amp;L&amp;G</oddFooter>
  </headerFooter>
  <colBreaks count="1" manualBreakCount="1">
    <brk id="13" max="1048575" man="1"/>
  </colBreaks>
  <legacyDrawingHF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7</vt:i4>
      </vt:variant>
    </vt:vector>
  </HeadingPairs>
  <TitlesOfParts>
    <vt:vector size="12" baseType="lpstr">
      <vt:lpstr>SETUP</vt:lpstr>
      <vt:lpstr>PEER GROUP</vt:lpstr>
      <vt:lpstr>Form 990 - Position Title</vt:lpstr>
      <vt:lpstr>Form 990PF - Position Title</vt:lpstr>
      <vt:lpstr>Summary Table</vt:lpstr>
      <vt:lpstr>DataEffDate</vt:lpstr>
      <vt:lpstr>'Form 990 - Position Title'!Print_Area</vt:lpstr>
      <vt:lpstr>'Form 990PF - Position Title'!Print_Area</vt:lpstr>
      <vt:lpstr>'PEER GROUP'!Print_Area</vt:lpstr>
      <vt:lpstr>'Summary Table'!Print_Area</vt:lpstr>
      <vt:lpstr>UpdateFactor</vt:lpstr>
      <vt:lpstr>UpdateFactor_TEMP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Miranda Wiegerling</dc:creator>
  <cp:lastModifiedBy>Riana Lee</cp:lastModifiedBy>
  <cp:lastPrinted>2023-12-18T15:36:06Z</cp:lastPrinted>
  <dcterms:created xsi:type="dcterms:W3CDTF">2021-03-24T01:29:23Z</dcterms:created>
  <dcterms:modified xsi:type="dcterms:W3CDTF">2024-07-16T18:28:03Z</dcterms:modified>
</cp:coreProperties>
</file>