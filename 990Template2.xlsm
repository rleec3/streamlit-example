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61" documentId="8_{75624B65-669A-4702-A0DF-84E7D7AE42D3}" xr6:coauthVersionLast="47" xr6:coauthVersionMax="47" xr10:uidLastSave="{7C1E8118-CB7A-46A1-BB03-EA5E2480E4C5}"/>
  <bookViews>
    <workbookView xWindow="20230" yWindow="-12280" windowWidth="21600" windowHeight="11410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Title'!$B$1:$AD$17</definedName>
    <definedName name="_xlnm.Print_Area" localSheetId="3">'Form 990PF - Position Title'!$B$1:$W$17</definedName>
    <definedName name="_xlnm.Print_Area" localSheetId="1">'PEER GROUP'!$B$2:$N$16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1" l="1"/>
  <c r="A17" i="2"/>
  <c r="B1" i="6"/>
  <c r="H11" i="1"/>
  <c r="R6" i="6"/>
  <c r="AI6" i="6" s="1"/>
  <c r="AC6" i="6"/>
  <c r="AD6" i="6"/>
  <c r="AE6" i="6"/>
  <c r="AF6" i="6"/>
  <c r="AG6" i="6"/>
  <c r="AH6" i="6"/>
  <c r="S6" i="6"/>
  <c r="V6" i="6" s="1"/>
  <c r="W16" i="6"/>
  <c r="L16" i="6"/>
  <c r="K16" i="6"/>
  <c r="J16" i="6"/>
  <c r="G16" i="6"/>
  <c r="F16" i="6"/>
  <c r="A16" i="6"/>
  <c r="Z16" i="6" s="1"/>
  <c r="S1" i="6"/>
  <c r="B4" i="6" s="1"/>
  <c r="B16" i="6"/>
  <c r="U6" i="6" l="1"/>
  <c r="T6" i="6"/>
  <c r="R16" i="6"/>
  <c r="W6" i="6" l="1"/>
  <c r="N14" i="1" l="1"/>
  <c r="N13" i="1"/>
  <c r="N12" i="1"/>
  <c r="N11" i="1"/>
  <c r="W1" i="2" l="1"/>
  <c r="M6" i="1" l="1"/>
  <c r="L6" i="1"/>
  <c r="M12" i="1" l="1"/>
  <c r="G16" i="2"/>
  <c r="F16" i="2"/>
  <c r="B1" i="2"/>
  <c r="J16" i="1"/>
  <c r="I16" i="1"/>
  <c r="H16" i="1"/>
  <c r="J14" i="1"/>
  <c r="J12" i="1"/>
  <c r="J11" i="1"/>
  <c r="I14" i="1"/>
  <c r="I12" i="1"/>
  <c r="I11" i="1"/>
  <c r="H14" i="1"/>
  <c r="H12" i="1"/>
  <c r="N16" i="1"/>
  <c r="G16" i="1"/>
  <c r="F16" i="1"/>
  <c r="B2" i="1"/>
  <c r="M16" i="2" l="1"/>
  <c r="M16" i="1"/>
  <c r="K16" i="1"/>
  <c r="L16" i="1"/>
  <c r="K16" i="2" l="1"/>
  <c r="J16" i="2"/>
  <c r="L16" i="2"/>
  <c r="M14" i="1"/>
  <c r="M13" i="1"/>
  <c r="M11" i="1"/>
  <c r="L14" i="1"/>
  <c r="L13" i="1"/>
  <c r="L12" i="1"/>
  <c r="L11" i="1"/>
  <c r="J13" i="1"/>
  <c r="I13" i="1"/>
  <c r="H13" i="1"/>
  <c r="C8" i="4"/>
  <c r="B16" i="2"/>
  <c r="C1" i="4"/>
  <c r="B10" i="4" l="1"/>
  <c r="B9" i="4"/>
  <c r="B8" i="4"/>
  <c r="AG16" i="2"/>
  <c r="B4" i="2" l="1"/>
  <c r="Z16" i="2"/>
  <c r="AS6" i="2"/>
  <c r="AR6" i="2"/>
  <c r="AQ6" i="2"/>
  <c r="AO6" i="2"/>
  <c r="AN6" i="2"/>
  <c r="R6" i="2"/>
  <c r="V6" i="2" s="1"/>
  <c r="AT6" i="2" l="1"/>
  <c r="AD16" i="2"/>
  <c r="AP6" i="2"/>
  <c r="W6" i="2"/>
  <c r="K13" i="1"/>
  <c r="K14" i="1"/>
  <c r="K12" i="1"/>
  <c r="K11" i="1"/>
  <c r="B16" i="1"/>
  <c r="AC6" i="2" l="1"/>
  <c r="AA6" i="2"/>
  <c r="Y6" i="2"/>
  <c r="X6" i="2"/>
  <c r="AB6" i="2"/>
  <c r="V16" i="2"/>
  <c r="F8" i="4" s="1"/>
  <c r="Z6" i="2" l="1"/>
  <c r="L14" i="6" l="1"/>
  <c r="L12" i="6"/>
  <c r="L11" i="6"/>
  <c r="L13" i="6"/>
  <c r="AD6" i="2"/>
  <c r="K13" i="6" l="1"/>
  <c r="K12" i="6"/>
  <c r="K11" i="6"/>
  <c r="K14" i="6"/>
  <c r="K17" i="6" s="1"/>
  <c r="L17" i="6"/>
  <c r="M11" i="2" l="1"/>
  <c r="M14" i="2"/>
  <c r="M12" i="2"/>
  <c r="M13" i="2"/>
  <c r="K13" i="2"/>
  <c r="K14" i="2"/>
  <c r="K12" i="2"/>
  <c r="K11" i="2"/>
  <c r="L13" i="2"/>
  <c r="L11" i="2"/>
  <c r="L12" i="2"/>
  <c r="L14" i="2"/>
  <c r="L17" i="2" s="1"/>
  <c r="J11" i="2"/>
  <c r="J12" i="2"/>
  <c r="J14" i="2"/>
  <c r="J17" i="2" s="1"/>
  <c r="J13" i="2"/>
  <c r="J13" i="6"/>
  <c r="J12" i="6"/>
  <c r="J14" i="6"/>
  <c r="J11" i="6"/>
  <c r="M17" i="2" l="1"/>
  <c r="X14" i="2"/>
  <c r="X12" i="2"/>
  <c r="AJ16" i="2" s="1"/>
  <c r="I8" i="4" s="1"/>
  <c r="X11" i="2"/>
  <c r="AK16" i="2" s="1"/>
  <c r="J8" i="4" s="1"/>
  <c r="X13" i="2"/>
  <c r="AI16" i="2" s="1"/>
  <c r="H8" i="4" s="1"/>
  <c r="Y12" i="2"/>
  <c r="Y11" i="2"/>
  <c r="Y13" i="2"/>
  <c r="Y14" i="2"/>
  <c r="U11" i="6"/>
  <c r="U13" i="6"/>
  <c r="U12" i="6"/>
  <c r="U14" i="6"/>
  <c r="AB12" i="2"/>
  <c r="AB11" i="2"/>
  <c r="AB13" i="2"/>
  <c r="AB14" i="2"/>
  <c r="J17" i="6"/>
  <c r="K17" i="2"/>
  <c r="V14" i="6"/>
  <c r="V11" i="6"/>
  <c r="V12" i="6"/>
  <c r="V13" i="6"/>
  <c r="AC12" i="2"/>
  <c r="AC11" i="2"/>
  <c r="AC13" i="2"/>
  <c r="AC14" i="2"/>
  <c r="T13" i="6"/>
  <c r="AB16" i="6" s="1"/>
  <c r="T12" i="6"/>
  <c r="AC16" i="6" s="1"/>
  <c r="T11" i="6"/>
  <c r="AD16" i="6" s="1"/>
  <c r="T14" i="6"/>
  <c r="AA12" i="2"/>
  <c r="AA11" i="2"/>
  <c r="AA13" i="2"/>
  <c r="AA14" i="2"/>
  <c r="W12" i="6" l="1"/>
  <c r="AG16" i="6" s="1"/>
  <c r="W13" i="6"/>
  <c r="AF16" i="6" s="1"/>
  <c r="W11" i="6"/>
  <c r="AH16" i="6" s="1"/>
  <c r="W14" i="6"/>
  <c r="X17" i="2"/>
  <c r="E8" i="4" s="1"/>
  <c r="AH16" i="2"/>
  <c r="G8" i="4" s="1"/>
  <c r="Z14" i="2"/>
  <c r="Z12" i="2"/>
  <c r="AN16" i="2" s="1"/>
  <c r="I9" i="4" s="1"/>
  <c r="Z13" i="2"/>
  <c r="AM16" i="2" s="1"/>
  <c r="H9" i="4" s="1"/>
  <c r="Z11" i="2"/>
  <c r="AO16" i="2" s="1"/>
  <c r="J9" i="4" s="1"/>
  <c r="T17" i="6"/>
  <c r="AA16" i="6"/>
  <c r="K8" i="4" l="1"/>
  <c r="AE16" i="6"/>
  <c r="W17" i="6"/>
  <c r="AL16" i="2"/>
  <c r="G9" i="4" s="1"/>
  <c r="Z17" i="2"/>
  <c r="E9" i="4" s="1"/>
  <c r="AD12" i="2"/>
  <c r="AR16" i="2" s="1"/>
  <c r="I10" i="4" s="1"/>
  <c r="AD14" i="2"/>
  <c r="AD13" i="2"/>
  <c r="AQ16" i="2" s="1"/>
  <c r="H10" i="4" s="1"/>
  <c r="AD11" i="2"/>
  <c r="AS16" i="2" s="1"/>
  <c r="J10" i="4" s="1"/>
  <c r="K9" i="4" l="1"/>
  <c r="AD17" i="2"/>
  <c r="E10" i="4" s="1"/>
  <c r="AP16" i="2"/>
  <c r="G10" i="4" s="1"/>
  <c r="K10" i="4" l="1"/>
</calcChain>
</file>

<file path=xl/sharedStrings.xml><?xml version="1.0" encoding="utf-8"?>
<sst xmlns="http://schemas.openxmlformats.org/spreadsheetml/2006/main" count="167" uniqueCount="75">
  <si>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</si>
  <si>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</si>
  <si>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</si>
  <si>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</si>
  <si>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</si>
  <si>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</si>
  <si>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</si>
  <si>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</si>
  <si>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</si>
  <si>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</si>
  <si>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</si>
  <si>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</si>
  <si>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</si>
  <si>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</si>
  <si>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</si>
  <si>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</si>
  <si>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</si>
  <si>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</si>
  <si>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</si>
  <si>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</si>
  <si>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</si>
  <si>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</si>
  <si>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</si>
  <si>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</si>
  <si>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</si>
  <si>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</si>
  <si>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</si>
  <si>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</si>
  <si>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</si>
  <si>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</si>
  <si>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</si>
  <si>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</si>
  <si>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</si>
  <si>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</si>
  <si>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</si>
  <si>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</si>
  <si>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</si>
  <si>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</si>
  <si>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</si>
  <si>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</si>
  <si>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</si>
  <si>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</si>
  <si>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</si>
  <si>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</si>
  <si>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</si>
  <si>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</si>
  <si>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</si>
  <si>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</si>
  <si>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</si>
  <si>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</si>
  <si>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</si>
  <si>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</si>
  <si>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</si>
  <si>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</si>
  <si>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</si>
  <si>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</si>
  <si>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</si>
  <si>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</si>
  <si>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</si>
  <si>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</si>
  <si>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</si>
  <si>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</si>
  <si>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</si>
  <si>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</si>
  <si>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</si>
  <si>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</si>
  <si>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</si>
  <si>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</si>
  <si>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</si>
  <si>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</si>
  <si>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</si>
  <si>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</si>
  <si>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</si>
  <si>
    <t>ST</t>
  </si>
  <si>
    <t>12-3456789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</si>
</sst>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  <font>
      <sz val="11"/>
      <color theme="1"/>
      <name val="Avenir Next LT Pro Dem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0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0" xfId="0" applyFont="1" applyBorder="1"/>
    <xf numFmtId="14" fontId="2" fillId="0" borderId="0" xfId="0" applyNumberFormat="1" applyFont="1"/>
    <xf numFmtId="0" fontId="2" fillId="0" borderId="0" xfId="0" applyFont="1" applyFill="1" applyBorder="1"/>
    <xf numFmtId="0" fontId="12" fillId="0" borderId="1" xfId="0" applyFont="1" applyBorder="1"/>
    <xf numFmtId="0" fontId="9" fillId="0" borderId="1" xfId="0" applyFont="1" applyBorder="1"/>
    <xf numFmtId="0" fontId="12" fillId="0" borderId="1" xfId="0" applyFont="1" applyBorder="1" applyAlignment="1">
      <alignment horizontal="right"/>
    </xf>
    <xf numFmtId="0" fontId="2" fillId="0" borderId="0" xfId="0" applyFont="1" applyBorder="1"/>
    <xf numFmtId="0" fontId="7" fillId="0" borderId="0" xfId="0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/>
    <xf numFmtId="0" fontId="16" fillId="0" borderId="0" xfId="0" applyFont="1" applyFill="1"/>
    <xf numFmtId="0" fontId="16" fillId="0" borderId="0" xfId="0" applyFont="1"/>
    <xf numFmtId="0" fontId="15" fillId="6" borderId="2" xfId="1" applyFont="1" applyFill="1" applyBorder="1" applyAlignment="1">
      <alignment horizontal="center" vertical="center"/>
    </xf>
    <xf numFmtId="164" fontId="9" fillId="0" borderId="2" xfId="1" applyNumberFormat="1" applyFont="1" applyBorder="1" applyAlignment="1">
      <alignment horizontal="left" vertical="center" indent="1"/>
    </xf>
    <xf numFmtId="164" fontId="9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0" fontId="7" fillId="5" borderId="2" xfId="0" applyFont="1" applyFill="1" applyBorder="1"/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14" fontId="7" fillId="5" borderId="4" xfId="0" applyNumberFormat="1" applyFont="1" applyFill="1" applyBorder="1" applyAlignment="1">
      <alignment horizontal="left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7" fillId="5" borderId="5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horizontal="center" vertical="center"/>
    </xf>
    <xf numFmtId="0" fontId="6" fillId="0" borderId="2" xfId="0" applyFont="1" applyBorder="1"/>
    <xf numFmtId="3" fontId="6" fillId="0" borderId="6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3" fontId="6" fillId="2" borderId="8" xfId="0" applyNumberFormat="1" applyFont="1" applyFill="1" applyBorder="1" applyAlignment="1">
      <alignment horizontal="center" vertical="center"/>
    </xf>
    <xf numFmtId="0" fontId="6" fillId="0" borderId="7" xfId="0" applyFont="1" applyBorder="1"/>
    <xf numFmtId="164" fontId="6" fillId="9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3" fontId="6" fillId="0" borderId="9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3" fillId="0" borderId="9" xfId="0" applyFont="1" applyFill="1" applyBorder="1"/>
    <xf numFmtId="0" fontId="13" fillId="0" borderId="10" xfId="0" applyFont="1" applyFill="1" applyBorder="1"/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6" fillId="0" borderId="11" xfId="0" applyFont="1" applyFill="1" applyBorder="1"/>
    <xf numFmtId="0" fontId="6" fillId="0" borderId="12" xfId="0" applyFont="1" applyFill="1" applyBorder="1"/>
    <xf numFmtId="0" fontId="6" fillId="0" borderId="13" xfId="0" applyFont="1" applyFill="1" applyBorder="1"/>
    <xf numFmtId="164" fontId="13" fillId="4" borderId="2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164" fontId="6" fillId="0" borderId="13" xfId="0" applyNumberFormat="1" applyFont="1" applyBorder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horizontal="center" wrapText="1"/>
    </xf>
    <xf numFmtId="14" fontId="6" fillId="0" borderId="4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3" fontId="6" fillId="0" borderId="4" xfId="0" applyNumberFormat="1" applyFont="1" applyBorder="1" applyAlignment="1">
      <alignment horizontal="center" vertical="center"/>
    </xf>
    <xf numFmtId="164" fontId="6" fillId="8" borderId="4" xfId="0" applyNumberFormat="1" applyFont="1" applyFill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3" fontId="6" fillId="8" borderId="4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164" fontId="6" fillId="2" borderId="12" xfId="0" applyNumberFormat="1" applyFont="1" applyFill="1" applyBorder="1" applyAlignment="1">
      <alignment horizontal="center" vertical="center"/>
    </xf>
    <xf numFmtId="3" fontId="6" fillId="2" borderId="12" xfId="0" applyNumberFormat="1" applyFont="1" applyFill="1" applyBorder="1" applyAlignment="1">
      <alignment horizontal="center" vertical="center"/>
    </xf>
    <xf numFmtId="3" fontId="6" fillId="8" borderId="12" xfId="0" applyNumberFormat="1" applyFont="1" applyFill="1" applyBorder="1" applyAlignment="1">
      <alignment horizontal="center" vertical="center"/>
    </xf>
    <xf numFmtId="164" fontId="6" fillId="2" borderId="13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1" fontId="7" fillId="5" borderId="5" xfId="0" applyNumberFormat="1" applyFont="1" applyFill="1" applyBorder="1" applyAlignment="1">
      <alignment horizontal="center" vertical="center"/>
    </xf>
    <xf numFmtId="3" fontId="6" fillId="8" borderId="3" xfId="0" applyNumberFormat="1" applyFont="1" applyFill="1" applyBorder="1" applyAlignment="1">
      <alignment horizontal="center" vertical="center"/>
    </xf>
    <xf numFmtId="3" fontId="6" fillId="8" borderId="11" xfId="0" applyNumberFormat="1" applyFont="1" applyFill="1" applyBorder="1" applyAlignment="1">
      <alignment horizontal="center" vertical="center"/>
    </xf>
    <xf numFmtId="3" fontId="6" fillId="8" borderId="13" xfId="0" applyNumberFormat="1" applyFont="1" applyFill="1" applyBorder="1" applyAlignment="1">
      <alignment horizontal="center" vertical="center"/>
    </xf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0" fontId="6" fillId="8" borderId="3" xfId="0" applyFont="1" applyFill="1" applyBorder="1"/>
    <xf numFmtId="0" fontId="6" fillId="8" borderId="5" xfId="0" applyFont="1" applyFill="1" applyBorder="1"/>
    <xf numFmtId="0" fontId="6" fillId="8" borderId="4" xfId="0" applyFont="1" applyFill="1" applyBorder="1"/>
    <xf numFmtId="1" fontId="8" fillId="0" borderId="3" xfId="0" applyNumberFormat="1" applyFont="1" applyBorder="1" applyAlignment="1">
      <alignment horizontal="center" vertical="center"/>
    </xf>
    <xf numFmtId="0" fontId="6" fillId="0" borderId="4" xfId="0" applyFont="1" applyBorder="1"/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 vertical="center"/>
    </xf>
    <xf numFmtId="0" fontId="6" fillId="0" borderId="11" xfId="0" applyFont="1" applyBorder="1"/>
    <xf numFmtId="164" fontId="6" fillId="8" borderId="3" xfId="0" applyNumberFormat="1" applyFont="1" applyFill="1" applyBorder="1" applyAlignment="1">
      <alignment horizontal="center" vertical="center"/>
    </xf>
    <xf numFmtId="14" fontId="7" fillId="5" borderId="4" xfId="0" applyNumberFormat="1" applyFont="1" applyFill="1" applyBorder="1" applyAlignment="1">
      <alignment vertical="center"/>
    </xf>
    <xf numFmtId="0" fontId="6" fillId="0" borderId="12" xfId="0" applyFont="1" applyBorder="1"/>
    <xf numFmtId="0" fontId="6" fillId="0" borderId="13" xfId="0" applyFont="1" applyBorder="1"/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8" fillId="8" borderId="0" xfId="0" applyFont="1" applyFill="1"/>
    <xf numFmtId="3" fontId="6" fillId="0" borderId="5" xfId="0" applyNumberFormat="1" applyFont="1" applyBorder="1" applyAlignment="1">
      <alignment horizontal="center" vertical="center"/>
    </xf>
    <xf numFmtId="3" fontId="6" fillId="0" borderId="1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3" fontId="6" fillId="2" borderId="1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2" xfId="0" applyFont="1" applyFill="1" applyBorder="1"/>
    <xf numFmtId="0" fontId="7" fillId="6" borderId="2" xfId="0" applyFont="1" applyFill="1" applyBorder="1" applyAlignment="1">
      <alignment horizontal="left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wrapText="1"/>
    </xf>
    <xf numFmtId="1" fontId="8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8" fillId="0" borderId="3" xfId="2" applyFont="1" applyBorder="1" applyAlignment="1" applyProtection="1">
      <alignment vertical="center" wrapText="1"/>
      <protection locked="0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5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11" borderId="2" xfId="0" applyFont="1" applyFill="1" applyBorder="1" applyAlignment="1">
      <alignment horizontal="center" wrapText="1"/>
    </xf>
    <xf numFmtId="16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vertical="center"/>
    </xf>
    <xf numFmtId="3" fontId="6" fillId="0" borderId="0" xfId="0" applyNumberFormat="1" applyFont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vertical="center"/>
    </xf>
    <xf numFmtId="164" fontId="6" fillId="2" borderId="12" xfId="0" applyNumberFormat="1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6" fillId="8" borderId="0" xfId="0" applyNumberFormat="1" applyFont="1" applyFill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3" fontId="13" fillId="0" borderId="10" xfId="0" applyNumberFormat="1" applyFont="1" applyBorder="1" applyAlignment="1">
      <alignment horizontal="center" vertical="center"/>
    </xf>
    <xf numFmtId="0" fontId="6" fillId="0" borderId="3" xfId="0" applyFont="1" applyBorder="1"/>
    <xf numFmtId="0" fontId="6" fillId="0" borderId="5" xfId="0" applyFont="1" applyBorder="1"/>
    <xf numFmtId="0" fontId="6" fillId="8" borderId="0" xfId="0" applyFont="1" applyFill="1"/>
    <xf numFmtId="0" fontId="13" fillId="0" borderId="9" xfId="0" applyFont="1" applyBorder="1"/>
    <xf numFmtId="0" fontId="13" fillId="0" borderId="10" xfId="0" applyFont="1" applyBorder="1"/>
    <xf numFmtId="164" fontId="7" fillId="5" borderId="3" xfId="0" applyNumberFormat="1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2" fillId="0" borderId="0" xfId="0" applyNumberFormat="1" applyFont="1"/>
    <xf numFmtId="0" fontId="2" fillId="0" borderId="1" xfId="0" applyNumberFormat="1" applyFont="1" applyBorder="1"/>
    <xf numFmtId="0" fontId="7" fillId="6" borderId="2" xfId="0" applyNumberFormat="1" applyFont="1" applyFill="1" applyBorder="1" applyAlignment="1">
      <alignment horizontal="left"/>
    </xf>
    <xf numFmtId="0" fontId="6" fillId="0" borderId="4" xfId="0" applyNumberFormat="1" applyFont="1" applyBorder="1" applyAlignment="1">
      <alignment horizontal="left" vertical="center"/>
    </xf>
    <xf numFmtId="0" fontId="6" fillId="0" borderId="12" xfId="0" applyNumberFormat="1" applyFont="1" applyBorder="1" applyAlignment="1">
      <alignment horizontal="left" vertical="center"/>
    </xf>
    <xf numFmtId="0" fontId="6" fillId="2" borderId="12" xfId="0" applyNumberFormat="1" applyFont="1" applyFill="1" applyBorder="1" applyAlignment="1">
      <alignment horizontal="left" vertical="center"/>
    </xf>
    <xf numFmtId="0" fontId="6" fillId="0" borderId="0" xfId="0" applyNumberFormat="1" applyFont="1" applyBorder="1"/>
    <xf numFmtId="0" fontId="7" fillId="5" borderId="4" xfId="0" applyNumberFormat="1" applyFont="1" applyFill="1" applyBorder="1" applyAlignment="1">
      <alignment horizontal="left" vertical="center"/>
    </xf>
    <xf numFmtId="0" fontId="6" fillId="0" borderId="4" xfId="0" applyNumberFormat="1" applyFont="1" applyBorder="1"/>
    <xf numFmtId="0" fontId="8" fillId="0" borderId="4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8" fillId="0" borderId="11" xfId="2" applyFont="1" applyBorder="1" applyAlignment="1" applyProtection="1">
      <alignment vertical="center" wrapText="1"/>
      <protection locked="0"/>
    </xf>
    <xf numFmtId="14" fontId="6" fillId="0" borderId="12" xfId="0" applyNumberFormat="1" applyFont="1" applyBorder="1" applyAlignment="1">
      <alignment horizontal="left" vertical="center"/>
    </xf>
    <xf numFmtId="0" fontId="14" fillId="7" borderId="0" xfId="0" applyFont="1" applyFill="1"/>
    <xf numFmtId="0" fontId="17" fillId="8" borderId="0" xfId="0" applyFont="1" applyFill="1" applyAlignment="1">
      <alignment horizontal="center"/>
    </xf>
    <xf numFmtId="14" fontId="17" fillId="8" borderId="0" xfId="0" applyNumberFormat="1" applyFont="1" applyFill="1" applyAlignment="1">
      <alignment horizontal="center"/>
    </xf>
    <xf numFmtId="9" fontId="17" fillId="8" borderId="0" xfId="0" applyNumberFormat="1" applyFont="1" applyFill="1" applyAlignment="1">
      <alignment horizontal="center"/>
    </xf>
    <xf numFmtId="0" fontId="17" fillId="0" borderId="0" xfId="0" applyFont="1"/>
    <xf numFmtId="164" fontId="17" fillId="8" borderId="0" xfId="0" applyNumberFormat="1" applyFont="1" applyFill="1" applyAlignment="1">
      <alignment horizontal="center"/>
    </xf>
    <xf numFmtId="1" fontId="17" fillId="8" borderId="0" xfId="0" applyNumberFormat="1" applyFont="1" applyFill="1" applyAlignment="1">
      <alignment horizontal="center"/>
    </xf>
    <xf numFmtId="0" fontId="7" fillId="5" borderId="5" xfId="0" applyFont="1" applyFill="1" applyBorder="1" applyAlignment="1">
      <alignment vertical="center"/>
    </xf>
    <xf numFmtId="0" fontId="6" fillId="0" borderId="14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6" fillId="0" borderId="15" xfId="0" applyNumberFormat="1" applyFont="1" applyBorder="1" applyAlignment="1">
      <alignment horizontal="left" vertical="center"/>
    </xf>
    <xf numFmtId="164" fontId="6" fillId="0" borderId="15" xfId="0" applyNumberFormat="1" applyFont="1" applyBorder="1" applyAlignment="1">
      <alignment horizontal="center" vertical="center"/>
    </xf>
    <xf numFmtId="3" fontId="6" fillId="0" borderId="15" xfId="0" applyNumberFormat="1" applyFont="1" applyBorder="1" applyAlignment="1">
      <alignment horizontal="center" vertical="center"/>
    </xf>
    <xf numFmtId="164" fontId="6" fillId="8" borderId="14" xfId="0" applyNumberFormat="1" applyFont="1" applyFill="1" applyBorder="1" applyAlignment="1">
      <alignment horizontal="center" vertical="center"/>
    </xf>
    <xf numFmtId="3" fontId="6" fillId="8" borderId="15" xfId="0" applyNumberFormat="1" applyFont="1" applyFill="1" applyBorder="1" applyAlignment="1">
      <alignment horizontal="center" vertical="center"/>
    </xf>
    <xf numFmtId="164" fontId="6" fillId="8" borderId="15" xfId="0" applyNumberFormat="1" applyFont="1" applyFill="1" applyBorder="1" applyAlignment="1">
      <alignment horizontal="center" vertical="center"/>
    </xf>
    <xf numFmtId="2" fontId="6" fillId="8" borderId="15" xfId="0" applyNumberFormat="1" applyFont="1" applyFill="1" applyBorder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16" xfId="0" applyNumberFormat="1" applyFont="1" applyBorder="1" applyAlignment="1">
      <alignment horizontal="center" vertical="center"/>
    </xf>
    <xf numFmtId="164" fontId="6" fillId="9" borderId="6" xfId="0" applyNumberFormat="1" applyFont="1" applyFill="1" applyBorder="1" applyAlignment="1">
      <alignment horizontal="center" vertical="center"/>
    </xf>
    <xf numFmtId="0" fontId="7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7" fillId="1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left" vertical="center" wrapText="1" indent="1"/>
    </xf>
    <xf numFmtId="0" fontId="14" fillId="5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left" vertical="center" wrapText="1" indent="1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quotePrefix="1" applyFont="1" applyFill="1" applyBorder="1" applyAlignment="1">
      <alignment horizontal="center" vertical="center" wrapText="1"/>
    </xf>
    <xf numFmtId="1" fontId="9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tabSelected="1" workbookViewId="0">
      <selection activeCell="B21" sqref="B21"/>
    </sheetView>
  </sheetViews>
  <sheetFormatPr defaultRowHeight="14.5" x14ac:dyDescent="0.35"/>
  <cols>
    <col min="1" max="1" width="8.7265625" style="1"/>
    <col min="2" max="2" width="35.1796875" style="1" customWidth="1"/>
    <col min="3" max="3" width="28.7265625" style="1" customWidth="1"/>
    <col min="4" max="16384" width="8.7265625" style="1"/>
  </cols>
  <sheetData>
    <row r="4" spans="2:3" x14ac:dyDescent="0.35">
      <c r="B4" s="170" t="s">
        <v>48</v>
      </c>
      <c r="C4" s="171" t="s">
        <v>50</v>
      </c>
    </row>
    <row r="5" spans="2:3" x14ac:dyDescent="0.35">
      <c r="B5" s="170" t="s">
        <v>49</v>
      </c>
      <c r="C5" s="172">
        <v>45292</v>
      </c>
    </row>
    <row r="6" spans="2:3" x14ac:dyDescent="0.35">
      <c r="B6" s="170" t="s">
        <v>58</v>
      </c>
      <c r="C6" s="173">
        <v>0.03</v>
      </c>
    </row>
    <row r="7" spans="2:3" x14ac:dyDescent="0.35">
      <c r="B7" s="170" t="s">
        <v>59</v>
      </c>
      <c r="C7" s="173">
        <v>0.04</v>
      </c>
    </row>
    <row r="8" spans="2:3" x14ac:dyDescent="0.35">
      <c r="C8" s="174"/>
    </row>
    <row r="9" spans="2:3" x14ac:dyDescent="0.35">
      <c r="B9" s="170" t="s">
        <v>51</v>
      </c>
      <c r="C9" s="171" t="s">
        <v>66</v>
      </c>
    </row>
    <row r="10" spans="2:3" x14ac:dyDescent="0.35">
      <c r="B10" s="170" t="s">
        <v>52</v>
      </c>
      <c r="C10" s="172" t="s">
        <v>65</v>
      </c>
    </row>
    <row r="11" spans="2:3" x14ac:dyDescent="0.35">
      <c r="B11" s="170" t="s">
        <v>53</v>
      </c>
      <c r="C11" s="175">
        <v>999999</v>
      </c>
    </row>
    <row r="12" spans="2:3" x14ac:dyDescent="0.35">
      <c r="B12" s="170" t="s">
        <v>54</v>
      </c>
      <c r="C12" s="175">
        <v>999999</v>
      </c>
    </row>
    <row r="13" spans="2:3" x14ac:dyDescent="0.35">
      <c r="B13" s="170" t="s">
        <v>55</v>
      </c>
      <c r="C13" s="175">
        <v>999999</v>
      </c>
    </row>
    <row r="14" spans="2:3" x14ac:dyDescent="0.35">
      <c r="B14" s="170" t="s">
        <v>56</v>
      </c>
      <c r="C14" s="17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17"/>
  <sheetViews>
    <sheetView showGridLines="0" topLeftCell="A2" zoomScale="80" zoomScaleNormal="80" workbookViewId="0">
      <selection activeCell="I23" sqref="I23"/>
    </sheetView>
  </sheetViews>
  <sheetFormatPr defaultColWidth="9.1796875" defaultRowHeight="13" outlineLevelCol="1" x14ac:dyDescent="0.3"/>
  <cols>
    <col min="1" max="1" width="7.453125" style="6" bestFit="1" customWidth="1"/>
    <col min="2" max="2" width="51.1796875" style="6" customWidth="1"/>
    <col min="3" max="5" width="19" style="6" customWidth="1" outlineLevel="1"/>
    <col min="6" max="7" width="19" style="6" customWidth="1"/>
    <col min="8" max="8" width="19" style="6" customWidth="1" outlineLevel="1"/>
    <col min="9" max="9" width="20" style="6" customWidth="1" outlineLevel="1"/>
    <col min="10" max="10" width="19" style="6" customWidth="1" outlineLevel="1"/>
    <col min="11" max="11" width="19" style="6" customWidth="1"/>
    <col min="12" max="12" width="20" style="6" bestFit="1" customWidth="1"/>
    <col min="13" max="13" width="19" style="6" customWidth="1"/>
    <col min="14" max="14" width="19" style="7" customWidth="1"/>
    <col min="15" max="16384" width="9.1796875" style="6"/>
  </cols>
  <sheetData>
    <row r="1" spans="1:15" hidden="1" x14ac:dyDescent="0.3"/>
    <row r="2" spans="1:15" s="1" customFormat="1" ht="25.5" x14ac:dyDescent="0.55000000000000004">
      <c r="B2" s="21" t="str">
        <f>SETUP!C4</f>
        <v>NFP Organization XYZ</v>
      </c>
    </row>
    <row r="3" spans="1:15" s="1" customFormat="1" ht="18" x14ac:dyDescent="0.4">
      <c r="B3" s="3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1" customFormat="1" ht="14.5" x14ac:dyDescent="0.35">
      <c r="D4" s="5"/>
      <c r="E4" s="5"/>
    </row>
    <row r="5" spans="1:15" ht="36" customHeight="1" x14ac:dyDescent="0.3">
      <c r="A5" s="104" t="s">
        <v>1</v>
      </c>
      <c r="B5" s="27" t="s">
        <v>2</v>
      </c>
      <c r="C5" s="27" t="s">
        <v>3</v>
      </c>
      <c r="D5" s="27" t="s">
        <v>4</v>
      </c>
      <c r="E5" s="27" t="s">
        <v>5</v>
      </c>
      <c r="F5" s="27" t="s">
        <v>6</v>
      </c>
      <c r="G5" s="27" t="s">
        <v>7</v>
      </c>
      <c r="H5" s="28" t="s">
        <v>8</v>
      </c>
      <c r="I5" s="28" t="s">
        <v>64</v>
      </c>
      <c r="J5" s="28" t="s">
        <v>9</v>
      </c>
      <c r="K5" s="28" t="s">
        <v>8</v>
      </c>
      <c r="L5" s="28" t="s">
        <v>64</v>
      </c>
      <c r="M5" s="28" t="s">
        <v>9</v>
      </c>
      <c r="N5" s="28" t="s">
        <v>10</v>
      </c>
      <c r="O5" s="105" t="s">
        <v>11</v>
      </c>
    </row>
    <row r="6" spans="1:15" ht="30" customHeight="1" x14ac:dyDescent="0.3">
      <c r="A6" s="104">
        <v>1</v>
      </c>
      <c r="B6" s="121" t="s">
        <v>67</v>
      </c>
      <c r="C6" s="75" t="s">
        <v>74</v>
      </c>
      <c r="D6" s="70">
        <v>44651</v>
      </c>
      <c r="E6" s="70">
        <v>44561</v>
      </c>
      <c r="F6" s="75" t="s">
        <v>6</v>
      </c>
      <c r="G6" s="75" t="s">
        <v>73</v>
      </c>
      <c r="H6" s="59">
        <v>77362594</v>
      </c>
      <c r="I6" s="59">
        <v>45450752</v>
      </c>
      <c r="J6" s="59">
        <v>40354963</v>
      </c>
      <c r="K6" s="59">
        <f>H6/1000000</f>
        <v>77.362594000000001</v>
      </c>
      <c r="L6" s="59">
        <f>I6/1000000</f>
        <v>45.450752000000001</v>
      </c>
      <c r="M6" s="59">
        <f>J6/1000000</f>
        <v>40.354962999999998</v>
      </c>
      <c r="N6" s="106">
        <v>1</v>
      </c>
      <c r="O6" s="105"/>
    </row>
    <row r="7" spans="1:15" ht="30" customHeight="1" x14ac:dyDescent="0.3">
      <c r="A7" s="104"/>
      <c r="B7" s="168"/>
      <c r="C7" s="82"/>
      <c r="D7" s="169"/>
      <c r="E7" s="169"/>
      <c r="F7" s="82"/>
      <c r="G7" s="82"/>
      <c r="H7" s="62"/>
      <c r="I7" s="62"/>
      <c r="J7" s="62"/>
      <c r="K7" s="62"/>
      <c r="L7" s="62"/>
      <c r="M7" s="62"/>
      <c r="N7" s="107"/>
      <c r="O7" s="105"/>
    </row>
    <row r="8" spans="1:15" ht="30" customHeight="1" x14ac:dyDescent="0.3">
      <c r="A8" s="104"/>
      <c r="B8" s="168"/>
      <c r="C8" s="82"/>
      <c r="D8" s="169"/>
      <c r="E8" s="169"/>
      <c r="F8" s="82"/>
      <c r="G8" s="82"/>
      <c r="H8" s="62"/>
      <c r="I8" s="62"/>
      <c r="J8" s="62"/>
      <c r="K8" s="62"/>
      <c r="L8" s="62"/>
      <c r="M8" s="62"/>
      <c r="N8" s="107"/>
      <c r="O8" s="105"/>
    </row>
    <row r="9" spans="1:15" ht="30" customHeight="1" x14ac:dyDescent="0.3">
      <c r="A9" s="104"/>
      <c r="B9" s="168"/>
      <c r="C9" s="82"/>
      <c r="D9" s="169"/>
      <c r="E9" s="169"/>
      <c r="F9" s="82"/>
      <c r="G9" s="82"/>
      <c r="H9" s="62"/>
      <c r="I9" s="62"/>
      <c r="J9" s="62"/>
      <c r="K9" s="62"/>
      <c r="L9" s="62"/>
      <c r="M9" s="62"/>
      <c r="N9" s="107"/>
      <c r="O9" s="105"/>
    </row>
    <row r="10" spans="1:1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 t="s">
        <v>12</v>
      </c>
      <c r="K10" s="30"/>
      <c r="L10" s="30"/>
      <c r="M10" s="30"/>
      <c r="N10" s="177"/>
    </row>
    <row r="11" spans="1:15" ht="30" customHeight="1" x14ac:dyDescent="0.3">
      <c r="B11" s="109" t="s">
        <v>13</v>
      </c>
      <c r="C11" s="75"/>
      <c r="D11" s="75"/>
      <c r="E11" s="75"/>
      <c r="F11" s="75"/>
      <c r="G11" s="75"/>
      <c r="H11" s="59">
        <f>PERCENTILE($H$6:$H$6,0.9)</f>
        <v>77362594</v>
      </c>
      <c r="I11" s="59">
        <f>PERCENTILE($I$6:$I$6,0.9)</f>
        <v>45450752</v>
      </c>
      <c r="J11" s="59">
        <f>PERCENTILE($J$6:$J$6,0.9)</f>
        <v>40354963</v>
      </c>
      <c r="K11" s="59">
        <f>PERCENTILE($K$6:$K$6,0.9)</f>
        <v>77.362594000000001</v>
      </c>
      <c r="L11" s="59">
        <f>PERCENTILE($L$6:$L$6,0.9)</f>
        <v>45.450752000000001</v>
      </c>
      <c r="M11" s="59">
        <f>PERCENTILE($M$6:$M$6,0.9)</f>
        <v>40.354962999999998</v>
      </c>
      <c r="N11" s="106">
        <f>IFERROR(PERCENTILE($N$6:$N$6,0.9),"---")</f>
        <v>1</v>
      </c>
    </row>
    <row r="12" spans="1:15" ht="30" customHeight="1" x14ac:dyDescent="0.3">
      <c r="B12" s="108" t="s">
        <v>14</v>
      </c>
      <c r="C12" s="82"/>
      <c r="D12" s="82"/>
      <c r="E12" s="82"/>
      <c r="F12" s="82"/>
      <c r="G12" s="82"/>
      <c r="H12" s="62">
        <f>PERCENTILE($H$6:$H$6,0.75)</f>
        <v>77362594</v>
      </c>
      <c r="I12" s="62">
        <f>PERCENTILE($I$6:$I$6,0.75)</f>
        <v>45450752</v>
      </c>
      <c r="J12" s="62">
        <f>PERCENTILE($J$6:$J$6,0.75)</f>
        <v>40354963</v>
      </c>
      <c r="K12" s="62">
        <f>PERCENTILE($K$6:$K$6,0.75)</f>
        <v>77.362594000000001</v>
      </c>
      <c r="L12" s="62">
        <f>PERCENTILE($L$6:$L$6,0.75)</f>
        <v>45.450752000000001</v>
      </c>
      <c r="M12" s="62">
        <f>PERCENTILE($M$6:$M$6,0.75)</f>
        <v>40.354962999999998</v>
      </c>
      <c r="N12" s="107">
        <f>IFERROR(PERCENTILE($N$6:$N$6,0.75),"---")</f>
        <v>1</v>
      </c>
    </row>
    <row r="13" spans="1:15" ht="30" customHeight="1" x14ac:dyDescent="0.3">
      <c r="B13" s="110" t="s">
        <v>15</v>
      </c>
      <c r="C13" s="77"/>
      <c r="D13" s="77"/>
      <c r="E13" s="77"/>
      <c r="F13" s="77"/>
      <c r="G13" s="77"/>
      <c r="H13" s="78">
        <f t="shared" ref="H13:M13" si="0">MEDIAN(H6:H6)</f>
        <v>77362594</v>
      </c>
      <c r="I13" s="78">
        <f t="shared" si="0"/>
        <v>45450752</v>
      </c>
      <c r="J13" s="78">
        <f t="shared" si="0"/>
        <v>40354963</v>
      </c>
      <c r="K13" s="78">
        <f t="shared" si="0"/>
        <v>77.362594000000001</v>
      </c>
      <c r="L13" s="78">
        <f t="shared" si="0"/>
        <v>45.450752000000001</v>
      </c>
      <c r="M13" s="78">
        <f t="shared" si="0"/>
        <v>40.354962999999998</v>
      </c>
      <c r="N13" s="111">
        <f>IFERROR(MEDIAN(N6:N6),"---")</f>
        <v>1</v>
      </c>
    </row>
    <row r="14" spans="1:15" ht="30" customHeight="1" x14ac:dyDescent="0.3">
      <c r="B14" s="108" t="s">
        <v>16</v>
      </c>
      <c r="C14" s="82"/>
      <c r="D14" s="82"/>
      <c r="E14" s="82"/>
      <c r="F14" s="82"/>
      <c r="G14" s="82"/>
      <c r="H14" s="62">
        <f>PERCENTILE($H$6:$H$6,0.25)</f>
        <v>77362594</v>
      </c>
      <c r="I14" s="62">
        <f>PERCENTILE($I$6:$I$6,0.25)</f>
        <v>45450752</v>
      </c>
      <c r="J14" s="62">
        <f>PERCENTILE($J$6:$J$6,0.25)</f>
        <v>40354963</v>
      </c>
      <c r="K14" s="62">
        <f>PERCENTILE($K$6:$K$6,0.25)</f>
        <v>77.362594000000001</v>
      </c>
      <c r="L14" s="62">
        <f>PERCENTILE($L$6:$L$6,0.25)</f>
        <v>45.450752000000001</v>
      </c>
      <c r="M14" s="62">
        <f>PERCENTILE($M$6:$M$6,0.25)</f>
        <v>40.354962999999998</v>
      </c>
      <c r="N14" s="107">
        <f>IFERROR(PERCENTILE($N$6:$N$6,0.25),"---")</f>
        <v>1</v>
      </c>
    </row>
    <row r="15" spans="1:15" ht="30" customHeight="1" x14ac:dyDescent="0.3">
      <c r="N15" s="6"/>
    </row>
    <row r="16" spans="1:15" ht="30" customHeight="1" x14ac:dyDescent="0.3">
      <c r="A16" s="66">
        <v>100</v>
      </c>
      <c r="B16" s="29" t="str">
        <f>B2</f>
        <v>NFP Organization XYZ</v>
      </c>
      <c r="C16" s="30"/>
      <c r="D16" s="30"/>
      <c r="E16" s="30"/>
      <c r="F16" s="30" t="str">
        <f>SETUP!C9</f>
        <v>Cambridge</v>
      </c>
      <c r="G16" s="100" t="str">
        <f>SETUP!C10</f>
        <v>Massachusetts</v>
      </c>
      <c r="H16" s="33">
        <f>SETUP!C11</f>
        <v>999999</v>
      </c>
      <c r="I16" s="33">
        <f>SETUP!C13</f>
        <v>999999</v>
      </c>
      <c r="J16" s="33">
        <f>SETUP!C12</f>
        <v>999999</v>
      </c>
      <c r="K16" s="33">
        <f>H16/1000000</f>
        <v>0.99999899999999997</v>
      </c>
      <c r="L16" s="33">
        <f>I16/1000000</f>
        <v>0.99999899999999997</v>
      </c>
      <c r="M16" s="33">
        <f>J16/1000000</f>
        <v>0.99999899999999997</v>
      </c>
      <c r="N16" s="83">
        <f>SETUP!C14</f>
        <v>50</v>
      </c>
    </row>
    <row r="17" ht="30" customHeight="1" x14ac:dyDescent="0.3"/>
  </sheetData>
  <autoFilter ref="A5:O5" xr:uid="{0BB2107F-3F47-4C6C-A971-3D6217FC4528}"/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17"/>
  <sheetViews>
    <sheetView showGridLines="0" zoomScale="80" zoomScaleNormal="85" zoomScaleSheetLayoutView="85" workbookViewId="0">
      <selection activeCell="K23" sqref="K23"/>
    </sheetView>
  </sheetViews>
  <sheetFormatPr defaultColWidth="9.1796875" defaultRowHeight="13" outlineLevelCol="1" x14ac:dyDescent="0.3"/>
  <cols>
    <col min="1" max="1" width="7.54296875" style="7" bestFit="1" customWidth="1"/>
    <col min="2" max="2" width="34.1796875" style="7" customWidth="1"/>
    <col min="3" max="3" width="10.81640625" style="7" customWidth="1" outlineLevel="1"/>
    <col min="4" max="4" width="11" style="7" bestFit="1" customWidth="1" outlineLevel="1"/>
    <col min="5" max="5" width="10.36328125" style="7" customWidth="1" outlineLevel="1"/>
    <col min="6" max="6" width="10.90625" style="7" bestFit="1" customWidth="1"/>
    <col min="7" max="7" width="11.81640625" style="7" customWidth="1"/>
    <col min="8" max="8" width="16.1796875" style="161" bestFit="1" customWidth="1"/>
    <col min="9" max="9" width="31.54296875" style="161" bestFit="1" customWidth="1"/>
    <col min="10" max="10" width="15.90625" style="7" bestFit="1" customWidth="1"/>
    <col min="11" max="11" width="20.08984375" style="7" bestFit="1" customWidth="1"/>
    <col min="12" max="12" width="17.08984375" style="7" bestFit="1" customWidth="1"/>
    <col min="13" max="13" width="16.90625" style="7" bestFit="1" customWidth="1"/>
    <col min="14" max="14" width="13.81640625" style="7" customWidth="1" outlineLevel="1"/>
    <col min="15" max="15" width="12.81640625" style="7" customWidth="1" outlineLevel="1"/>
    <col min="16" max="16" width="11.1796875" style="7" customWidth="1" outlineLevel="1"/>
    <col min="17" max="17" width="14.1796875" style="7" customWidth="1" outlineLevel="1"/>
    <col min="18" max="18" width="10.54296875" style="7" customWidth="1" outlineLevel="1"/>
    <col min="19" max="19" width="11" style="7" customWidth="1" outlineLevel="1"/>
    <col min="20" max="20" width="16.54296875" style="7" customWidth="1" outlineLevel="1"/>
    <col min="21" max="21" width="10.81640625" style="7" customWidth="1" outlineLevel="1"/>
    <col min="22" max="22" width="15.54296875" style="7" customWidth="1" outlineLevel="1"/>
    <col min="23" max="23" width="11.54296875" style="7" customWidth="1" outlineLevel="1"/>
    <col min="24" max="27" width="16.81640625" style="7" customWidth="1"/>
    <col min="28" max="28" width="17.54296875" style="7" customWidth="1"/>
    <col min="29" max="30" width="16.81640625" style="7" customWidth="1"/>
    <col min="31" max="31" width="16.81640625" style="7" customWidth="1" outlineLevel="1"/>
    <col min="32" max="32" width="4.453125" style="16" customWidth="1"/>
    <col min="33" max="46" width="16.81640625" style="7" customWidth="1" outlineLevel="1"/>
    <col min="47" max="16384" width="9.1796875" style="7"/>
  </cols>
  <sheetData>
    <row r="1" spans="1:46" s="1" customFormat="1" ht="25.5" x14ac:dyDescent="0.55000000000000004">
      <c r="B1" s="22" t="str">
        <f>SETUP!$C$4</f>
        <v>NFP Organization XYZ</v>
      </c>
      <c r="C1" s="2"/>
      <c r="H1" s="155"/>
      <c r="I1" s="155"/>
      <c r="J1" s="8"/>
      <c r="U1" s="196" t="s">
        <v>47</v>
      </c>
      <c r="V1" s="196"/>
      <c r="W1" s="64">
        <f>DataEffDate</f>
        <v>45292</v>
      </c>
      <c r="AF1" s="9"/>
    </row>
    <row r="2" spans="1:46" s="1" customFormat="1" ht="18" x14ac:dyDescent="0.4">
      <c r="B2" s="10" t="s">
        <v>63</v>
      </c>
      <c r="C2" s="10"/>
      <c r="D2" s="11"/>
      <c r="E2" s="4"/>
      <c r="F2" s="4"/>
      <c r="G2" s="4"/>
      <c r="H2" s="156"/>
      <c r="I2" s="15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12" t="s">
        <v>33</v>
      </c>
      <c r="AE2" s="4"/>
      <c r="AF2" s="9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1" customFormat="1" ht="14.5" x14ac:dyDescent="0.35">
      <c r="H3" s="155"/>
      <c r="I3" s="155"/>
      <c r="AF3" s="9"/>
    </row>
    <row r="4" spans="1:46" s="13" customFormat="1" ht="15" customHeight="1" x14ac:dyDescent="0.35">
      <c r="B4" s="193" t="str">
        <f>"Peer Group Data ($000) - Effective: "&amp;TEXT(W1,"mmmm d, Yyyy")</f>
        <v>Peer Group Data ($000) - Effective: January 1, 2024</v>
      </c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67"/>
      <c r="O4" s="67"/>
      <c r="P4" s="194" t="s">
        <v>28</v>
      </c>
      <c r="Q4" s="194"/>
      <c r="R4" s="194"/>
      <c r="S4" s="194"/>
      <c r="T4" s="194"/>
      <c r="U4" s="194"/>
      <c r="V4" s="194"/>
      <c r="W4" s="68"/>
      <c r="X4" s="199"/>
      <c r="Y4" s="199"/>
      <c r="Z4" s="199"/>
      <c r="AA4" s="199"/>
      <c r="AB4" s="199"/>
      <c r="AC4" s="199"/>
      <c r="AD4" s="199"/>
      <c r="AE4" s="35" t="s">
        <v>11</v>
      </c>
      <c r="AF4" s="14"/>
      <c r="AG4" s="198" t="s">
        <v>30</v>
      </c>
      <c r="AH4" s="198"/>
      <c r="AI4" s="198"/>
      <c r="AJ4" s="198"/>
      <c r="AK4" s="198"/>
      <c r="AL4" s="198"/>
      <c r="AM4" s="198"/>
      <c r="AN4" s="197" t="s">
        <v>31</v>
      </c>
      <c r="AO4" s="197"/>
      <c r="AP4" s="197"/>
      <c r="AQ4" s="197"/>
      <c r="AR4" s="197"/>
      <c r="AS4" s="197"/>
      <c r="AT4" s="197"/>
    </row>
    <row r="5" spans="1:46" ht="36" customHeight="1" x14ac:dyDescent="0.3">
      <c r="A5" s="65" t="s">
        <v>1</v>
      </c>
      <c r="B5" s="115" t="s">
        <v>2</v>
      </c>
      <c r="C5" s="115" t="s">
        <v>3</v>
      </c>
      <c r="D5" s="115" t="s">
        <v>4</v>
      </c>
      <c r="E5" s="115" t="s">
        <v>5</v>
      </c>
      <c r="F5" s="115" t="s">
        <v>6</v>
      </c>
      <c r="G5" s="115" t="s">
        <v>7</v>
      </c>
      <c r="H5" s="157" t="s">
        <v>18</v>
      </c>
      <c r="I5" s="157" t="s">
        <v>17</v>
      </c>
      <c r="J5" s="117" t="s">
        <v>8</v>
      </c>
      <c r="K5" s="117" t="s">
        <v>64</v>
      </c>
      <c r="L5" s="117" t="s">
        <v>9</v>
      </c>
      <c r="M5" s="117" t="s">
        <v>10</v>
      </c>
      <c r="N5" s="67" t="s">
        <v>19</v>
      </c>
      <c r="O5" s="67" t="s">
        <v>20</v>
      </c>
      <c r="P5" s="69" t="s">
        <v>21</v>
      </c>
      <c r="Q5" s="69" t="s">
        <v>22</v>
      </c>
      <c r="R5" s="69" t="s">
        <v>24</v>
      </c>
      <c r="S5" s="69" t="s">
        <v>23</v>
      </c>
      <c r="T5" s="69" t="s">
        <v>25</v>
      </c>
      <c r="U5" s="69" t="s">
        <v>26</v>
      </c>
      <c r="V5" s="69" t="s">
        <v>27</v>
      </c>
      <c r="W5" s="68" t="s">
        <v>29</v>
      </c>
      <c r="X5" s="118" t="s">
        <v>21</v>
      </c>
      <c r="Y5" s="118" t="s">
        <v>22</v>
      </c>
      <c r="Z5" s="118" t="s">
        <v>60</v>
      </c>
      <c r="AA5" s="118" t="s">
        <v>23</v>
      </c>
      <c r="AB5" s="118" t="s">
        <v>62</v>
      </c>
      <c r="AC5" s="118" t="s">
        <v>26</v>
      </c>
      <c r="AD5" s="118" t="s">
        <v>61</v>
      </c>
      <c r="AE5" s="36"/>
      <c r="AF5" s="14"/>
      <c r="AG5" s="44" t="s">
        <v>21</v>
      </c>
      <c r="AH5" s="44" t="s">
        <v>22</v>
      </c>
      <c r="AI5" s="44" t="s">
        <v>24</v>
      </c>
      <c r="AJ5" s="44" t="s">
        <v>23</v>
      </c>
      <c r="AK5" s="44" t="s">
        <v>25</v>
      </c>
      <c r="AL5" s="44" t="s">
        <v>26</v>
      </c>
      <c r="AM5" s="44" t="s">
        <v>27</v>
      </c>
      <c r="AN5" s="45" t="s">
        <v>21</v>
      </c>
      <c r="AO5" s="45" t="s">
        <v>22</v>
      </c>
      <c r="AP5" s="45" t="s">
        <v>24</v>
      </c>
      <c r="AQ5" s="45" t="s">
        <v>23</v>
      </c>
      <c r="AR5" s="45" t="s">
        <v>25</v>
      </c>
      <c r="AS5" s="45" t="s">
        <v>26</v>
      </c>
      <c r="AT5" s="45" t="s">
        <v>27</v>
      </c>
    </row>
    <row r="6" spans="1:46" ht="30" customHeight="1" x14ac:dyDescent="0.3">
      <c r="A6" s="65"/>
      <c r="B6" s="120"/>
      <c r="C6" s="158"/>
      <c r="D6" s="70"/>
      <c r="E6" s="70"/>
      <c r="F6" s="71"/>
      <c r="G6" s="71"/>
      <c r="H6" s="158"/>
      <c r="I6" s="158"/>
      <c r="J6" s="59"/>
      <c r="K6" s="59"/>
      <c r="L6" s="59"/>
      <c r="M6" s="72"/>
      <c r="N6" s="99"/>
      <c r="O6" s="76"/>
      <c r="P6" s="99"/>
      <c r="Q6" s="73"/>
      <c r="R6" s="73">
        <f t="shared" ref="R6" si="0">SUM(P6:Q6)</f>
        <v>0</v>
      </c>
      <c r="S6" s="73"/>
      <c r="T6" s="73"/>
      <c r="U6" s="73"/>
      <c r="V6" s="73">
        <f t="shared" ref="V6" si="1">SUM(R6:U6)</f>
        <v>0</v>
      </c>
      <c r="W6" s="97">
        <f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X6" s="58">
        <f t="shared" ref="X6" si="2">P6*$W6</f>
        <v>0</v>
      </c>
      <c r="Y6" s="59">
        <f t="shared" ref="Y6" si="3">Q6*$W6</f>
        <v>0</v>
      </c>
      <c r="Z6" s="59">
        <f t="shared" ref="Z6" si="4">SUM(X6:Y6)</f>
        <v>0</v>
      </c>
      <c r="AA6" s="59">
        <f t="shared" ref="AA6" si="5">S6*$W6</f>
        <v>0</v>
      </c>
      <c r="AB6" s="59">
        <f t="shared" ref="AB6" si="6">T6*$W6</f>
        <v>0</v>
      </c>
      <c r="AC6" s="59">
        <f t="shared" ref="AC6" si="7">U6*$W6</f>
        <v>0</v>
      </c>
      <c r="AD6" s="60">
        <f t="shared" ref="AD6" si="8">SUM(Z6:AC6)</f>
        <v>0</v>
      </c>
      <c r="AE6" s="43"/>
      <c r="AF6" s="15"/>
      <c r="AG6" s="58"/>
      <c r="AH6" s="59"/>
      <c r="AI6" s="59"/>
      <c r="AJ6" s="59"/>
      <c r="AK6" s="59"/>
      <c r="AL6" s="59"/>
      <c r="AM6" s="59"/>
      <c r="AN6" s="59" t="str">
        <f t="shared" ref="AN6" si="9">IFERROR(P6/AG6-1,"---")</f>
        <v>---</v>
      </c>
      <c r="AO6" s="59" t="str">
        <f t="shared" ref="AO6" si="10">IFERROR(Q6/AH6-1,"---")</f>
        <v>---</v>
      </c>
      <c r="AP6" s="59" t="str">
        <f t="shared" ref="AP6" si="11">IFERROR(R6/AI6-1,"---")</f>
        <v>---</v>
      </c>
      <c r="AQ6" s="59" t="str">
        <f t="shared" ref="AQ6" si="12">IFERROR(S6/AJ6-1,"---")</f>
        <v>---</v>
      </c>
      <c r="AR6" s="59" t="str">
        <f t="shared" ref="AR6" si="13">IFERROR(T6/AK6-1,"---")</f>
        <v>---</v>
      </c>
      <c r="AS6" s="59" t="str">
        <f t="shared" ref="AS6" si="14">IFERROR(U6/AL6-1,"---")</f>
        <v>---</v>
      </c>
      <c r="AT6" s="60" t="str">
        <f t="shared" ref="AT6" si="15">IFERROR(V6/AM6-1,"---")</f>
        <v>---</v>
      </c>
    </row>
    <row r="7" spans="1:46" ht="30" customHeight="1" x14ac:dyDescent="0.3">
      <c r="A7" s="65"/>
      <c r="B7" s="120"/>
      <c r="C7" s="158"/>
      <c r="D7" s="70"/>
      <c r="E7" s="70"/>
      <c r="F7" s="71"/>
      <c r="G7" s="71"/>
      <c r="H7" s="158"/>
      <c r="I7" s="158"/>
      <c r="J7" s="59"/>
      <c r="K7" s="59"/>
      <c r="L7" s="59"/>
      <c r="M7" s="72"/>
      <c r="N7" s="99"/>
      <c r="O7" s="76"/>
      <c r="P7" s="99"/>
      <c r="Q7" s="73"/>
      <c r="R7" s="73"/>
      <c r="S7" s="73"/>
      <c r="T7" s="73"/>
      <c r="U7" s="73"/>
      <c r="V7" s="73"/>
      <c r="W7" s="97"/>
      <c r="X7" s="58"/>
      <c r="Y7" s="59"/>
      <c r="Z7" s="59"/>
      <c r="AA7" s="59"/>
      <c r="AB7" s="59"/>
      <c r="AC7" s="59"/>
      <c r="AD7" s="60"/>
      <c r="AE7" s="43"/>
      <c r="AF7" s="15"/>
      <c r="AG7" s="165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7"/>
    </row>
    <row r="8" spans="1:46" ht="30" customHeight="1" x14ac:dyDescent="0.3">
      <c r="A8" s="65"/>
      <c r="B8" s="120"/>
      <c r="C8" s="70"/>
      <c r="D8" s="70"/>
      <c r="E8" s="70"/>
      <c r="F8" s="71"/>
      <c r="G8" s="71"/>
      <c r="H8" s="158"/>
      <c r="I8" s="158"/>
      <c r="J8" s="59"/>
      <c r="K8" s="59"/>
      <c r="L8" s="59"/>
      <c r="M8" s="72"/>
      <c r="N8" s="99"/>
      <c r="O8" s="76"/>
      <c r="P8" s="99"/>
      <c r="Q8" s="73"/>
      <c r="R8" s="73"/>
      <c r="S8" s="73"/>
      <c r="T8" s="73"/>
      <c r="U8" s="73"/>
      <c r="V8" s="73"/>
      <c r="W8" s="97"/>
      <c r="X8" s="58"/>
      <c r="Y8" s="59"/>
      <c r="Z8" s="59"/>
      <c r="AA8" s="59"/>
      <c r="AB8" s="59"/>
      <c r="AC8" s="59"/>
      <c r="AD8" s="60"/>
      <c r="AE8" s="43"/>
      <c r="AF8" s="15"/>
      <c r="AG8" s="165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7"/>
    </row>
    <row r="9" spans="1:46" ht="30" customHeight="1" x14ac:dyDescent="0.3">
      <c r="A9" s="65"/>
      <c r="B9" s="178"/>
      <c r="C9" s="179"/>
      <c r="D9" s="179"/>
      <c r="E9" s="179"/>
      <c r="F9" s="180"/>
      <c r="G9" s="180"/>
      <c r="H9" s="181"/>
      <c r="I9" s="181"/>
      <c r="J9" s="182"/>
      <c r="K9" s="182"/>
      <c r="L9" s="182"/>
      <c r="M9" s="183"/>
      <c r="N9" s="184"/>
      <c r="O9" s="185"/>
      <c r="P9" s="184"/>
      <c r="Q9" s="186"/>
      <c r="R9" s="186"/>
      <c r="S9" s="186"/>
      <c r="T9" s="186"/>
      <c r="U9" s="186"/>
      <c r="V9" s="186"/>
      <c r="W9" s="187"/>
      <c r="X9" s="188"/>
      <c r="Y9" s="182"/>
      <c r="Z9" s="182"/>
      <c r="AA9" s="182"/>
      <c r="AB9" s="182"/>
      <c r="AC9" s="182"/>
      <c r="AD9" s="189"/>
      <c r="AE9" s="190"/>
      <c r="AF9" s="15"/>
      <c r="AG9" s="165"/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7"/>
    </row>
    <row r="10" spans="1:46" ht="30" customHeight="1" x14ac:dyDescent="0.3">
      <c r="B10" s="191" t="s">
        <v>12</v>
      </c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 t="s">
        <v>12</v>
      </c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2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</row>
    <row r="11" spans="1:46" ht="30" customHeight="1" x14ac:dyDescent="0.3">
      <c r="B11" s="108" t="s">
        <v>13</v>
      </c>
      <c r="C11" s="82"/>
      <c r="D11" s="82"/>
      <c r="E11" s="82"/>
      <c r="F11" s="82"/>
      <c r="G11" s="82"/>
      <c r="H11" s="159"/>
      <c r="I11" s="159"/>
      <c r="J11" s="62" t="e">
        <f>PERCENTILE($J$6:$J$6,0.9)</f>
        <v>#NUM!</v>
      </c>
      <c r="K11" s="62" t="e">
        <f>PERCENTILE($K$6:$K$6,0.9)</f>
        <v>#NUM!</v>
      </c>
      <c r="L11" s="62" t="e">
        <f>PERCENTILE($L$6:$L$6,0.9)</f>
        <v>#NUM!</v>
      </c>
      <c r="M11" s="74" t="e">
        <f>PERCENTILE($M$6:$M$6,0.9)</f>
        <v>#NUM!</v>
      </c>
      <c r="N11" s="85"/>
      <c r="O11" s="86"/>
      <c r="P11" s="85"/>
      <c r="Q11" s="80"/>
      <c r="R11" s="80"/>
      <c r="S11" s="80"/>
      <c r="T11" s="80"/>
      <c r="U11" s="80"/>
      <c r="V11" s="80"/>
      <c r="W11" s="86"/>
      <c r="X11" s="62">
        <f t="shared" ref="X11:AD11" si="16">PERCENTILE(X6:X6,0.9)</f>
        <v>0</v>
      </c>
      <c r="Y11" s="62">
        <f t="shared" si="16"/>
        <v>0</v>
      </c>
      <c r="Z11" s="62">
        <f t="shared" si="16"/>
        <v>0</v>
      </c>
      <c r="AA11" s="62">
        <f t="shared" si="16"/>
        <v>0</v>
      </c>
      <c r="AB11" s="62">
        <f t="shared" si="16"/>
        <v>0</v>
      </c>
      <c r="AC11" s="62">
        <f t="shared" si="16"/>
        <v>0</v>
      </c>
      <c r="AD11" s="63">
        <f t="shared" si="16"/>
        <v>0</v>
      </c>
      <c r="AE11" s="40"/>
      <c r="AF11" s="18"/>
      <c r="AG11" s="46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47"/>
    </row>
    <row r="12" spans="1:46" ht="30" customHeight="1" x14ac:dyDescent="0.3">
      <c r="B12" s="108" t="s">
        <v>14</v>
      </c>
      <c r="C12" s="82"/>
      <c r="D12" s="82"/>
      <c r="E12" s="82"/>
      <c r="F12" s="82"/>
      <c r="G12" s="82"/>
      <c r="H12" s="159"/>
      <c r="I12" s="159"/>
      <c r="J12" s="62" t="e">
        <f>PERCENTILE($J$6:$J$6,0.75)</f>
        <v>#NUM!</v>
      </c>
      <c r="K12" s="62" t="e">
        <f>PERCENTILE($K$6:$K$6,0.75)</f>
        <v>#NUM!</v>
      </c>
      <c r="L12" s="62" t="e">
        <f>PERCENTILE($L$6:$L$6,0.75)</f>
        <v>#NUM!</v>
      </c>
      <c r="M12" s="74" t="e">
        <f>PERCENTILE($M$6:$M$6,0.75)</f>
        <v>#NUM!</v>
      </c>
      <c r="N12" s="85"/>
      <c r="O12" s="86"/>
      <c r="P12" s="85"/>
      <c r="Q12" s="80"/>
      <c r="R12" s="80"/>
      <c r="S12" s="80"/>
      <c r="T12" s="80"/>
      <c r="U12" s="80"/>
      <c r="V12" s="80"/>
      <c r="W12" s="86"/>
      <c r="X12" s="62">
        <f t="shared" ref="X12:AD12" si="17">PERCENTILE(X6:X6,0.75)</f>
        <v>0</v>
      </c>
      <c r="Y12" s="62">
        <f t="shared" si="17"/>
        <v>0</v>
      </c>
      <c r="Z12" s="62">
        <f t="shared" si="17"/>
        <v>0</v>
      </c>
      <c r="AA12" s="62">
        <f t="shared" si="17"/>
        <v>0</v>
      </c>
      <c r="AB12" s="62">
        <f t="shared" si="17"/>
        <v>0</v>
      </c>
      <c r="AC12" s="62">
        <f t="shared" si="17"/>
        <v>0</v>
      </c>
      <c r="AD12" s="63">
        <f t="shared" si="17"/>
        <v>0</v>
      </c>
      <c r="AE12" s="40"/>
      <c r="AF12" s="18"/>
      <c r="AG12" s="46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47"/>
    </row>
    <row r="13" spans="1:46" ht="30" customHeight="1" x14ac:dyDescent="0.3">
      <c r="B13" s="110" t="s">
        <v>15</v>
      </c>
      <c r="C13" s="77"/>
      <c r="D13" s="77"/>
      <c r="E13" s="77"/>
      <c r="F13" s="77"/>
      <c r="G13" s="77"/>
      <c r="H13" s="160"/>
      <c r="I13" s="160"/>
      <c r="J13" s="78" t="e">
        <f>MEDIAN(J6:J6)</f>
        <v>#NUM!</v>
      </c>
      <c r="K13" s="78" t="e">
        <f>MEDIAN(K6:K6)</f>
        <v>#NUM!</v>
      </c>
      <c r="L13" s="78" t="e">
        <f>MEDIAN(L6:L6)</f>
        <v>#NUM!</v>
      </c>
      <c r="M13" s="79" t="e">
        <f>MEDIAN(M6:M6)</f>
        <v>#NUM!</v>
      </c>
      <c r="N13" s="85"/>
      <c r="O13" s="86"/>
      <c r="P13" s="85"/>
      <c r="Q13" s="80"/>
      <c r="R13" s="80"/>
      <c r="S13" s="80"/>
      <c r="T13" s="80"/>
      <c r="U13" s="80"/>
      <c r="V13" s="80"/>
      <c r="W13" s="86"/>
      <c r="X13" s="78">
        <f t="shared" ref="X13:AD13" si="18">MEDIAN(X6:X6)</f>
        <v>0</v>
      </c>
      <c r="Y13" s="78">
        <f t="shared" si="18"/>
        <v>0</v>
      </c>
      <c r="Z13" s="78">
        <f t="shared" si="18"/>
        <v>0</v>
      </c>
      <c r="AA13" s="78">
        <f t="shared" si="18"/>
        <v>0</v>
      </c>
      <c r="AB13" s="78">
        <f t="shared" si="18"/>
        <v>0</v>
      </c>
      <c r="AC13" s="78">
        <f t="shared" si="18"/>
        <v>0</v>
      </c>
      <c r="AD13" s="81">
        <f t="shared" si="18"/>
        <v>0</v>
      </c>
      <c r="AE13" s="41"/>
      <c r="AF13" s="18"/>
      <c r="AG13" s="46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47"/>
    </row>
    <row r="14" spans="1:46" ht="30" customHeight="1" x14ac:dyDescent="0.3">
      <c r="B14" s="108" t="s">
        <v>16</v>
      </c>
      <c r="C14" s="82"/>
      <c r="D14" s="82"/>
      <c r="E14" s="82"/>
      <c r="F14" s="82"/>
      <c r="G14" s="82"/>
      <c r="H14" s="159"/>
      <c r="I14" s="159"/>
      <c r="J14" s="62" t="e">
        <f>PERCENTILE($J$6:$J$6,0.25)</f>
        <v>#NUM!</v>
      </c>
      <c r="K14" s="62" t="e">
        <f>PERCENTILE($K$6:$K$6,0.25)</f>
        <v>#NUM!</v>
      </c>
      <c r="L14" s="62" t="e">
        <f>PERCENTILE($L$6:$L$6,0.25)</f>
        <v>#NUM!</v>
      </c>
      <c r="M14" s="74" t="e">
        <f>PERCENTILE($M$6:$M$6,0.25)</f>
        <v>#NUM!</v>
      </c>
      <c r="N14" s="85"/>
      <c r="O14" s="86"/>
      <c r="P14" s="85"/>
      <c r="Q14" s="80"/>
      <c r="R14" s="80"/>
      <c r="S14" s="80"/>
      <c r="T14" s="80"/>
      <c r="U14" s="80"/>
      <c r="V14" s="80"/>
      <c r="W14" s="86"/>
      <c r="X14" s="62">
        <f t="shared" ref="X14:AD14" si="19">PERCENTILE(X6:X6,0.25)</f>
        <v>0</v>
      </c>
      <c r="Y14" s="62">
        <f t="shared" si="19"/>
        <v>0</v>
      </c>
      <c r="Z14" s="62">
        <f t="shared" si="19"/>
        <v>0</v>
      </c>
      <c r="AA14" s="62">
        <f t="shared" si="19"/>
        <v>0</v>
      </c>
      <c r="AB14" s="62">
        <f t="shared" si="19"/>
        <v>0</v>
      </c>
      <c r="AC14" s="62">
        <f t="shared" si="19"/>
        <v>0</v>
      </c>
      <c r="AD14" s="63">
        <f t="shared" si="19"/>
        <v>0</v>
      </c>
      <c r="AE14" s="40"/>
      <c r="AF14" s="18"/>
      <c r="AG14" s="4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49"/>
    </row>
    <row r="15" spans="1:46" ht="30" customHeight="1" x14ac:dyDescent="0.3">
      <c r="N15" s="87"/>
      <c r="O15" s="89"/>
      <c r="P15" s="87"/>
      <c r="Q15" s="88"/>
      <c r="R15" s="88"/>
      <c r="S15" s="88"/>
      <c r="T15" s="88"/>
      <c r="U15" s="88"/>
      <c r="V15" s="88"/>
      <c r="W15" s="89"/>
      <c r="AE15" s="42"/>
      <c r="AG15" s="50"/>
      <c r="AH15" s="195" t="s">
        <v>21</v>
      </c>
      <c r="AI15" s="195"/>
      <c r="AJ15" s="195"/>
      <c r="AK15" s="195"/>
      <c r="AL15" s="195" t="s">
        <v>24</v>
      </c>
      <c r="AM15" s="195"/>
      <c r="AN15" s="195"/>
      <c r="AO15" s="195"/>
      <c r="AP15" s="195" t="s">
        <v>27</v>
      </c>
      <c r="AQ15" s="195"/>
      <c r="AR15" s="195"/>
      <c r="AS15" s="195"/>
      <c r="AT15" s="51"/>
    </row>
    <row r="16" spans="1:46" ht="30" customHeight="1" x14ac:dyDescent="0.3">
      <c r="B16" s="29" t="str">
        <f>$B$1</f>
        <v>NFP Organization XYZ</v>
      </c>
      <c r="C16" s="30"/>
      <c r="D16" s="30"/>
      <c r="E16" s="30"/>
      <c r="F16" s="31" t="str">
        <f>SETUP!C9</f>
        <v>Cambridge</v>
      </c>
      <c r="G16" s="32" t="str">
        <f>SETUP!C10</f>
        <v>Massachusetts</v>
      </c>
      <c r="H16" s="162" t="s">
        <v>18</v>
      </c>
      <c r="I16" s="162" t="s">
        <v>17</v>
      </c>
      <c r="J16" s="33">
        <f>'PEER GROUP'!K16</f>
        <v>0.99999899999999997</v>
      </c>
      <c r="K16" s="33">
        <f>'PEER GROUP'!L16</f>
        <v>0.99999899999999997</v>
      </c>
      <c r="L16" s="33">
        <f>'PEER GROUP'!M16</f>
        <v>0.99999899999999997</v>
      </c>
      <c r="M16" s="83">
        <f>'PEER GROUP'!N16</f>
        <v>50</v>
      </c>
      <c r="N16" s="112"/>
      <c r="O16" s="114"/>
      <c r="P16" s="112"/>
      <c r="Q16" s="113"/>
      <c r="R16" s="113"/>
      <c r="S16" s="113"/>
      <c r="T16" s="113"/>
      <c r="U16" s="113"/>
      <c r="V16" s="113">
        <f>COUNTIF(V6:V6,"&lt;&gt;---")</f>
        <v>1</v>
      </c>
      <c r="W16" s="114"/>
      <c r="X16" s="33">
        <v>0</v>
      </c>
      <c r="Y16" s="33">
        <v>0</v>
      </c>
      <c r="Z16" s="33">
        <f>SUM(X16:Y16)</f>
        <v>0</v>
      </c>
      <c r="AA16" s="33">
        <v>0</v>
      </c>
      <c r="AB16" s="33">
        <v>0</v>
      </c>
      <c r="AC16" s="33">
        <v>0</v>
      </c>
      <c r="AD16" s="34">
        <f>SUM(Z16:AC16)</f>
        <v>0</v>
      </c>
      <c r="AE16" s="37"/>
      <c r="AF16" s="17"/>
      <c r="AG16" s="52">
        <f>A17+0.99</f>
        <v>100.99</v>
      </c>
      <c r="AH16" s="57">
        <f>X14</f>
        <v>0</v>
      </c>
      <c r="AI16" s="57">
        <f>X13</f>
        <v>0</v>
      </c>
      <c r="AJ16" s="57">
        <f>X12</f>
        <v>0</v>
      </c>
      <c r="AK16" s="57">
        <f>X11</f>
        <v>0</v>
      </c>
      <c r="AL16" s="57">
        <f>Z14</f>
        <v>0</v>
      </c>
      <c r="AM16" s="57">
        <f>Z13</f>
        <v>0</v>
      </c>
      <c r="AN16" s="57">
        <f>Z12</f>
        <v>0</v>
      </c>
      <c r="AO16" s="57">
        <f>Z11</f>
        <v>0</v>
      </c>
      <c r="AP16" s="57">
        <f>AD14</f>
        <v>0</v>
      </c>
      <c r="AQ16" s="57">
        <f>AD13</f>
        <v>0</v>
      </c>
      <c r="AR16" s="57">
        <f>AD12</f>
        <v>0</v>
      </c>
      <c r="AS16" s="57">
        <f>AD11</f>
        <v>0</v>
      </c>
      <c r="AT16" s="53"/>
    </row>
    <row r="17" spans="1:46" ht="30" customHeight="1" x14ac:dyDescent="0.3">
      <c r="A17" s="66">
        <f>'PEER GROUP'!A16</f>
        <v>100</v>
      </c>
      <c r="B17" s="119" t="s">
        <v>32</v>
      </c>
      <c r="C17" s="94"/>
      <c r="D17" s="94"/>
      <c r="E17" s="94"/>
      <c r="F17" s="94"/>
      <c r="G17" s="94"/>
      <c r="H17" s="163"/>
      <c r="I17" s="164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---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---</v>
      </c>
      <c r="L17" s="95" t="str">
        <f>IFERROR(IF(L16&lt;L14,"&lt;25",IF(L16&lt;=L13,25+25*(L16-L14)/(L13-L14),IF(L16&lt;=L12,50+25*(L16-L13)/(L12-L13),IF(L16&lt;=L11,75+15*(L16-L12)/(L11-L12),IF(L16/L11&lt;1.005,90,"&gt;90 (+"&amp;TEXT(L16/L11-1,"0%")&amp;")"))))),"---")</f>
        <v>---</v>
      </c>
      <c r="M17" s="96" t="str">
        <f>IFERROR(IF(M16&lt;M14,"&lt;25",IF(M16&lt;=M13,25+25*(M16-M14)/(M13-M14),IF(M16&lt;=M12,50+25*(M16-M13)/(M12-M13),IF(M16&lt;=M11,75+15*(M16-M12)/(M11-M12),IF(M16/M11&lt;1.005,90,"&gt;90 (+"&amp;TEXT(M16/M11-1,"0%")&amp;")"))))),"---")</f>
        <v>---</v>
      </c>
      <c r="N17" s="90"/>
      <c r="O17" s="91"/>
      <c r="P17" s="90"/>
      <c r="Q17" s="92"/>
      <c r="R17" s="92"/>
      <c r="S17" s="92"/>
      <c r="T17" s="92"/>
      <c r="U17" s="92"/>
      <c r="V17" s="92"/>
      <c r="W17" s="91"/>
      <c r="X17" s="93" t="str">
        <f>IFERROR(IF(X16&lt;X14,"&lt;25",IF(X16&lt;=X13,25+25*(X16-X14)/(X13-X14),IF(X16&lt;=X12,50+25*(X16-X13)/(X12-X13),IF(X16&lt;=X11,75+15*(X16-X12)/(X11-X12),IF(X16/X11&lt;1.005,90,"&gt;90 (+"&amp;TEXT(X16/X11-1,"0%")&amp;")"))))),"---")</f>
        <v>---</v>
      </c>
      <c r="Y17" s="94"/>
      <c r="Z17" s="95" t="str">
        <f>IFERROR(IF(Z16&lt;Z14,"&lt;25",IF(Z16&lt;=Z13,25+25*(Z16-Z14)/(Z13-Z14),IF(Z16&lt;=Z12,50+25*(Z16-Z13)/(Z12-Z13),IF(Z16&lt;=Z11,75+15*(Z16-Z12)/(Z11-Z12),IF(Z16/Z11&lt;1.005,90,"&gt;90 (+"&amp;TEXT(Z16/Z11-1,"0%")&amp;")"))))),"---")</f>
        <v>---</v>
      </c>
      <c r="AA17" s="94"/>
      <c r="AB17" s="94"/>
      <c r="AC17" s="94"/>
      <c r="AD17" s="96" t="str">
        <f>IFERROR(IF(AD16&lt;AD14,"&lt;25",IF(AD16&lt;=AD13,25+25*(AD16-AD14)/(AD13-AD14),IF(AD16&lt;=AD12,50+25*(AD16-AD13)/(AD12-AD13),IF(AD16&lt;=AD11,75+15*(AD16-AD12)/(AD11-AD12),IF(AD16/AD11&lt;1.005,90,"&gt;90 (+"&amp;TEXT(AD16/AD11-1,"0%")&amp;")"))))),"---")</f>
        <v>---</v>
      </c>
      <c r="AE17" s="38"/>
      <c r="AG17" s="54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6"/>
    </row>
  </sheetData>
  <autoFilter ref="A5:AT5" xr:uid="{474D6C73-1F09-435D-B15B-666702D29536}"/>
  <mergeCells count="9">
    <mergeCell ref="AP15:AS15"/>
    <mergeCell ref="AN4:AT4"/>
    <mergeCell ref="AG4:AM4"/>
    <mergeCell ref="X4:AD4"/>
    <mergeCell ref="B4:M4"/>
    <mergeCell ref="P4:V4"/>
    <mergeCell ref="AH15:AK15"/>
    <mergeCell ref="AL15:AO15"/>
    <mergeCell ref="U1:V1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17"/>
  <sheetViews>
    <sheetView showGridLines="0" zoomScale="90" zoomScaleNormal="90" zoomScaleSheetLayoutView="85" workbookViewId="0">
      <selection activeCell="K8" sqref="K8"/>
    </sheetView>
  </sheetViews>
  <sheetFormatPr defaultColWidth="9.1796875" defaultRowHeight="13" outlineLevelCol="1" x14ac:dyDescent="0.3"/>
  <cols>
    <col min="1" max="1" width="7.54296875" style="6" bestFit="1" customWidth="1"/>
    <col min="2" max="2" width="34.1796875" style="6" customWidth="1"/>
    <col min="3" max="3" width="10.81640625" style="6" customWidth="1" outlineLevel="1"/>
    <col min="4" max="4" width="10.81640625" style="6" bestFit="1" customWidth="1" outlineLevel="1"/>
    <col min="5" max="5" width="10.1796875" style="6" customWidth="1" outlineLevel="1"/>
    <col min="6" max="6" width="10.90625" style="6" bestFit="1" customWidth="1"/>
    <col min="7" max="7" width="11.81640625" style="6" customWidth="1"/>
    <col min="8" max="8" width="16.1796875" style="6" bestFit="1" customWidth="1"/>
    <col min="9" max="9" width="31.54296875" style="6" bestFit="1" customWidth="1"/>
    <col min="10" max="10" width="15.90625" style="6" bestFit="1" customWidth="1"/>
    <col min="11" max="11" width="20.08984375" style="6" bestFit="1" customWidth="1"/>
    <col min="12" max="12" width="16.90625" style="6" bestFit="1" customWidth="1"/>
    <col min="13" max="13" width="13.81640625" style="6" customWidth="1" outlineLevel="1"/>
    <col min="14" max="18" width="12.81640625" style="6" customWidth="1" outlineLevel="1"/>
    <col min="19" max="19" width="11.54296875" style="6" customWidth="1" outlineLevel="1"/>
    <col min="20" max="23" width="16.81640625" style="6" customWidth="1"/>
    <col min="24" max="24" width="16.81640625" style="6" customWidth="1" outlineLevel="1"/>
    <col min="25" max="25" width="4.453125" style="6" customWidth="1"/>
    <col min="26" max="35" width="16.81640625" style="6" customWidth="1" outlineLevel="1"/>
    <col min="36" max="16384" width="9.1796875" style="6"/>
  </cols>
  <sheetData>
    <row r="1" spans="1:35" s="1" customFormat="1" ht="25.5" x14ac:dyDescent="0.55000000000000004">
      <c r="B1" s="22" t="str">
        <f>SETUP!$C$4</f>
        <v>NFP Organization XYZ</v>
      </c>
      <c r="C1" s="2"/>
      <c r="J1" s="8"/>
      <c r="R1" s="126"/>
      <c r="S1" s="64">
        <f>DataEffDate</f>
        <v>45292</v>
      </c>
    </row>
    <row r="2" spans="1:35" s="1" customFormat="1" ht="18" x14ac:dyDescent="0.4">
      <c r="B2" s="10" t="s">
        <v>63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12" t="s">
        <v>33</v>
      </c>
      <c r="X2" s="11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s="1" customFormat="1" ht="14.5" x14ac:dyDescent="0.35"/>
    <row r="4" spans="1:35" s="1" customFormat="1" ht="15" customHeight="1" x14ac:dyDescent="0.35">
      <c r="B4" s="193" t="str">
        <f>"Peer Group Data ($000) - Effective: "&amp;TEXT(S1,"mmmm d, Yyyy")</f>
        <v>Peer Group Data ($000) - Effective: January 1, 2024</v>
      </c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67" t="s">
        <v>19</v>
      </c>
      <c r="N4" s="67" t="s">
        <v>20</v>
      </c>
      <c r="O4" s="194" t="s">
        <v>28</v>
      </c>
      <c r="P4" s="194"/>
      <c r="Q4" s="194"/>
      <c r="R4" s="194"/>
      <c r="S4" s="68"/>
      <c r="T4" s="199"/>
      <c r="U4" s="199"/>
      <c r="V4" s="199"/>
      <c r="W4" s="199"/>
      <c r="X4" s="127" t="s">
        <v>11</v>
      </c>
      <c r="Y4" s="128"/>
      <c r="Z4" s="198" t="s">
        <v>30</v>
      </c>
      <c r="AA4" s="198"/>
      <c r="AB4" s="198"/>
      <c r="AC4" s="200" t="s">
        <v>31</v>
      </c>
      <c r="AD4" s="200"/>
      <c r="AE4" s="200"/>
      <c r="AF4" s="200"/>
      <c r="AG4" s="200"/>
      <c r="AH4" s="200"/>
      <c r="AI4" s="200"/>
    </row>
    <row r="5" spans="1:35" ht="36" customHeight="1" x14ac:dyDescent="0.3">
      <c r="A5" s="104" t="s">
        <v>1</v>
      </c>
      <c r="B5" s="115" t="s">
        <v>2</v>
      </c>
      <c r="C5" s="115" t="s">
        <v>3</v>
      </c>
      <c r="D5" s="115" t="s">
        <v>4</v>
      </c>
      <c r="E5" s="115" t="s">
        <v>5</v>
      </c>
      <c r="F5" s="115" t="s">
        <v>6</v>
      </c>
      <c r="G5" s="115" t="s">
        <v>7</v>
      </c>
      <c r="H5" s="116" t="s">
        <v>18</v>
      </c>
      <c r="I5" s="116" t="s">
        <v>17</v>
      </c>
      <c r="J5" s="117" t="s">
        <v>8</v>
      </c>
      <c r="K5" s="117" t="s">
        <v>69</v>
      </c>
      <c r="L5" s="117" t="s">
        <v>10</v>
      </c>
      <c r="M5" s="67"/>
      <c r="N5" s="67"/>
      <c r="O5" s="69" t="s">
        <v>70</v>
      </c>
      <c r="P5" s="69" t="s">
        <v>71</v>
      </c>
      <c r="Q5" s="69" t="s">
        <v>72</v>
      </c>
      <c r="R5" s="69" t="s">
        <v>27</v>
      </c>
      <c r="S5" s="68" t="s">
        <v>29</v>
      </c>
      <c r="T5" s="118" t="s">
        <v>70</v>
      </c>
      <c r="U5" s="118" t="s">
        <v>71</v>
      </c>
      <c r="V5" s="118" t="s">
        <v>72</v>
      </c>
      <c r="W5" s="118" t="s">
        <v>45</v>
      </c>
      <c r="X5" s="127"/>
      <c r="Y5" s="128"/>
      <c r="Z5" s="44" t="s">
        <v>21</v>
      </c>
      <c r="AA5" s="44" t="s">
        <v>26</v>
      </c>
      <c r="AB5" s="44" t="s">
        <v>27</v>
      </c>
      <c r="AC5" s="129" t="s">
        <v>21</v>
      </c>
      <c r="AD5" s="129" t="s">
        <v>22</v>
      </c>
      <c r="AE5" s="129" t="s">
        <v>24</v>
      </c>
      <c r="AF5" s="129" t="s">
        <v>23</v>
      </c>
      <c r="AG5" s="129" t="s">
        <v>25</v>
      </c>
      <c r="AH5" s="129" t="s">
        <v>26</v>
      </c>
      <c r="AI5" s="129" t="s">
        <v>27</v>
      </c>
    </row>
    <row r="6" spans="1:35" ht="30" customHeight="1" x14ac:dyDescent="0.3">
      <c r="A6" s="104"/>
      <c r="B6" s="120"/>
      <c r="C6" s="70"/>
      <c r="D6" s="70"/>
      <c r="E6" s="70"/>
      <c r="F6" s="71"/>
      <c r="G6" s="71"/>
      <c r="H6" s="158"/>
      <c r="I6" s="158"/>
      <c r="J6" s="59"/>
      <c r="K6" s="59"/>
      <c r="L6" s="72"/>
      <c r="M6" s="99"/>
      <c r="N6" s="76"/>
      <c r="O6" s="99"/>
      <c r="P6" s="73"/>
      <c r="Q6" s="73"/>
      <c r="R6" s="73">
        <f>SUM(O6:Q6)</f>
        <v>0</v>
      </c>
      <c r="S6" s="97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T6" s="58">
        <f>O6*$S6</f>
        <v>0</v>
      </c>
      <c r="U6" s="59">
        <f>P6*$S6</f>
        <v>0</v>
      </c>
      <c r="V6" s="59">
        <f>Q6*$S6</f>
        <v>0</v>
      </c>
      <c r="W6" s="60">
        <f>SUM(T6:V6)</f>
        <v>0</v>
      </c>
      <c r="X6" s="43"/>
      <c r="Y6" s="130"/>
      <c r="Z6" s="58"/>
      <c r="AA6" s="59"/>
      <c r="AB6" s="59"/>
      <c r="AC6" s="59" t="str">
        <f t="shared" ref="AC6" si="1">IFERROR(O6/Z6-1,"---")</f>
        <v>---</v>
      </c>
      <c r="AD6" s="59" t="str">
        <f>IFERROR(P6/#REF!-1,"---")</f>
        <v>---</v>
      </c>
      <c r="AE6" s="59" t="str">
        <f>IFERROR(#REF!/#REF!-1,"---")</f>
        <v>---</v>
      </c>
      <c r="AF6" s="59" t="str">
        <f>IFERROR(Q6/#REF!-1,"---")</f>
        <v>---</v>
      </c>
      <c r="AG6" s="59" t="str">
        <f>IFERROR(#REF!/#REF!-1,"---")</f>
        <v>---</v>
      </c>
      <c r="AH6" s="59" t="str">
        <f>IFERROR(#REF!/AA6-1,"---")</f>
        <v>---</v>
      </c>
      <c r="AI6" s="60" t="str">
        <f t="shared" ref="AI6" si="2">IFERROR(R6/AB6-1,"---")</f>
        <v>---</v>
      </c>
    </row>
    <row r="7" spans="1:35" ht="30" customHeight="1" x14ac:dyDescent="0.3">
      <c r="A7" s="104"/>
      <c r="B7" s="120"/>
      <c r="C7" s="70"/>
      <c r="D7" s="70"/>
      <c r="E7" s="70"/>
      <c r="F7" s="71"/>
      <c r="G7" s="71"/>
      <c r="H7" s="158"/>
      <c r="I7" s="158"/>
      <c r="J7" s="59"/>
      <c r="K7" s="59"/>
      <c r="L7" s="72"/>
      <c r="M7" s="73"/>
      <c r="N7" s="76"/>
      <c r="O7" s="73"/>
      <c r="P7" s="73"/>
      <c r="Q7" s="73"/>
      <c r="R7" s="73"/>
      <c r="S7" s="97"/>
      <c r="T7" s="59"/>
      <c r="U7" s="59"/>
      <c r="V7" s="59"/>
      <c r="W7" s="60"/>
      <c r="X7" s="43"/>
      <c r="Y7" s="130"/>
      <c r="Z7" s="165"/>
      <c r="AA7" s="166"/>
      <c r="AB7" s="166"/>
      <c r="AC7" s="166"/>
      <c r="AD7" s="166"/>
      <c r="AE7" s="166"/>
      <c r="AF7" s="166"/>
      <c r="AG7" s="166"/>
      <c r="AH7" s="166"/>
      <c r="AI7" s="167"/>
    </row>
    <row r="8" spans="1:35" ht="30" customHeight="1" x14ac:dyDescent="0.3">
      <c r="A8" s="104"/>
      <c r="B8" s="120"/>
      <c r="C8" s="70"/>
      <c r="D8" s="70"/>
      <c r="E8" s="70"/>
      <c r="F8" s="71"/>
      <c r="G8" s="71"/>
      <c r="H8" s="158"/>
      <c r="I8" s="158"/>
      <c r="J8" s="59"/>
      <c r="K8" s="59"/>
      <c r="L8" s="72"/>
      <c r="M8" s="73"/>
      <c r="N8" s="76"/>
      <c r="O8" s="73"/>
      <c r="P8" s="73"/>
      <c r="Q8" s="73"/>
      <c r="R8" s="73"/>
      <c r="S8" s="97"/>
      <c r="T8" s="59"/>
      <c r="U8" s="59"/>
      <c r="V8" s="59"/>
      <c r="W8" s="60"/>
      <c r="X8" s="43"/>
      <c r="Y8" s="130"/>
      <c r="Z8" s="165"/>
      <c r="AA8" s="166"/>
      <c r="AB8" s="166"/>
      <c r="AC8" s="166"/>
      <c r="AD8" s="166"/>
      <c r="AE8" s="166"/>
      <c r="AF8" s="166"/>
      <c r="AG8" s="166"/>
      <c r="AH8" s="166"/>
      <c r="AI8" s="167"/>
    </row>
    <row r="9" spans="1:35" ht="30" customHeight="1" x14ac:dyDescent="0.3">
      <c r="A9" s="104"/>
      <c r="B9" s="120"/>
      <c r="C9" s="70"/>
      <c r="D9" s="70"/>
      <c r="E9" s="70"/>
      <c r="F9" s="71"/>
      <c r="G9" s="71"/>
      <c r="H9" s="158"/>
      <c r="I9" s="158"/>
      <c r="J9" s="59"/>
      <c r="K9" s="59"/>
      <c r="L9" s="72"/>
      <c r="M9" s="73"/>
      <c r="N9" s="76"/>
      <c r="O9" s="73"/>
      <c r="P9" s="73"/>
      <c r="Q9" s="73"/>
      <c r="R9" s="73"/>
      <c r="S9" s="97"/>
      <c r="T9" s="59"/>
      <c r="U9" s="59"/>
      <c r="V9" s="59"/>
      <c r="W9" s="60"/>
      <c r="X9" s="43"/>
      <c r="Y9" s="130"/>
      <c r="Z9" s="165"/>
      <c r="AA9" s="166"/>
      <c r="AB9" s="166"/>
      <c r="AC9" s="166"/>
      <c r="AD9" s="166"/>
      <c r="AE9" s="166"/>
      <c r="AF9" s="166"/>
      <c r="AG9" s="166"/>
      <c r="AH9" s="166"/>
      <c r="AI9" s="167"/>
    </row>
    <row r="10" spans="1:3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 t="s">
        <v>12</v>
      </c>
      <c r="O10" s="30"/>
      <c r="P10" s="30"/>
      <c r="Q10" s="30"/>
      <c r="R10" s="30"/>
      <c r="S10" s="30"/>
      <c r="T10" s="30"/>
      <c r="U10" s="30"/>
      <c r="V10" s="30"/>
      <c r="W10" s="177"/>
      <c r="X10" s="125"/>
      <c r="Y10" s="131"/>
      <c r="Z10" s="132"/>
      <c r="AA10" s="131"/>
      <c r="AB10" s="131"/>
      <c r="AC10" s="131"/>
      <c r="AD10" s="131"/>
      <c r="AE10" s="131"/>
      <c r="AF10" s="131"/>
      <c r="AG10" s="131"/>
      <c r="AH10" s="131"/>
      <c r="AI10" s="133"/>
    </row>
    <row r="11" spans="1:35" ht="30" customHeight="1" x14ac:dyDescent="0.3">
      <c r="B11" s="109" t="s">
        <v>13</v>
      </c>
      <c r="C11" s="75"/>
      <c r="D11" s="75"/>
      <c r="E11" s="75"/>
      <c r="F11" s="75"/>
      <c r="G11" s="75"/>
      <c r="H11" s="134"/>
      <c r="I11" s="134"/>
      <c r="J11" s="59" t="e">
        <f>PERCENTILE($J$6:$J$6,0.9)</f>
        <v>#NUM!</v>
      </c>
      <c r="K11" s="59" t="e">
        <f>PERCENTILE($K$6:$K$6,0.9)</f>
        <v>#NUM!</v>
      </c>
      <c r="L11" s="72" t="e">
        <f>PERCENTILE($L$6:$L$6,0.9)</f>
        <v>#NUM!</v>
      </c>
      <c r="M11" s="84"/>
      <c r="N11" s="76"/>
      <c r="O11" s="84"/>
      <c r="P11" s="76"/>
      <c r="Q11" s="76"/>
      <c r="R11" s="76"/>
      <c r="S11" s="76"/>
      <c r="T11" s="58">
        <f>PERCENTILE(T6:T6,0.9)</f>
        <v>0</v>
      </c>
      <c r="U11" s="59">
        <f>PERCENTILE(U6:U6,0.9)</f>
        <v>0</v>
      </c>
      <c r="V11" s="59">
        <f>PERCENTILE(V6:V6,0.9)</f>
        <v>0</v>
      </c>
      <c r="W11" s="60">
        <f>PERCENTILE(W6:W6,0.9)</f>
        <v>0</v>
      </c>
      <c r="X11" s="39"/>
      <c r="Y11" s="135"/>
      <c r="Z11" s="136"/>
      <c r="AA11" s="135"/>
      <c r="AB11" s="135"/>
      <c r="AC11" s="135"/>
      <c r="AD11" s="135"/>
      <c r="AE11" s="135"/>
      <c r="AF11" s="135"/>
      <c r="AG11" s="135"/>
      <c r="AH11" s="135"/>
      <c r="AI11" s="137"/>
    </row>
    <row r="12" spans="1:35" ht="30" customHeight="1" x14ac:dyDescent="0.3">
      <c r="B12" s="108" t="s">
        <v>14</v>
      </c>
      <c r="C12" s="82"/>
      <c r="D12" s="82"/>
      <c r="E12" s="82"/>
      <c r="F12" s="82"/>
      <c r="G12" s="82"/>
      <c r="H12" s="138"/>
      <c r="I12" s="138"/>
      <c r="J12" s="62" t="e">
        <f>PERCENTILE($J$6:$J$6,0.75)</f>
        <v>#NUM!</v>
      </c>
      <c r="K12" s="62" t="e">
        <f>PERCENTILE($K$6:$K$6,0.75)</f>
        <v>#NUM!</v>
      </c>
      <c r="L12" s="74" t="e">
        <f>PERCENTILE($L$6:$L$6,0.75)</f>
        <v>#NUM!</v>
      </c>
      <c r="M12" s="85"/>
      <c r="N12" s="80"/>
      <c r="O12" s="85"/>
      <c r="P12" s="80"/>
      <c r="Q12" s="80"/>
      <c r="R12" s="80"/>
      <c r="S12" s="80"/>
      <c r="T12" s="61">
        <f>PERCENTILE(T6:T6,0.75)</f>
        <v>0</v>
      </c>
      <c r="U12" s="62">
        <f>PERCENTILE(U6:U6,0.75)</f>
        <v>0</v>
      </c>
      <c r="V12" s="62">
        <f>PERCENTILE(V6:V6,0.75)</f>
        <v>0</v>
      </c>
      <c r="W12" s="63">
        <f>PERCENTILE(W6:W6,0.75)</f>
        <v>0</v>
      </c>
      <c r="X12" s="40"/>
      <c r="Y12" s="135"/>
      <c r="Z12" s="136"/>
      <c r="AA12" s="135"/>
      <c r="AB12" s="135"/>
      <c r="AC12" s="135"/>
      <c r="AD12" s="135"/>
      <c r="AE12" s="135"/>
      <c r="AF12" s="135"/>
      <c r="AG12" s="135"/>
      <c r="AH12" s="135"/>
      <c r="AI12" s="137"/>
    </row>
    <row r="13" spans="1:35" ht="30" customHeight="1" x14ac:dyDescent="0.3">
      <c r="B13" s="110" t="s">
        <v>15</v>
      </c>
      <c r="C13" s="77"/>
      <c r="D13" s="77"/>
      <c r="E13" s="77"/>
      <c r="F13" s="77"/>
      <c r="G13" s="77"/>
      <c r="H13" s="139"/>
      <c r="I13" s="139"/>
      <c r="J13" s="78" t="e">
        <f>MEDIAN(J6:J6)</f>
        <v>#NUM!</v>
      </c>
      <c r="K13" s="78" t="e">
        <f>MEDIAN(K6:K6)</f>
        <v>#NUM!</v>
      </c>
      <c r="L13" s="79" t="e">
        <f>MEDIAN(L6:L6)</f>
        <v>#NUM!</v>
      </c>
      <c r="M13" s="85"/>
      <c r="N13" s="80"/>
      <c r="O13" s="85"/>
      <c r="P13" s="80"/>
      <c r="Q13" s="80"/>
      <c r="R13" s="80"/>
      <c r="S13" s="80"/>
      <c r="T13" s="140">
        <f>MEDIAN(T6:T6)</f>
        <v>0</v>
      </c>
      <c r="U13" s="78">
        <f>MEDIAN(U6:U6)</f>
        <v>0</v>
      </c>
      <c r="V13" s="78">
        <f>MEDIAN(V6:V6)</f>
        <v>0</v>
      </c>
      <c r="W13" s="81">
        <f>MEDIAN(W6:W6)</f>
        <v>0</v>
      </c>
      <c r="X13" s="41"/>
      <c r="Y13" s="135"/>
      <c r="Z13" s="136"/>
      <c r="AA13" s="135"/>
      <c r="AB13" s="135"/>
      <c r="AC13" s="135"/>
      <c r="AD13" s="135"/>
      <c r="AE13" s="135"/>
      <c r="AF13" s="135"/>
      <c r="AG13" s="135"/>
      <c r="AH13" s="135"/>
      <c r="AI13" s="137"/>
    </row>
    <row r="14" spans="1:35" ht="30" customHeight="1" x14ac:dyDescent="0.3">
      <c r="B14" s="108" t="s">
        <v>16</v>
      </c>
      <c r="C14" s="141"/>
      <c r="D14" s="141"/>
      <c r="E14" s="141"/>
      <c r="F14" s="141"/>
      <c r="G14" s="141"/>
      <c r="H14" s="142"/>
      <c r="I14" s="142"/>
      <c r="J14" s="130" t="e">
        <f>PERCENTILE($J$6:$J$6,0.25)</f>
        <v>#NUM!</v>
      </c>
      <c r="K14" s="130" t="e">
        <f>PERCENTILE($K$6:$K$6,0.25)</f>
        <v>#NUM!</v>
      </c>
      <c r="L14" s="135" t="e">
        <f>PERCENTILE($L$6:$L$6,0.25)</f>
        <v>#NUM!</v>
      </c>
      <c r="M14" s="85"/>
      <c r="N14" s="86"/>
      <c r="O14" s="143"/>
      <c r="P14" s="143"/>
      <c r="Q14" s="143"/>
      <c r="R14" s="143"/>
      <c r="S14" s="143"/>
      <c r="T14" s="61">
        <f>PERCENTILE(T6:T6,0.25)</f>
        <v>0</v>
      </c>
      <c r="U14" s="130">
        <f>PERCENTILE(U6:U6,0.25)</f>
        <v>0</v>
      </c>
      <c r="V14" s="130">
        <f>PERCENTILE(V6:V6,0.25)</f>
        <v>0</v>
      </c>
      <c r="W14" s="130">
        <f>PERCENTILE(W6:W6,0.25)</f>
        <v>0</v>
      </c>
      <c r="X14" s="40"/>
      <c r="Y14" s="135"/>
      <c r="Z14" s="144"/>
      <c r="AA14" s="145"/>
      <c r="AB14" s="145"/>
      <c r="AC14" s="145"/>
      <c r="AD14" s="145"/>
      <c r="AE14" s="145"/>
      <c r="AF14" s="145"/>
      <c r="AG14" s="145"/>
      <c r="AH14" s="145"/>
      <c r="AI14" s="146"/>
    </row>
    <row r="15" spans="1:35" ht="30" customHeight="1" x14ac:dyDescent="0.3">
      <c r="B15" s="147"/>
      <c r="C15" s="94"/>
      <c r="D15" s="94"/>
      <c r="E15" s="94"/>
      <c r="F15" s="94"/>
      <c r="G15" s="94"/>
      <c r="H15" s="94"/>
      <c r="I15" s="94"/>
      <c r="J15" s="94"/>
      <c r="K15" s="94"/>
      <c r="L15" s="148"/>
      <c r="M15" s="149"/>
      <c r="N15" s="149"/>
      <c r="O15" s="90"/>
      <c r="P15" s="92"/>
      <c r="Q15" s="92"/>
      <c r="R15" s="92"/>
      <c r="S15" s="92"/>
      <c r="T15" s="94"/>
      <c r="U15" s="94"/>
      <c r="V15" s="94"/>
      <c r="W15" s="148"/>
      <c r="X15" s="42"/>
      <c r="Z15" s="150"/>
      <c r="AA15" s="195" t="s">
        <v>24</v>
      </c>
      <c r="AB15" s="195"/>
      <c r="AC15" s="195"/>
      <c r="AD15" s="195"/>
      <c r="AE15" s="195" t="s">
        <v>27</v>
      </c>
      <c r="AF15" s="195"/>
      <c r="AG15" s="195"/>
      <c r="AH15" s="195"/>
      <c r="AI15" s="151"/>
    </row>
    <row r="16" spans="1:35" ht="30" customHeight="1" x14ac:dyDescent="0.3">
      <c r="A16" s="103">
        <f>'[1]PEER GROUP'!$A$42</f>
        <v>100</v>
      </c>
      <c r="B16" s="29" t="str">
        <f>$B$1</f>
        <v>NFP Organization XYZ</v>
      </c>
      <c r="C16" s="30"/>
      <c r="D16" s="30"/>
      <c r="E16" s="30"/>
      <c r="F16" s="30" t="str">
        <f>[1]SETUP!C9</f>
        <v>City</v>
      </c>
      <c r="G16" s="100" t="str">
        <f>[1]SETUP!C10</f>
        <v>State</v>
      </c>
      <c r="H16" s="30" t="s">
        <v>18</v>
      </c>
      <c r="I16" s="30" t="s">
        <v>17</v>
      </c>
      <c r="J16" s="33">
        <f>'[1]PEER GROUP'!J42</f>
        <v>0.99999899999999997</v>
      </c>
      <c r="K16" s="33">
        <f>'[1]PEER GROUP'!K42</f>
        <v>0.99999899999999997</v>
      </c>
      <c r="L16" s="83">
        <f>'[1]PEER GROUP'!L42</f>
        <v>999</v>
      </c>
      <c r="M16" s="122"/>
      <c r="N16" s="124"/>
      <c r="O16" s="122"/>
      <c r="P16" s="123"/>
      <c r="Q16" s="123"/>
      <c r="R16" s="123">
        <f>COUNTIF(R6:R6,"&lt;&gt;---")</f>
        <v>1</v>
      </c>
      <c r="S16" s="124"/>
      <c r="T16" s="152">
        <v>0</v>
      </c>
      <c r="U16" s="33">
        <v>0</v>
      </c>
      <c r="V16" s="33">
        <v>0</v>
      </c>
      <c r="W16" s="34">
        <f>SUM(V16:V16)</f>
        <v>0</v>
      </c>
      <c r="X16" s="125"/>
      <c r="Y16" s="131"/>
      <c r="Z16" s="153">
        <f>A16+0.99</f>
        <v>100.99</v>
      </c>
      <c r="AA16" s="57">
        <f>T14</f>
        <v>0</v>
      </c>
      <c r="AB16" s="57">
        <f>T13</f>
        <v>0</v>
      </c>
      <c r="AC16" s="57">
        <f>T12</f>
        <v>0</v>
      </c>
      <c r="AD16" s="57">
        <f>T11</f>
        <v>0</v>
      </c>
      <c r="AE16" s="57">
        <f>W14</f>
        <v>0</v>
      </c>
      <c r="AF16" s="57">
        <f>W13</f>
        <v>0</v>
      </c>
      <c r="AG16" s="57">
        <f>W12</f>
        <v>0</v>
      </c>
      <c r="AH16" s="57">
        <f>W11</f>
        <v>0</v>
      </c>
      <c r="AI16" s="154"/>
    </row>
    <row r="17" spans="2:35" x14ac:dyDescent="0.3">
      <c r="B17" s="119" t="s">
        <v>32</v>
      </c>
      <c r="C17" s="94"/>
      <c r="D17" s="94"/>
      <c r="E17" s="94"/>
      <c r="F17" s="94"/>
      <c r="G17" s="94"/>
      <c r="H17" s="94"/>
      <c r="I17" s="95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---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---</v>
      </c>
      <c r="L17" s="96" t="str">
        <f>IFERROR(IF(L16&lt;L14,"&lt;25",IF(L16&lt;=L13,25+25*(L16-L14)/(L13-L14),IF(L16&lt;=L12,50+25*(L16-L13)/(L12-L13),IF(L16&lt;=L11,75+15*(L16-L12)/(L11-L12),IF(L16/L11&lt;1.005,90,"&gt;90 (+"&amp;TEXT(L16/L11-1,"0%")&amp;")"))))),"---")</f>
        <v>---</v>
      </c>
      <c r="M17" s="90"/>
      <c r="N17" s="91"/>
      <c r="O17" s="90"/>
      <c r="P17" s="92"/>
      <c r="Q17" s="92"/>
      <c r="R17" s="92"/>
      <c r="S17" s="91"/>
      <c r="T17" s="93" t="str">
        <f>IFERROR(IF(T16&lt;T14,"&lt;25",IF(T16&lt;=T13,25+25*(T16-T14)/(T13-T14),IF(T16&lt;=T12,50+25*(T16-T13)/(T12-T13),IF(T16&lt;=T11,75+15*(T16-T12)/(T11-T12),IF(T16/T11&lt;1.005,90,"&gt;90 (+"&amp;TEXT(T16/T11-1,"0%")&amp;")"))))),"---")</f>
        <v>---</v>
      </c>
      <c r="U17" s="94"/>
      <c r="V17" s="94"/>
      <c r="W17" s="96" t="str">
        <f>IFERROR(IF(W16&lt;W14,"&lt;25",IF(W16&lt;=W13,25+25*(W16-W14)/(W13-W14),IF(W16&lt;=W12,50+25*(W16-W13)/(W12-W13),IF(W16&lt;=W11,75+15*(W16-W12)/(W11-W12),IF(W16/W11&lt;1.005,90,"&gt;90 (+"&amp;TEXT(W16/W11-1,"0%")&amp;")"))))),"---")</f>
        <v>---</v>
      </c>
      <c r="X17" s="38"/>
      <c r="Z17" s="98"/>
      <c r="AA17" s="101"/>
      <c r="AB17" s="101"/>
      <c r="AC17" s="101"/>
      <c r="AD17" s="101"/>
      <c r="AE17" s="101"/>
      <c r="AF17" s="101"/>
      <c r="AG17" s="101"/>
      <c r="AH17" s="101"/>
      <c r="AI17" s="102"/>
    </row>
  </sheetData>
  <autoFilter ref="A5:AJ5" xr:uid="{474D6C73-1F09-435D-B15B-666702D29536}"/>
  <mergeCells count="7">
    <mergeCell ref="AA15:AD15"/>
    <mergeCell ref="AE15:AH15"/>
    <mergeCell ref="B4:L4"/>
    <mergeCell ref="O4:R4"/>
    <mergeCell ref="T4:W4"/>
    <mergeCell ref="Z4:AB4"/>
    <mergeCell ref="AC4:AI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8" sqref="D8"/>
    </sheetView>
  </sheetViews>
  <sheetFormatPr defaultColWidth="9.1796875" defaultRowHeight="13" outlineLevelCol="1" x14ac:dyDescent="0.3"/>
  <cols>
    <col min="1" max="1" width="9.1796875" style="6"/>
    <col min="2" max="2" width="7.453125" style="6" bestFit="1" customWidth="1"/>
    <col min="3" max="3" width="19.81640625" style="6" customWidth="1"/>
    <col min="4" max="4" width="31" style="6" customWidth="1" outlineLevel="1"/>
    <col min="5" max="5" width="16.54296875" style="6" customWidth="1" outlineLevel="1"/>
    <col min="6" max="7" width="11.453125" style="6" customWidth="1" outlineLevel="1"/>
    <col min="8" max="10" width="11.453125" style="6" customWidth="1"/>
    <col min="11" max="11" width="16.1796875" style="6" customWidth="1"/>
    <col min="12" max="13" width="19" style="6" customWidth="1"/>
    <col min="14" max="16384" width="9.1796875" style="6"/>
  </cols>
  <sheetData>
    <row r="1" spans="1:15" s="1" customFormat="1" ht="25.5" x14ac:dyDescent="0.55000000000000004">
      <c r="C1" s="22" t="str">
        <f>'PEER GROUP'!$B$2</f>
        <v>NFP Organization XYZ</v>
      </c>
      <c r="L1" s="13"/>
      <c r="M1" s="13"/>
      <c r="N1" s="13"/>
      <c r="O1" s="13"/>
    </row>
    <row r="2" spans="1:15" s="1" customFormat="1" ht="18" x14ac:dyDescent="0.4">
      <c r="C2" s="3" t="s">
        <v>46</v>
      </c>
      <c r="D2" s="4"/>
      <c r="E2" s="4"/>
      <c r="F2" s="4"/>
      <c r="G2" s="4"/>
      <c r="H2" s="4"/>
      <c r="I2" s="4"/>
      <c r="J2" s="4"/>
      <c r="K2" s="4"/>
      <c r="L2" s="13"/>
      <c r="M2" s="13"/>
      <c r="N2" s="13"/>
      <c r="O2" s="13"/>
    </row>
    <row r="3" spans="1:15" s="1" customFormat="1" ht="14.5" x14ac:dyDescent="0.35"/>
    <row r="5" spans="1:15" ht="27.5" customHeight="1" x14ac:dyDescent="0.3">
      <c r="C5" s="202" t="s">
        <v>34</v>
      </c>
      <c r="D5" s="202"/>
      <c r="E5" s="202"/>
      <c r="F5" s="202"/>
      <c r="G5" s="202"/>
      <c r="H5" s="202"/>
      <c r="I5" s="202"/>
      <c r="J5" s="202"/>
      <c r="K5" s="202"/>
    </row>
    <row r="6" spans="1:15" ht="25.5" customHeight="1" x14ac:dyDescent="0.3">
      <c r="C6" s="203" t="s">
        <v>68</v>
      </c>
      <c r="D6" s="203" t="s">
        <v>35</v>
      </c>
      <c r="E6" s="204" t="s">
        <v>36</v>
      </c>
      <c r="F6" s="204" t="s">
        <v>57</v>
      </c>
      <c r="G6" s="205" t="s">
        <v>37</v>
      </c>
      <c r="H6" s="204"/>
      <c r="I6" s="204"/>
      <c r="J6" s="204"/>
      <c r="K6" s="204" t="s">
        <v>38</v>
      </c>
    </row>
    <row r="7" spans="1:15" ht="25.5" customHeight="1" x14ac:dyDescent="0.3">
      <c r="C7" s="203"/>
      <c r="D7" s="203" t="s">
        <v>39</v>
      </c>
      <c r="E7" s="204" t="s">
        <v>39</v>
      </c>
      <c r="F7" s="204"/>
      <c r="G7" s="23" t="s">
        <v>40</v>
      </c>
      <c r="H7" s="23" t="s">
        <v>41</v>
      </c>
      <c r="I7" s="23" t="s">
        <v>42</v>
      </c>
      <c r="J7" s="23" t="s">
        <v>43</v>
      </c>
      <c r="K7" s="204"/>
    </row>
    <row r="8" spans="1:15" ht="30.75" customHeight="1" x14ac:dyDescent="0.3">
      <c r="A8" s="6">
        <v>100</v>
      </c>
      <c r="B8" s="6">
        <f>A8+0.99</f>
        <v>100.99</v>
      </c>
      <c r="C8" s="201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24" t="s">
        <v>21</v>
      </c>
      <c r="E8" s="25" t="str">
        <f>INDEX('Form 990 - Position Title'!X:X,MATCH('Summary Table'!A8,'Form 990 - Position Title'!A:A,0))</f>
        <v>---</v>
      </c>
      <c r="F8" s="206">
        <f>INDEX('Form 990 - Position Title'!V:V,MATCH('Summary Table'!A8,'Form 990 - Position Title'!A:A,0))</f>
        <v>0</v>
      </c>
      <c r="G8" s="25">
        <f>INDEX('Form 990 - Position Title'!AH:AH,MATCH('Summary Table'!$B8,'Form 990 - Position Title'!$AG:$AG,0))</f>
        <v>0</v>
      </c>
      <c r="H8" s="25">
        <f>INDEX('Form 990 - Position Title'!AI:AI,MATCH('Summary Table'!$B8,'Form 990 - Position Title'!$AG:$AG,0))</f>
        <v>0</v>
      </c>
      <c r="I8" s="25">
        <f>INDEX('Form 990 - Position Title'!AJ:AJ,MATCH('Summary Table'!$B8,'Form 990 - Position Title'!$AG:$AG,0))</f>
        <v>0</v>
      </c>
      <c r="J8" s="25">
        <f>INDEX('Form 990 - Position Title'!AK:AK,MATCH('Summary Table'!$B8,'Form 990 - Position Title'!$AG:$AG,0))</f>
        <v>0</v>
      </c>
      <c r="K8" s="26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6">
        <v>100</v>
      </c>
      <c r="B9" s="6">
        <f>A9+0.99</f>
        <v>100.99</v>
      </c>
      <c r="C9" s="201"/>
      <c r="D9" s="24" t="s">
        <v>44</v>
      </c>
      <c r="E9" s="25" t="str">
        <f>INDEX('Form 990 - Position Title'!Z:Z,MATCH('Summary Table'!A9,'Form 990 - Position Title'!A:A,0))</f>
        <v>---</v>
      </c>
      <c r="F9" s="206"/>
      <c r="G9" s="25">
        <f>INDEX('Form 990 - Position Title'!AL:AL,MATCH('Summary Table'!$B9,'Form 990 - Position Title'!$AG:$AG,0))</f>
        <v>0</v>
      </c>
      <c r="H9" s="25">
        <f>INDEX('Form 990 - Position Title'!AM:AM,MATCH('Summary Table'!$B9,'Form 990 - Position Title'!$AG:$AG,0))</f>
        <v>0</v>
      </c>
      <c r="I9" s="25">
        <f>INDEX('Form 990 - Position Title'!AN:AN,MATCH('Summary Table'!$B9,'Form 990 - Position Title'!$AG:$AG,0))</f>
        <v>0</v>
      </c>
      <c r="J9" s="25">
        <f>INDEX('Form 990 - Position Title'!AO:AO,MATCH('Summary Table'!$B9,'Form 990 - Position Title'!$AG:$AG,0))</f>
        <v>0</v>
      </c>
      <c r="K9" s="26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6">
        <v>100</v>
      </c>
      <c r="B10" s="6">
        <f>A10+0.99</f>
        <v>100.99</v>
      </c>
      <c r="C10" s="201"/>
      <c r="D10" s="24" t="s">
        <v>45</v>
      </c>
      <c r="E10" s="25" t="str">
        <f>INDEX('Form 990 - Position Title'!AD:AD,MATCH('Summary Table'!A10,'Form 990 - Position Title'!A:A,0))</f>
        <v>---</v>
      </c>
      <c r="F10" s="206"/>
      <c r="G10" s="25">
        <f>INDEX('Form 990 - Position Title'!AP:AP,MATCH('Summary Table'!$B10,'Form 990 - Position Title'!$AG:$AG,0))</f>
        <v>0</v>
      </c>
      <c r="H10" s="25">
        <f>INDEX('Form 990 - Position Title'!AQ:AQ,MATCH('Summary Table'!$B10,'Form 990 - Position Title'!$AG:$AG,0))</f>
        <v>0</v>
      </c>
      <c r="I10" s="25">
        <f>INDEX('Form 990 - Position Title'!AR:AR,MATCH('Summary Table'!$B10,'Form 990 - Position Title'!$AG:$AG,0))</f>
        <v>0</v>
      </c>
      <c r="J10" s="25">
        <f>INDEX('Form 990 - Position Title'!AS:AS,MATCH('Summary Table'!$B10,'Form 990 - Position Title'!$AG:$AG,0))</f>
        <v>0</v>
      </c>
      <c r="K10" s="26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0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2024-07-16T07:36:55Z</dcterms:modified>
</cp:coreProperties>
</file>