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0" documentId="8_{75624B65-669A-4702-A0DF-84E7D7AE42D3}" xr6:coauthVersionLast="47" xr6:coauthVersionMax="47" xr10:uidLastSave="{00000000-0000-0000-0000-000000000000}"/>
  <bookViews>
    <workbookView xWindow="-12670" yWindow="-16310" windowWidth="29020" windowHeight="1582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Title'!$B$1:$AD$14</definedName>
    <definedName name="_xlnm.Print_Area" localSheetId="3">'Form 990PF - Position Title'!$B$1:$W$14</definedName>
    <definedName name="_xlnm.Print_Area" localSheetId="1">'PEER GROUP'!$B$2:$N$14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6" l="1"/>
  <c r="H9" i="1"/>
  <c r="A19" i="1"/>
  <c r="L6" i="6"/>
  <c r="R6" i="6"/>
  <c r="AI6" i="6" s="1"/>
  <c r="AC6" i="6"/>
  <c r="AD6" i="6"/>
  <c r="AE6" i="6"/>
  <c r="AF6" i="6"/>
  <c r="AG6" i="6"/>
  <c r="AH6" i="6"/>
  <c r="G6" i="6"/>
  <c r="F6" i="6"/>
  <c r="E6" i="6"/>
  <c r="S6" i="6" s="1"/>
  <c r="V6" i="6" s="1"/>
  <c r="D6" i="6"/>
  <c r="C6" i="6"/>
  <c r="B6" i="6"/>
  <c r="W13" i="6"/>
  <c r="L13" i="6"/>
  <c r="K13" i="6"/>
  <c r="J13" i="6"/>
  <c r="G13" i="6"/>
  <c r="F13" i="6"/>
  <c r="A13" i="6"/>
  <c r="Z13" i="6" s="1"/>
  <c r="S1" i="6"/>
  <c r="B4" i="6" s="1"/>
  <c r="B13" i="6"/>
  <c r="A20" i="1" l="1"/>
  <c r="U6" i="6"/>
  <c r="T6" i="6"/>
  <c r="R13" i="6"/>
  <c r="A21" i="1" l="1"/>
  <c r="W6" i="6"/>
  <c r="A22" i="1" l="1"/>
  <c r="A23" i="1" l="1"/>
  <c r="A24" i="1" l="1"/>
  <c r="N12" i="1"/>
  <c r="N11" i="1"/>
  <c r="N10" i="1"/>
  <c r="N9" i="1"/>
  <c r="M6" i="2"/>
  <c r="G6" i="2"/>
  <c r="F6" i="2"/>
  <c r="E6" i="2"/>
  <c r="D6" i="2"/>
  <c r="C6" i="2"/>
  <c r="B6" i="2"/>
  <c r="A25" i="1" l="1"/>
  <c r="W1" i="2"/>
  <c r="A26" i="1" l="1"/>
  <c r="A27" i="1" l="1"/>
  <c r="M6" i="1"/>
  <c r="L6" i="1"/>
  <c r="K6" i="1"/>
  <c r="A28" i="1" l="1"/>
  <c r="K6" i="2"/>
  <c r="K6" i="6"/>
  <c r="J6" i="2"/>
  <c r="J6" i="6"/>
  <c r="M10" i="1"/>
  <c r="L6" i="2"/>
  <c r="G13" i="2"/>
  <c r="F13" i="2"/>
  <c r="B1" i="2"/>
  <c r="J14" i="1"/>
  <c r="I14" i="1"/>
  <c r="H14" i="1"/>
  <c r="J12" i="1"/>
  <c r="J10" i="1"/>
  <c r="J9" i="1"/>
  <c r="I12" i="1"/>
  <c r="I10" i="1"/>
  <c r="I9" i="1"/>
  <c r="H12" i="1"/>
  <c r="H10" i="1"/>
  <c r="N14" i="1"/>
  <c r="G14" i="1"/>
  <c r="F14" i="1"/>
  <c r="B2" i="1"/>
  <c r="M13" i="2" l="1"/>
  <c r="A29" i="1"/>
  <c r="M14" i="1"/>
  <c r="K14" i="1"/>
  <c r="L14" i="1"/>
  <c r="K13" i="2" l="1"/>
  <c r="J13" i="2"/>
  <c r="L13" i="2"/>
  <c r="A30" i="1"/>
  <c r="M12" i="1"/>
  <c r="M11" i="1"/>
  <c r="M9" i="1"/>
  <c r="L12" i="1"/>
  <c r="L11" i="1"/>
  <c r="L10" i="1"/>
  <c r="L9" i="1"/>
  <c r="J11" i="1"/>
  <c r="I11" i="1"/>
  <c r="H11" i="1"/>
  <c r="A14" i="2"/>
  <c r="C8" i="4" s="1"/>
  <c r="B13" i="2"/>
  <c r="C1" i="4"/>
  <c r="A31" i="1" l="1"/>
  <c r="B10" i="4"/>
  <c r="B9" i="4"/>
  <c r="B8" i="4"/>
  <c r="AG13" i="2"/>
  <c r="A32" i="1" l="1"/>
  <c r="B4" i="2"/>
  <c r="Z13" i="2"/>
  <c r="AS6" i="2"/>
  <c r="AR6" i="2"/>
  <c r="AQ6" i="2"/>
  <c r="AO6" i="2"/>
  <c r="AN6" i="2"/>
  <c r="R6" i="2"/>
  <c r="V6" i="2" s="1"/>
  <c r="A33" i="1" l="1"/>
  <c r="AT6" i="2"/>
  <c r="AD13" i="2"/>
  <c r="AP6" i="2"/>
  <c r="W6" i="2"/>
  <c r="K11" i="1"/>
  <c r="K12" i="1"/>
  <c r="K10" i="1"/>
  <c r="K9" i="1"/>
  <c r="B14" i="1"/>
  <c r="A34" i="1" l="1"/>
  <c r="AC6" i="2"/>
  <c r="AA6" i="2"/>
  <c r="Y6" i="2"/>
  <c r="X6" i="2"/>
  <c r="AB6" i="2"/>
  <c r="V13" i="2"/>
  <c r="F8" i="4" s="1"/>
  <c r="A35" i="1" l="1"/>
  <c r="Z6" i="2"/>
  <c r="A36" i="1" l="1"/>
  <c r="L11" i="6"/>
  <c r="L9" i="6"/>
  <c r="L8" i="6"/>
  <c r="L10" i="6"/>
  <c r="AD6" i="2"/>
  <c r="K10" i="6" l="1"/>
  <c r="K9" i="6"/>
  <c r="K8" i="6"/>
  <c r="K11" i="6"/>
  <c r="K14" i="6" s="1"/>
  <c r="A37" i="1"/>
  <c r="L14" i="6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A382" i="1" l="1"/>
  <c r="A383" i="1" l="1"/>
  <c r="A384" i="1" l="1"/>
  <c r="A385" i="1" l="1"/>
  <c r="A386" i="1" l="1"/>
  <c r="A387" i="1" l="1"/>
  <c r="A388" i="1" l="1"/>
  <c r="A389" i="1" l="1"/>
  <c r="A390" i="1" l="1"/>
  <c r="A391" i="1" l="1"/>
  <c r="A392" i="1" l="1"/>
  <c r="A393" i="1" l="1"/>
  <c r="A394" i="1" l="1"/>
  <c r="A395" i="1" l="1"/>
  <c r="A396" i="1" l="1"/>
  <c r="A397" i="1" l="1"/>
  <c r="A398" i="1" l="1"/>
  <c r="A399" i="1" l="1"/>
  <c r="A400" i="1" l="1"/>
  <c r="A401" i="1" l="1"/>
  <c r="A402" i="1" l="1"/>
  <c r="A403" i="1" l="1"/>
  <c r="A404" i="1" l="1"/>
  <c r="A405" i="1" l="1"/>
  <c r="A406" i="1" l="1"/>
  <c r="A407" i="1" l="1"/>
  <c r="A408" i="1" l="1"/>
  <c r="A409" i="1" l="1"/>
  <c r="A410" i="1" l="1"/>
  <c r="A411" i="1" l="1"/>
  <c r="A412" i="1" l="1"/>
  <c r="A413" i="1" l="1"/>
  <c r="A414" i="1" l="1"/>
  <c r="A415" i="1" l="1"/>
  <c r="A416" i="1" l="1"/>
  <c r="A417" i="1" l="1"/>
  <c r="A418" i="1" l="1"/>
  <c r="A419" i="1" l="1"/>
  <c r="A420" i="1" l="1"/>
  <c r="A421" i="1" l="1"/>
  <c r="A422" i="1" l="1"/>
  <c r="A423" i="1" l="1"/>
  <c r="A424" i="1" l="1"/>
  <c r="A425" i="1" l="1"/>
  <c r="A426" i="1" l="1"/>
  <c r="A427" i="1" l="1"/>
  <c r="A428" i="1" l="1"/>
  <c r="A429" i="1" l="1"/>
  <c r="A430" i="1" l="1"/>
  <c r="A431" i="1" l="1"/>
  <c r="A432" i="1" l="1"/>
  <c r="A433" i="1" l="1"/>
  <c r="A434" i="1" l="1"/>
  <c r="A435" i="1" l="1"/>
  <c r="A436" i="1" l="1"/>
  <c r="A437" i="1" l="1"/>
  <c r="A438" i="1" l="1"/>
  <c r="A439" i="1" l="1"/>
  <c r="A440" i="1" l="1"/>
  <c r="A441" i="1" l="1"/>
  <c r="A442" i="1" l="1"/>
  <c r="A443" i="1" l="1"/>
  <c r="A444" i="1" l="1"/>
  <c r="A445" i="1" l="1"/>
  <c r="A446" i="1" l="1"/>
  <c r="A447" i="1" l="1"/>
  <c r="A448" i="1" l="1"/>
  <c r="A449" i="1" l="1"/>
  <c r="A450" i="1" l="1"/>
  <c r="A451" i="1" l="1"/>
  <c r="A452" i="1" l="1"/>
  <c r="A453" i="1" l="1"/>
  <c r="A454" i="1" l="1"/>
  <c r="A455" i="1" l="1"/>
  <c r="A456" i="1" l="1"/>
  <c r="A457" i="1" l="1"/>
  <c r="A458" i="1" l="1"/>
  <c r="A459" i="1" l="1"/>
  <c r="A460" i="1" l="1"/>
  <c r="A461" i="1" l="1"/>
  <c r="A462" i="1" l="1"/>
  <c r="A463" i="1" l="1"/>
  <c r="A464" i="1" l="1"/>
  <c r="A465" i="1" l="1"/>
  <c r="A466" i="1" l="1"/>
  <c r="A467" i="1" l="1"/>
  <c r="A468" i="1" l="1"/>
  <c r="A469" i="1" l="1"/>
  <c r="A470" i="1" l="1"/>
  <c r="A471" i="1" l="1"/>
  <c r="A472" i="1" l="1"/>
  <c r="A473" i="1" l="1"/>
  <c r="A474" i="1" l="1"/>
  <c r="A475" i="1" l="1"/>
  <c r="A476" i="1" l="1"/>
  <c r="A477" i="1" l="1"/>
  <c r="A478" i="1" l="1"/>
  <c r="A479" i="1" l="1"/>
  <c r="A480" i="1" l="1"/>
  <c r="A481" i="1" l="1"/>
  <c r="A482" i="1" l="1"/>
  <c r="A483" i="1" l="1"/>
  <c r="A484" i="1" l="1"/>
  <c r="A485" i="1" l="1"/>
  <c r="A486" i="1" l="1"/>
  <c r="A487" i="1" l="1"/>
  <c r="A488" i="1" l="1"/>
  <c r="A489" i="1" l="1"/>
  <c r="A490" i="1" l="1"/>
  <c r="A491" i="1" l="1"/>
  <c r="A492" i="1" l="1"/>
  <c r="A493" i="1" l="1"/>
  <c r="A494" i="1" l="1"/>
  <c r="A495" i="1" l="1"/>
  <c r="A496" i="1" l="1"/>
  <c r="A497" i="1" l="1"/>
  <c r="A498" i="1" l="1"/>
  <c r="A499" i="1" l="1"/>
  <c r="A500" i="1" l="1"/>
  <c r="A501" i="1" l="1"/>
  <c r="A502" i="1" l="1"/>
  <c r="A503" i="1" l="1"/>
  <c r="A504" i="1" l="1"/>
  <c r="A505" i="1" l="1"/>
  <c r="A506" i="1" l="1"/>
  <c r="A507" i="1" l="1"/>
  <c r="A508" i="1" l="1"/>
  <c r="A509" i="1" l="1"/>
  <c r="A510" i="1" l="1"/>
  <c r="A511" i="1" l="1"/>
  <c r="A512" i="1" l="1"/>
  <c r="A513" i="1" l="1"/>
  <c r="A514" i="1" l="1"/>
  <c r="A515" i="1" l="1"/>
  <c r="A516" i="1" l="1"/>
  <c r="A517" i="1" l="1"/>
  <c r="A518" i="1" l="1"/>
  <c r="A519" i="1" l="1"/>
  <c r="A520" i="1" l="1"/>
  <c r="A521" i="1" l="1"/>
  <c r="A522" i="1" l="1"/>
  <c r="A523" i="1" l="1"/>
  <c r="A524" i="1" l="1"/>
  <c r="A525" i="1" l="1"/>
  <c r="A526" i="1" l="1"/>
  <c r="A527" i="1" l="1"/>
  <c r="A528" i="1" l="1"/>
  <c r="A529" i="1" l="1"/>
  <c r="A530" i="1" l="1"/>
  <c r="A531" i="1" l="1"/>
  <c r="A532" i="1" l="1"/>
  <c r="A533" i="1" l="1"/>
  <c r="A534" i="1" l="1"/>
  <c r="A535" i="1" l="1"/>
  <c r="A536" i="1" l="1"/>
  <c r="A537" i="1" l="1"/>
  <c r="A538" i="1" l="1"/>
  <c r="A539" i="1" l="1"/>
  <c r="A540" i="1" l="1"/>
  <c r="A541" i="1" l="1"/>
  <c r="A542" i="1" l="1"/>
  <c r="A543" i="1" l="1"/>
  <c r="A544" i="1" l="1"/>
  <c r="A545" i="1" l="1"/>
  <c r="A546" i="1" l="1"/>
  <c r="A547" i="1" l="1"/>
  <c r="A548" i="1" l="1"/>
  <c r="A549" i="1" l="1"/>
  <c r="A550" i="1" l="1"/>
  <c r="A551" i="1" l="1"/>
  <c r="A552" i="1" l="1"/>
  <c r="A553" i="1" l="1"/>
  <c r="A554" i="1" l="1"/>
  <c r="A555" i="1" l="1"/>
  <c r="A556" i="1" l="1"/>
  <c r="A557" i="1" l="1"/>
  <c r="A558" i="1" l="1"/>
  <c r="A559" i="1" l="1"/>
  <c r="A560" i="1" l="1"/>
  <c r="A561" i="1" l="1"/>
  <c r="A562" i="1" l="1"/>
  <c r="A563" i="1" l="1"/>
  <c r="A564" i="1" l="1"/>
  <c r="A565" i="1" l="1"/>
  <c r="A566" i="1" l="1"/>
  <c r="A567" i="1" l="1"/>
  <c r="A568" i="1" l="1"/>
  <c r="A569" i="1" l="1"/>
  <c r="A570" i="1" l="1"/>
  <c r="A571" i="1" l="1"/>
  <c r="A572" i="1" l="1"/>
  <c r="A573" i="1" l="1"/>
  <c r="A574" i="1" l="1"/>
  <c r="A575" i="1" l="1"/>
  <c r="A576" i="1" l="1"/>
  <c r="A577" i="1" l="1"/>
  <c r="A578" i="1" l="1"/>
  <c r="A579" i="1" l="1"/>
  <c r="A580" i="1" l="1"/>
  <c r="A581" i="1" l="1"/>
  <c r="A582" i="1" l="1"/>
  <c r="A583" i="1" l="1"/>
  <c r="A584" i="1" l="1"/>
  <c r="A585" i="1" l="1"/>
  <c r="A586" i="1" l="1"/>
  <c r="A587" i="1" l="1"/>
  <c r="A588" i="1" l="1"/>
  <c r="A589" i="1" l="1"/>
  <c r="A590" i="1" l="1"/>
  <c r="A591" i="1" l="1"/>
  <c r="A592" i="1" l="1"/>
  <c r="A593" i="1" l="1"/>
  <c r="A594" i="1" l="1"/>
  <c r="A595" i="1" l="1"/>
  <c r="A596" i="1" l="1"/>
  <c r="A597" i="1" l="1"/>
  <c r="A598" i="1" l="1"/>
  <c r="A599" i="1" l="1"/>
  <c r="A600" i="1" l="1"/>
  <c r="A601" i="1" l="1"/>
  <c r="A602" i="1" l="1"/>
  <c r="A603" i="1" l="1"/>
  <c r="A604" i="1" l="1"/>
  <c r="A605" i="1" l="1"/>
  <c r="A606" i="1" l="1"/>
  <c r="A607" i="1" l="1"/>
  <c r="A608" i="1" l="1"/>
  <c r="A609" i="1" l="1"/>
  <c r="A610" i="1" l="1"/>
  <c r="A611" i="1" l="1"/>
  <c r="A612" i="1" l="1"/>
  <c r="A613" i="1" l="1"/>
  <c r="A614" i="1" l="1"/>
  <c r="A615" i="1" l="1"/>
  <c r="A616" i="1" l="1"/>
  <c r="A617" i="1" l="1"/>
  <c r="A618" i="1" l="1"/>
  <c r="A619" i="1" l="1"/>
  <c r="A620" i="1" l="1"/>
  <c r="A621" i="1" l="1"/>
  <c r="A622" i="1" l="1"/>
  <c r="A623" i="1" l="1"/>
  <c r="A624" i="1" l="1"/>
  <c r="A625" i="1" l="1"/>
  <c r="A626" i="1" l="1"/>
  <c r="A627" i="1" l="1"/>
  <c r="A628" i="1" l="1"/>
  <c r="A629" i="1" l="1"/>
  <c r="A630" i="1" l="1"/>
  <c r="A631" i="1" l="1"/>
  <c r="A632" i="1" l="1"/>
  <c r="A633" i="1" l="1"/>
  <c r="A634" i="1" l="1"/>
  <c r="A635" i="1" l="1"/>
  <c r="A636" i="1" l="1"/>
  <c r="A637" i="1" l="1"/>
  <c r="A638" i="1" l="1"/>
  <c r="A639" i="1" l="1"/>
  <c r="A640" i="1" l="1"/>
  <c r="A641" i="1" l="1"/>
  <c r="A642" i="1" l="1"/>
  <c r="A643" i="1" l="1"/>
  <c r="A644" i="1" l="1"/>
  <c r="A645" i="1" l="1"/>
  <c r="A646" i="1" l="1"/>
  <c r="A647" i="1" l="1"/>
  <c r="A648" i="1" s="1"/>
  <c r="A649" i="1" s="1"/>
  <c r="A650" i="1" s="1"/>
  <c r="A651" i="1" s="1"/>
  <c r="A652" i="1" s="1"/>
  <c r="A653" i="1" s="1"/>
  <c r="M8" i="2" l="1"/>
  <c r="M11" i="2"/>
  <c r="M14" i="2" s="1"/>
  <c r="M9" i="2"/>
  <c r="M10" i="2"/>
  <c r="K10" i="2"/>
  <c r="K11" i="2"/>
  <c r="K9" i="2"/>
  <c r="K8" i="2"/>
  <c r="L10" i="2"/>
  <c r="L8" i="2"/>
  <c r="L9" i="2"/>
  <c r="L11" i="2"/>
  <c r="L14" i="2" s="1"/>
  <c r="J8" i="2"/>
  <c r="J9" i="2"/>
  <c r="J11" i="2"/>
  <c r="J14" i="2" s="1"/>
  <c r="J10" i="2"/>
  <c r="J10" i="6"/>
  <c r="J9" i="6"/>
  <c r="J11" i="6"/>
  <c r="J8" i="6"/>
  <c r="X11" i="2" l="1"/>
  <c r="X9" i="2"/>
  <c r="AJ13" i="2" s="1"/>
  <c r="I8" i="4" s="1"/>
  <c r="X8" i="2"/>
  <c r="AK13" i="2" s="1"/>
  <c r="J8" i="4" s="1"/>
  <c r="X10" i="2"/>
  <c r="AI13" i="2" s="1"/>
  <c r="H8" i="4" s="1"/>
  <c r="Y9" i="2"/>
  <c r="Y8" i="2"/>
  <c r="Y10" i="2"/>
  <c r="Y11" i="2"/>
  <c r="U8" i="6"/>
  <c r="U10" i="6"/>
  <c r="U9" i="6"/>
  <c r="U11" i="6"/>
  <c r="AB9" i="2"/>
  <c r="AB8" i="2"/>
  <c r="AB10" i="2"/>
  <c r="AB11" i="2"/>
  <c r="J14" i="6"/>
  <c r="K14" i="2"/>
  <c r="V11" i="6"/>
  <c r="V8" i="6"/>
  <c r="V9" i="6"/>
  <c r="V10" i="6"/>
  <c r="AC9" i="2"/>
  <c r="AC8" i="2"/>
  <c r="AC10" i="2"/>
  <c r="AC11" i="2"/>
  <c r="T10" i="6"/>
  <c r="AB13" i="6" s="1"/>
  <c r="T9" i="6"/>
  <c r="AC13" i="6" s="1"/>
  <c r="T8" i="6"/>
  <c r="AD13" i="6" s="1"/>
  <c r="T11" i="6"/>
  <c r="AA9" i="2"/>
  <c r="AA8" i="2"/>
  <c r="AA10" i="2"/>
  <c r="AA11" i="2"/>
  <c r="W9" i="6" l="1"/>
  <c r="AG13" i="6" s="1"/>
  <c r="W10" i="6"/>
  <c r="AF13" i="6" s="1"/>
  <c r="W8" i="6"/>
  <c r="AH13" i="6" s="1"/>
  <c r="W11" i="6"/>
  <c r="X14" i="2"/>
  <c r="E8" i="4" s="1"/>
  <c r="AH13" i="2"/>
  <c r="G8" i="4" s="1"/>
  <c r="Z11" i="2"/>
  <c r="Z9" i="2"/>
  <c r="AN13" i="2" s="1"/>
  <c r="I9" i="4" s="1"/>
  <c r="Z10" i="2"/>
  <c r="AM13" i="2" s="1"/>
  <c r="H9" i="4" s="1"/>
  <c r="Z8" i="2"/>
  <c r="AO13" i="2" s="1"/>
  <c r="J9" i="4" s="1"/>
  <c r="T14" i="6"/>
  <c r="AA13" i="6"/>
  <c r="K8" i="4"/>
  <c r="AE13" i="6" l="1"/>
  <c r="W14" i="6"/>
  <c r="AL13" i="2"/>
  <c r="G9" i="4" s="1"/>
  <c r="Z14" i="2"/>
  <c r="E9" i="4" s="1"/>
  <c r="AD9" i="2"/>
  <c r="AR13" i="2" s="1"/>
  <c r="I10" i="4" s="1"/>
  <c r="AD11" i="2"/>
  <c r="AD10" i="2"/>
  <c r="AQ13" i="2" s="1"/>
  <c r="H10" i="4" s="1"/>
  <c r="AD8" i="2"/>
  <c r="AS13" i="2" s="1"/>
  <c r="J10" i="4" s="1"/>
  <c r="K9" i="4" l="1"/>
  <c r="AD14" i="2"/>
  <c r="E10" i="4" s="1"/>
  <c r="AP13" i="2"/>
  <c r="G10" i="4" s="1"/>
  <c r="K10" i="4" l="1"/>
</calcChain>
</file>

<file path=xl/sharedStrings.xml><?xml version="1.0" encoding="utf-8"?>
<sst xmlns="http://schemas.openxmlformats.org/spreadsheetml/2006/main" count="163" uniqueCount="73">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</sst>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1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3" fontId="8" fillId="0" borderId="12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164" fontId="8" fillId="8" borderId="3" xfId="0" applyNumberFormat="1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4" fillId="0" borderId="0" xfId="0" applyNumberFormat="1" applyFont="1"/>
    <xf numFmtId="0" fontId="4" fillId="0" borderId="1" xfId="0" applyNumberFormat="1" applyFont="1" applyBorder="1"/>
    <xf numFmtId="0" fontId="9" fillId="6" borderId="2" xfId="0" applyNumberFormat="1" applyFont="1" applyFill="1" applyBorder="1" applyAlignment="1">
      <alignment horizontal="left"/>
    </xf>
    <xf numFmtId="0" fontId="8" fillId="0" borderId="4" xfId="0" applyNumberFormat="1" applyFont="1" applyBorder="1" applyAlignment="1">
      <alignment horizontal="left" vertical="center"/>
    </xf>
    <xf numFmtId="0" fontId="8" fillId="0" borderId="12" xfId="0" applyNumberFormat="1" applyFont="1" applyBorder="1" applyAlignment="1">
      <alignment horizontal="left" vertical="center"/>
    </xf>
    <xf numFmtId="0" fontId="8" fillId="2" borderId="12" xfId="0" applyNumberFormat="1" applyFont="1" applyFill="1" applyBorder="1" applyAlignment="1">
      <alignment horizontal="left" vertical="center"/>
    </xf>
    <xf numFmtId="0" fontId="8" fillId="0" borderId="0" xfId="0" applyNumberFormat="1" applyFont="1" applyBorder="1"/>
    <xf numFmtId="0" fontId="9" fillId="5" borderId="4" xfId="0" applyNumberFormat="1" applyFont="1" applyFill="1" applyBorder="1" applyAlignment="1">
      <alignment horizontal="left" vertical="center"/>
    </xf>
    <xf numFmtId="0" fontId="8" fillId="0" borderId="4" xfId="0" applyNumberFormat="1" applyFont="1" applyBorder="1"/>
    <xf numFmtId="0" fontId="10" fillId="0" borderId="4" xfId="0" applyNumberFormat="1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D22" sqref="D22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45292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661"/>
  <sheetViews>
    <sheetView showGridLines="0" tabSelected="1" topLeftCell="A2" zoomScale="80" zoomScaleNormal="80" workbookViewId="0">
      <selection activeCell="H9" sqref="H9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13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14" t="s">
        <v>11</v>
      </c>
    </row>
    <row r="6" spans="1:15" ht="30" customHeight="1" x14ac:dyDescent="0.3">
      <c r="A6" s="113">
        <v>1</v>
      </c>
      <c r="B6" s="130" t="s">
        <v>67</v>
      </c>
      <c r="C6" s="83"/>
      <c r="D6" s="78">
        <v>44651</v>
      </c>
      <c r="E6" s="78">
        <v>44561</v>
      </c>
      <c r="F6" s="83"/>
      <c r="G6" s="83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15">
        <v>1</v>
      </c>
      <c r="O6" s="114"/>
    </row>
    <row r="7" spans="1:15" ht="30" customHeight="1" x14ac:dyDescent="0.3">
      <c r="A7" s="113">
        <v>2</v>
      </c>
      <c r="B7" s="107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1"/>
    </row>
    <row r="8" spans="1:15" ht="30" customHeight="1" x14ac:dyDescent="0.3">
      <c r="A8" s="113">
        <v>3</v>
      </c>
      <c r="B8" s="174" t="s">
        <v>12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6"/>
    </row>
    <row r="9" spans="1:15" ht="30" customHeight="1" x14ac:dyDescent="0.3">
      <c r="A9" s="113">
        <v>4</v>
      </c>
      <c r="B9" s="118" t="s">
        <v>13</v>
      </c>
      <c r="C9" s="83"/>
      <c r="D9" s="83"/>
      <c r="E9" s="83"/>
      <c r="F9" s="83"/>
      <c r="G9" s="83"/>
      <c r="H9" s="67">
        <f>PERCENTILE($H$6:$H$6,0.9)</f>
        <v>77362594</v>
      </c>
      <c r="I9" s="67">
        <f>PERCENTILE($I$6:$I$6,0.9)</f>
        <v>45450752</v>
      </c>
      <c r="J9" s="67">
        <f>PERCENTILE($J$6:$J$6,0.9)</f>
        <v>40354963</v>
      </c>
      <c r="K9" s="67">
        <f>PERCENTILE($K$6:$K$6,0.9)</f>
        <v>77.362594000000001</v>
      </c>
      <c r="L9" s="67">
        <f>PERCENTILE($L$6:$L$6,0.9)</f>
        <v>45.450752000000001</v>
      </c>
      <c r="M9" s="67">
        <f>PERCENTILE($M$6:$M$6,0.9)</f>
        <v>40.354962999999998</v>
      </c>
      <c r="N9" s="115">
        <f>IFERROR(PERCENTILE($N$6:$N$6,0.9),"---")</f>
        <v>1</v>
      </c>
    </row>
    <row r="10" spans="1:15" ht="30" customHeight="1" x14ac:dyDescent="0.3">
      <c r="A10" s="113">
        <v>5</v>
      </c>
      <c r="B10" s="117" t="s">
        <v>14</v>
      </c>
      <c r="C10" s="90"/>
      <c r="D10" s="90"/>
      <c r="E10" s="90"/>
      <c r="F10" s="90"/>
      <c r="G10" s="90"/>
      <c r="H10" s="70">
        <f>PERCENTILE($H$6:$H$6,0.75)</f>
        <v>77362594</v>
      </c>
      <c r="I10" s="70">
        <f>PERCENTILE($I$6:$I$6,0.75)</f>
        <v>45450752</v>
      </c>
      <c r="J10" s="70">
        <f>PERCENTILE($J$6:$J$6,0.75)</f>
        <v>40354963</v>
      </c>
      <c r="K10" s="70">
        <f>PERCENTILE($K$6:$K$6,0.75)</f>
        <v>77.362594000000001</v>
      </c>
      <c r="L10" s="70">
        <f>PERCENTILE($L$6:$L$6,0.75)</f>
        <v>45.450752000000001</v>
      </c>
      <c r="M10" s="70">
        <f>PERCENTILE($M$6:$M$6,0.75)</f>
        <v>40.354962999999998</v>
      </c>
      <c r="N10" s="116">
        <f>IFERROR(PERCENTILE($N$6:$N$6,0.75),"---")</f>
        <v>1</v>
      </c>
    </row>
    <row r="11" spans="1:15" ht="30" customHeight="1" x14ac:dyDescent="0.3">
      <c r="A11" s="113">
        <v>6</v>
      </c>
      <c r="B11" s="119" t="s">
        <v>15</v>
      </c>
      <c r="C11" s="85"/>
      <c r="D11" s="85"/>
      <c r="E11" s="85"/>
      <c r="F11" s="85"/>
      <c r="G11" s="85"/>
      <c r="H11" s="86">
        <f>MEDIAN(H6:H6)</f>
        <v>77362594</v>
      </c>
      <c r="I11" s="86">
        <f>MEDIAN(I6:I6)</f>
        <v>45450752</v>
      </c>
      <c r="J11" s="86">
        <f>MEDIAN(J6:J6)</f>
        <v>40354963</v>
      </c>
      <c r="K11" s="86">
        <f>MEDIAN(K6:K6)</f>
        <v>77.362594000000001</v>
      </c>
      <c r="L11" s="86">
        <f>MEDIAN(L6:L6)</f>
        <v>45.450752000000001</v>
      </c>
      <c r="M11" s="86">
        <f>MEDIAN(M6:M6)</f>
        <v>40.354962999999998</v>
      </c>
      <c r="N11" s="120">
        <f>IFERROR(MEDIAN(N6:N6),"---")</f>
        <v>1</v>
      </c>
    </row>
    <row r="12" spans="1:15" ht="30" customHeight="1" x14ac:dyDescent="0.3">
      <c r="A12" s="113">
        <v>7</v>
      </c>
      <c r="B12" s="117" t="s">
        <v>16</v>
      </c>
      <c r="C12" s="90"/>
      <c r="D12" s="90"/>
      <c r="E12" s="90"/>
      <c r="F12" s="90"/>
      <c r="G12" s="90"/>
      <c r="H12" s="70">
        <f>PERCENTILE($H$6:$H$6,0.25)</f>
        <v>77362594</v>
      </c>
      <c r="I12" s="70">
        <f>PERCENTILE($I$6:$I$6,0.25)</f>
        <v>45450752</v>
      </c>
      <c r="J12" s="70">
        <f>PERCENTILE($J$6:$J$6,0.25)</f>
        <v>40354963</v>
      </c>
      <c r="K12" s="70">
        <f>PERCENTILE($K$6:$K$6,0.25)</f>
        <v>77.362594000000001</v>
      </c>
      <c r="L12" s="70">
        <f>PERCENTILE($L$6:$L$6,0.25)</f>
        <v>45.450752000000001</v>
      </c>
      <c r="M12" s="70">
        <f>PERCENTILE($M$6:$M$6,0.25)</f>
        <v>40.354962999999998</v>
      </c>
      <c r="N12" s="116">
        <f>IFERROR(PERCENTILE($N$6:$N$6,0.25),"---")</f>
        <v>1</v>
      </c>
    </row>
    <row r="13" spans="1:15" ht="30" customHeight="1" x14ac:dyDescent="0.3">
      <c r="A13" s="113">
        <v>8</v>
      </c>
      <c r="N13" s="12"/>
    </row>
    <row r="14" spans="1:15" ht="30" customHeight="1" x14ac:dyDescent="0.3">
      <c r="A14" s="113">
        <v>9</v>
      </c>
      <c r="B14" s="35" t="str">
        <f>B2</f>
        <v>NFP Organization XYZ</v>
      </c>
      <c r="C14" s="36"/>
      <c r="D14" s="36"/>
      <c r="E14" s="36"/>
      <c r="F14" s="36" t="str">
        <f>SETUP!C9</f>
        <v>Cambridge</v>
      </c>
      <c r="G14" s="109" t="str">
        <f>SETUP!C10</f>
        <v>Massachusetts</v>
      </c>
      <c r="H14" s="39">
        <f>SETUP!C11</f>
        <v>999999</v>
      </c>
      <c r="I14" s="39">
        <f>SETUP!C13</f>
        <v>999999</v>
      </c>
      <c r="J14" s="39">
        <f>SETUP!C12</f>
        <v>999999</v>
      </c>
      <c r="K14" s="39">
        <f>H14/1000000</f>
        <v>0.99999899999999997</v>
      </c>
      <c r="L14" s="39">
        <f>I14/1000000</f>
        <v>0.99999899999999997</v>
      </c>
      <c r="M14" s="39">
        <f>J14/1000000</f>
        <v>0.99999899999999997</v>
      </c>
      <c r="N14" s="91">
        <f>SETUP!C14</f>
        <v>50</v>
      </c>
    </row>
    <row r="15" spans="1:15" ht="30" customHeight="1" x14ac:dyDescent="0.3">
      <c r="A15" s="113">
        <v>10</v>
      </c>
    </row>
    <row r="16" spans="1:15" ht="30" customHeight="1" x14ac:dyDescent="0.3">
      <c r="A16" s="113">
        <v>11</v>
      </c>
    </row>
    <row r="17" spans="1:1" ht="30" customHeight="1" x14ac:dyDescent="0.3">
      <c r="A17" s="113">
        <v>12</v>
      </c>
    </row>
    <row r="18" spans="1:1" ht="30" customHeight="1" x14ac:dyDescent="0.3">
      <c r="A18" s="113">
        <v>13</v>
      </c>
    </row>
    <row r="19" spans="1:1" ht="30" customHeight="1" x14ac:dyDescent="0.3">
      <c r="A19" s="113">
        <f>A18+1</f>
        <v>14</v>
      </c>
    </row>
    <row r="20" spans="1:1" ht="30" customHeight="1" x14ac:dyDescent="0.3">
      <c r="A20" s="113">
        <f t="shared" ref="A20:A83" si="0">A19+1</f>
        <v>15</v>
      </c>
    </row>
    <row r="21" spans="1:1" ht="30" customHeight="1" x14ac:dyDescent="0.3">
      <c r="A21" s="113">
        <f t="shared" si="0"/>
        <v>16</v>
      </c>
    </row>
    <row r="22" spans="1:1" ht="30" customHeight="1" x14ac:dyDescent="0.3">
      <c r="A22" s="113">
        <f t="shared" si="0"/>
        <v>17</v>
      </c>
    </row>
    <row r="23" spans="1:1" ht="30" customHeight="1" x14ac:dyDescent="0.3">
      <c r="A23" s="113">
        <f t="shared" si="0"/>
        <v>18</v>
      </c>
    </row>
    <row r="24" spans="1:1" ht="30" customHeight="1" x14ac:dyDescent="0.3">
      <c r="A24" s="113">
        <f t="shared" si="0"/>
        <v>19</v>
      </c>
    </row>
    <row r="25" spans="1:1" ht="30" customHeight="1" x14ac:dyDescent="0.3">
      <c r="A25" s="113">
        <f t="shared" si="0"/>
        <v>20</v>
      </c>
    </row>
    <row r="26" spans="1:1" ht="30" customHeight="1" x14ac:dyDescent="0.3">
      <c r="A26" s="113">
        <f t="shared" si="0"/>
        <v>21</v>
      </c>
    </row>
    <row r="27" spans="1:1" ht="30" customHeight="1" x14ac:dyDescent="0.3">
      <c r="A27" s="113">
        <f t="shared" si="0"/>
        <v>22</v>
      </c>
    </row>
    <row r="28" spans="1:1" ht="30" customHeight="1" x14ac:dyDescent="0.3">
      <c r="A28" s="113">
        <f t="shared" si="0"/>
        <v>23</v>
      </c>
    </row>
    <row r="29" spans="1:1" ht="30" customHeight="1" x14ac:dyDescent="0.3">
      <c r="A29" s="113">
        <f t="shared" si="0"/>
        <v>24</v>
      </c>
    </row>
    <row r="30" spans="1:1" ht="30" customHeight="1" x14ac:dyDescent="0.3">
      <c r="A30" s="113">
        <f t="shared" si="0"/>
        <v>25</v>
      </c>
    </row>
    <row r="31" spans="1:1" ht="30" customHeight="1" x14ac:dyDescent="0.3">
      <c r="A31" s="113">
        <f t="shared" si="0"/>
        <v>26</v>
      </c>
    </row>
    <row r="32" spans="1:1" ht="30" customHeight="1" x14ac:dyDescent="0.3">
      <c r="A32" s="113">
        <f t="shared" si="0"/>
        <v>27</v>
      </c>
    </row>
    <row r="33" spans="1:1" ht="30" customHeight="1" x14ac:dyDescent="0.3">
      <c r="A33" s="113">
        <f t="shared" si="0"/>
        <v>28</v>
      </c>
    </row>
    <row r="34" spans="1:1" ht="30" customHeight="1" x14ac:dyDescent="0.3">
      <c r="A34" s="113">
        <f t="shared" si="0"/>
        <v>29</v>
      </c>
    </row>
    <row r="35" spans="1:1" ht="30" customHeight="1" x14ac:dyDescent="0.3">
      <c r="A35" s="113">
        <f t="shared" si="0"/>
        <v>30</v>
      </c>
    </row>
    <row r="36" spans="1:1" ht="30" customHeight="1" outlineLevel="1" x14ac:dyDescent="0.3">
      <c r="A36" s="113">
        <f t="shared" si="0"/>
        <v>31</v>
      </c>
    </row>
    <row r="37" spans="1:1" ht="30" customHeight="1" x14ac:dyDescent="0.3">
      <c r="A37" s="113">
        <f t="shared" si="0"/>
        <v>32</v>
      </c>
    </row>
    <row r="38" spans="1:1" ht="30" customHeight="1" x14ac:dyDescent="0.3">
      <c r="A38" s="113">
        <f t="shared" si="0"/>
        <v>33</v>
      </c>
    </row>
    <row r="39" spans="1:1" ht="30" customHeight="1" x14ac:dyDescent="0.3">
      <c r="A39" s="113">
        <f t="shared" si="0"/>
        <v>34</v>
      </c>
    </row>
    <row r="40" spans="1:1" ht="30" customHeight="1" x14ac:dyDescent="0.3">
      <c r="A40" s="113">
        <f t="shared" si="0"/>
        <v>35</v>
      </c>
    </row>
    <row r="41" spans="1:1" ht="30" customHeight="1" x14ac:dyDescent="0.3">
      <c r="A41" s="113">
        <f t="shared" si="0"/>
        <v>36</v>
      </c>
    </row>
    <row r="42" spans="1:1" ht="30" customHeight="1" x14ac:dyDescent="0.3">
      <c r="A42" s="113">
        <f t="shared" si="0"/>
        <v>37</v>
      </c>
    </row>
    <row r="43" spans="1:1" ht="30" customHeight="1" x14ac:dyDescent="0.3">
      <c r="A43" s="113">
        <f t="shared" si="0"/>
        <v>38</v>
      </c>
    </row>
    <row r="44" spans="1:1" ht="30" customHeight="1" x14ac:dyDescent="0.3">
      <c r="A44" s="113">
        <f t="shared" si="0"/>
        <v>39</v>
      </c>
    </row>
    <row r="45" spans="1:1" ht="30" customHeight="1" x14ac:dyDescent="0.3">
      <c r="A45" s="113">
        <f t="shared" si="0"/>
        <v>40</v>
      </c>
    </row>
    <row r="46" spans="1:1" ht="30" customHeight="1" x14ac:dyDescent="0.3">
      <c r="A46" s="113">
        <f t="shared" si="0"/>
        <v>41</v>
      </c>
    </row>
    <row r="47" spans="1:1" ht="30" customHeight="1" x14ac:dyDescent="0.3">
      <c r="A47" s="113">
        <f t="shared" si="0"/>
        <v>42</v>
      </c>
    </row>
    <row r="48" spans="1:1" ht="30" customHeight="1" x14ac:dyDescent="0.3">
      <c r="A48" s="113">
        <f t="shared" si="0"/>
        <v>43</v>
      </c>
    </row>
    <row r="49" spans="1:1" ht="30" customHeight="1" x14ac:dyDescent="0.3">
      <c r="A49" s="113">
        <f t="shared" si="0"/>
        <v>44</v>
      </c>
    </row>
    <row r="50" spans="1:1" ht="30" customHeight="1" x14ac:dyDescent="0.3">
      <c r="A50" s="113">
        <f t="shared" si="0"/>
        <v>45</v>
      </c>
    </row>
    <row r="51" spans="1:1" ht="30" customHeight="1" x14ac:dyDescent="0.3">
      <c r="A51" s="113">
        <f t="shared" si="0"/>
        <v>46</v>
      </c>
    </row>
    <row r="52" spans="1:1" ht="30" customHeight="1" x14ac:dyDescent="0.3">
      <c r="A52" s="113">
        <f t="shared" si="0"/>
        <v>47</v>
      </c>
    </row>
    <row r="53" spans="1:1" ht="30" customHeight="1" x14ac:dyDescent="0.3">
      <c r="A53" s="113">
        <f t="shared" si="0"/>
        <v>48</v>
      </c>
    </row>
    <row r="54" spans="1:1" ht="30" customHeight="1" x14ac:dyDescent="0.3">
      <c r="A54" s="113">
        <f t="shared" si="0"/>
        <v>49</v>
      </c>
    </row>
    <row r="55" spans="1:1" ht="30" customHeight="1" x14ac:dyDescent="0.3">
      <c r="A55" s="113">
        <f t="shared" si="0"/>
        <v>50</v>
      </c>
    </row>
    <row r="56" spans="1:1" ht="30" customHeight="1" x14ac:dyDescent="0.3">
      <c r="A56" s="113">
        <f t="shared" si="0"/>
        <v>51</v>
      </c>
    </row>
    <row r="57" spans="1:1" ht="30" customHeight="1" x14ac:dyDescent="0.3">
      <c r="A57" s="113">
        <f t="shared" si="0"/>
        <v>52</v>
      </c>
    </row>
    <row r="58" spans="1:1" ht="30" customHeight="1" x14ac:dyDescent="0.3">
      <c r="A58" s="113">
        <f t="shared" si="0"/>
        <v>53</v>
      </c>
    </row>
    <row r="59" spans="1:1" ht="30" customHeight="1" x14ac:dyDescent="0.3">
      <c r="A59" s="113">
        <f t="shared" si="0"/>
        <v>54</v>
      </c>
    </row>
    <row r="60" spans="1:1" ht="30" customHeight="1" x14ac:dyDescent="0.3">
      <c r="A60" s="113">
        <f t="shared" si="0"/>
        <v>55</v>
      </c>
    </row>
    <row r="61" spans="1:1" ht="30" customHeight="1" x14ac:dyDescent="0.3">
      <c r="A61" s="113">
        <f t="shared" si="0"/>
        <v>56</v>
      </c>
    </row>
    <row r="62" spans="1:1" ht="30" customHeight="1" x14ac:dyDescent="0.3">
      <c r="A62" s="113">
        <f t="shared" si="0"/>
        <v>57</v>
      </c>
    </row>
    <row r="63" spans="1:1" ht="30" customHeight="1" x14ac:dyDescent="0.3">
      <c r="A63" s="113">
        <f t="shared" si="0"/>
        <v>58</v>
      </c>
    </row>
    <row r="64" spans="1:1" ht="30" customHeight="1" x14ac:dyDescent="0.3">
      <c r="A64" s="113">
        <f t="shared" si="0"/>
        <v>59</v>
      </c>
    </row>
    <row r="65" spans="1:1" ht="30" customHeight="1" x14ac:dyDescent="0.3">
      <c r="A65" s="113">
        <f t="shared" si="0"/>
        <v>60</v>
      </c>
    </row>
    <row r="66" spans="1:1" ht="30" customHeight="1" x14ac:dyDescent="0.3">
      <c r="A66" s="113">
        <f t="shared" si="0"/>
        <v>61</v>
      </c>
    </row>
    <row r="67" spans="1:1" ht="30" customHeight="1" x14ac:dyDescent="0.3">
      <c r="A67" s="113">
        <f t="shared" si="0"/>
        <v>62</v>
      </c>
    </row>
    <row r="68" spans="1:1" ht="30" customHeight="1" x14ac:dyDescent="0.3">
      <c r="A68" s="113">
        <f t="shared" si="0"/>
        <v>63</v>
      </c>
    </row>
    <row r="69" spans="1:1" ht="30" customHeight="1" x14ac:dyDescent="0.3">
      <c r="A69" s="113">
        <f t="shared" si="0"/>
        <v>64</v>
      </c>
    </row>
    <row r="70" spans="1:1" ht="30" customHeight="1" x14ac:dyDescent="0.3">
      <c r="A70" s="113">
        <f t="shared" si="0"/>
        <v>65</v>
      </c>
    </row>
    <row r="71" spans="1:1" ht="30" customHeight="1" x14ac:dyDescent="0.3">
      <c r="A71" s="113">
        <f t="shared" si="0"/>
        <v>66</v>
      </c>
    </row>
    <row r="72" spans="1:1" ht="30" customHeight="1" x14ac:dyDescent="0.3">
      <c r="A72" s="113">
        <f t="shared" si="0"/>
        <v>67</v>
      </c>
    </row>
    <row r="73" spans="1:1" ht="30" customHeight="1" x14ac:dyDescent="0.3">
      <c r="A73" s="113">
        <f t="shared" si="0"/>
        <v>68</v>
      </c>
    </row>
    <row r="74" spans="1:1" ht="30" customHeight="1" x14ac:dyDescent="0.3">
      <c r="A74" s="113">
        <f t="shared" si="0"/>
        <v>69</v>
      </c>
    </row>
    <row r="75" spans="1:1" ht="30" customHeight="1" x14ac:dyDescent="0.3">
      <c r="A75" s="113">
        <f t="shared" si="0"/>
        <v>70</v>
      </c>
    </row>
    <row r="76" spans="1:1" ht="30" customHeight="1" x14ac:dyDescent="0.3">
      <c r="A76" s="113">
        <f t="shared" si="0"/>
        <v>71</v>
      </c>
    </row>
    <row r="77" spans="1:1" ht="30" customHeight="1" x14ac:dyDescent="0.3">
      <c r="A77" s="113">
        <f t="shared" si="0"/>
        <v>72</v>
      </c>
    </row>
    <row r="78" spans="1:1" ht="30" customHeight="1" x14ac:dyDescent="0.3">
      <c r="A78" s="113">
        <f t="shared" si="0"/>
        <v>73</v>
      </c>
    </row>
    <row r="79" spans="1:1" ht="30" customHeight="1" x14ac:dyDescent="0.3">
      <c r="A79" s="113">
        <f t="shared" si="0"/>
        <v>74</v>
      </c>
    </row>
    <row r="80" spans="1:1" ht="30" customHeight="1" x14ac:dyDescent="0.3">
      <c r="A80" s="113">
        <f t="shared" si="0"/>
        <v>75</v>
      </c>
    </row>
    <row r="81" spans="1:1" ht="30" customHeight="1" x14ac:dyDescent="0.3">
      <c r="A81" s="113">
        <f t="shared" si="0"/>
        <v>76</v>
      </c>
    </row>
    <row r="82" spans="1:1" ht="30" customHeight="1" x14ac:dyDescent="0.3">
      <c r="A82" s="113">
        <f t="shared" si="0"/>
        <v>77</v>
      </c>
    </row>
    <row r="83" spans="1:1" ht="30" customHeight="1" x14ac:dyDescent="0.3">
      <c r="A83" s="113">
        <f t="shared" si="0"/>
        <v>78</v>
      </c>
    </row>
    <row r="84" spans="1:1" ht="30" customHeight="1" x14ac:dyDescent="0.3">
      <c r="A84" s="113">
        <f t="shared" ref="A84:A147" si="1">A83+1</f>
        <v>79</v>
      </c>
    </row>
    <row r="85" spans="1:1" ht="30" customHeight="1" x14ac:dyDescent="0.3">
      <c r="A85" s="113">
        <f t="shared" si="1"/>
        <v>80</v>
      </c>
    </row>
    <row r="86" spans="1:1" ht="30" customHeight="1" x14ac:dyDescent="0.3">
      <c r="A86" s="113">
        <f t="shared" si="1"/>
        <v>81</v>
      </c>
    </row>
    <row r="87" spans="1:1" ht="30" customHeight="1" x14ac:dyDescent="0.3">
      <c r="A87" s="113">
        <f t="shared" si="1"/>
        <v>82</v>
      </c>
    </row>
    <row r="88" spans="1:1" ht="30" customHeight="1" x14ac:dyDescent="0.3">
      <c r="A88" s="113">
        <f t="shared" si="1"/>
        <v>83</v>
      </c>
    </row>
    <row r="89" spans="1:1" ht="30" customHeight="1" x14ac:dyDescent="0.3">
      <c r="A89" s="113">
        <f t="shared" si="1"/>
        <v>84</v>
      </c>
    </row>
    <row r="90" spans="1:1" ht="30" customHeight="1" x14ac:dyDescent="0.3">
      <c r="A90" s="113">
        <f t="shared" si="1"/>
        <v>85</v>
      </c>
    </row>
    <row r="91" spans="1:1" ht="30" customHeight="1" x14ac:dyDescent="0.3">
      <c r="A91" s="113">
        <f t="shared" si="1"/>
        <v>86</v>
      </c>
    </row>
    <row r="92" spans="1:1" ht="30" customHeight="1" x14ac:dyDescent="0.3">
      <c r="A92" s="113">
        <f t="shared" si="1"/>
        <v>87</v>
      </c>
    </row>
    <row r="93" spans="1:1" ht="30" customHeight="1" x14ac:dyDescent="0.3">
      <c r="A93" s="113">
        <f t="shared" si="1"/>
        <v>88</v>
      </c>
    </row>
    <row r="94" spans="1:1" ht="30" customHeight="1" x14ac:dyDescent="0.3">
      <c r="A94" s="113">
        <f t="shared" si="1"/>
        <v>89</v>
      </c>
    </row>
    <row r="95" spans="1:1" ht="30" customHeight="1" x14ac:dyDescent="0.3">
      <c r="A95" s="113">
        <f t="shared" si="1"/>
        <v>90</v>
      </c>
    </row>
    <row r="96" spans="1:1" ht="30" customHeight="1" x14ac:dyDescent="0.3">
      <c r="A96" s="113">
        <f t="shared" si="1"/>
        <v>91</v>
      </c>
    </row>
    <row r="97" spans="1:1" ht="30" customHeight="1" x14ac:dyDescent="0.3">
      <c r="A97" s="113">
        <f t="shared" si="1"/>
        <v>92</v>
      </c>
    </row>
    <row r="98" spans="1:1" ht="30" customHeight="1" x14ac:dyDescent="0.3">
      <c r="A98" s="113">
        <f t="shared" si="1"/>
        <v>93</v>
      </c>
    </row>
    <row r="99" spans="1:1" ht="30" customHeight="1" x14ac:dyDescent="0.3">
      <c r="A99" s="113">
        <f t="shared" si="1"/>
        <v>94</v>
      </c>
    </row>
    <row r="100" spans="1:1" ht="30" customHeight="1" x14ac:dyDescent="0.3">
      <c r="A100" s="113">
        <f t="shared" si="1"/>
        <v>95</v>
      </c>
    </row>
    <row r="101" spans="1:1" ht="30" customHeight="1" x14ac:dyDescent="0.3">
      <c r="A101" s="113">
        <f t="shared" si="1"/>
        <v>96</v>
      </c>
    </row>
    <row r="102" spans="1:1" ht="30" customHeight="1" x14ac:dyDescent="0.3">
      <c r="A102" s="113">
        <f t="shared" si="1"/>
        <v>97</v>
      </c>
    </row>
    <row r="103" spans="1:1" ht="30" customHeight="1" x14ac:dyDescent="0.3">
      <c r="A103" s="113">
        <f t="shared" si="1"/>
        <v>98</v>
      </c>
    </row>
    <row r="104" spans="1:1" ht="30" customHeight="1" x14ac:dyDescent="0.3">
      <c r="A104" s="113">
        <f t="shared" si="1"/>
        <v>99</v>
      </c>
    </row>
    <row r="105" spans="1:1" ht="30" customHeight="1" x14ac:dyDescent="0.3">
      <c r="A105" s="113">
        <f t="shared" si="1"/>
        <v>100</v>
      </c>
    </row>
    <row r="106" spans="1:1" ht="30" customHeight="1" x14ac:dyDescent="0.3">
      <c r="A106" s="113">
        <f t="shared" si="1"/>
        <v>101</v>
      </c>
    </row>
    <row r="107" spans="1:1" ht="30" customHeight="1" x14ac:dyDescent="0.3">
      <c r="A107" s="113">
        <f t="shared" si="1"/>
        <v>102</v>
      </c>
    </row>
    <row r="108" spans="1:1" ht="30" customHeight="1" x14ac:dyDescent="0.3">
      <c r="A108" s="113">
        <f t="shared" si="1"/>
        <v>103</v>
      </c>
    </row>
    <row r="109" spans="1:1" ht="30" customHeight="1" x14ac:dyDescent="0.3">
      <c r="A109" s="113">
        <f t="shared" si="1"/>
        <v>104</v>
      </c>
    </row>
    <row r="110" spans="1:1" ht="30" customHeight="1" x14ac:dyDescent="0.3">
      <c r="A110" s="113">
        <f t="shared" si="1"/>
        <v>105</v>
      </c>
    </row>
    <row r="111" spans="1:1" ht="30" customHeight="1" x14ac:dyDescent="0.3">
      <c r="A111" s="113">
        <f t="shared" si="1"/>
        <v>106</v>
      </c>
    </row>
    <row r="112" spans="1:1" ht="30" customHeight="1" x14ac:dyDescent="0.3">
      <c r="A112" s="113">
        <f t="shared" si="1"/>
        <v>107</v>
      </c>
    </row>
    <row r="113" spans="1:1" ht="30" customHeight="1" x14ac:dyDescent="0.3">
      <c r="A113" s="113">
        <f t="shared" si="1"/>
        <v>108</v>
      </c>
    </row>
    <row r="114" spans="1:1" ht="30" customHeight="1" x14ac:dyDescent="0.3">
      <c r="A114" s="113">
        <f t="shared" si="1"/>
        <v>109</v>
      </c>
    </row>
    <row r="115" spans="1:1" ht="30" customHeight="1" x14ac:dyDescent="0.3">
      <c r="A115" s="113">
        <f t="shared" si="1"/>
        <v>110</v>
      </c>
    </row>
    <row r="116" spans="1:1" ht="30" customHeight="1" x14ac:dyDescent="0.3">
      <c r="A116" s="113">
        <f t="shared" si="1"/>
        <v>111</v>
      </c>
    </row>
    <row r="117" spans="1:1" ht="30" customHeight="1" x14ac:dyDescent="0.3">
      <c r="A117" s="113">
        <f t="shared" si="1"/>
        <v>112</v>
      </c>
    </row>
    <row r="118" spans="1:1" ht="30" customHeight="1" x14ac:dyDescent="0.3">
      <c r="A118" s="113">
        <f t="shared" si="1"/>
        <v>113</v>
      </c>
    </row>
    <row r="119" spans="1:1" ht="30" customHeight="1" x14ac:dyDescent="0.3">
      <c r="A119" s="113">
        <f t="shared" si="1"/>
        <v>114</v>
      </c>
    </row>
    <row r="120" spans="1:1" ht="30" customHeight="1" x14ac:dyDescent="0.3">
      <c r="A120" s="113">
        <f t="shared" si="1"/>
        <v>115</v>
      </c>
    </row>
    <row r="121" spans="1:1" ht="30" customHeight="1" x14ac:dyDescent="0.3">
      <c r="A121" s="113">
        <f t="shared" si="1"/>
        <v>116</v>
      </c>
    </row>
    <row r="122" spans="1:1" ht="30" customHeight="1" x14ac:dyDescent="0.3">
      <c r="A122" s="113">
        <f t="shared" si="1"/>
        <v>117</v>
      </c>
    </row>
    <row r="123" spans="1:1" ht="30" customHeight="1" x14ac:dyDescent="0.3">
      <c r="A123" s="113">
        <f t="shared" si="1"/>
        <v>118</v>
      </c>
    </row>
    <row r="124" spans="1:1" ht="30" customHeight="1" x14ac:dyDescent="0.3">
      <c r="A124" s="113">
        <f t="shared" si="1"/>
        <v>119</v>
      </c>
    </row>
    <row r="125" spans="1:1" ht="30" customHeight="1" x14ac:dyDescent="0.3">
      <c r="A125" s="113">
        <f t="shared" si="1"/>
        <v>120</v>
      </c>
    </row>
    <row r="126" spans="1:1" ht="30" customHeight="1" x14ac:dyDescent="0.3">
      <c r="A126" s="113">
        <f t="shared" si="1"/>
        <v>121</v>
      </c>
    </row>
    <row r="127" spans="1:1" ht="30" customHeight="1" x14ac:dyDescent="0.3">
      <c r="A127" s="113">
        <f t="shared" si="1"/>
        <v>122</v>
      </c>
    </row>
    <row r="128" spans="1:1" ht="30" customHeight="1" x14ac:dyDescent="0.3">
      <c r="A128" s="113">
        <f t="shared" si="1"/>
        <v>123</v>
      </c>
    </row>
    <row r="129" spans="1:1" ht="30" customHeight="1" x14ac:dyDescent="0.3">
      <c r="A129" s="113">
        <f t="shared" si="1"/>
        <v>124</v>
      </c>
    </row>
    <row r="130" spans="1:1" ht="30" customHeight="1" x14ac:dyDescent="0.3">
      <c r="A130" s="113">
        <f t="shared" si="1"/>
        <v>125</v>
      </c>
    </row>
    <row r="131" spans="1:1" ht="30" customHeight="1" x14ac:dyDescent="0.3">
      <c r="A131" s="113">
        <f t="shared" si="1"/>
        <v>126</v>
      </c>
    </row>
    <row r="132" spans="1:1" ht="30" customHeight="1" x14ac:dyDescent="0.3">
      <c r="A132" s="113">
        <f t="shared" si="1"/>
        <v>127</v>
      </c>
    </row>
    <row r="133" spans="1:1" ht="30" customHeight="1" x14ac:dyDescent="0.3">
      <c r="A133" s="113">
        <f t="shared" si="1"/>
        <v>128</v>
      </c>
    </row>
    <row r="134" spans="1:1" ht="30" customHeight="1" x14ac:dyDescent="0.3">
      <c r="A134" s="113">
        <f t="shared" si="1"/>
        <v>129</v>
      </c>
    </row>
    <row r="135" spans="1:1" ht="30" customHeight="1" x14ac:dyDescent="0.3">
      <c r="A135" s="113">
        <f t="shared" si="1"/>
        <v>130</v>
      </c>
    </row>
    <row r="136" spans="1:1" ht="30" customHeight="1" x14ac:dyDescent="0.3">
      <c r="A136" s="113">
        <f t="shared" si="1"/>
        <v>131</v>
      </c>
    </row>
    <row r="137" spans="1:1" ht="30" customHeight="1" x14ac:dyDescent="0.3">
      <c r="A137" s="113">
        <f t="shared" si="1"/>
        <v>132</v>
      </c>
    </row>
    <row r="138" spans="1:1" ht="30" customHeight="1" x14ac:dyDescent="0.3">
      <c r="A138" s="113">
        <f t="shared" si="1"/>
        <v>133</v>
      </c>
    </row>
    <row r="139" spans="1:1" ht="30" customHeight="1" x14ac:dyDescent="0.3">
      <c r="A139" s="113">
        <f t="shared" si="1"/>
        <v>134</v>
      </c>
    </row>
    <row r="140" spans="1:1" ht="30" customHeight="1" x14ac:dyDescent="0.3">
      <c r="A140" s="113">
        <f t="shared" si="1"/>
        <v>135</v>
      </c>
    </row>
    <row r="141" spans="1:1" ht="30" customHeight="1" x14ac:dyDescent="0.3">
      <c r="A141" s="113">
        <f t="shared" si="1"/>
        <v>136</v>
      </c>
    </row>
    <row r="142" spans="1:1" ht="30" customHeight="1" x14ac:dyDescent="0.3">
      <c r="A142" s="113">
        <f t="shared" si="1"/>
        <v>137</v>
      </c>
    </row>
    <row r="143" spans="1:1" ht="30" customHeight="1" x14ac:dyDescent="0.3">
      <c r="A143" s="113">
        <f t="shared" si="1"/>
        <v>138</v>
      </c>
    </row>
    <row r="144" spans="1:1" ht="30" customHeight="1" x14ac:dyDescent="0.3">
      <c r="A144" s="113">
        <f t="shared" si="1"/>
        <v>139</v>
      </c>
    </row>
    <row r="145" spans="1:1" ht="30" customHeight="1" x14ac:dyDescent="0.3">
      <c r="A145" s="113">
        <f t="shared" si="1"/>
        <v>140</v>
      </c>
    </row>
    <row r="146" spans="1:1" ht="30" customHeight="1" x14ac:dyDescent="0.3">
      <c r="A146" s="113">
        <f t="shared" si="1"/>
        <v>141</v>
      </c>
    </row>
    <row r="147" spans="1:1" ht="30" customHeight="1" x14ac:dyDescent="0.3">
      <c r="A147" s="113">
        <f t="shared" si="1"/>
        <v>142</v>
      </c>
    </row>
    <row r="148" spans="1:1" ht="30" customHeight="1" x14ac:dyDescent="0.3">
      <c r="A148" s="113">
        <f t="shared" ref="A148:A211" si="2">A147+1</f>
        <v>143</v>
      </c>
    </row>
    <row r="149" spans="1:1" ht="30" customHeight="1" x14ac:dyDescent="0.3">
      <c r="A149" s="113">
        <f t="shared" si="2"/>
        <v>144</v>
      </c>
    </row>
    <row r="150" spans="1:1" ht="30" customHeight="1" x14ac:dyDescent="0.3">
      <c r="A150" s="113">
        <f t="shared" si="2"/>
        <v>145</v>
      </c>
    </row>
    <row r="151" spans="1:1" ht="30" customHeight="1" x14ac:dyDescent="0.3">
      <c r="A151" s="113">
        <f t="shared" si="2"/>
        <v>146</v>
      </c>
    </row>
    <row r="152" spans="1:1" ht="30" customHeight="1" x14ac:dyDescent="0.3">
      <c r="A152" s="113">
        <f t="shared" si="2"/>
        <v>147</v>
      </c>
    </row>
    <row r="153" spans="1:1" ht="30" customHeight="1" x14ac:dyDescent="0.3">
      <c r="A153" s="113">
        <f t="shared" si="2"/>
        <v>148</v>
      </c>
    </row>
    <row r="154" spans="1:1" ht="30" customHeight="1" x14ac:dyDescent="0.3">
      <c r="A154" s="113">
        <f t="shared" si="2"/>
        <v>149</v>
      </c>
    </row>
    <row r="155" spans="1:1" ht="30" customHeight="1" x14ac:dyDescent="0.3">
      <c r="A155" s="113">
        <f t="shared" si="2"/>
        <v>150</v>
      </c>
    </row>
    <row r="156" spans="1:1" ht="30" customHeight="1" x14ac:dyDescent="0.3">
      <c r="A156" s="113">
        <f t="shared" si="2"/>
        <v>151</v>
      </c>
    </row>
    <row r="157" spans="1:1" ht="30" customHeight="1" x14ac:dyDescent="0.3">
      <c r="A157" s="113">
        <f t="shared" si="2"/>
        <v>152</v>
      </c>
    </row>
    <row r="158" spans="1:1" ht="30" customHeight="1" x14ac:dyDescent="0.3">
      <c r="A158" s="113">
        <f t="shared" si="2"/>
        <v>153</v>
      </c>
    </row>
    <row r="159" spans="1:1" ht="30" customHeight="1" x14ac:dyDescent="0.3">
      <c r="A159" s="113">
        <f t="shared" si="2"/>
        <v>154</v>
      </c>
    </row>
    <row r="160" spans="1:1" ht="30" customHeight="1" x14ac:dyDescent="0.3">
      <c r="A160" s="113">
        <f t="shared" si="2"/>
        <v>155</v>
      </c>
    </row>
    <row r="161" spans="1:1" ht="30" customHeight="1" x14ac:dyDescent="0.3">
      <c r="A161" s="113">
        <f t="shared" si="2"/>
        <v>156</v>
      </c>
    </row>
    <row r="162" spans="1:1" ht="30" customHeight="1" x14ac:dyDescent="0.3">
      <c r="A162" s="113">
        <f t="shared" si="2"/>
        <v>157</v>
      </c>
    </row>
    <row r="163" spans="1:1" ht="30" customHeight="1" x14ac:dyDescent="0.3">
      <c r="A163" s="113">
        <f t="shared" si="2"/>
        <v>158</v>
      </c>
    </row>
    <row r="164" spans="1:1" ht="30" customHeight="1" x14ac:dyDescent="0.3">
      <c r="A164" s="113">
        <f t="shared" si="2"/>
        <v>159</v>
      </c>
    </row>
    <row r="165" spans="1:1" ht="30" customHeight="1" x14ac:dyDescent="0.3">
      <c r="A165" s="113">
        <f t="shared" si="2"/>
        <v>160</v>
      </c>
    </row>
    <row r="166" spans="1:1" ht="30" customHeight="1" x14ac:dyDescent="0.3">
      <c r="A166" s="113">
        <f t="shared" si="2"/>
        <v>161</v>
      </c>
    </row>
    <row r="167" spans="1:1" ht="30" customHeight="1" x14ac:dyDescent="0.3">
      <c r="A167" s="113">
        <f t="shared" si="2"/>
        <v>162</v>
      </c>
    </row>
    <row r="168" spans="1:1" ht="30" customHeight="1" x14ac:dyDescent="0.3">
      <c r="A168" s="113">
        <f t="shared" si="2"/>
        <v>163</v>
      </c>
    </row>
    <row r="169" spans="1:1" ht="30" customHeight="1" x14ac:dyDescent="0.3">
      <c r="A169" s="113">
        <f t="shared" si="2"/>
        <v>164</v>
      </c>
    </row>
    <row r="170" spans="1:1" ht="30" customHeight="1" x14ac:dyDescent="0.3">
      <c r="A170" s="113">
        <f t="shared" si="2"/>
        <v>165</v>
      </c>
    </row>
    <row r="171" spans="1:1" ht="30" customHeight="1" x14ac:dyDescent="0.3">
      <c r="A171" s="113">
        <f t="shared" si="2"/>
        <v>166</v>
      </c>
    </row>
    <row r="172" spans="1:1" ht="30" customHeight="1" x14ac:dyDescent="0.3">
      <c r="A172" s="113">
        <f t="shared" si="2"/>
        <v>167</v>
      </c>
    </row>
    <row r="173" spans="1:1" ht="30" customHeight="1" x14ac:dyDescent="0.3">
      <c r="A173" s="113">
        <f t="shared" si="2"/>
        <v>168</v>
      </c>
    </row>
    <row r="174" spans="1:1" ht="30" customHeight="1" x14ac:dyDescent="0.3">
      <c r="A174" s="113">
        <f t="shared" si="2"/>
        <v>169</v>
      </c>
    </row>
    <row r="175" spans="1:1" ht="30" customHeight="1" x14ac:dyDescent="0.3">
      <c r="A175" s="113">
        <f t="shared" si="2"/>
        <v>170</v>
      </c>
    </row>
    <row r="176" spans="1:1" ht="30" customHeight="1" x14ac:dyDescent="0.3">
      <c r="A176" s="113">
        <f t="shared" si="2"/>
        <v>171</v>
      </c>
    </row>
    <row r="177" spans="1:1" ht="30" customHeight="1" x14ac:dyDescent="0.3">
      <c r="A177" s="113">
        <f t="shared" si="2"/>
        <v>172</v>
      </c>
    </row>
    <row r="178" spans="1:1" ht="30" customHeight="1" x14ac:dyDescent="0.3">
      <c r="A178" s="113">
        <f t="shared" si="2"/>
        <v>173</v>
      </c>
    </row>
    <row r="179" spans="1:1" ht="30" customHeight="1" x14ac:dyDescent="0.3">
      <c r="A179" s="113">
        <f t="shared" si="2"/>
        <v>174</v>
      </c>
    </row>
    <row r="180" spans="1:1" ht="30" customHeight="1" x14ac:dyDescent="0.3">
      <c r="A180" s="113">
        <f t="shared" si="2"/>
        <v>175</v>
      </c>
    </row>
    <row r="181" spans="1:1" ht="30" customHeight="1" x14ac:dyDescent="0.3">
      <c r="A181" s="113">
        <f t="shared" si="2"/>
        <v>176</v>
      </c>
    </row>
    <row r="182" spans="1:1" ht="30" customHeight="1" x14ac:dyDescent="0.3">
      <c r="A182" s="113">
        <f t="shared" si="2"/>
        <v>177</v>
      </c>
    </row>
    <row r="183" spans="1:1" ht="30" customHeight="1" x14ac:dyDescent="0.3">
      <c r="A183" s="113">
        <f t="shared" si="2"/>
        <v>178</v>
      </c>
    </row>
    <row r="184" spans="1:1" ht="30" customHeight="1" x14ac:dyDescent="0.3">
      <c r="A184" s="113">
        <f t="shared" si="2"/>
        <v>179</v>
      </c>
    </row>
    <row r="185" spans="1:1" ht="30" customHeight="1" x14ac:dyDescent="0.3">
      <c r="A185" s="113">
        <f t="shared" si="2"/>
        <v>180</v>
      </c>
    </row>
    <row r="186" spans="1:1" ht="30" customHeight="1" x14ac:dyDescent="0.3">
      <c r="A186" s="113">
        <f t="shared" si="2"/>
        <v>181</v>
      </c>
    </row>
    <row r="187" spans="1:1" ht="30" customHeight="1" x14ac:dyDescent="0.3">
      <c r="A187" s="113">
        <f t="shared" si="2"/>
        <v>182</v>
      </c>
    </row>
    <row r="188" spans="1:1" ht="30" customHeight="1" x14ac:dyDescent="0.3">
      <c r="A188" s="113">
        <f t="shared" si="2"/>
        <v>183</v>
      </c>
    </row>
    <row r="189" spans="1:1" ht="30" customHeight="1" x14ac:dyDescent="0.3">
      <c r="A189" s="113">
        <f t="shared" si="2"/>
        <v>184</v>
      </c>
    </row>
    <row r="190" spans="1:1" ht="30" customHeight="1" x14ac:dyDescent="0.3">
      <c r="A190" s="113">
        <f t="shared" si="2"/>
        <v>185</v>
      </c>
    </row>
    <row r="191" spans="1:1" ht="30" customHeight="1" x14ac:dyDescent="0.3">
      <c r="A191" s="113">
        <f t="shared" si="2"/>
        <v>186</v>
      </c>
    </row>
    <row r="192" spans="1:1" ht="30" customHeight="1" x14ac:dyDescent="0.3">
      <c r="A192" s="113">
        <f t="shared" si="2"/>
        <v>187</v>
      </c>
    </row>
    <row r="193" spans="1:1" ht="30" customHeight="1" x14ac:dyDescent="0.3">
      <c r="A193" s="113">
        <f t="shared" si="2"/>
        <v>188</v>
      </c>
    </row>
    <row r="194" spans="1:1" ht="30" customHeight="1" x14ac:dyDescent="0.3">
      <c r="A194" s="113">
        <f t="shared" si="2"/>
        <v>189</v>
      </c>
    </row>
    <row r="195" spans="1:1" ht="30" customHeight="1" x14ac:dyDescent="0.3">
      <c r="A195" s="113">
        <f t="shared" si="2"/>
        <v>190</v>
      </c>
    </row>
    <row r="196" spans="1:1" ht="30" customHeight="1" x14ac:dyDescent="0.3">
      <c r="A196" s="113">
        <f t="shared" si="2"/>
        <v>191</v>
      </c>
    </row>
    <row r="197" spans="1:1" ht="30" customHeight="1" x14ac:dyDescent="0.3">
      <c r="A197" s="113">
        <f t="shared" si="2"/>
        <v>192</v>
      </c>
    </row>
    <row r="198" spans="1:1" ht="30" customHeight="1" x14ac:dyDescent="0.3">
      <c r="A198" s="113">
        <f t="shared" si="2"/>
        <v>193</v>
      </c>
    </row>
    <row r="199" spans="1:1" ht="30" customHeight="1" x14ac:dyDescent="0.3">
      <c r="A199" s="113">
        <f t="shared" si="2"/>
        <v>194</v>
      </c>
    </row>
    <row r="200" spans="1:1" ht="30" customHeight="1" x14ac:dyDescent="0.3">
      <c r="A200" s="113">
        <f t="shared" si="2"/>
        <v>195</v>
      </c>
    </row>
    <row r="201" spans="1:1" ht="30" customHeight="1" x14ac:dyDescent="0.3">
      <c r="A201" s="113">
        <f t="shared" si="2"/>
        <v>196</v>
      </c>
    </row>
    <row r="202" spans="1:1" ht="30" customHeight="1" x14ac:dyDescent="0.3">
      <c r="A202" s="113">
        <f t="shared" si="2"/>
        <v>197</v>
      </c>
    </row>
    <row r="203" spans="1:1" ht="30" customHeight="1" x14ac:dyDescent="0.3">
      <c r="A203" s="113">
        <f t="shared" si="2"/>
        <v>198</v>
      </c>
    </row>
    <row r="204" spans="1:1" ht="30" customHeight="1" x14ac:dyDescent="0.3">
      <c r="A204" s="113">
        <f t="shared" si="2"/>
        <v>199</v>
      </c>
    </row>
    <row r="205" spans="1:1" ht="30" customHeight="1" x14ac:dyDescent="0.3">
      <c r="A205" s="113">
        <f t="shared" si="2"/>
        <v>200</v>
      </c>
    </row>
    <row r="206" spans="1:1" ht="30" customHeight="1" x14ac:dyDescent="0.3">
      <c r="A206" s="113">
        <f t="shared" si="2"/>
        <v>201</v>
      </c>
    </row>
    <row r="207" spans="1:1" ht="30" customHeight="1" x14ac:dyDescent="0.3">
      <c r="A207" s="113">
        <f t="shared" si="2"/>
        <v>202</v>
      </c>
    </row>
    <row r="208" spans="1:1" ht="30" customHeight="1" x14ac:dyDescent="0.3">
      <c r="A208" s="113">
        <f t="shared" si="2"/>
        <v>203</v>
      </c>
    </row>
    <row r="209" spans="1:1" ht="30" customHeight="1" x14ac:dyDescent="0.3">
      <c r="A209" s="113">
        <f t="shared" si="2"/>
        <v>204</v>
      </c>
    </row>
    <row r="210" spans="1:1" ht="30" customHeight="1" x14ac:dyDescent="0.3">
      <c r="A210" s="113">
        <f t="shared" si="2"/>
        <v>205</v>
      </c>
    </row>
    <row r="211" spans="1:1" ht="30" customHeight="1" x14ac:dyDescent="0.3">
      <c r="A211" s="113">
        <f t="shared" si="2"/>
        <v>206</v>
      </c>
    </row>
    <row r="212" spans="1:1" ht="30" customHeight="1" x14ac:dyDescent="0.3">
      <c r="A212" s="113">
        <f t="shared" ref="A212:A275" si="3">A211+1</f>
        <v>207</v>
      </c>
    </row>
    <row r="213" spans="1:1" ht="30" customHeight="1" x14ac:dyDescent="0.3">
      <c r="A213" s="113">
        <f t="shared" si="3"/>
        <v>208</v>
      </c>
    </row>
    <row r="214" spans="1:1" ht="30" customHeight="1" x14ac:dyDescent="0.3">
      <c r="A214" s="113">
        <f t="shared" si="3"/>
        <v>209</v>
      </c>
    </row>
    <row r="215" spans="1:1" ht="30" customHeight="1" x14ac:dyDescent="0.3">
      <c r="A215" s="113">
        <f t="shared" si="3"/>
        <v>210</v>
      </c>
    </row>
    <row r="216" spans="1:1" ht="30" customHeight="1" x14ac:dyDescent="0.3">
      <c r="A216" s="113">
        <f t="shared" si="3"/>
        <v>211</v>
      </c>
    </row>
    <row r="217" spans="1:1" ht="30" customHeight="1" x14ac:dyDescent="0.3">
      <c r="A217" s="113">
        <f t="shared" si="3"/>
        <v>212</v>
      </c>
    </row>
    <row r="218" spans="1:1" ht="30" customHeight="1" x14ac:dyDescent="0.3">
      <c r="A218" s="113">
        <f t="shared" si="3"/>
        <v>213</v>
      </c>
    </row>
    <row r="219" spans="1:1" ht="30" customHeight="1" x14ac:dyDescent="0.3">
      <c r="A219" s="113">
        <f t="shared" si="3"/>
        <v>214</v>
      </c>
    </row>
    <row r="220" spans="1:1" ht="30" customHeight="1" x14ac:dyDescent="0.3">
      <c r="A220" s="113">
        <f t="shared" si="3"/>
        <v>215</v>
      </c>
    </row>
    <row r="221" spans="1:1" ht="30" customHeight="1" x14ac:dyDescent="0.3">
      <c r="A221" s="113">
        <f t="shared" si="3"/>
        <v>216</v>
      </c>
    </row>
    <row r="222" spans="1:1" ht="30" customHeight="1" x14ac:dyDescent="0.3">
      <c r="A222" s="113">
        <f t="shared" si="3"/>
        <v>217</v>
      </c>
    </row>
    <row r="223" spans="1:1" ht="30" customHeight="1" x14ac:dyDescent="0.3">
      <c r="A223" s="113">
        <f t="shared" si="3"/>
        <v>218</v>
      </c>
    </row>
    <row r="224" spans="1:1" ht="30" customHeight="1" x14ac:dyDescent="0.3">
      <c r="A224" s="113">
        <f t="shared" si="3"/>
        <v>219</v>
      </c>
    </row>
    <row r="225" spans="1:1" ht="30" customHeight="1" x14ac:dyDescent="0.3">
      <c r="A225" s="113">
        <f t="shared" si="3"/>
        <v>220</v>
      </c>
    </row>
    <row r="226" spans="1:1" ht="30" customHeight="1" x14ac:dyDescent="0.3">
      <c r="A226" s="113">
        <f t="shared" si="3"/>
        <v>221</v>
      </c>
    </row>
    <row r="227" spans="1:1" ht="30" customHeight="1" x14ac:dyDescent="0.3">
      <c r="A227" s="113">
        <f t="shared" si="3"/>
        <v>222</v>
      </c>
    </row>
    <row r="228" spans="1:1" ht="30" customHeight="1" x14ac:dyDescent="0.3">
      <c r="A228" s="113">
        <f t="shared" si="3"/>
        <v>223</v>
      </c>
    </row>
    <row r="229" spans="1:1" ht="30" customHeight="1" x14ac:dyDescent="0.3">
      <c r="A229" s="113">
        <f t="shared" si="3"/>
        <v>224</v>
      </c>
    </row>
    <row r="230" spans="1:1" ht="30" customHeight="1" x14ac:dyDescent="0.3">
      <c r="A230" s="113">
        <f t="shared" si="3"/>
        <v>225</v>
      </c>
    </row>
    <row r="231" spans="1:1" ht="30" customHeight="1" x14ac:dyDescent="0.3">
      <c r="A231" s="113">
        <f t="shared" si="3"/>
        <v>226</v>
      </c>
    </row>
    <row r="232" spans="1:1" ht="30" customHeight="1" x14ac:dyDescent="0.3">
      <c r="A232" s="113">
        <f t="shared" si="3"/>
        <v>227</v>
      </c>
    </row>
    <row r="233" spans="1:1" ht="30" customHeight="1" x14ac:dyDescent="0.3">
      <c r="A233" s="113">
        <f t="shared" si="3"/>
        <v>228</v>
      </c>
    </row>
    <row r="234" spans="1:1" ht="30" customHeight="1" x14ac:dyDescent="0.3">
      <c r="A234" s="113">
        <f t="shared" si="3"/>
        <v>229</v>
      </c>
    </row>
    <row r="235" spans="1:1" ht="30" customHeight="1" x14ac:dyDescent="0.3">
      <c r="A235" s="113">
        <f t="shared" si="3"/>
        <v>230</v>
      </c>
    </row>
    <row r="236" spans="1:1" ht="30" customHeight="1" x14ac:dyDescent="0.3">
      <c r="A236" s="113">
        <f t="shared" si="3"/>
        <v>231</v>
      </c>
    </row>
    <row r="237" spans="1:1" ht="30" customHeight="1" x14ac:dyDescent="0.3">
      <c r="A237" s="113">
        <f t="shared" si="3"/>
        <v>232</v>
      </c>
    </row>
    <row r="238" spans="1:1" ht="30" customHeight="1" x14ac:dyDescent="0.3">
      <c r="A238" s="113">
        <f t="shared" si="3"/>
        <v>233</v>
      </c>
    </row>
    <row r="239" spans="1:1" ht="30" customHeight="1" x14ac:dyDescent="0.3">
      <c r="A239" s="113">
        <f t="shared" si="3"/>
        <v>234</v>
      </c>
    </row>
    <row r="240" spans="1:1" ht="30" customHeight="1" x14ac:dyDescent="0.3">
      <c r="A240" s="113">
        <f t="shared" si="3"/>
        <v>235</v>
      </c>
    </row>
    <row r="241" spans="1:1" ht="30" customHeight="1" x14ac:dyDescent="0.3">
      <c r="A241" s="113">
        <f t="shared" si="3"/>
        <v>236</v>
      </c>
    </row>
    <row r="242" spans="1:1" ht="30" customHeight="1" x14ac:dyDescent="0.3">
      <c r="A242" s="113">
        <f t="shared" si="3"/>
        <v>237</v>
      </c>
    </row>
    <row r="243" spans="1:1" ht="30" customHeight="1" x14ac:dyDescent="0.3">
      <c r="A243" s="113">
        <f t="shared" si="3"/>
        <v>238</v>
      </c>
    </row>
    <row r="244" spans="1:1" ht="30" customHeight="1" x14ac:dyDescent="0.3">
      <c r="A244" s="113">
        <f t="shared" si="3"/>
        <v>239</v>
      </c>
    </row>
    <row r="245" spans="1:1" ht="30" customHeight="1" x14ac:dyDescent="0.3">
      <c r="A245" s="113">
        <f t="shared" si="3"/>
        <v>240</v>
      </c>
    </row>
    <row r="246" spans="1:1" ht="30" customHeight="1" x14ac:dyDescent="0.3">
      <c r="A246" s="113">
        <f t="shared" si="3"/>
        <v>241</v>
      </c>
    </row>
    <row r="247" spans="1:1" ht="30" customHeight="1" x14ac:dyDescent="0.3">
      <c r="A247" s="113">
        <f t="shared" si="3"/>
        <v>242</v>
      </c>
    </row>
    <row r="248" spans="1:1" ht="30" customHeight="1" x14ac:dyDescent="0.3">
      <c r="A248" s="113">
        <f t="shared" si="3"/>
        <v>243</v>
      </c>
    </row>
    <row r="249" spans="1:1" ht="30" customHeight="1" x14ac:dyDescent="0.3">
      <c r="A249" s="113">
        <f t="shared" si="3"/>
        <v>244</v>
      </c>
    </row>
    <row r="250" spans="1:1" ht="30" customHeight="1" x14ac:dyDescent="0.3">
      <c r="A250" s="113">
        <f t="shared" si="3"/>
        <v>245</v>
      </c>
    </row>
    <row r="251" spans="1:1" ht="30" customHeight="1" x14ac:dyDescent="0.3">
      <c r="A251" s="113">
        <f t="shared" si="3"/>
        <v>246</v>
      </c>
    </row>
    <row r="252" spans="1:1" ht="30" customHeight="1" x14ac:dyDescent="0.3">
      <c r="A252" s="113">
        <f t="shared" si="3"/>
        <v>247</v>
      </c>
    </row>
    <row r="253" spans="1:1" ht="30" customHeight="1" x14ac:dyDescent="0.3">
      <c r="A253" s="113">
        <f t="shared" si="3"/>
        <v>248</v>
      </c>
    </row>
    <row r="254" spans="1:1" ht="30" customHeight="1" x14ac:dyDescent="0.3">
      <c r="A254" s="113">
        <f t="shared" si="3"/>
        <v>249</v>
      </c>
    </row>
    <row r="255" spans="1:1" ht="30" customHeight="1" x14ac:dyDescent="0.3">
      <c r="A255" s="113">
        <f t="shared" si="3"/>
        <v>250</v>
      </c>
    </row>
    <row r="256" spans="1:1" ht="30" customHeight="1" x14ac:dyDescent="0.3">
      <c r="A256" s="113">
        <f t="shared" si="3"/>
        <v>251</v>
      </c>
    </row>
    <row r="257" spans="1:1" ht="30" customHeight="1" x14ac:dyDescent="0.3">
      <c r="A257" s="113">
        <f t="shared" si="3"/>
        <v>252</v>
      </c>
    </row>
    <row r="258" spans="1:1" ht="30" customHeight="1" x14ac:dyDescent="0.3">
      <c r="A258" s="113">
        <f t="shared" si="3"/>
        <v>253</v>
      </c>
    </row>
    <row r="259" spans="1:1" ht="30" customHeight="1" x14ac:dyDescent="0.3">
      <c r="A259" s="113">
        <f t="shared" si="3"/>
        <v>254</v>
      </c>
    </row>
    <row r="260" spans="1:1" ht="30" customHeight="1" x14ac:dyDescent="0.3">
      <c r="A260" s="113">
        <f t="shared" si="3"/>
        <v>255</v>
      </c>
    </row>
    <row r="261" spans="1:1" ht="30" customHeight="1" x14ac:dyDescent="0.3">
      <c r="A261" s="113">
        <f t="shared" si="3"/>
        <v>256</v>
      </c>
    </row>
    <row r="262" spans="1:1" ht="30" customHeight="1" x14ac:dyDescent="0.3">
      <c r="A262" s="113">
        <f t="shared" si="3"/>
        <v>257</v>
      </c>
    </row>
    <row r="263" spans="1:1" ht="30" customHeight="1" x14ac:dyDescent="0.3">
      <c r="A263" s="113">
        <f t="shared" si="3"/>
        <v>258</v>
      </c>
    </row>
    <row r="264" spans="1:1" ht="30" customHeight="1" x14ac:dyDescent="0.3">
      <c r="A264" s="113">
        <f t="shared" si="3"/>
        <v>259</v>
      </c>
    </row>
    <row r="265" spans="1:1" ht="30" customHeight="1" x14ac:dyDescent="0.3">
      <c r="A265" s="113">
        <f t="shared" si="3"/>
        <v>260</v>
      </c>
    </row>
    <row r="266" spans="1:1" ht="30" customHeight="1" x14ac:dyDescent="0.3">
      <c r="A266" s="113">
        <f t="shared" si="3"/>
        <v>261</v>
      </c>
    </row>
    <row r="267" spans="1:1" ht="30" customHeight="1" x14ac:dyDescent="0.3">
      <c r="A267" s="113">
        <f t="shared" si="3"/>
        <v>262</v>
      </c>
    </row>
    <row r="268" spans="1:1" ht="30" customHeight="1" x14ac:dyDescent="0.3">
      <c r="A268" s="113">
        <f t="shared" si="3"/>
        <v>263</v>
      </c>
    </row>
    <row r="269" spans="1:1" ht="30" customHeight="1" x14ac:dyDescent="0.3">
      <c r="A269" s="113">
        <f t="shared" si="3"/>
        <v>264</v>
      </c>
    </row>
    <row r="270" spans="1:1" ht="30" customHeight="1" x14ac:dyDescent="0.3">
      <c r="A270" s="113">
        <f t="shared" si="3"/>
        <v>265</v>
      </c>
    </row>
    <row r="271" spans="1:1" ht="30" customHeight="1" x14ac:dyDescent="0.3">
      <c r="A271" s="113">
        <f t="shared" si="3"/>
        <v>266</v>
      </c>
    </row>
    <row r="272" spans="1:1" ht="30" customHeight="1" x14ac:dyDescent="0.3">
      <c r="A272" s="113">
        <f t="shared" si="3"/>
        <v>267</v>
      </c>
    </row>
    <row r="273" spans="1:1" ht="30" customHeight="1" x14ac:dyDescent="0.3">
      <c r="A273" s="113">
        <f t="shared" si="3"/>
        <v>268</v>
      </c>
    </row>
    <row r="274" spans="1:1" ht="30" customHeight="1" x14ac:dyDescent="0.3">
      <c r="A274" s="113">
        <f t="shared" si="3"/>
        <v>269</v>
      </c>
    </row>
    <row r="275" spans="1:1" ht="30" customHeight="1" x14ac:dyDescent="0.3">
      <c r="A275" s="113">
        <f t="shared" si="3"/>
        <v>270</v>
      </c>
    </row>
    <row r="276" spans="1:1" ht="30" customHeight="1" x14ac:dyDescent="0.3">
      <c r="A276" s="113">
        <f t="shared" ref="A276:A339" si="4">A275+1</f>
        <v>271</v>
      </c>
    </row>
    <row r="277" spans="1:1" ht="30" customHeight="1" x14ac:dyDescent="0.3">
      <c r="A277" s="113">
        <f t="shared" si="4"/>
        <v>272</v>
      </c>
    </row>
    <row r="278" spans="1:1" ht="30" customHeight="1" x14ac:dyDescent="0.3">
      <c r="A278" s="113">
        <f t="shared" si="4"/>
        <v>273</v>
      </c>
    </row>
    <row r="279" spans="1:1" ht="30" customHeight="1" x14ac:dyDescent="0.3">
      <c r="A279" s="113">
        <f t="shared" si="4"/>
        <v>274</v>
      </c>
    </row>
    <row r="280" spans="1:1" ht="30" customHeight="1" x14ac:dyDescent="0.3">
      <c r="A280" s="113">
        <f t="shared" si="4"/>
        <v>275</v>
      </c>
    </row>
    <row r="281" spans="1:1" ht="30" customHeight="1" x14ac:dyDescent="0.3">
      <c r="A281" s="113">
        <f t="shared" si="4"/>
        <v>276</v>
      </c>
    </row>
    <row r="282" spans="1:1" ht="30" customHeight="1" x14ac:dyDescent="0.3">
      <c r="A282" s="113">
        <f t="shared" si="4"/>
        <v>277</v>
      </c>
    </row>
    <row r="283" spans="1:1" ht="30" customHeight="1" x14ac:dyDescent="0.3">
      <c r="A283" s="113">
        <f t="shared" si="4"/>
        <v>278</v>
      </c>
    </row>
    <row r="284" spans="1:1" ht="30" customHeight="1" x14ac:dyDescent="0.3">
      <c r="A284" s="113">
        <f t="shared" si="4"/>
        <v>279</v>
      </c>
    </row>
    <row r="285" spans="1:1" ht="30" customHeight="1" x14ac:dyDescent="0.3">
      <c r="A285" s="113">
        <f t="shared" si="4"/>
        <v>280</v>
      </c>
    </row>
    <row r="286" spans="1:1" ht="30" customHeight="1" x14ac:dyDescent="0.3">
      <c r="A286" s="113">
        <f t="shared" si="4"/>
        <v>281</v>
      </c>
    </row>
    <row r="287" spans="1:1" ht="30" customHeight="1" x14ac:dyDescent="0.3">
      <c r="A287" s="113">
        <f t="shared" si="4"/>
        <v>282</v>
      </c>
    </row>
    <row r="288" spans="1:1" ht="30" customHeight="1" x14ac:dyDescent="0.3">
      <c r="A288" s="113">
        <f t="shared" si="4"/>
        <v>283</v>
      </c>
    </row>
    <row r="289" spans="1:1" ht="30" customHeight="1" x14ac:dyDescent="0.3">
      <c r="A289" s="113">
        <f t="shared" si="4"/>
        <v>284</v>
      </c>
    </row>
    <row r="290" spans="1:1" ht="30" customHeight="1" x14ac:dyDescent="0.3">
      <c r="A290" s="113">
        <f t="shared" si="4"/>
        <v>285</v>
      </c>
    </row>
    <row r="291" spans="1:1" ht="30" customHeight="1" x14ac:dyDescent="0.3">
      <c r="A291" s="113">
        <f t="shared" si="4"/>
        <v>286</v>
      </c>
    </row>
    <row r="292" spans="1:1" ht="30" customHeight="1" x14ac:dyDescent="0.3">
      <c r="A292" s="113">
        <f t="shared" si="4"/>
        <v>287</v>
      </c>
    </row>
    <row r="293" spans="1:1" ht="30" customHeight="1" x14ac:dyDescent="0.3">
      <c r="A293" s="113">
        <f t="shared" si="4"/>
        <v>288</v>
      </c>
    </row>
    <row r="294" spans="1:1" ht="30" customHeight="1" x14ac:dyDescent="0.3">
      <c r="A294" s="113">
        <f t="shared" si="4"/>
        <v>289</v>
      </c>
    </row>
    <row r="295" spans="1:1" ht="30" customHeight="1" x14ac:dyDescent="0.3">
      <c r="A295" s="113">
        <f t="shared" si="4"/>
        <v>290</v>
      </c>
    </row>
    <row r="296" spans="1:1" ht="30" customHeight="1" x14ac:dyDescent="0.3">
      <c r="A296" s="113">
        <f t="shared" si="4"/>
        <v>291</v>
      </c>
    </row>
    <row r="297" spans="1:1" ht="30" customHeight="1" x14ac:dyDescent="0.3">
      <c r="A297" s="113">
        <f t="shared" si="4"/>
        <v>292</v>
      </c>
    </row>
    <row r="298" spans="1:1" ht="30" customHeight="1" x14ac:dyDescent="0.3">
      <c r="A298" s="113">
        <f t="shared" si="4"/>
        <v>293</v>
      </c>
    </row>
    <row r="299" spans="1:1" ht="30" customHeight="1" x14ac:dyDescent="0.3">
      <c r="A299" s="113">
        <f t="shared" si="4"/>
        <v>294</v>
      </c>
    </row>
    <row r="300" spans="1:1" ht="30" customHeight="1" x14ac:dyDescent="0.3">
      <c r="A300" s="113">
        <f t="shared" si="4"/>
        <v>295</v>
      </c>
    </row>
    <row r="301" spans="1:1" ht="30" customHeight="1" x14ac:dyDescent="0.3">
      <c r="A301" s="113">
        <f t="shared" si="4"/>
        <v>296</v>
      </c>
    </row>
    <row r="302" spans="1:1" ht="30" customHeight="1" x14ac:dyDescent="0.3">
      <c r="A302" s="113">
        <f t="shared" si="4"/>
        <v>297</v>
      </c>
    </row>
    <row r="303" spans="1:1" ht="30" customHeight="1" x14ac:dyDescent="0.3">
      <c r="A303" s="113">
        <f t="shared" si="4"/>
        <v>298</v>
      </c>
    </row>
    <row r="304" spans="1:1" ht="30" customHeight="1" x14ac:dyDescent="0.3">
      <c r="A304" s="113">
        <f t="shared" si="4"/>
        <v>299</v>
      </c>
    </row>
    <row r="305" spans="1:1" ht="30" customHeight="1" x14ac:dyDescent="0.3">
      <c r="A305" s="113">
        <f t="shared" si="4"/>
        <v>300</v>
      </c>
    </row>
    <row r="306" spans="1:1" ht="30" customHeight="1" x14ac:dyDescent="0.3">
      <c r="A306" s="113">
        <f t="shared" si="4"/>
        <v>301</v>
      </c>
    </row>
    <row r="307" spans="1:1" ht="30" customHeight="1" x14ac:dyDescent="0.3">
      <c r="A307" s="113">
        <f t="shared" si="4"/>
        <v>302</v>
      </c>
    </row>
    <row r="308" spans="1:1" ht="30" customHeight="1" x14ac:dyDescent="0.3">
      <c r="A308" s="113">
        <f t="shared" si="4"/>
        <v>303</v>
      </c>
    </row>
    <row r="309" spans="1:1" ht="30" customHeight="1" x14ac:dyDescent="0.3">
      <c r="A309" s="113">
        <f t="shared" si="4"/>
        <v>304</v>
      </c>
    </row>
    <row r="310" spans="1:1" ht="30" customHeight="1" x14ac:dyDescent="0.3">
      <c r="A310" s="113">
        <f t="shared" si="4"/>
        <v>305</v>
      </c>
    </row>
    <row r="311" spans="1:1" ht="30" customHeight="1" x14ac:dyDescent="0.3">
      <c r="A311" s="113">
        <f t="shared" si="4"/>
        <v>306</v>
      </c>
    </row>
    <row r="312" spans="1:1" ht="30" customHeight="1" x14ac:dyDescent="0.3">
      <c r="A312" s="113">
        <f t="shared" si="4"/>
        <v>307</v>
      </c>
    </row>
    <row r="313" spans="1:1" ht="30" customHeight="1" x14ac:dyDescent="0.3">
      <c r="A313" s="113">
        <f t="shared" si="4"/>
        <v>308</v>
      </c>
    </row>
    <row r="314" spans="1:1" ht="30" customHeight="1" x14ac:dyDescent="0.3">
      <c r="A314" s="113">
        <f t="shared" si="4"/>
        <v>309</v>
      </c>
    </row>
    <row r="315" spans="1:1" ht="30" customHeight="1" x14ac:dyDescent="0.3">
      <c r="A315" s="113">
        <f t="shared" si="4"/>
        <v>310</v>
      </c>
    </row>
    <row r="316" spans="1:1" ht="30" customHeight="1" x14ac:dyDescent="0.3">
      <c r="A316" s="113">
        <f t="shared" si="4"/>
        <v>311</v>
      </c>
    </row>
    <row r="317" spans="1:1" ht="30" customHeight="1" x14ac:dyDescent="0.3">
      <c r="A317" s="113">
        <f t="shared" si="4"/>
        <v>312</v>
      </c>
    </row>
    <row r="318" spans="1:1" ht="30" customHeight="1" x14ac:dyDescent="0.3">
      <c r="A318" s="113">
        <f t="shared" si="4"/>
        <v>313</v>
      </c>
    </row>
    <row r="319" spans="1:1" ht="30" customHeight="1" x14ac:dyDescent="0.3">
      <c r="A319" s="113">
        <f t="shared" si="4"/>
        <v>314</v>
      </c>
    </row>
    <row r="320" spans="1:1" ht="30" customHeight="1" x14ac:dyDescent="0.3">
      <c r="A320" s="113">
        <f t="shared" si="4"/>
        <v>315</v>
      </c>
    </row>
    <row r="321" spans="1:1" ht="30" customHeight="1" x14ac:dyDescent="0.3">
      <c r="A321" s="113">
        <f t="shared" si="4"/>
        <v>316</v>
      </c>
    </row>
    <row r="322" spans="1:1" ht="30" customHeight="1" x14ac:dyDescent="0.3">
      <c r="A322" s="113">
        <f t="shared" si="4"/>
        <v>317</v>
      </c>
    </row>
    <row r="323" spans="1:1" ht="30" customHeight="1" x14ac:dyDescent="0.3">
      <c r="A323" s="113">
        <f t="shared" si="4"/>
        <v>318</v>
      </c>
    </row>
    <row r="324" spans="1:1" ht="30" customHeight="1" x14ac:dyDescent="0.3">
      <c r="A324" s="113">
        <f t="shared" si="4"/>
        <v>319</v>
      </c>
    </row>
    <row r="325" spans="1:1" ht="30" customHeight="1" x14ac:dyDescent="0.3">
      <c r="A325" s="113">
        <f t="shared" si="4"/>
        <v>320</v>
      </c>
    </row>
    <row r="326" spans="1:1" ht="30" customHeight="1" x14ac:dyDescent="0.3">
      <c r="A326" s="113">
        <f t="shared" si="4"/>
        <v>321</v>
      </c>
    </row>
    <row r="327" spans="1:1" ht="30" customHeight="1" x14ac:dyDescent="0.3">
      <c r="A327" s="113">
        <f t="shared" si="4"/>
        <v>322</v>
      </c>
    </row>
    <row r="328" spans="1:1" ht="30" customHeight="1" x14ac:dyDescent="0.3">
      <c r="A328" s="113">
        <f t="shared" si="4"/>
        <v>323</v>
      </c>
    </row>
    <row r="329" spans="1:1" ht="30" customHeight="1" x14ac:dyDescent="0.3">
      <c r="A329" s="113">
        <f t="shared" si="4"/>
        <v>324</v>
      </c>
    </row>
    <row r="330" spans="1:1" ht="30" customHeight="1" x14ac:dyDescent="0.3">
      <c r="A330" s="113">
        <f t="shared" si="4"/>
        <v>325</v>
      </c>
    </row>
    <row r="331" spans="1:1" ht="30" customHeight="1" x14ac:dyDescent="0.3">
      <c r="A331" s="113">
        <f t="shared" si="4"/>
        <v>326</v>
      </c>
    </row>
    <row r="332" spans="1:1" ht="30" customHeight="1" x14ac:dyDescent="0.3">
      <c r="A332" s="113">
        <f t="shared" si="4"/>
        <v>327</v>
      </c>
    </row>
    <row r="333" spans="1:1" ht="30" customHeight="1" x14ac:dyDescent="0.3">
      <c r="A333" s="113">
        <f t="shared" si="4"/>
        <v>328</v>
      </c>
    </row>
    <row r="334" spans="1:1" ht="30" customHeight="1" x14ac:dyDescent="0.3">
      <c r="A334" s="113">
        <f t="shared" si="4"/>
        <v>329</v>
      </c>
    </row>
    <row r="335" spans="1:1" ht="30" customHeight="1" x14ac:dyDescent="0.3">
      <c r="A335" s="113">
        <f t="shared" si="4"/>
        <v>330</v>
      </c>
    </row>
    <row r="336" spans="1:1" ht="30" customHeight="1" x14ac:dyDescent="0.3">
      <c r="A336" s="113">
        <f t="shared" si="4"/>
        <v>331</v>
      </c>
    </row>
    <row r="337" spans="1:1" ht="30" customHeight="1" x14ac:dyDescent="0.3">
      <c r="A337" s="113">
        <f t="shared" si="4"/>
        <v>332</v>
      </c>
    </row>
    <row r="338" spans="1:1" ht="30" customHeight="1" x14ac:dyDescent="0.3">
      <c r="A338" s="113">
        <f t="shared" si="4"/>
        <v>333</v>
      </c>
    </row>
    <row r="339" spans="1:1" ht="30" customHeight="1" x14ac:dyDescent="0.3">
      <c r="A339" s="113">
        <f t="shared" si="4"/>
        <v>334</v>
      </c>
    </row>
    <row r="340" spans="1:1" ht="30" customHeight="1" x14ac:dyDescent="0.3">
      <c r="A340" s="113">
        <f t="shared" ref="A340:A403" si="5">A339+1</f>
        <v>335</v>
      </c>
    </row>
    <row r="341" spans="1:1" ht="30" customHeight="1" x14ac:dyDescent="0.3">
      <c r="A341" s="113">
        <f t="shared" si="5"/>
        <v>336</v>
      </c>
    </row>
    <row r="342" spans="1:1" ht="30" customHeight="1" x14ac:dyDescent="0.3">
      <c r="A342" s="113">
        <f t="shared" si="5"/>
        <v>337</v>
      </c>
    </row>
    <row r="343" spans="1:1" ht="30" customHeight="1" x14ac:dyDescent="0.3">
      <c r="A343" s="113">
        <f t="shared" si="5"/>
        <v>338</v>
      </c>
    </row>
    <row r="344" spans="1:1" ht="30" customHeight="1" x14ac:dyDescent="0.3">
      <c r="A344" s="113">
        <f t="shared" si="5"/>
        <v>339</v>
      </c>
    </row>
    <row r="345" spans="1:1" ht="30" customHeight="1" x14ac:dyDescent="0.3">
      <c r="A345" s="113">
        <f t="shared" si="5"/>
        <v>340</v>
      </c>
    </row>
    <row r="346" spans="1:1" ht="30" customHeight="1" x14ac:dyDescent="0.3">
      <c r="A346" s="113">
        <f t="shared" si="5"/>
        <v>341</v>
      </c>
    </row>
    <row r="347" spans="1:1" ht="30" customHeight="1" x14ac:dyDescent="0.3">
      <c r="A347" s="113">
        <f t="shared" si="5"/>
        <v>342</v>
      </c>
    </row>
    <row r="348" spans="1:1" ht="30" customHeight="1" x14ac:dyDescent="0.3">
      <c r="A348" s="113">
        <f t="shared" si="5"/>
        <v>343</v>
      </c>
    </row>
    <row r="349" spans="1:1" ht="30" customHeight="1" x14ac:dyDescent="0.3">
      <c r="A349" s="113">
        <f t="shared" si="5"/>
        <v>344</v>
      </c>
    </row>
    <row r="350" spans="1:1" ht="30" customHeight="1" x14ac:dyDescent="0.3">
      <c r="A350" s="113">
        <f t="shared" si="5"/>
        <v>345</v>
      </c>
    </row>
    <row r="351" spans="1:1" ht="30" customHeight="1" x14ac:dyDescent="0.3">
      <c r="A351" s="113">
        <f t="shared" si="5"/>
        <v>346</v>
      </c>
    </row>
    <row r="352" spans="1:1" ht="30" customHeight="1" x14ac:dyDescent="0.3">
      <c r="A352" s="113">
        <f t="shared" si="5"/>
        <v>347</v>
      </c>
    </row>
    <row r="353" spans="1:1" ht="30" customHeight="1" x14ac:dyDescent="0.3">
      <c r="A353" s="113">
        <f t="shared" si="5"/>
        <v>348</v>
      </c>
    </row>
    <row r="354" spans="1:1" ht="30" customHeight="1" x14ac:dyDescent="0.3">
      <c r="A354" s="113">
        <f t="shared" si="5"/>
        <v>349</v>
      </c>
    </row>
    <row r="355" spans="1:1" ht="30" customHeight="1" x14ac:dyDescent="0.3">
      <c r="A355" s="113">
        <f t="shared" si="5"/>
        <v>350</v>
      </c>
    </row>
    <row r="356" spans="1:1" ht="30" customHeight="1" x14ac:dyDescent="0.3">
      <c r="A356" s="113">
        <f t="shared" si="5"/>
        <v>351</v>
      </c>
    </row>
    <row r="357" spans="1:1" ht="30" customHeight="1" x14ac:dyDescent="0.3">
      <c r="A357" s="113">
        <f t="shared" si="5"/>
        <v>352</v>
      </c>
    </row>
    <row r="358" spans="1:1" ht="30" customHeight="1" x14ac:dyDescent="0.3">
      <c r="A358" s="113">
        <f t="shared" si="5"/>
        <v>353</v>
      </c>
    </row>
    <row r="359" spans="1:1" ht="30" customHeight="1" x14ac:dyDescent="0.3">
      <c r="A359" s="113">
        <f t="shared" si="5"/>
        <v>354</v>
      </c>
    </row>
    <row r="360" spans="1:1" ht="30" customHeight="1" x14ac:dyDescent="0.3">
      <c r="A360" s="113">
        <f t="shared" si="5"/>
        <v>355</v>
      </c>
    </row>
    <row r="361" spans="1:1" ht="30" customHeight="1" x14ac:dyDescent="0.3">
      <c r="A361" s="113">
        <f t="shared" si="5"/>
        <v>356</v>
      </c>
    </row>
    <row r="362" spans="1:1" ht="30" customHeight="1" x14ac:dyDescent="0.3">
      <c r="A362" s="113">
        <f t="shared" si="5"/>
        <v>357</v>
      </c>
    </row>
    <row r="363" spans="1:1" ht="30" customHeight="1" x14ac:dyDescent="0.3">
      <c r="A363" s="113">
        <f t="shared" si="5"/>
        <v>358</v>
      </c>
    </row>
    <row r="364" spans="1:1" ht="30" customHeight="1" x14ac:dyDescent="0.3">
      <c r="A364" s="113">
        <f t="shared" si="5"/>
        <v>359</v>
      </c>
    </row>
    <row r="365" spans="1:1" ht="30" customHeight="1" x14ac:dyDescent="0.3">
      <c r="A365" s="113">
        <f t="shared" si="5"/>
        <v>360</v>
      </c>
    </row>
    <row r="366" spans="1:1" ht="30" customHeight="1" x14ac:dyDescent="0.3">
      <c r="A366" s="113">
        <f t="shared" si="5"/>
        <v>361</v>
      </c>
    </row>
    <row r="367" spans="1:1" ht="30" customHeight="1" x14ac:dyDescent="0.3">
      <c r="A367" s="113">
        <f t="shared" si="5"/>
        <v>362</v>
      </c>
    </row>
    <row r="368" spans="1:1" ht="30" customHeight="1" x14ac:dyDescent="0.3">
      <c r="A368" s="113">
        <f t="shared" si="5"/>
        <v>363</v>
      </c>
    </row>
    <row r="369" spans="1:1" ht="30" customHeight="1" x14ac:dyDescent="0.3">
      <c r="A369" s="113">
        <f t="shared" si="5"/>
        <v>364</v>
      </c>
    </row>
    <row r="370" spans="1:1" ht="30" customHeight="1" x14ac:dyDescent="0.3">
      <c r="A370" s="113">
        <f t="shared" si="5"/>
        <v>365</v>
      </c>
    </row>
    <row r="371" spans="1:1" ht="30" customHeight="1" x14ac:dyDescent="0.3">
      <c r="A371" s="113">
        <f t="shared" si="5"/>
        <v>366</v>
      </c>
    </row>
    <row r="372" spans="1:1" ht="30" customHeight="1" x14ac:dyDescent="0.3">
      <c r="A372" s="113">
        <f t="shared" si="5"/>
        <v>367</v>
      </c>
    </row>
    <row r="373" spans="1:1" ht="30" customHeight="1" x14ac:dyDescent="0.3">
      <c r="A373" s="113">
        <f t="shared" si="5"/>
        <v>368</v>
      </c>
    </row>
    <row r="374" spans="1:1" ht="30" customHeight="1" x14ac:dyDescent="0.3">
      <c r="A374" s="113">
        <f t="shared" si="5"/>
        <v>369</v>
      </c>
    </row>
    <row r="375" spans="1:1" ht="30" customHeight="1" x14ac:dyDescent="0.3">
      <c r="A375" s="113">
        <f t="shared" si="5"/>
        <v>370</v>
      </c>
    </row>
    <row r="376" spans="1:1" ht="30" customHeight="1" x14ac:dyDescent="0.3">
      <c r="A376" s="113">
        <f t="shared" si="5"/>
        <v>371</v>
      </c>
    </row>
    <row r="377" spans="1:1" ht="30" customHeight="1" x14ac:dyDescent="0.3">
      <c r="A377" s="113">
        <f t="shared" si="5"/>
        <v>372</v>
      </c>
    </row>
    <row r="378" spans="1:1" ht="30" customHeight="1" x14ac:dyDescent="0.3">
      <c r="A378" s="113">
        <f t="shared" si="5"/>
        <v>373</v>
      </c>
    </row>
    <row r="379" spans="1:1" ht="30" customHeight="1" x14ac:dyDescent="0.3">
      <c r="A379" s="113">
        <f t="shared" si="5"/>
        <v>374</v>
      </c>
    </row>
    <row r="380" spans="1:1" ht="30" customHeight="1" x14ac:dyDescent="0.3">
      <c r="A380" s="113">
        <f t="shared" si="5"/>
        <v>375</v>
      </c>
    </row>
    <row r="381" spans="1:1" ht="30" customHeight="1" x14ac:dyDescent="0.3">
      <c r="A381" s="113">
        <f t="shared" si="5"/>
        <v>376</v>
      </c>
    </row>
    <row r="382" spans="1:1" ht="30" customHeight="1" x14ac:dyDescent="0.3">
      <c r="A382" s="113">
        <f t="shared" si="5"/>
        <v>377</v>
      </c>
    </row>
    <row r="383" spans="1:1" ht="30" customHeight="1" x14ac:dyDescent="0.3">
      <c r="A383" s="113">
        <f t="shared" si="5"/>
        <v>378</v>
      </c>
    </row>
    <row r="384" spans="1:1" ht="30" customHeight="1" x14ac:dyDescent="0.3">
      <c r="A384" s="113">
        <f t="shared" si="5"/>
        <v>379</v>
      </c>
    </row>
    <row r="385" spans="1:1" ht="30" customHeight="1" x14ac:dyDescent="0.3">
      <c r="A385" s="113">
        <f t="shared" si="5"/>
        <v>380</v>
      </c>
    </row>
    <row r="386" spans="1:1" ht="30" customHeight="1" x14ac:dyDescent="0.3">
      <c r="A386" s="113">
        <f t="shared" si="5"/>
        <v>381</v>
      </c>
    </row>
    <row r="387" spans="1:1" ht="30" customHeight="1" x14ac:dyDescent="0.3">
      <c r="A387" s="113">
        <f t="shared" si="5"/>
        <v>382</v>
      </c>
    </row>
    <row r="388" spans="1:1" ht="30" customHeight="1" x14ac:dyDescent="0.3">
      <c r="A388" s="113">
        <f t="shared" si="5"/>
        <v>383</v>
      </c>
    </row>
    <row r="389" spans="1:1" ht="30" customHeight="1" x14ac:dyDescent="0.3">
      <c r="A389" s="113">
        <f t="shared" si="5"/>
        <v>384</v>
      </c>
    </row>
    <row r="390" spans="1:1" ht="30" customHeight="1" x14ac:dyDescent="0.3">
      <c r="A390" s="113">
        <f t="shared" si="5"/>
        <v>385</v>
      </c>
    </row>
    <row r="391" spans="1:1" ht="30" customHeight="1" x14ac:dyDescent="0.3">
      <c r="A391" s="113">
        <f t="shared" si="5"/>
        <v>386</v>
      </c>
    </row>
    <row r="392" spans="1:1" ht="30" customHeight="1" x14ac:dyDescent="0.3">
      <c r="A392" s="113">
        <f t="shared" si="5"/>
        <v>387</v>
      </c>
    </row>
    <row r="393" spans="1:1" ht="30" customHeight="1" x14ac:dyDescent="0.3">
      <c r="A393" s="113">
        <f t="shared" si="5"/>
        <v>388</v>
      </c>
    </row>
    <row r="394" spans="1:1" ht="30" customHeight="1" x14ac:dyDescent="0.3">
      <c r="A394" s="113">
        <f t="shared" si="5"/>
        <v>389</v>
      </c>
    </row>
    <row r="395" spans="1:1" ht="30" customHeight="1" x14ac:dyDescent="0.3">
      <c r="A395" s="113">
        <f t="shared" si="5"/>
        <v>390</v>
      </c>
    </row>
    <row r="396" spans="1:1" ht="30" customHeight="1" x14ac:dyDescent="0.3">
      <c r="A396" s="113">
        <f t="shared" si="5"/>
        <v>391</v>
      </c>
    </row>
    <row r="397" spans="1:1" ht="30" customHeight="1" x14ac:dyDescent="0.3">
      <c r="A397" s="113">
        <f t="shared" si="5"/>
        <v>392</v>
      </c>
    </row>
    <row r="398" spans="1:1" ht="30" customHeight="1" x14ac:dyDescent="0.3">
      <c r="A398" s="113">
        <f t="shared" si="5"/>
        <v>393</v>
      </c>
    </row>
    <row r="399" spans="1:1" ht="30" customHeight="1" x14ac:dyDescent="0.3">
      <c r="A399" s="113">
        <f t="shared" si="5"/>
        <v>394</v>
      </c>
    </row>
    <row r="400" spans="1:1" ht="30" customHeight="1" x14ac:dyDescent="0.3">
      <c r="A400" s="113">
        <f t="shared" si="5"/>
        <v>395</v>
      </c>
    </row>
    <row r="401" spans="1:1" ht="30" customHeight="1" x14ac:dyDescent="0.3">
      <c r="A401" s="113">
        <f t="shared" si="5"/>
        <v>396</v>
      </c>
    </row>
    <row r="402" spans="1:1" ht="30" customHeight="1" x14ac:dyDescent="0.3">
      <c r="A402" s="113">
        <f t="shared" si="5"/>
        <v>397</v>
      </c>
    </row>
    <row r="403" spans="1:1" ht="30" customHeight="1" x14ac:dyDescent="0.3">
      <c r="A403" s="113">
        <f t="shared" si="5"/>
        <v>398</v>
      </c>
    </row>
    <row r="404" spans="1:1" ht="30" customHeight="1" x14ac:dyDescent="0.3">
      <c r="A404" s="113">
        <f t="shared" ref="A404:A467" si="6">A403+1</f>
        <v>399</v>
      </c>
    </row>
    <row r="405" spans="1:1" ht="30" customHeight="1" x14ac:dyDescent="0.3">
      <c r="A405" s="113">
        <f t="shared" si="6"/>
        <v>400</v>
      </c>
    </row>
    <row r="406" spans="1:1" ht="30" customHeight="1" x14ac:dyDescent="0.3">
      <c r="A406" s="113">
        <f t="shared" si="6"/>
        <v>401</v>
      </c>
    </row>
    <row r="407" spans="1:1" ht="30" customHeight="1" x14ac:dyDescent="0.3">
      <c r="A407" s="113">
        <f t="shared" si="6"/>
        <v>402</v>
      </c>
    </row>
    <row r="408" spans="1:1" ht="30" customHeight="1" x14ac:dyDescent="0.3">
      <c r="A408" s="113">
        <f t="shared" si="6"/>
        <v>403</v>
      </c>
    </row>
    <row r="409" spans="1:1" ht="30" customHeight="1" x14ac:dyDescent="0.3">
      <c r="A409" s="113">
        <f t="shared" si="6"/>
        <v>404</v>
      </c>
    </row>
    <row r="410" spans="1:1" ht="30" customHeight="1" x14ac:dyDescent="0.3">
      <c r="A410" s="113">
        <f t="shared" si="6"/>
        <v>405</v>
      </c>
    </row>
    <row r="411" spans="1:1" ht="30" customHeight="1" x14ac:dyDescent="0.3">
      <c r="A411" s="113">
        <f t="shared" si="6"/>
        <v>406</v>
      </c>
    </row>
    <row r="412" spans="1:1" ht="30" customHeight="1" x14ac:dyDescent="0.3">
      <c r="A412" s="113">
        <f t="shared" si="6"/>
        <v>407</v>
      </c>
    </row>
    <row r="413" spans="1:1" ht="30" customHeight="1" x14ac:dyDescent="0.3">
      <c r="A413" s="113">
        <f t="shared" si="6"/>
        <v>408</v>
      </c>
    </row>
    <row r="414" spans="1:1" ht="30" customHeight="1" x14ac:dyDescent="0.3">
      <c r="A414" s="113">
        <f t="shared" si="6"/>
        <v>409</v>
      </c>
    </row>
    <row r="415" spans="1:1" ht="30" customHeight="1" x14ac:dyDescent="0.3">
      <c r="A415" s="113">
        <f t="shared" si="6"/>
        <v>410</v>
      </c>
    </row>
    <row r="416" spans="1:1" ht="30" customHeight="1" x14ac:dyDescent="0.3">
      <c r="A416" s="113">
        <f t="shared" si="6"/>
        <v>411</v>
      </c>
    </row>
    <row r="417" spans="1:1" ht="30" customHeight="1" x14ac:dyDescent="0.3">
      <c r="A417" s="113">
        <f t="shared" si="6"/>
        <v>412</v>
      </c>
    </row>
    <row r="418" spans="1:1" ht="30" customHeight="1" x14ac:dyDescent="0.3">
      <c r="A418" s="113">
        <f t="shared" si="6"/>
        <v>413</v>
      </c>
    </row>
    <row r="419" spans="1:1" ht="30" customHeight="1" x14ac:dyDescent="0.3">
      <c r="A419" s="113">
        <f t="shared" si="6"/>
        <v>414</v>
      </c>
    </row>
    <row r="420" spans="1:1" ht="30" customHeight="1" x14ac:dyDescent="0.3">
      <c r="A420" s="113">
        <f t="shared" si="6"/>
        <v>415</v>
      </c>
    </row>
    <row r="421" spans="1:1" ht="30" customHeight="1" x14ac:dyDescent="0.3">
      <c r="A421" s="113">
        <f t="shared" si="6"/>
        <v>416</v>
      </c>
    </row>
    <row r="422" spans="1:1" ht="30" customHeight="1" x14ac:dyDescent="0.3">
      <c r="A422" s="113">
        <f t="shared" si="6"/>
        <v>417</v>
      </c>
    </row>
    <row r="423" spans="1:1" ht="30" customHeight="1" x14ac:dyDescent="0.3">
      <c r="A423" s="113">
        <f t="shared" si="6"/>
        <v>418</v>
      </c>
    </row>
    <row r="424" spans="1:1" ht="30" customHeight="1" x14ac:dyDescent="0.3">
      <c r="A424" s="113">
        <f t="shared" si="6"/>
        <v>419</v>
      </c>
    </row>
    <row r="425" spans="1:1" ht="30" customHeight="1" x14ac:dyDescent="0.3">
      <c r="A425" s="113">
        <f t="shared" si="6"/>
        <v>420</v>
      </c>
    </row>
    <row r="426" spans="1:1" ht="30" customHeight="1" x14ac:dyDescent="0.3">
      <c r="A426" s="113">
        <f t="shared" si="6"/>
        <v>421</v>
      </c>
    </row>
    <row r="427" spans="1:1" ht="30" customHeight="1" x14ac:dyDescent="0.3">
      <c r="A427" s="113">
        <f t="shared" si="6"/>
        <v>422</v>
      </c>
    </row>
    <row r="428" spans="1:1" ht="30" customHeight="1" x14ac:dyDescent="0.3">
      <c r="A428" s="113">
        <f t="shared" si="6"/>
        <v>423</v>
      </c>
    </row>
    <row r="429" spans="1:1" ht="30" customHeight="1" x14ac:dyDescent="0.3">
      <c r="A429" s="113">
        <f t="shared" si="6"/>
        <v>424</v>
      </c>
    </row>
    <row r="430" spans="1:1" ht="30" customHeight="1" x14ac:dyDescent="0.3">
      <c r="A430" s="113">
        <f t="shared" si="6"/>
        <v>425</v>
      </c>
    </row>
    <row r="431" spans="1:1" ht="30" customHeight="1" x14ac:dyDescent="0.3">
      <c r="A431" s="113">
        <f t="shared" si="6"/>
        <v>426</v>
      </c>
    </row>
    <row r="432" spans="1:1" ht="30" customHeight="1" x14ac:dyDescent="0.3">
      <c r="A432" s="113">
        <f t="shared" si="6"/>
        <v>427</v>
      </c>
    </row>
    <row r="433" spans="1:1" ht="30" customHeight="1" x14ac:dyDescent="0.3">
      <c r="A433" s="113">
        <f t="shared" si="6"/>
        <v>428</v>
      </c>
    </row>
    <row r="434" spans="1:1" ht="30" customHeight="1" x14ac:dyDescent="0.3">
      <c r="A434" s="113">
        <f t="shared" si="6"/>
        <v>429</v>
      </c>
    </row>
    <row r="435" spans="1:1" ht="30" customHeight="1" x14ac:dyDescent="0.3">
      <c r="A435" s="113">
        <f t="shared" si="6"/>
        <v>430</v>
      </c>
    </row>
    <row r="436" spans="1:1" ht="30" customHeight="1" x14ac:dyDescent="0.3">
      <c r="A436" s="113">
        <f t="shared" si="6"/>
        <v>431</v>
      </c>
    </row>
    <row r="437" spans="1:1" ht="30" customHeight="1" x14ac:dyDescent="0.3">
      <c r="A437" s="113">
        <f t="shared" si="6"/>
        <v>432</v>
      </c>
    </row>
    <row r="438" spans="1:1" ht="30" customHeight="1" x14ac:dyDescent="0.3">
      <c r="A438" s="113">
        <f t="shared" si="6"/>
        <v>433</v>
      </c>
    </row>
    <row r="439" spans="1:1" ht="30" customHeight="1" x14ac:dyDescent="0.3">
      <c r="A439" s="113">
        <f t="shared" si="6"/>
        <v>434</v>
      </c>
    </row>
    <row r="440" spans="1:1" ht="30" customHeight="1" x14ac:dyDescent="0.3">
      <c r="A440" s="113">
        <f t="shared" si="6"/>
        <v>435</v>
      </c>
    </row>
    <row r="441" spans="1:1" ht="30" customHeight="1" x14ac:dyDescent="0.3">
      <c r="A441" s="113">
        <f t="shared" si="6"/>
        <v>436</v>
      </c>
    </row>
    <row r="442" spans="1:1" ht="30" customHeight="1" x14ac:dyDescent="0.3">
      <c r="A442" s="113">
        <f t="shared" si="6"/>
        <v>437</v>
      </c>
    </row>
    <row r="443" spans="1:1" ht="30" customHeight="1" x14ac:dyDescent="0.3">
      <c r="A443" s="113">
        <f t="shared" si="6"/>
        <v>438</v>
      </c>
    </row>
    <row r="444" spans="1:1" ht="30" customHeight="1" x14ac:dyDescent="0.3">
      <c r="A444" s="113">
        <f t="shared" si="6"/>
        <v>439</v>
      </c>
    </row>
    <row r="445" spans="1:1" ht="30" customHeight="1" x14ac:dyDescent="0.3">
      <c r="A445" s="113">
        <f t="shared" si="6"/>
        <v>440</v>
      </c>
    </row>
    <row r="446" spans="1:1" ht="30" customHeight="1" x14ac:dyDescent="0.3">
      <c r="A446" s="113">
        <f t="shared" si="6"/>
        <v>441</v>
      </c>
    </row>
    <row r="447" spans="1:1" ht="30" customHeight="1" x14ac:dyDescent="0.3">
      <c r="A447" s="113">
        <f t="shared" si="6"/>
        <v>442</v>
      </c>
    </row>
    <row r="448" spans="1:1" ht="30" customHeight="1" x14ac:dyDescent="0.3">
      <c r="A448" s="113">
        <f t="shared" si="6"/>
        <v>443</v>
      </c>
    </row>
    <row r="449" spans="1:1" ht="30" customHeight="1" x14ac:dyDescent="0.3">
      <c r="A449" s="113">
        <f t="shared" si="6"/>
        <v>444</v>
      </c>
    </row>
    <row r="450" spans="1:1" ht="30" customHeight="1" x14ac:dyDescent="0.3">
      <c r="A450" s="113">
        <f t="shared" si="6"/>
        <v>445</v>
      </c>
    </row>
    <row r="451" spans="1:1" ht="30" customHeight="1" x14ac:dyDescent="0.3">
      <c r="A451" s="113">
        <f t="shared" si="6"/>
        <v>446</v>
      </c>
    </row>
    <row r="452" spans="1:1" ht="30" customHeight="1" x14ac:dyDescent="0.3">
      <c r="A452" s="113">
        <f t="shared" si="6"/>
        <v>447</v>
      </c>
    </row>
    <row r="453" spans="1:1" ht="30" customHeight="1" x14ac:dyDescent="0.3">
      <c r="A453" s="113">
        <f t="shared" si="6"/>
        <v>448</v>
      </c>
    </row>
    <row r="454" spans="1:1" ht="30" customHeight="1" x14ac:dyDescent="0.3">
      <c r="A454" s="113">
        <f t="shared" si="6"/>
        <v>449</v>
      </c>
    </row>
    <row r="455" spans="1:1" ht="30" customHeight="1" x14ac:dyDescent="0.3">
      <c r="A455" s="113">
        <f t="shared" si="6"/>
        <v>450</v>
      </c>
    </row>
    <row r="456" spans="1:1" ht="30" customHeight="1" x14ac:dyDescent="0.3">
      <c r="A456" s="113">
        <f t="shared" si="6"/>
        <v>451</v>
      </c>
    </row>
    <row r="457" spans="1:1" ht="30" customHeight="1" x14ac:dyDescent="0.3">
      <c r="A457" s="113">
        <f t="shared" si="6"/>
        <v>452</v>
      </c>
    </row>
    <row r="458" spans="1:1" ht="30" customHeight="1" x14ac:dyDescent="0.3">
      <c r="A458" s="113">
        <f t="shared" si="6"/>
        <v>453</v>
      </c>
    </row>
    <row r="459" spans="1:1" ht="30" customHeight="1" x14ac:dyDescent="0.3">
      <c r="A459" s="113">
        <f t="shared" si="6"/>
        <v>454</v>
      </c>
    </row>
    <row r="460" spans="1:1" ht="30" customHeight="1" x14ac:dyDescent="0.3">
      <c r="A460" s="113">
        <f t="shared" si="6"/>
        <v>455</v>
      </c>
    </row>
    <row r="461" spans="1:1" ht="30" customHeight="1" x14ac:dyDescent="0.3">
      <c r="A461" s="113">
        <f t="shared" si="6"/>
        <v>456</v>
      </c>
    </row>
    <row r="462" spans="1:1" ht="30" customHeight="1" x14ac:dyDescent="0.3">
      <c r="A462" s="113">
        <f t="shared" si="6"/>
        <v>457</v>
      </c>
    </row>
    <row r="463" spans="1:1" ht="30" customHeight="1" x14ac:dyDescent="0.3">
      <c r="A463" s="113">
        <f t="shared" si="6"/>
        <v>458</v>
      </c>
    </row>
    <row r="464" spans="1:1" ht="30" customHeight="1" x14ac:dyDescent="0.3">
      <c r="A464" s="113">
        <f t="shared" si="6"/>
        <v>459</v>
      </c>
    </row>
    <row r="465" spans="1:1" ht="30" customHeight="1" x14ac:dyDescent="0.3">
      <c r="A465" s="113">
        <f t="shared" si="6"/>
        <v>460</v>
      </c>
    </row>
    <row r="466" spans="1:1" ht="30" customHeight="1" x14ac:dyDescent="0.3">
      <c r="A466" s="113">
        <f t="shared" si="6"/>
        <v>461</v>
      </c>
    </row>
    <row r="467" spans="1:1" ht="30" customHeight="1" x14ac:dyDescent="0.3">
      <c r="A467" s="113">
        <f t="shared" si="6"/>
        <v>462</v>
      </c>
    </row>
    <row r="468" spans="1:1" ht="30" customHeight="1" x14ac:dyDescent="0.3">
      <c r="A468" s="113">
        <f t="shared" ref="A468:A531" si="7">A467+1</f>
        <v>463</v>
      </c>
    </row>
    <row r="469" spans="1:1" ht="30" customHeight="1" x14ac:dyDescent="0.3">
      <c r="A469" s="113">
        <f t="shared" si="7"/>
        <v>464</v>
      </c>
    </row>
    <row r="470" spans="1:1" ht="30" customHeight="1" x14ac:dyDescent="0.3">
      <c r="A470" s="113">
        <f t="shared" si="7"/>
        <v>465</v>
      </c>
    </row>
    <row r="471" spans="1:1" ht="30" customHeight="1" x14ac:dyDescent="0.3">
      <c r="A471" s="113">
        <f t="shared" si="7"/>
        <v>466</v>
      </c>
    </row>
    <row r="472" spans="1:1" ht="30" customHeight="1" x14ac:dyDescent="0.3">
      <c r="A472" s="113">
        <f t="shared" si="7"/>
        <v>467</v>
      </c>
    </row>
    <row r="473" spans="1:1" ht="30" customHeight="1" x14ac:dyDescent="0.3">
      <c r="A473" s="113">
        <f t="shared" si="7"/>
        <v>468</v>
      </c>
    </row>
    <row r="474" spans="1:1" ht="30" customHeight="1" x14ac:dyDescent="0.3">
      <c r="A474" s="113">
        <f t="shared" si="7"/>
        <v>469</v>
      </c>
    </row>
    <row r="475" spans="1:1" ht="30" customHeight="1" x14ac:dyDescent="0.3">
      <c r="A475" s="113">
        <f t="shared" si="7"/>
        <v>470</v>
      </c>
    </row>
    <row r="476" spans="1:1" ht="30" customHeight="1" x14ac:dyDescent="0.3">
      <c r="A476" s="113">
        <f t="shared" si="7"/>
        <v>471</v>
      </c>
    </row>
    <row r="477" spans="1:1" ht="30" customHeight="1" x14ac:dyDescent="0.3">
      <c r="A477" s="113">
        <f t="shared" si="7"/>
        <v>472</v>
      </c>
    </row>
    <row r="478" spans="1:1" ht="30" customHeight="1" x14ac:dyDescent="0.3">
      <c r="A478" s="113">
        <f t="shared" si="7"/>
        <v>473</v>
      </c>
    </row>
    <row r="479" spans="1:1" ht="30" customHeight="1" x14ac:dyDescent="0.3">
      <c r="A479" s="113">
        <f t="shared" si="7"/>
        <v>474</v>
      </c>
    </row>
    <row r="480" spans="1:1" ht="30" customHeight="1" x14ac:dyDescent="0.3">
      <c r="A480" s="113">
        <f t="shared" si="7"/>
        <v>475</v>
      </c>
    </row>
    <row r="481" spans="1:1" ht="30" customHeight="1" x14ac:dyDescent="0.3">
      <c r="A481" s="113">
        <f t="shared" si="7"/>
        <v>476</v>
      </c>
    </row>
    <row r="482" spans="1:1" ht="30" customHeight="1" x14ac:dyDescent="0.3">
      <c r="A482" s="113">
        <f t="shared" si="7"/>
        <v>477</v>
      </c>
    </row>
    <row r="483" spans="1:1" ht="30" customHeight="1" x14ac:dyDescent="0.3">
      <c r="A483" s="113">
        <f t="shared" si="7"/>
        <v>478</v>
      </c>
    </row>
    <row r="484" spans="1:1" ht="30" customHeight="1" x14ac:dyDescent="0.3">
      <c r="A484" s="113">
        <f t="shared" si="7"/>
        <v>479</v>
      </c>
    </row>
    <row r="485" spans="1:1" ht="30" customHeight="1" x14ac:dyDescent="0.3">
      <c r="A485" s="113">
        <f t="shared" si="7"/>
        <v>480</v>
      </c>
    </row>
    <row r="486" spans="1:1" ht="30" customHeight="1" x14ac:dyDescent="0.3">
      <c r="A486" s="113">
        <f t="shared" si="7"/>
        <v>481</v>
      </c>
    </row>
    <row r="487" spans="1:1" ht="30" customHeight="1" x14ac:dyDescent="0.3">
      <c r="A487" s="113">
        <f t="shared" si="7"/>
        <v>482</v>
      </c>
    </row>
    <row r="488" spans="1:1" ht="30" customHeight="1" x14ac:dyDescent="0.3">
      <c r="A488" s="113">
        <f t="shared" si="7"/>
        <v>483</v>
      </c>
    </row>
    <row r="489" spans="1:1" ht="30" customHeight="1" x14ac:dyDescent="0.3">
      <c r="A489" s="113">
        <f t="shared" si="7"/>
        <v>484</v>
      </c>
    </row>
    <row r="490" spans="1:1" ht="30" customHeight="1" x14ac:dyDescent="0.3">
      <c r="A490" s="113">
        <f t="shared" si="7"/>
        <v>485</v>
      </c>
    </row>
    <row r="491" spans="1:1" ht="30" customHeight="1" x14ac:dyDescent="0.3">
      <c r="A491" s="113">
        <f t="shared" si="7"/>
        <v>486</v>
      </c>
    </row>
    <row r="492" spans="1:1" ht="30" customHeight="1" x14ac:dyDescent="0.3">
      <c r="A492" s="113">
        <f t="shared" si="7"/>
        <v>487</v>
      </c>
    </row>
    <row r="493" spans="1:1" ht="30" customHeight="1" x14ac:dyDescent="0.3">
      <c r="A493" s="113">
        <f t="shared" si="7"/>
        <v>488</v>
      </c>
    </row>
    <row r="494" spans="1:1" ht="30" customHeight="1" x14ac:dyDescent="0.3">
      <c r="A494" s="113">
        <f t="shared" si="7"/>
        <v>489</v>
      </c>
    </row>
    <row r="495" spans="1:1" ht="30" customHeight="1" x14ac:dyDescent="0.3">
      <c r="A495" s="113">
        <f t="shared" si="7"/>
        <v>490</v>
      </c>
    </row>
    <row r="496" spans="1:1" ht="30" customHeight="1" x14ac:dyDescent="0.3">
      <c r="A496" s="113">
        <f t="shared" si="7"/>
        <v>491</v>
      </c>
    </row>
    <row r="497" spans="1:1" ht="30" customHeight="1" x14ac:dyDescent="0.3">
      <c r="A497" s="113">
        <f t="shared" si="7"/>
        <v>492</v>
      </c>
    </row>
    <row r="498" spans="1:1" ht="30" customHeight="1" x14ac:dyDescent="0.3">
      <c r="A498" s="113">
        <f t="shared" si="7"/>
        <v>493</v>
      </c>
    </row>
    <row r="499" spans="1:1" ht="30" customHeight="1" x14ac:dyDescent="0.3">
      <c r="A499" s="113">
        <f t="shared" si="7"/>
        <v>494</v>
      </c>
    </row>
    <row r="500" spans="1:1" ht="30" customHeight="1" x14ac:dyDescent="0.3">
      <c r="A500" s="113">
        <f t="shared" si="7"/>
        <v>495</v>
      </c>
    </row>
    <row r="501" spans="1:1" ht="30" customHeight="1" x14ac:dyDescent="0.3">
      <c r="A501" s="113">
        <f t="shared" si="7"/>
        <v>496</v>
      </c>
    </row>
    <row r="502" spans="1:1" ht="30" customHeight="1" x14ac:dyDescent="0.3">
      <c r="A502" s="113">
        <f t="shared" si="7"/>
        <v>497</v>
      </c>
    </row>
    <row r="503" spans="1:1" ht="30" customHeight="1" x14ac:dyDescent="0.3">
      <c r="A503" s="113">
        <f t="shared" si="7"/>
        <v>498</v>
      </c>
    </row>
    <row r="504" spans="1:1" ht="30" customHeight="1" x14ac:dyDescent="0.3">
      <c r="A504" s="113">
        <f t="shared" si="7"/>
        <v>499</v>
      </c>
    </row>
    <row r="505" spans="1:1" ht="30" customHeight="1" x14ac:dyDescent="0.3">
      <c r="A505" s="113">
        <f t="shared" si="7"/>
        <v>500</v>
      </c>
    </row>
    <row r="506" spans="1:1" ht="30" customHeight="1" x14ac:dyDescent="0.3">
      <c r="A506" s="113">
        <f t="shared" si="7"/>
        <v>501</v>
      </c>
    </row>
    <row r="507" spans="1:1" ht="30" customHeight="1" x14ac:dyDescent="0.3">
      <c r="A507" s="113">
        <f t="shared" si="7"/>
        <v>502</v>
      </c>
    </row>
    <row r="508" spans="1:1" ht="30" customHeight="1" x14ac:dyDescent="0.3">
      <c r="A508" s="113">
        <f t="shared" si="7"/>
        <v>503</v>
      </c>
    </row>
    <row r="509" spans="1:1" ht="30" customHeight="1" x14ac:dyDescent="0.3">
      <c r="A509" s="113">
        <f t="shared" si="7"/>
        <v>504</v>
      </c>
    </row>
    <row r="510" spans="1:1" ht="30" customHeight="1" x14ac:dyDescent="0.3">
      <c r="A510" s="113">
        <f t="shared" si="7"/>
        <v>505</v>
      </c>
    </row>
    <row r="511" spans="1:1" ht="30" customHeight="1" x14ac:dyDescent="0.3">
      <c r="A511" s="113">
        <f t="shared" si="7"/>
        <v>506</v>
      </c>
    </row>
    <row r="512" spans="1:1" ht="30" customHeight="1" x14ac:dyDescent="0.3">
      <c r="A512" s="113">
        <f t="shared" si="7"/>
        <v>507</v>
      </c>
    </row>
    <row r="513" spans="1:1" ht="30" customHeight="1" x14ac:dyDescent="0.3">
      <c r="A513" s="113">
        <f t="shared" si="7"/>
        <v>508</v>
      </c>
    </row>
    <row r="514" spans="1:1" ht="30" customHeight="1" x14ac:dyDescent="0.3">
      <c r="A514" s="113">
        <f t="shared" si="7"/>
        <v>509</v>
      </c>
    </row>
    <row r="515" spans="1:1" ht="30" customHeight="1" x14ac:dyDescent="0.3">
      <c r="A515" s="113">
        <f t="shared" si="7"/>
        <v>510</v>
      </c>
    </row>
    <row r="516" spans="1:1" ht="30" customHeight="1" x14ac:dyDescent="0.3">
      <c r="A516" s="113">
        <f t="shared" si="7"/>
        <v>511</v>
      </c>
    </row>
    <row r="517" spans="1:1" ht="30" customHeight="1" x14ac:dyDescent="0.3">
      <c r="A517" s="113">
        <f t="shared" si="7"/>
        <v>512</v>
      </c>
    </row>
    <row r="518" spans="1:1" ht="30" customHeight="1" x14ac:dyDescent="0.3">
      <c r="A518" s="113">
        <f t="shared" si="7"/>
        <v>513</v>
      </c>
    </row>
    <row r="519" spans="1:1" ht="30" customHeight="1" x14ac:dyDescent="0.3">
      <c r="A519" s="113">
        <f t="shared" si="7"/>
        <v>514</v>
      </c>
    </row>
    <row r="520" spans="1:1" ht="30" customHeight="1" x14ac:dyDescent="0.3">
      <c r="A520" s="113">
        <f t="shared" si="7"/>
        <v>515</v>
      </c>
    </row>
    <row r="521" spans="1:1" ht="30" customHeight="1" x14ac:dyDescent="0.3">
      <c r="A521" s="113">
        <f t="shared" si="7"/>
        <v>516</v>
      </c>
    </row>
    <row r="522" spans="1:1" ht="30" customHeight="1" x14ac:dyDescent="0.3">
      <c r="A522" s="113">
        <f t="shared" si="7"/>
        <v>517</v>
      </c>
    </row>
    <row r="523" spans="1:1" ht="30" customHeight="1" x14ac:dyDescent="0.3">
      <c r="A523" s="113">
        <f t="shared" si="7"/>
        <v>518</v>
      </c>
    </row>
    <row r="524" spans="1:1" ht="30" customHeight="1" x14ac:dyDescent="0.3">
      <c r="A524" s="113">
        <f t="shared" si="7"/>
        <v>519</v>
      </c>
    </row>
    <row r="525" spans="1:1" ht="30" customHeight="1" x14ac:dyDescent="0.3">
      <c r="A525" s="113">
        <f t="shared" si="7"/>
        <v>520</v>
      </c>
    </row>
    <row r="526" spans="1:1" ht="30" customHeight="1" x14ac:dyDescent="0.3">
      <c r="A526" s="113">
        <f t="shared" si="7"/>
        <v>521</v>
      </c>
    </row>
    <row r="527" spans="1:1" ht="30" customHeight="1" x14ac:dyDescent="0.3">
      <c r="A527" s="113">
        <f t="shared" si="7"/>
        <v>522</v>
      </c>
    </row>
    <row r="528" spans="1:1" ht="30" customHeight="1" x14ac:dyDescent="0.3">
      <c r="A528" s="113">
        <f t="shared" si="7"/>
        <v>523</v>
      </c>
    </row>
    <row r="529" spans="1:1" ht="30" customHeight="1" x14ac:dyDescent="0.3">
      <c r="A529" s="113">
        <f t="shared" si="7"/>
        <v>524</v>
      </c>
    </row>
    <row r="530" spans="1:1" ht="30" customHeight="1" x14ac:dyDescent="0.3">
      <c r="A530" s="113">
        <f t="shared" si="7"/>
        <v>525</v>
      </c>
    </row>
    <row r="531" spans="1:1" ht="30" customHeight="1" x14ac:dyDescent="0.3">
      <c r="A531" s="113">
        <f t="shared" si="7"/>
        <v>526</v>
      </c>
    </row>
    <row r="532" spans="1:1" ht="30" customHeight="1" x14ac:dyDescent="0.3">
      <c r="A532" s="113">
        <f t="shared" ref="A532:A595" si="8">A531+1</f>
        <v>527</v>
      </c>
    </row>
    <row r="533" spans="1:1" ht="30" customHeight="1" x14ac:dyDescent="0.3">
      <c r="A533" s="113">
        <f t="shared" si="8"/>
        <v>528</v>
      </c>
    </row>
    <row r="534" spans="1:1" ht="30" customHeight="1" x14ac:dyDescent="0.3">
      <c r="A534" s="113">
        <f t="shared" si="8"/>
        <v>529</v>
      </c>
    </row>
    <row r="535" spans="1:1" ht="30" customHeight="1" x14ac:dyDescent="0.3">
      <c r="A535" s="113">
        <f t="shared" si="8"/>
        <v>530</v>
      </c>
    </row>
    <row r="536" spans="1:1" ht="30" customHeight="1" x14ac:dyDescent="0.3">
      <c r="A536" s="113">
        <f t="shared" si="8"/>
        <v>531</v>
      </c>
    </row>
    <row r="537" spans="1:1" ht="30" customHeight="1" x14ac:dyDescent="0.3">
      <c r="A537" s="113">
        <f t="shared" si="8"/>
        <v>532</v>
      </c>
    </row>
    <row r="538" spans="1:1" ht="30" customHeight="1" x14ac:dyDescent="0.3">
      <c r="A538" s="113">
        <f t="shared" si="8"/>
        <v>533</v>
      </c>
    </row>
    <row r="539" spans="1:1" ht="30" customHeight="1" x14ac:dyDescent="0.3">
      <c r="A539" s="113">
        <f t="shared" si="8"/>
        <v>534</v>
      </c>
    </row>
    <row r="540" spans="1:1" ht="30" customHeight="1" x14ac:dyDescent="0.3">
      <c r="A540" s="113">
        <f t="shared" si="8"/>
        <v>535</v>
      </c>
    </row>
    <row r="541" spans="1:1" ht="30" customHeight="1" x14ac:dyDescent="0.3">
      <c r="A541" s="113">
        <f t="shared" si="8"/>
        <v>536</v>
      </c>
    </row>
    <row r="542" spans="1:1" ht="30" customHeight="1" x14ac:dyDescent="0.3">
      <c r="A542" s="113">
        <f t="shared" si="8"/>
        <v>537</v>
      </c>
    </row>
    <row r="543" spans="1:1" ht="30" customHeight="1" x14ac:dyDescent="0.3">
      <c r="A543" s="113">
        <f t="shared" si="8"/>
        <v>538</v>
      </c>
    </row>
    <row r="544" spans="1:1" ht="30" customHeight="1" x14ac:dyDescent="0.3">
      <c r="A544" s="113">
        <f t="shared" si="8"/>
        <v>539</v>
      </c>
    </row>
    <row r="545" spans="1:1" ht="30" customHeight="1" x14ac:dyDescent="0.3">
      <c r="A545" s="113">
        <f t="shared" si="8"/>
        <v>540</v>
      </c>
    </row>
    <row r="546" spans="1:1" ht="30" customHeight="1" x14ac:dyDescent="0.3">
      <c r="A546" s="113">
        <f t="shared" si="8"/>
        <v>541</v>
      </c>
    </row>
    <row r="547" spans="1:1" ht="30" customHeight="1" x14ac:dyDescent="0.3">
      <c r="A547" s="113">
        <f t="shared" si="8"/>
        <v>542</v>
      </c>
    </row>
    <row r="548" spans="1:1" ht="30" customHeight="1" x14ac:dyDescent="0.3">
      <c r="A548" s="113">
        <f t="shared" si="8"/>
        <v>543</v>
      </c>
    </row>
    <row r="549" spans="1:1" ht="30" customHeight="1" x14ac:dyDescent="0.3">
      <c r="A549" s="113">
        <f t="shared" si="8"/>
        <v>544</v>
      </c>
    </row>
    <row r="550" spans="1:1" ht="30" customHeight="1" x14ac:dyDescent="0.3">
      <c r="A550" s="113">
        <f t="shared" si="8"/>
        <v>545</v>
      </c>
    </row>
    <row r="551" spans="1:1" ht="30" customHeight="1" x14ac:dyDescent="0.3">
      <c r="A551" s="113">
        <f t="shared" si="8"/>
        <v>546</v>
      </c>
    </row>
    <row r="552" spans="1:1" ht="30" customHeight="1" x14ac:dyDescent="0.3">
      <c r="A552" s="113">
        <f t="shared" si="8"/>
        <v>547</v>
      </c>
    </row>
    <row r="553" spans="1:1" ht="30" customHeight="1" x14ac:dyDescent="0.3">
      <c r="A553" s="113">
        <f t="shared" si="8"/>
        <v>548</v>
      </c>
    </row>
    <row r="554" spans="1:1" ht="30" customHeight="1" x14ac:dyDescent="0.3">
      <c r="A554" s="113">
        <f t="shared" si="8"/>
        <v>549</v>
      </c>
    </row>
    <row r="555" spans="1:1" ht="30" customHeight="1" x14ac:dyDescent="0.3">
      <c r="A555" s="113">
        <f t="shared" si="8"/>
        <v>550</v>
      </c>
    </row>
    <row r="556" spans="1:1" ht="30" customHeight="1" x14ac:dyDescent="0.3">
      <c r="A556" s="113">
        <f t="shared" si="8"/>
        <v>551</v>
      </c>
    </row>
    <row r="557" spans="1:1" ht="30" customHeight="1" x14ac:dyDescent="0.3">
      <c r="A557" s="113">
        <f t="shared" si="8"/>
        <v>552</v>
      </c>
    </row>
    <row r="558" spans="1:1" ht="30" customHeight="1" x14ac:dyDescent="0.3">
      <c r="A558" s="113">
        <f t="shared" si="8"/>
        <v>553</v>
      </c>
    </row>
    <row r="559" spans="1:1" ht="30" customHeight="1" x14ac:dyDescent="0.3">
      <c r="A559" s="113">
        <f t="shared" si="8"/>
        <v>554</v>
      </c>
    </row>
    <row r="560" spans="1:1" ht="30" customHeight="1" x14ac:dyDescent="0.3">
      <c r="A560" s="113">
        <f t="shared" si="8"/>
        <v>555</v>
      </c>
    </row>
    <row r="561" spans="1:1" ht="30" customHeight="1" x14ac:dyDescent="0.3">
      <c r="A561" s="113">
        <f t="shared" si="8"/>
        <v>556</v>
      </c>
    </row>
    <row r="562" spans="1:1" ht="30" customHeight="1" x14ac:dyDescent="0.3">
      <c r="A562" s="113">
        <f t="shared" si="8"/>
        <v>557</v>
      </c>
    </row>
    <row r="563" spans="1:1" ht="30" customHeight="1" x14ac:dyDescent="0.3">
      <c r="A563" s="113">
        <f t="shared" si="8"/>
        <v>558</v>
      </c>
    </row>
    <row r="564" spans="1:1" ht="30" customHeight="1" x14ac:dyDescent="0.3">
      <c r="A564" s="113">
        <f t="shared" si="8"/>
        <v>559</v>
      </c>
    </row>
    <row r="565" spans="1:1" ht="30" customHeight="1" x14ac:dyDescent="0.3">
      <c r="A565" s="113">
        <f t="shared" si="8"/>
        <v>560</v>
      </c>
    </row>
    <row r="566" spans="1:1" ht="30" customHeight="1" x14ac:dyDescent="0.3">
      <c r="A566" s="113">
        <f t="shared" si="8"/>
        <v>561</v>
      </c>
    </row>
    <row r="567" spans="1:1" ht="30" customHeight="1" x14ac:dyDescent="0.3">
      <c r="A567" s="113">
        <f t="shared" si="8"/>
        <v>562</v>
      </c>
    </row>
    <row r="568" spans="1:1" ht="30" customHeight="1" x14ac:dyDescent="0.3">
      <c r="A568" s="113">
        <f t="shared" si="8"/>
        <v>563</v>
      </c>
    </row>
    <row r="569" spans="1:1" ht="30" customHeight="1" x14ac:dyDescent="0.3">
      <c r="A569" s="113">
        <f t="shared" si="8"/>
        <v>564</v>
      </c>
    </row>
    <row r="570" spans="1:1" ht="30" customHeight="1" x14ac:dyDescent="0.3">
      <c r="A570" s="113">
        <f t="shared" si="8"/>
        <v>565</v>
      </c>
    </row>
    <row r="571" spans="1:1" ht="30" customHeight="1" x14ac:dyDescent="0.3">
      <c r="A571" s="113">
        <f t="shared" si="8"/>
        <v>566</v>
      </c>
    </row>
    <row r="572" spans="1:1" ht="30" customHeight="1" x14ac:dyDescent="0.3">
      <c r="A572" s="113">
        <f t="shared" si="8"/>
        <v>567</v>
      </c>
    </row>
    <row r="573" spans="1:1" ht="30" customHeight="1" x14ac:dyDescent="0.3">
      <c r="A573" s="113">
        <f t="shared" si="8"/>
        <v>568</v>
      </c>
    </row>
    <row r="574" spans="1:1" ht="30" customHeight="1" x14ac:dyDescent="0.3">
      <c r="A574" s="113">
        <f t="shared" si="8"/>
        <v>569</v>
      </c>
    </row>
    <row r="575" spans="1:1" ht="30" customHeight="1" x14ac:dyDescent="0.3">
      <c r="A575" s="113">
        <f t="shared" si="8"/>
        <v>570</v>
      </c>
    </row>
    <row r="576" spans="1:1" ht="30" customHeight="1" x14ac:dyDescent="0.3">
      <c r="A576" s="113">
        <f t="shared" si="8"/>
        <v>571</v>
      </c>
    </row>
    <row r="577" spans="1:1" ht="30" customHeight="1" x14ac:dyDescent="0.3">
      <c r="A577" s="113">
        <f t="shared" si="8"/>
        <v>572</v>
      </c>
    </row>
    <row r="578" spans="1:1" ht="30" customHeight="1" x14ac:dyDescent="0.3">
      <c r="A578" s="113">
        <f t="shared" si="8"/>
        <v>573</v>
      </c>
    </row>
    <row r="579" spans="1:1" ht="30" customHeight="1" x14ac:dyDescent="0.3">
      <c r="A579" s="113">
        <f t="shared" si="8"/>
        <v>574</v>
      </c>
    </row>
    <row r="580" spans="1:1" ht="30" customHeight="1" x14ac:dyDescent="0.3">
      <c r="A580" s="113">
        <f t="shared" si="8"/>
        <v>575</v>
      </c>
    </row>
    <row r="581" spans="1:1" ht="30" customHeight="1" x14ac:dyDescent="0.3">
      <c r="A581" s="113">
        <f t="shared" si="8"/>
        <v>576</v>
      </c>
    </row>
    <row r="582" spans="1:1" ht="30" customHeight="1" x14ac:dyDescent="0.3">
      <c r="A582" s="113">
        <f t="shared" si="8"/>
        <v>577</v>
      </c>
    </row>
    <row r="583" spans="1:1" ht="30" customHeight="1" x14ac:dyDescent="0.3">
      <c r="A583" s="113">
        <f t="shared" si="8"/>
        <v>578</v>
      </c>
    </row>
    <row r="584" spans="1:1" ht="30" customHeight="1" x14ac:dyDescent="0.3">
      <c r="A584" s="113">
        <f t="shared" si="8"/>
        <v>579</v>
      </c>
    </row>
    <row r="585" spans="1:1" ht="30" customHeight="1" x14ac:dyDescent="0.3">
      <c r="A585" s="113">
        <f t="shared" si="8"/>
        <v>580</v>
      </c>
    </row>
    <row r="586" spans="1:1" ht="30" customHeight="1" x14ac:dyDescent="0.3">
      <c r="A586" s="113">
        <f t="shared" si="8"/>
        <v>581</v>
      </c>
    </row>
    <row r="587" spans="1:1" ht="30" customHeight="1" x14ac:dyDescent="0.3">
      <c r="A587" s="113">
        <f t="shared" si="8"/>
        <v>582</v>
      </c>
    </row>
    <row r="588" spans="1:1" ht="30" customHeight="1" x14ac:dyDescent="0.3">
      <c r="A588" s="113">
        <f t="shared" si="8"/>
        <v>583</v>
      </c>
    </row>
    <row r="589" spans="1:1" ht="30" customHeight="1" x14ac:dyDescent="0.3">
      <c r="A589" s="113">
        <f t="shared" si="8"/>
        <v>584</v>
      </c>
    </row>
    <row r="590" spans="1:1" ht="30" customHeight="1" x14ac:dyDescent="0.3">
      <c r="A590" s="113">
        <f t="shared" si="8"/>
        <v>585</v>
      </c>
    </row>
    <row r="591" spans="1:1" ht="30" customHeight="1" x14ac:dyDescent="0.3">
      <c r="A591" s="113">
        <f t="shared" si="8"/>
        <v>586</v>
      </c>
    </row>
    <row r="592" spans="1:1" ht="30" customHeight="1" x14ac:dyDescent="0.3">
      <c r="A592" s="113">
        <f t="shared" si="8"/>
        <v>587</v>
      </c>
    </row>
    <row r="593" spans="1:1" ht="30" customHeight="1" x14ac:dyDescent="0.3">
      <c r="A593" s="113">
        <f t="shared" si="8"/>
        <v>588</v>
      </c>
    </row>
    <row r="594" spans="1:1" ht="30" customHeight="1" x14ac:dyDescent="0.3">
      <c r="A594" s="113">
        <f t="shared" si="8"/>
        <v>589</v>
      </c>
    </row>
    <row r="595" spans="1:1" ht="30" customHeight="1" x14ac:dyDescent="0.3">
      <c r="A595" s="113">
        <f t="shared" si="8"/>
        <v>590</v>
      </c>
    </row>
    <row r="596" spans="1:1" ht="30" customHeight="1" x14ac:dyDescent="0.3">
      <c r="A596" s="113">
        <f t="shared" ref="A596:A653" si="9">A595+1</f>
        <v>591</v>
      </c>
    </row>
    <row r="597" spans="1:1" ht="30" customHeight="1" x14ac:dyDescent="0.3">
      <c r="A597" s="113">
        <f t="shared" si="9"/>
        <v>592</v>
      </c>
    </row>
    <row r="598" spans="1:1" ht="30" customHeight="1" x14ac:dyDescent="0.3">
      <c r="A598" s="113">
        <f t="shared" si="9"/>
        <v>593</v>
      </c>
    </row>
    <row r="599" spans="1:1" ht="30" customHeight="1" x14ac:dyDescent="0.3">
      <c r="A599" s="113">
        <f t="shared" si="9"/>
        <v>594</v>
      </c>
    </row>
    <row r="600" spans="1:1" ht="30" customHeight="1" x14ac:dyDescent="0.3">
      <c r="A600" s="113">
        <f t="shared" si="9"/>
        <v>595</v>
      </c>
    </row>
    <row r="601" spans="1:1" ht="30" customHeight="1" x14ac:dyDescent="0.3">
      <c r="A601" s="113">
        <f t="shared" si="9"/>
        <v>596</v>
      </c>
    </row>
    <row r="602" spans="1:1" ht="30" customHeight="1" x14ac:dyDescent="0.3">
      <c r="A602" s="113">
        <f t="shared" si="9"/>
        <v>597</v>
      </c>
    </row>
    <row r="603" spans="1:1" ht="30" customHeight="1" x14ac:dyDescent="0.3">
      <c r="A603" s="113">
        <f t="shared" si="9"/>
        <v>598</v>
      </c>
    </row>
    <row r="604" spans="1:1" ht="30" customHeight="1" x14ac:dyDescent="0.3">
      <c r="A604" s="113">
        <f t="shared" si="9"/>
        <v>599</v>
      </c>
    </row>
    <row r="605" spans="1:1" ht="30" customHeight="1" x14ac:dyDescent="0.3">
      <c r="A605" s="113">
        <f t="shared" si="9"/>
        <v>600</v>
      </c>
    </row>
    <row r="606" spans="1:1" ht="30" customHeight="1" x14ac:dyDescent="0.3">
      <c r="A606" s="113">
        <f t="shared" si="9"/>
        <v>601</v>
      </c>
    </row>
    <row r="607" spans="1:1" ht="30" customHeight="1" x14ac:dyDescent="0.3">
      <c r="A607" s="113">
        <f t="shared" si="9"/>
        <v>602</v>
      </c>
    </row>
    <row r="608" spans="1:1" ht="30" customHeight="1" x14ac:dyDescent="0.3">
      <c r="A608" s="113">
        <f t="shared" si="9"/>
        <v>603</v>
      </c>
    </row>
    <row r="609" spans="1:1" ht="30" customHeight="1" x14ac:dyDescent="0.3">
      <c r="A609" s="113">
        <f t="shared" si="9"/>
        <v>604</v>
      </c>
    </row>
    <row r="610" spans="1:1" ht="30" customHeight="1" x14ac:dyDescent="0.3">
      <c r="A610" s="113">
        <f t="shared" si="9"/>
        <v>605</v>
      </c>
    </row>
    <row r="611" spans="1:1" ht="30" customHeight="1" x14ac:dyDescent="0.3">
      <c r="A611" s="113">
        <f t="shared" si="9"/>
        <v>606</v>
      </c>
    </row>
    <row r="612" spans="1:1" ht="30" customHeight="1" x14ac:dyDescent="0.3">
      <c r="A612" s="113">
        <f t="shared" si="9"/>
        <v>607</v>
      </c>
    </row>
    <row r="613" spans="1:1" ht="30" customHeight="1" x14ac:dyDescent="0.3">
      <c r="A613" s="113">
        <f t="shared" si="9"/>
        <v>608</v>
      </c>
    </row>
    <row r="614" spans="1:1" ht="30" customHeight="1" x14ac:dyDescent="0.3">
      <c r="A614" s="113">
        <f t="shared" si="9"/>
        <v>609</v>
      </c>
    </row>
    <row r="615" spans="1:1" ht="30" customHeight="1" x14ac:dyDescent="0.3">
      <c r="A615" s="113">
        <f t="shared" si="9"/>
        <v>610</v>
      </c>
    </row>
    <row r="616" spans="1:1" ht="30" customHeight="1" x14ac:dyDescent="0.3">
      <c r="A616" s="113">
        <f t="shared" si="9"/>
        <v>611</v>
      </c>
    </row>
    <row r="617" spans="1:1" ht="30" customHeight="1" x14ac:dyDescent="0.3">
      <c r="A617" s="113">
        <f t="shared" si="9"/>
        <v>612</v>
      </c>
    </row>
    <row r="618" spans="1:1" ht="30" customHeight="1" x14ac:dyDescent="0.3">
      <c r="A618" s="113">
        <f t="shared" si="9"/>
        <v>613</v>
      </c>
    </row>
    <row r="619" spans="1:1" ht="30" customHeight="1" x14ac:dyDescent="0.3">
      <c r="A619" s="113">
        <f t="shared" si="9"/>
        <v>614</v>
      </c>
    </row>
    <row r="620" spans="1:1" ht="30" customHeight="1" x14ac:dyDescent="0.3">
      <c r="A620" s="113">
        <f t="shared" si="9"/>
        <v>615</v>
      </c>
    </row>
    <row r="621" spans="1:1" ht="30" customHeight="1" x14ac:dyDescent="0.3">
      <c r="A621" s="113">
        <f t="shared" si="9"/>
        <v>616</v>
      </c>
    </row>
    <row r="622" spans="1:1" ht="30" customHeight="1" x14ac:dyDescent="0.3">
      <c r="A622" s="113">
        <f t="shared" si="9"/>
        <v>617</v>
      </c>
    </row>
    <row r="623" spans="1:1" ht="30" customHeight="1" x14ac:dyDescent="0.3">
      <c r="A623" s="113">
        <f t="shared" si="9"/>
        <v>618</v>
      </c>
    </row>
    <row r="624" spans="1:1" ht="30" customHeight="1" x14ac:dyDescent="0.3">
      <c r="A624" s="113">
        <f t="shared" si="9"/>
        <v>619</v>
      </c>
    </row>
    <row r="625" spans="1:1" ht="30" customHeight="1" x14ac:dyDescent="0.3">
      <c r="A625" s="113">
        <f t="shared" si="9"/>
        <v>620</v>
      </c>
    </row>
    <row r="626" spans="1:1" ht="30" customHeight="1" x14ac:dyDescent="0.3">
      <c r="A626" s="113">
        <f t="shared" si="9"/>
        <v>621</v>
      </c>
    </row>
    <row r="627" spans="1:1" ht="30" customHeight="1" x14ac:dyDescent="0.3">
      <c r="A627" s="113">
        <f t="shared" si="9"/>
        <v>622</v>
      </c>
    </row>
    <row r="628" spans="1:1" ht="30" customHeight="1" x14ac:dyDescent="0.3">
      <c r="A628" s="113">
        <f t="shared" si="9"/>
        <v>623</v>
      </c>
    </row>
    <row r="629" spans="1:1" ht="30" customHeight="1" x14ac:dyDescent="0.3">
      <c r="A629" s="113">
        <f t="shared" si="9"/>
        <v>624</v>
      </c>
    </row>
    <row r="630" spans="1:1" ht="30" customHeight="1" x14ac:dyDescent="0.3">
      <c r="A630" s="113">
        <f t="shared" si="9"/>
        <v>625</v>
      </c>
    </row>
    <row r="631" spans="1:1" ht="30" customHeight="1" x14ac:dyDescent="0.3">
      <c r="A631" s="113">
        <f t="shared" si="9"/>
        <v>626</v>
      </c>
    </row>
    <row r="632" spans="1:1" ht="30" customHeight="1" x14ac:dyDescent="0.3">
      <c r="A632" s="113">
        <f t="shared" si="9"/>
        <v>627</v>
      </c>
    </row>
    <row r="633" spans="1:1" ht="30" customHeight="1" x14ac:dyDescent="0.3">
      <c r="A633" s="113">
        <f t="shared" si="9"/>
        <v>628</v>
      </c>
    </row>
    <row r="634" spans="1:1" ht="30" customHeight="1" x14ac:dyDescent="0.3">
      <c r="A634" s="113">
        <f t="shared" si="9"/>
        <v>629</v>
      </c>
    </row>
    <row r="635" spans="1:1" ht="30" customHeight="1" x14ac:dyDescent="0.3">
      <c r="A635" s="113">
        <f t="shared" si="9"/>
        <v>630</v>
      </c>
    </row>
    <row r="636" spans="1:1" ht="30" customHeight="1" x14ac:dyDescent="0.3">
      <c r="A636" s="113">
        <f t="shared" si="9"/>
        <v>631</v>
      </c>
    </row>
    <row r="637" spans="1:1" ht="30" customHeight="1" x14ac:dyDescent="0.3">
      <c r="A637" s="113">
        <f t="shared" si="9"/>
        <v>632</v>
      </c>
    </row>
    <row r="638" spans="1:1" ht="30" customHeight="1" x14ac:dyDescent="0.3">
      <c r="A638" s="113">
        <f t="shared" si="9"/>
        <v>633</v>
      </c>
    </row>
    <row r="639" spans="1:1" ht="30" customHeight="1" x14ac:dyDescent="0.3">
      <c r="A639" s="113">
        <f t="shared" si="9"/>
        <v>634</v>
      </c>
    </row>
    <row r="640" spans="1:1" ht="30" customHeight="1" x14ac:dyDescent="0.3">
      <c r="A640" s="113">
        <f t="shared" si="9"/>
        <v>635</v>
      </c>
    </row>
    <row r="641" spans="1:1" ht="30" customHeight="1" x14ac:dyDescent="0.3">
      <c r="A641" s="113">
        <f t="shared" si="9"/>
        <v>636</v>
      </c>
    </row>
    <row r="642" spans="1:1" ht="30" customHeight="1" x14ac:dyDescent="0.3">
      <c r="A642" s="113">
        <f t="shared" si="9"/>
        <v>637</v>
      </c>
    </row>
    <row r="643" spans="1:1" ht="30" customHeight="1" x14ac:dyDescent="0.3">
      <c r="A643" s="113">
        <f t="shared" si="9"/>
        <v>638</v>
      </c>
    </row>
    <row r="644" spans="1:1" ht="30" customHeight="1" x14ac:dyDescent="0.3">
      <c r="A644" s="113">
        <f t="shared" si="9"/>
        <v>639</v>
      </c>
    </row>
    <row r="645" spans="1:1" ht="30" customHeight="1" x14ac:dyDescent="0.3">
      <c r="A645" s="113">
        <f t="shared" si="9"/>
        <v>640</v>
      </c>
    </row>
    <row r="646" spans="1:1" ht="30" customHeight="1" x14ac:dyDescent="0.3">
      <c r="A646" s="113">
        <f t="shared" si="9"/>
        <v>641</v>
      </c>
    </row>
    <row r="647" spans="1:1" ht="30" customHeight="1" x14ac:dyDescent="0.3">
      <c r="A647" s="113">
        <f t="shared" si="9"/>
        <v>642</v>
      </c>
    </row>
    <row r="648" spans="1:1" ht="30" customHeight="1" x14ac:dyDescent="0.3">
      <c r="A648" s="113">
        <f t="shared" si="9"/>
        <v>643</v>
      </c>
    </row>
    <row r="649" spans="1:1" ht="30" customHeight="1" x14ac:dyDescent="0.3">
      <c r="A649" s="113">
        <f t="shared" si="9"/>
        <v>644</v>
      </c>
    </row>
    <row r="650" spans="1:1" ht="30" customHeight="1" x14ac:dyDescent="0.3">
      <c r="A650" s="113">
        <f t="shared" si="9"/>
        <v>645</v>
      </c>
    </row>
    <row r="651" spans="1:1" ht="30" customHeight="1" x14ac:dyDescent="0.3">
      <c r="A651" s="113">
        <f t="shared" si="9"/>
        <v>646</v>
      </c>
    </row>
    <row r="652" spans="1:1" ht="30" customHeight="1" x14ac:dyDescent="0.3">
      <c r="A652" s="113">
        <f t="shared" si="9"/>
        <v>647</v>
      </c>
    </row>
    <row r="653" spans="1:1" ht="30" customHeight="1" x14ac:dyDescent="0.3">
      <c r="A653" s="113">
        <f t="shared" si="9"/>
        <v>648</v>
      </c>
    </row>
    <row r="654" spans="1:1" ht="30" customHeight="1" x14ac:dyDescent="0.3"/>
    <row r="655" spans="1:1" ht="30" customHeight="1" x14ac:dyDescent="0.3"/>
    <row r="656" spans="1:1" ht="30" customHeight="1" x14ac:dyDescent="0.3"/>
    <row r="657" spans="1:1" ht="30" customHeight="1" x14ac:dyDescent="0.3"/>
    <row r="658" spans="1:1" ht="30" customHeight="1" x14ac:dyDescent="0.3"/>
    <row r="659" spans="1:1" ht="30" customHeight="1" x14ac:dyDescent="0.3"/>
    <row r="660" spans="1:1" ht="30" customHeight="1" x14ac:dyDescent="0.3"/>
    <row r="661" spans="1:1" ht="30" customHeight="1" x14ac:dyDescent="0.3">
      <c r="A661" s="112">
        <v>100</v>
      </c>
    </row>
  </sheetData>
  <autoFilter ref="A5:O5" xr:uid="{0BB2107F-3F47-4C6C-A971-3D6217FC4528}"/>
  <mergeCells count="1">
    <mergeCell ref="B8:N8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14"/>
  <sheetViews>
    <sheetView showGridLines="0" zoomScale="80" zoomScaleNormal="85" zoomScaleSheetLayoutView="85" workbookViewId="0">
      <selection activeCell="I22" sqref="I22"/>
    </sheetView>
  </sheetViews>
  <sheetFormatPr defaultColWidth="9.1796875" defaultRowHeight="13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70" bestFit="1" customWidth="1"/>
    <col min="9" max="9" width="31.54296875" style="170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H1" s="164"/>
      <c r="I1" s="164"/>
      <c r="J1" s="14"/>
      <c r="U1" s="179" t="s">
        <v>47</v>
      </c>
      <c r="V1" s="179"/>
      <c r="W1" s="72">
        <f>DataEffDate</f>
        <v>45292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65"/>
      <c r="I2" s="165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H3" s="164"/>
      <c r="I3" s="164"/>
      <c r="AF3" s="15"/>
    </row>
    <row r="4" spans="1:46" s="19" customFormat="1" ht="15" customHeight="1" x14ac:dyDescent="0.35">
      <c r="B4" s="182" t="str">
        <f>"Peer Group Data ($000) - Effective: "&amp;TEXT(W1,"mmmm d, Yyyy")</f>
        <v>Peer Group Data ($000) - Effective: January 1, 2024</v>
      </c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75"/>
      <c r="O4" s="75"/>
      <c r="P4" s="183" t="s">
        <v>28</v>
      </c>
      <c r="Q4" s="183"/>
      <c r="R4" s="183"/>
      <c r="S4" s="183"/>
      <c r="T4" s="183"/>
      <c r="U4" s="183"/>
      <c r="V4" s="183"/>
      <c r="W4" s="76"/>
      <c r="X4" s="177"/>
      <c r="Y4" s="177"/>
      <c r="Z4" s="177"/>
      <c r="AA4" s="177"/>
      <c r="AB4" s="177"/>
      <c r="AC4" s="177"/>
      <c r="AD4" s="177"/>
      <c r="AE4" s="41" t="s">
        <v>11</v>
      </c>
      <c r="AF4" s="20"/>
      <c r="AG4" s="181" t="s">
        <v>30</v>
      </c>
      <c r="AH4" s="181"/>
      <c r="AI4" s="181"/>
      <c r="AJ4" s="181"/>
      <c r="AK4" s="181"/>
      <c r="AL4" s="181"/>
      <c r="AM4" s="181"/>
      <c r="AN4" s="180" t="s">
        <v>31</v>
      </c>
      <c r="AO4" s="180"/>
      <c r="AP4" s="180"/>
      <c r="AQ4" s="180"/>
      <c r="AR4" s="180"/>
      <c r="AS4" s="180"/>
      <c r="AT4" s="180"/>
    </row>
    <row r="5" spans="1:46" ht="36" customHeight="1" x14ac:dyDescent="0.3">
      <c r="A5" s="73" t="s">
        <v>1</v>
      </c>
      <c r="B5" s="124" t="s">
        <v>2</v>
      </c>
      <c r="C5" s="124" t="s">
        <v>3</v>
      </c>
      <c r="D5" s="124" t="s">
        <v>4</v>
      </c>
      <c r="E5" s="124" t="s">
        <v>5</v>
      </c>
      <c r="F5" s="124" t="s">
        <v>6</v>
      </c>
      <c r="G5" s="124" t="s">
        <v>7</v>
      </c>
      <c r="H5" s="166" t="s">
        <v>18</v>
      </c>
      <c r="I5" s="166" t="s">
        <v>17</v>
      </c>
      <c r="J5" s="126" t="s">
        <v>8</v>
      </c>
      <c r="K5" s="126" t="s">
        <v>64</v>
      </c>
      <c r="L5" s="126" t="s">
        <v>9</v>
      </c>
      <c r="M5" s="126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27" t="s">
        <v>21</v>
      </c>
      <c r="Y5" s="127" t="s">
        <v>22</v>
      </c>
      <c r="Z5" s="127" t="s">
        <v>60</v>
      </c>
      <c r="AA5" s="127" t="s">
        <v>23</v>
      </c>
      <c r="AB5" s="127" t="s">
        <v>62</v>
      </c>
      <c r="AC5" s="127" t="s">
        <v>26</v>
      </c>
      <c r="AD5" s="127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30" customHeight="1" x14ac:dyDescent="0.3">
      <c r="A6" s="73">
        <v>1</v>
      </c>
      <c r="B6" s="12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167"/>
      <c r="I6" s="167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0">
        <f>INDEX('PEER GROUP'!N:N,MATCH($A6,'PEER GROUP'!$A:$A,0))</f>
        <v>1</v>
      </c>
      <c r="N6" s="108"/>
      <c r="O6" s="84"/>
      <c r="P6" s="108"/>
      <c r="Q6" s="81"/>
      <c r="R6" s="81">
        <f t="shared" ref="R6" si="0">SUM(P6:Q6)</f>
        <v>0</v>
      </c>
      <c r="S6" s="81"/>
      <c r="T6" s="81"/>
      <c r="U6" s="81"/>
      <c r="V6" s="81">
        <f t="shared" ref="V6" si="1">SUM(R6:U6)</f>
        <v>0</v>
      </c>
      <c r="W6" s="106">
        <f t="shared" ref="W6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6">
        <f t="shared" ref="X6" si="3">P6*$W6</f>
        <v>0</v>
      </c>
      <c r="Y6" s="67">
        <f t="shared" ref="Y6" si="4">Q6*$W6</f>
        <v>0</v>
      </c>
      <c r="Z6" s="67">
        <f t="shared" ref="Z6" si="5">SUM(X6:Y6)</f>
        <v>0</v>
      </c>
      <c r="AA6" s="67">
        <f t="shared" ref="AA6" si="6">S6*$W6</f>
        <v>0</v>
      </c>
      <c r="AB6" s="67">
        <f t="shared" ref="AB6" si="7">T6*$W6</f>
        <v>0</v>
      </c>
      <c r="AC6" s="67">
        <f t="shared" ref="AC6" si="8">U6*$W6</f>
        <v>0</v>
      </c>
      <c r="AD6" s="68">
        <f t="shared" ref="AD6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" si="10">IFERROR(P6/AG6-1,"---")</f>
        <v>---</v>
      </c>
      <c r="AO6" s="67" t="str">
        <f t="shared" ref="AO6" si="11">IFERROR(Q6/AH6-1,"---")</f>
        <v>---</v>
      </c>
      <c r="AP6" s="67" t="str">
        <f t="shared" ref="AP6" si="12">IFERROR(R6/AI6-1,"---")</f>
        <v>---</v>
      </c>
      <c r="AQ6" s="67" t="str">
        <f t="shared" ref="AQ6" si="13">IFERROR(S6/AJ6-1,"---")</f>
        <v>---</v>
      </c>
      <c r="AR6" s="67" t="str">
        <f t="shared" ref="AR6" si="14">IFERROR(T6/AK6-1,"---")</f>
        <v>---</v>
      </c>
      <c r="AS6" s="67" t="str">
        <f t="shared" ref="AS6" si="15">IFERROR(U6/AL6-1,"---")</f>
        <v>---</v>
      </c>
      <c r="AT6" s="68" t="str">
        <f t="shared" ref="AT6" si="16">IFERROR(V6/AM6-1,"---")</f>
        <v>---</v>
      </c>
    </row>
    <row r="7" spans="1:46" ht="30" customHeight="1" x14ac:dyDescent="0.3">
      <c r="B7" s="177" t="s">
        <v>12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43"/>
      <c r="AF7" s="23"/>
      <c r="AG7" s="52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53"/>
    </row>
    <row r="8" spans="1:46" ht="30" customHeight="1" x14ac:dyDescent="0.3">
      <c r="B8" s="118" t="s">
        <v>13</v>
      </c>
      <c r="C8" s="83"/>
      <c r="D8" s="83"/>
      <c r="E8" s="83"/>
      <c r="F8" s="83"/>
      <c r="G8" s="83"/>
      <c r="H8" s="167"/>
      <c r="I8" s="167"/>
      <c r="J8" s="67">
        <f>PERCENTILE($J$6:$J$6,0.9)</f>
        <v>77.362594000000001</v>
      </c>
      <c r="K8" s="67">
        <f>PERCENTILE($K$6:$K$6,0.9)</f>
        <v>45.450752000000001</v>
      </c>
      <c r="L8" s="67">
        <f>PERCENTILE($L$6:$L$6,0.9)</f>
        <v>40.354962999999998</v>
      </c>
      <c r="M8" s="80">
        <f>PERCENTILE($M$6:$M$6,0.9)</f>
        <v>1</v>
      </c>
      <c r="N8" s="92"/>
      <c r="O8" s="93"/>
      <c r="P8" s="92"/>
      <c r="Q8" s="84"/>
      <c r="R8" s="84"/>
      <c r="S8" s="84"/>
      <c r="T8" s="84"/>
      <c r="U8" s="84"/>
      <c r="V8" s="84"/>
      <c r="W8" s="93"/>
      <c r="X8" s="67">
        <f>PERCENTILE(X6:X6,0.9)</f>
        <v>0</v>
      </c>
      <c r="Y8" s="67">
        <f>PERCENTILE(Y6:Y6,0.9)</f>
        <v>0</v>
      </c>
      <c r="Z8" s="67">
        <f>PERCENTILE(Z6:Z6,0.9)</f>
        <v>0</v>
      </c>
      <c r="AA8" s="67">
        <f>PERCENTILE(AA6:AA6,0.9)</f>
        <v>0</v>
      </c>
      <c r="AB8" s="67">
        <f>PERCENTILE(AB6:AB6,0.9)</f>
        <v>0</v>
      </c>
      <c r="AC8" s="67">
        <f>PERCENTILE(AC6:AC6,0.9)</f>
        <v>0</v>
      </c>
      <c r="AD8" s="68">
        <f>PERCENTILE(AD6:AD6,0.9)</f>
        <v>0</v>
      </c>
      <c r="AE8" s="45"/>
      <c r="AF8" s="24"/>
      <c r="AG8" s="5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55"/>
    </row>
    <row r="9" spans="1:46" ht="30" customHeight="1" x14ac:dyDescent="0.3">
      <c r="B9" s="117" t="s">
        <v>14</v>
      </c>
      <c r="C9" s="90"/>
      <c r="D9" s="90"/>
      <c r="E9" s="90"/>
      <c r="F9" s="90"/>
      <c r="G9" s="90"/>
      <c r="H9" s="168"/>
      <c r="I9" s="168"/>
      <c r="J9" s="70">
        <f>PERCENTILE($J$6:$J$6,0.75)</f>
        <v>77.362594000000001</v>
      </c>
      <c r="K9" s="70">
        <f>PERCENTILE($K$6:$K$6,0.75)</f>
        <v>45.450752000000001</v>
      </c>
      <c r="L9" s="70">
        <f>PERCENTILE($L$6:$L$6,0.75)</f>
        <v>40.354962999999998</v>
      </c>
      <c r="M9" s="82">
        <f>PERCENTILE($M$6:$M$6,0.75)</f>
        <v>1</v>
      </c>
      <c r="N9" s="94"/>
      <c r="O9" s="95"/>
      <c r="P9" s="94"/>
      <c r="Q9" s="88"/>
      <c r="R9" s="88"/>
      <c r="S9" s="88"/>
      <c r="T9" s="88"/>
      <c r="U9" s="88"/>
      <c r="V9" s="88"/>
      <c r="W9" s="95"/>
      <c r="X9" s="70">
        <f>PERCENTILE(X6:X6,0.75)</f>
        <v>0</v>
      </c>
      <c r="Y9" s="70">
        <f>PERCENTILE(Y6:Y6,0.75)</f>
        <v>0</v>
      </c>
      <c r="Z9" s="70">
        <f>PERCENTILE(Z6:Z6,0.75)</f>
        <v>0</v>
      </c>
      <c r="AA9" s="70">
        <f>PERCENTILE(AA6:AA6,0.75)</f>
        <v>0</v>
      </c>
      <c r="AB9" s="70">
        <f>PERCENTILE(AB6:AB6,0.75)</f>
        <v>0</v>
      </c>
      <c r="AC9" s="70">
        <f>PERCENTILE(AC6:AC6,0.75)</f>
        <v>0</v>
      </c>
      <c r="AD9" s="71">
        <f>PERCENTILE(AD6:AD6,0.75)</f>
        <v>0</v>
      </c>
      <c r="AE9" s="46"/>
      <c r="AF9" s="24"/>
      <c r="AG9" s="5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55"/>
    </row>
    <row r="10" spans="1:46" ht="30" customHeight="1" x14ac:dyDescent="0.3">
      <c r="B10" s="119" t="s">
        <v>15</v>
      </c>
      <c r="C10" s="85"/>
      <c r="D10" s="85"/>
      <c r="E10" s="85"/>
      <c r="F10" s="85"/>
      <c r="G10" s="85"/>
      <c r="H10" s="169"/>
      <c r="I10" s="169"/>
      <c r="J10" s="86">
        <f>MEDIAN(J6:J6)</f>
        <v>77.362594000000001</v>
      </c>
      <c r="K10" s="86">
        <f>MEDIAN(K6:K6)</f>
        <v>45.450752000000001</v>
      </c>
      <c r="L10" s="86">
        <f>MEDIAN(L6:L6)</f>
        <v>40.354962999999998</v>
      </c>
      <c r="M10" s="87">
        <f>MEDIAN(M6:M6)</f>
        <v>1</v>
      </c>
      <c r="N10" s="94"/>
      <c r="O10" s="95"/>
      <c r="P10" s="94"/>
      <c r="Q10" s="88"/>
      <c r="R10" s="88"/>
      <c r="S10" s="88"/>
      <c r="T10" s="88"/>
      <c r="U10" s="88"/>
      <c r="V10" s="88"/>
      <c r="W10" s="95"/>
      <c r="X10" s="86">
        <f>MEDIAN(X6:X6)</f>
        <v>0</v>
      </c>
      <c r="Y10" s="86">
        <f>MEDIAN(Y6:Y6)</f>
        <v>0</v>
      </c>
      <c r="Z10" s="86">
        <f>MEDIAN(Z6:Z6)</f>
        <v>0</v>
      </c>
      <c r="AA10" s="86">
        <f>MEDIAN(AA6:AA6)</f>
        <v>0</v>
      </c>
      <c r="AB10" s="86">
        <f>MEDIAN(AB6:AB6)</f>
        <v>0</v>
      </c>
      <c r="AC10" s="86">
        <f>MEDIAN(AC6:AC6)</f>
        <v>0</v>
      </c>
      <c r="AD10" s="89">
        <f>MEDIAN(AD6:AD6)</f>
        <v>0</v>
      </c>
      <c r="AE10" s="47"/>
      <c r="AF10" s="24"/>
      <c r="AG10" s="5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55"/>
    </row>
    <row r="11" spans="1:46" ht="30" customHeight="1" x14ac:dyDescent="0.3">
      <c r="B11" s="117" t="s">
        <v>16</v>
      </c>
      <c r="C11" s="90"/>
      <c r="D11" s="90"/>
      <c r="E11" s="90"/>
      <c r="F11" s="90"/>
      <c r="G11" s="90"/>
      <c r="H11" s="168"/>
      <c r="I11" s="168"/>
      <c r="J11" s="70">
        <f>PERCENTILE($J$6:$J$6,0.25)</f>
        <v>77.362594000000001</v>
      </c>
      <c r="K11" s="70">
        <f>PERCENTILE($K$6:$K$6,0.25)</f>
        <v>45.450752000000001</v>
      </c>
      <c r="L11" s="70">
        <f>PERCENTILE($L$6:$L$6,0.25)</f>
        <v>40.354962999999998</v>
      </c>
      <c r="M11" s="82">
        <f>PERCENTILE($M$6:$M$6,0.25)</f>
        <v>1</v>
      </c>
      <c r="N11" s="94"/>
      <c r="O11" s="95"/>
      <c r="P11" s="94"/>
      <c r="Q11" s="88"/>
      <c r="R11" s="88"/>
      <c r="S11" s="88"/>
      <c r="T11" s="88"/>
      <c r="U11" s="88"/>
      <c r="V11" s="88"/>
      <c r="W11" s="95"/>
      <c r="X11" s="70">
        <f>PERCENTILE(X6:X6,0.25)</f>
        <v>0</v>
      </c>
      <c r="Y11" s="70">
        <f>PERCENTILE(Y6:Y6,0.25)</f>
        <v>0</v>
      </c>
      <c r="Z11" s="70">
        <f>PERCENTILE(Z6:Z6,0.25)</f>
        <v>0</v>
      </c>
      <c r="AA11" s="70">
        <f>PERCENTILE(AA6:AA6,0.25)</f>
        <v>0</v>
      </c>
      <c r="AB11" s="70">
        <f>PERCENTILE(AB6:AB6,0.25)</f>
        <v>0</v>
      </c>
      <c r="AC11" s="70">
        <f>PERCENTILE(AC6:AC6,0.25)</f>
        <v>0</v>
      </c>
      <c r="AD11" s="71">
        <f>PERCENTILE(AD6:AD6,0.25)</f>
        <v>0</v>
      </c>
      <c r="AE11" s="46"/>
      <c r="AF11" s="24"/>
      <c r="AG11" s="56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57"/>
    </row>
    <row r="12" spans="1:46" ht="30" customHeight="1" x14ac:dyDescent="0.3">
      <c r="N12" s="96"/>
      <c r="O12" s="98"/>
      <c r="P12" s="96"/>
      <c r="Q12" s="97"/>
      <c r="R12" s="97"/>
      <c r="S12" s="97"/>
      <c r="T12" s="97"/>
      <c r="U12" s="97"/>
      <c r="V12" s="97"/>
      <c r="W12" s="98"/>
      <c r="AE12" s="48"/>
      <c r="AG12" s="58"/>
      <c r="AH12" s="178" t="s">
        <v>21</v>
      </c>
      <c r="AI12" s="178"/>
      <c r="AJ12" s="178"/>
      <c r="AK12" s="178"/>
      <c r="AL12" s="178" t="s">
        <v>24</v>
      </c>
      <c r="AM12" s="178"/>
      <c r="AN12" s="178"/>
      <c r="AO12" s="178"/>
      <c r="AP12" s="178" t="s">
        <v>27</v>
      </c>
      <c r="AQ12" s="178"/>
      <c r="AR12" s="178"/>
      <c r="AS12" s="178"/>
      <c r="AT12" s="59"/>
    </row>
    <row r="13" spans="1:46" ht="30" customHeight="1" x14ac:dyDescent="0.3">
      <c r="B13" s="35" t="str">
        <f>$B$1</f>
        <v>NFP Organization XYZ</v>
      </c>
      <c r="C13" s="36"/>
      <c r="D13" s="36"/>
      <c r="E13" s="36"/>
      <c r="F13" s="37" t="str">
        <f>SETUP!C9</f>
        <v>Cambridge</v>
      </c>
      <c r="G13" s="38" t="str">
        <f>SETUP!C10</f>
        <v>Massachusetts</v>
      </c>
      <c r="H13" s="171" t="s">
        <v>18</v>
      </c>
      <c r="I13" s="171" t="s">
        <v>17</v>
      </c>
      <c r="J13" s="39">
        <f>'PEER GROUP'!K14</f>
        <v>0.99999899999999997</v>
      </c>
      <c r="K13" s="39">
        <f>'PEER GROUP'!L14</f>
        <v>0.99999899999999997</v>
      </c>
      <c r="L13" s="39">
        <f>'PEER GROUP'!M14</f>
        <v>0.99999899999999997</v>
      </c>
      <c r="M13" s="91">
        <f>'PEER GROUP'!N14</f>
        <v>50</v>
      </c>
      <c r="N13" s="121"/>
      <c r="O13" s="123"/>
      <c r="P13" s="121"/>
      <c r="Q13" s="122"/>
      <c r="R13" s="122"/>
      <c r="S13" s="122"/>
      <c r="T13" s="122"/>
      <c r="U13" s="122"/>
      <c r="V13" s="122">
        <f>COUNTIF(V6:V6,"&lt;&gt;---")</f>
        <v>1</v>
      </c>
      <c r="W13" s="123"/>
      <c r="X13" s="39">
        <v>0</v>
      </c>
      <c r="Y13" s="39">
        <v>0</v>
      </c>
      <c r="Z13" s="39">
        <f>SUM(X13:Y13)</f>
        <v>0</v>
      </c>
      <c r="AA13" s="39">
        <v>0</v>
      </c>
      <c r="AB13" s="39">
        <v>0</v>
      </c>
      <c r="AC13" s="39">
        <v>0</v>
      </c>
      <c r="AD13" s="40">
        <f>SUM(Z13:AC13)</f>
        <v>0</v>
      </c>
      <c r="AE13" s="43"/>
      <c r="AF13" s="23"/>
      <c r="AG13" s="60">
        <f>A14+0.99</f>
        <v>100.99</v>
      </c>
      <c r="AH13" s="65">
        <f>X11</f>
        <v>0</v>
      </c>
      <c r="AI13" s="65">
        <f>X10</f>
        <v>0</v>
      </c>
      <c r="AJ13" s="65">
        <f>X9</f>
        <v>0</v>
      </c>
      <c r="AK13" s="65">
        <f>X8</f>
        <v>0</v>
      </c>
      <c r="AL13" s="65">
        <f>Z11</f>
        <v>0</v>
      </c>
      <c r="AM13" s="65">
        <f>Z10</f>
        <v>0</v>
      </c>
      <c r="AN13" s="65">
        <f>Z9</f>
        <v>0</v>
      </c>
      <c r="AO13" s="65">
        <f>Z8</f>
        <v>0</v>
      </c>
      <c r="AP13" s="65">
        <f>AD11</f>
        <v>0</v>
      </c>
      <c r="AQ13" s="65">
        <f>AD10</f>
        <v>0</v>
      </c>
      <c r="AR13" s="65">
        <f>AD9</f>
        <v>0</v>
      </c>
      <c r="AS13" s="65">
        <f>AD8</f>
        <v>0</v>
      </c>
      <c r="AT13" s="61"/>
    </row>
    <row r="14" spans="1:46" ht="30" customHeight="1" x14ac:dyDescent="0.3">
      <c r="A14" s="74">
        <f>'PEER GROUP'!$A$661</f>
        <v>100</v>
      </c>
      <c r="B14" s="128" t="s">
        <v>32</v>
      </c>
      <c r="C14" s="103"/>
      <c r="D14" s="103"/>
      <c r="E14" s="103"/>
      <c r="F14" s="103"/>
      <c r="G14" s="103"/>
      <c r="H14" s="172"/>
      <c r="I14" s="173"/>
      <c r="J14" s="104" t="str">
        <f>IFERROR(IF(J13&lt;J11,"&lt;25",IF(J13&lt;=J10,25+25*(J13-J11)/(J10-J11),IF(J13&lt;=J9,50+25*(J13-J10)/(J9-J10),IF(J13&lt;=J8,75+15*(J13-J9)/(J8-J9),IF(J13/J8&lt;1.005,90,"&gt;90 (+"&amp;TEXT(J13/J8-1,"0%")&amp;")"))))),"---")</f>
        <v>&lt;25</v>
      </c>
      <c r="K14" s="104" t="str">
        <f>IFERROR(IF(K13&lt;K11,"&lt;25",IF(K13&lt;=K10,25+25*(K13-K11)/(K10-K11),IF(K13&lt;=K9,50+25*(K13-K10)/(K9-K10),IF(K13&lt;=K8,75+15*(K13-K9)/(K8-K9),IF(K13/K8&lt;1.005,90,"&gt;90 (+"&amp;TEXT(K13/K8-1,"0%")&amp;")"))))),"---")</f>
        <v>&lt;25</v>
      </c>
      <c r="L14" s="104" t="str">
        <f>IFERROR(IF(L13&lt;L11,"&lt;25",IF(L13&lt;=L10,25+25*(L13-L11)/(L10-L11),IF(L13&lt;=L9,50+25*(L13-L10)/(L9-L10),IF(L13&lt;=L8,75+15*(L13-L9)/(L8-L9),IF(L13/L8&lt;1.005,90,"&gt;90 (+"&amp;TEXT(L13/L8-1,"0%")&amp;")"))))),"---")</f>
        <v>&lt;25</v>
      </c>
      <c r="M14" s="105" t="str">
        <f>IFERROR(IF(M13&lt;M11,"&lt;25",IF(M13&lt;=M10,25+25*(M13-M11)/(M10-M11),IF(M13&lt;=M9,50+25*(M13-M10)/(M9-M10),IF(M13&lt;=M8,75+15*(M13-M9)/(M8-M9),IF(M13/M8&lt;1.005,90,"&gt;90 (+"&amp;TEXT(M13/M8-1,"0%")&amp;")"))))),"---")</f>
        <v>&gt;90 (+4900%)</v>
      </c>
      <c r="N14" s="99"/>
      <c r="O14" s="100"/>
      <c r="P14" s="99"/>
      <c r="Q14" s="101"/>
      <c r="R14" s="101"/>
      <c r="S14" s="101"/>
      <c r="T14" s="101"/>
      <c r="U14" s="101"/>
      <c r="V14" s="101"/>
      <c r="W14" s="100"/>
      <c r="X14" s="102" t="str">
        <f>IFERROR(IF(X13&lt;X11,"&lt;25",IF(X13&lt;=X10,25+25*(X13-X11)/(X10-X11),IF(X13&lt;=X9,50+25*(X13-X10)/(X9-X10),IF(X13&lt;=X8,75+15*(X13-X9)/(X8-X9),IF(X13/X8&lt;1.005,90,"&gt;90 (+"&amp;TEXT(X13/X8-1,"0%")&amp;")"))))),"---")</f>
        <v>---</v>
      </c>
      <c r="Y14" s="103"/>
      <c r="Z14" s="104" t="str">
        <f>IFERROR(IF(Z13&lt;Z11,"&lt;25",IF(Z13&lt;=Z10,25+25*(Z13-Z11)/(Z10-Z11),IF(Z13&lt;=Z9,50+25*(Z13-Z10)/(Z9-Z10),IF(Z13&lt;=Z8,75+15*(Z13-Z9)/(Z8-Z9),IF(Z13/Z8&lt;1.005,90,"&gt;90 (+"&amp;TEXT(Z13/Z8-1,"0%")&amp;")"))))),"---")</f>
        <v>---</v>
      </c>
      <c r="AA14" s="103"/>
      <c r="AB14" s="103"/>
      <c r="AC14" s="103"/>
      <c r="AD14" s="105" t="str">
        <f>IFERROR(IF(AD13&lt;AD11,"&lt;25",IF(AD13&lt;=AD10,25+25*(AD13-AD11)/(AD10-AD11),IF(AD13&lt;=AD9,50+25*(AD13-AD10)/(AD9-AD10),IF(AD13&lt;=AD8,75+15*(AD13-AD9)/(AD8-AD9),IF(AD13/AD8&lt;1.005,90,"&gt;90 (+"&amp;TEXT(AD13/AD8-1,"0%")&amp;")"))))),"---")</f>
        <v>---</v>
      </c>
      <c r="AE14" s="44"/>
      <c r="AG14" s="62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4"/>
    </row>
  </sheetData>
  <autoFilter ref="A5:AT5" xr:uid="{474D6C73-1F09-435D-B15B-666702D29536}"/>
  <mergeCells count="10">
    <mergeCell ref="B7:AD7"/>
    <mergeCell ref="AH12:AK12"/>
    <mergeCell ref="AL12:AO12"/>
    <mergeCell ref="U1:V1"/>
    <mergeCell ref="AP12:AS1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14"/>
  <sheetViews>
    <sheetView showGridLines="0" zoomScale="90" zoomScaleNormal="90" zoomScaleSheetLayoutView="85" workbookViewId="0">
      <selection activeCell="A6" sqref="A6"/>
    </sheetView>
  </sheetViews>
  <sheetFormatPr defaultColWidth="9.1796875" defaultRowHeight="13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SETUP!$C$4</f>
        <v>NFP Organization XYZ</v>
      </c>
      <c r="C1" s="8"/>
      <c r="J1" s="14"/>
      <c r="R1" s="135"/>
      <c r="S1" s="72">
        <f>DataEffDate</f>
        <v>45292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2" t="str">
        <f>"Peer Group Data ($000) - Effective: "&amp;TEXT(S1,"mmmm d, Yyyy")</f>
        <v>Peer Group Data ($000) - Effective: January 1, 2024</v>
      </c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75" t="s">
        <v>19</v>
      </c>
      <c r="N4" s="75" t="s">
        <v>20</v>
      </c>
      <c r="O4" s="183" t="s">
        <v>28</v>
      </c>
      <c r="P4" s="183"/>
      <c r="Q4" s="183"/>
      <c r="R4" s="183"/>
      <c r="S4" s="76"/>
      <c r="T4" s="177"/>
      <c r="U4" s="177"/>
      <c r="V4" s="177"/>
      <c r="W4" s="177"/>
      <c r="X4" s="136" t="s">
        <v>11</v>
      </c>
      <c r="Y4" s="137"/>
      <c r="Z4" s="181" t="s">
        <v>30</v>
      </c>
      <c r="AA4" s="181"/>
      <c r="AB4" s="181"/>
      <c r="AC4" s="184" t="s">
        <v>31</v>
      </c>
      <c r="AD4" s="184"/>
      <c r="AE4" s="184"/>
      <c r="AF4" s="184"/>
      <c r="AG4" s="184"/>
      <c r="AH4" s="184"/>
      <c r="AI4" s="184"/>
    </row>
    <row r="5" spans="1:35" ht="36" customHeight="1" x14ac:dyDescent="0.3">
      <c r="A5" s="113" t="s">
        <v>1</v>
      </c>
      <c r="B5" s="124" t="s">
        <v>2</v>
      </c>
      <c r="C5" s="124" t="s">
        <v>3</v>
      </c>
      <c r="D5" s="124" t="s">
        <v>4</v>
      </c>
      <c r="E5" s="124" t="s">
        <v>5</v>
      </c>
      <c r="F5" s="124" t="s">
        <v>6</v>
      </c>
      <c r="G5" s="124" t="s">
        <v>7</v>
      </c>
      <c r="H5" s="125" t="s">
        <v>18</v>
      </c>
      <c r="I5" s="125" t="s">
        <v>17</v>
      </c>
      <c r="J5" s="126" t="s">
        <v>8</v>
      </c>
      <c r="K5" s="126" t="s">
        <v>69</v>
      </c>
      <c r="L5" s="126" t="s">
        <v>10</v>
      </c>
      <c r="M5" s="75"/>
      <c r="N5" s="75"/>
      <c r="O5" s="77" t="s">
        <v>70</v>
      </c>
      <c r="P5" s="77" t="s">
        <v>71</v>
      </c>
      <c r="Q5" s="77" t="s">
        <v>72</v>
      </c>
      <c r="R5" s="77" t="s">
        <v>27</v>
      </c>
      <c r="S5" s="76" t="s">
        <v>29</v>
      </c>
      <c r="T5" s="127" t="s">
        <v>70</v>
      </c>
      <c r="U5" s="127" t="s">
        <v>71</v>
      </c>
      <c r="V5" s="127" t="s">
        <v>72</v>
      </c>
      <c r="W5" s="127" t="s">
        <v>45</v>
      </c>
      <c r="X5" s="136"/>
      <c r="Y5" s="137"/>
      <c r="Z5" s="50" t="s">
        <v>21</v>
      </c>
      <c r="AA5" s="50" t="s">
        <v>26</v>
      </c>
      <c r="AB5" s="50" t="s">
        <v>27</v>
      </c>
      <c r="AC5" s="138" t="s">
        <v>21</v>
      </c>
      <c r="AD5" s="138" t="s">
        <v>22</v>
      </c>
      <c r="AE5" s="138" t="s">
        <v>24</v>
      </c>
      <c r="AF5" s="138" t="s">
        <v>23</v>
      </c>
      <c r="AG5" s="138" t="s">
        <v>25</v>
      </c>
      <c r="AH5" s="138" t="s">
        <v>26</v>
      </c>
      <c r="AI5" s="138" t="s">
        <v>27</v>
      </c>
    </row>
    <row r="6" spans="1:35" ht="30" customHeight="1" x14ac:dyDescent="0.3">
      <c r="A6" s="113">
        <v>1</v>
      </c>
      <c r="B6" s="12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167"/>
      <c r="I6" s="167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0">
        <f>INDEX('PEER GROUP'!N:N,MATCH($A6,'PEER GROUP'!$A:$A,0))</f>
        <v>1</v>
      </c>
      <c r="M6" s="108"/>
      <c r="N6" s="84"/>
      <c r="O6" s="108"/>
      <c r="P6" s="81"/>
      <c r="Q6" s="81"/>
      <c r="R6" s="81">
        <f>SUM(O6:Q6)</f>
        <v>0</v>
      </c>
      <c r="S6" s="106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39"/>
      <c r="Z6" s="66"/>
      <c r="AA6" s="67"/>
      <c r="AB6" s="67"/>
      <c r="AC6" s="67" t="str">
        <f t="shared" ref="AC6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" si="2">IFERROR(R6/AB6-1,"---")</f>
        <v>---</v>
      </c>
    </row>
    <row r="7" spans="1:35" ht="30" customHeight="1" x14ac:dyDescent="0.3">
      <c r="B7" s="174" t="s">
        <v>12</v>
      </c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6"/>
      <c r="X7" s="134"/>
      <c r="Y7" s="140"/>
      <c r="Z7" s="141"/>
      <c r="AA7" s="140"/>
      <c r="AB7" s="140"/>
      <c r="AC7" s="140"/>
      <c r="AD7" s="140"/>
      <c r="AE7" s="140"/>
      <c r="AF7" s="140"/>
      <c r="AG7" s="140"/>
      <c r="AH7" s="140"/>
      <c r="AI7" s="142"/>
    </row>
    <row r="8" spans="1:35" ht="30" customHeight="1" x14ac:dyDescent="0.3">
      <c r="B8" s="118" t="s">
        <v>13</v>
      </c>
      <c r="C8" s="83"/>
      <c r="D8" s="83"/>
      <c r="E8" s="83"/>
      <c r="F8" s="83"/>
      <c r="G8" s="83"/>
      <c r="H8" s="143"/>
      <c r="I8" s="143"/>
      <c r="J8" s="67">
        <f>PERCENTILE($J$6:$J$6,0.9)</f>
        <v>77.362594000000001</v>
      </c>
      <c r="K8" s="67">
        <f>PERCENTILE($K$6:$K$6,0.9)</f>
        <v>45.450752000000001</v>
      </c>
      <c r="L8" s="80">
        <f>PERCENTILE($L$6:$L$6,0.9)</f>
        <v>1</v>
      </c>
      <c r="M8" s="92"/>
      <c r="N8" s="84"/>
      <c r="O8" s="92"/>
      <c r="P8" s="84"/>
      <c r="Q8" s="84"/>
      <c r="R8" s="84"/>
      <c r="S8" s="84"/>
      <c r="T8" s="66">
        <f>PERCENTILE(T6:T6,0.9)</f>
        <v>0</v>
      </c>
      <c r="U8" s="67">
        <f>PERCENTILE(U6:U6,0.9)</f>
        <v>0</v>
      </c>
      <c r="V8" s="67">
        <f>PERCENTILE(V6:V6,0.9)</f>
        <v>0</v>
      </c>
      <c r="W8" s="68">
        <f>PERCENTILE(W6:W6,0.9)</f>
        <v>0</v>
      </c>
      <c r="X8" s="45"/>
      <c r="Y8" s="144"/>
      <c r="Z8" s="145"/>
      <c r="AA8" s="144"/>
      <c r="AB8" s="144"/>
      <c r="AC8" s="144"/>
      <c r="AD8" s="144"/>
      <c r="AE8" s="144"/>
      <c r="AF8" s="144"/>
      <c r="AG8" s="144"/>
      <c r="AH8" s="144"/>
      <c r="AI8" s="146"/>
    </row>
    <row r="9" spans="1:35" ht="30" customHeight="1" x14ac:dyDescent="0.3">
      <c r="B9" s="117" t="s">
        <v>14</v>
      </c>
      <c r="C9" s="90"/>
      <c r="D9" s="90"/>
      <c r="E9" s="90"/>
      <c r="F9" s="90"/>
      <c r="G9" s="90"/>
      <c r="H9" s="147"/>
      <c r="I9" s="147"/>
      <c r="J9" s="70">
        <f>PERCENTILE($J$6:$J$6,0.75)</f>
        <v>77.362594000000001</v>
      </c>
      <c r="K9" s="70">
        <f>PERCENTILE($K$6:$K$6,0.75)</f>
        <v>45.450752000000001</v>
      </c>
      <c r="L9" s="82">
        <f>PERCENTILE($L$6:$L$6,0.75)</f>
        <v>1</v>
      </c>
      <c r="M9" s="94"/>
      <c r="N9" s="88"/>
      <c r="O9" s="94"/>
      <c r="P9" s="88"/>
      <c r="Q9" s="88"/>
      <c r="R9" s="88"/>
      <c r="S9" s="88"/>
      <c r="T9" s="69">
        <f>PERCENTILE(T6:T6,0.75)</f>
        <v>0</v>
      </c>
      <c r="U9" s="70">
        <f>PERCENTILE(U6:U6,0.75)</f>
        <v>0</v>
      </c>
      <c r="V9" s="70">
        <f>PERCENTILE(V6:V6,0.75)</f>
        <v>0</v>
      </c>
      <c r="W9" s="71">
        <f>PERCENTILE(W6:W6,0.75)</f>
        <v>0</v>
      </c>
      <c r="X9" s="46"/>
      <c r="Y9" s="144"/>
      <c r="Z9" s="145"/>
      <c r="AA9" s="144"/>
      <c r="AB9" s="144"/>
      <c r="AC9" s="144"/>
      <c r="AD9" s="144"/>
      <c r="AE9" s="144"/>
      <c r="AF9" s="144"/>
      <c r="AG9" s="144"/>
      <c r="AH9" s="144"/>
      <c r="AI9" s="146"/>
    </row>
    <row r="10" spans="1:35" ht="30" customHeight="1" x14ac:dyDescent="0.3">
      <c r="B10" s="119" t="s">
        <v>15</v>
      </c>
      <c r="C10" s="85"/>
      <c r="D10" s="85"/>
      <c r="E10" s="85"/>
      <c r="F10" s="85"/>
      <c r="G10" s="85"/>
      <c r="H10" s="148"/>
      <c r="I10" s="148"/>
      <c r="J10" s="86">
        <f>MEDIAN(J6:J6)</f>
        <v>77.362594000000001</v>
      </c>
      <c r="K10" s="86">
        <f>MEDIAN(K6:K6)</f>
        <v>45.450752000000001</v>
      </c>
      <c r="L10" s="87">
        <f>MEDIAN(L6:L6)</f>
        <v>1</v>
      </c>
      <c r="M10" s="94"/>
      <c r="N10" s="88"/>
      <c r="O10" s="94"/>
      <c r="P10" s="88"/>
      <c r="Q10" s="88"/>
      <c r="R10" s="88"/>
      <c r="S10" s="88"/>
      <c r="T10" s="149">
        <f>MEDIAN(T6:T6)</f>
        <v>0</v>
      </c>
      <c r="U10" s="86">
        <f>MEDIAN(U6:U6)</f>
        <v>0</v>
      </c>
      <c r="V10" s="86">
        <f>MEDIAN(V6:V6)</f>
        <v>0</v>
      </c>
      <c r="W10" s="89">
        <f>MEDIAN(W6:W6)</f>
        <v>0</v>
      </c>
      <c r="X10" s="47"/>
      <c r="Y10" s="144"/>
      <c r="Z10" s="145"/>
      <c r="AA10" s="144"/>
      <c r="AB10" s="144"/>
      <c r="AC10" s="144"/>
      <c r="AD10" s="144"/>
      <c r="AE10" s="144"/>
      <c r="AF10" s="144"/>
      <c r="AG10" s="144"/>
      <c r="AH10" s="144"/>
      <c r="AI10" s="146"/>
    </row>
    <row r="11" spans="1:35" ht="30" customHeight="1" x14ac:dyDescent="0.3">
      <c r="B11" s="117" t="s">
        <v>16</v>
      </c>
      <c r="C11" s="150"/>
      <c r="D11" s="150"/>
      <c r="E11" s="150"/>
      <c r="F11" s="150"/>
      <c r="G11" s="150"/>
      <c r="H11" s="151"/>
      <c r="I11" s="151"/>
      <c r="J11" s="139">
        <f>PERCENTILE($J$6:$J$6,0.25)</f>
        <v>77.362594000000001</v>
      </c>
      <c r="K11" s="139">
        <f>PERCENTILE($K$6:$K$6,0.25)</f>
        <v>45.450752000000001</v>
      </c>
      <c r="L11" s="144">
        <f>PERCENTILE($L$6:$L$6,0.25)</f>
        <v>1</v>
      </c>
      <c r="M11" s="94"/>
      <c r="N11" s="95"/>
      <c r="O11" s="152"/>
      <c r="P11" s="152"/>
      <c r="Q11" s="152"/>
      <c r="R11" s="152"/>
      <c r="S11" s="152"/>
      <c r="T11" s="69">
        <f>PERCENTILE(T6:T6,0.25)</f>
        <v>0</v>
      </c>
      <c r="U11" s="139">
        <f>PERCENTILE(U6:U6,0.25)</f>
        <v>0</v>
      </c>
      <c r="V11" s="139">
        <f>PERCENTILE(V6:V6,0.25)</f>
        <v>0</v>
      </c>
      <c r="W11" s="139">
        <f>PERCENTILE(W6:W6,0.25)</f>
        <v>0</v>
      </c>
      <c r="X11" s="46"/>
      <c r="Y11" s="144"/>
      <c r="Z11" s="153"/>
      <c r="AA11" s="154"/>
      <c r="AB11" s="154"/>
      <c r="AC11" s="154"/>
      <c r="AD11" s="154"/>
      <c r="AE11" s="154"/>
      <c r="AF11" s="154"/>
      <c r="AG11" s="154"/>
      <c r="AH11" s="154"/>
      <c r="AI11" s="155"/>
    </row>
    <row r="12" spans="1:35" ht="30" customHeight="1" x14ac:dyDescent="0.3">
      <c r="B12" s="156"/>
      <c r="C12" s="103"/>
      <c r="D12" s="103"/>
      <c r="E12" s="103"/>
      <c r="F12" s="103"/>
      <c r="G12" s="103"/>
      <c r="H12" s="103"/>
      <c r="I12" s="103"/>
      <c r="J12" s="103"/>
      <c r="K12" s="103"/>
      <c r="L12" s="157"/>
      <c r="M12" s="158"/>
      <c r="N12" s="158"/>
      <c r="O12" s="99"/>
      <c r="P12" s="101"/>
      <c r="Q12" s="101"/>
      <c r="R12" s="101"/>
      <c r="S12" s="101"/>
      <c r="T12" s="103"/>
      <c r="U12" s="103"/>
      <c r="V12" s="103"/>
      <c r="W12" s="157"/>
      <c r="X12" s="48"/>
      <c r="Z12" s="159"/>
      <c r="AA12" s="178" t="s">
        <v>24</v>
      </c>
      <c r="AB12" s="178"/>
      <c r="AC12" s="178"/>
      <c r="AD12" s="178"/>
      <c r="AE12" s="178" t="s">
        <v>27</v>
      </c>
      <c r="AF12" s="178"/>
      <c r="AG12" s="178"/>
      <c r="AH12" s="178"/>
      <c r="AI12" s="160"/>
    </row>
    <row r="13" spans="1:35" ht="30" customHeight="1" x14ac:dyDescent="0.3">
      <c r="A13" s="112">
        <f>'[1]PEER GROUP'!$A$42</f>
        <v>100</v>
      </c>
      <c r="B13" s="35" t="str">
        <f>$B$1</f>
        <v>NFP Organization XYZ</v>
      </c>
      <c r="C13" s="36"/>
      <c r="D13" s="36"/>
      <c r="E13" s="36"/>
      <c r="F13" s="36" t="str">
        <f>[1]SETUP!C9</f>
        <v>City</v>
      </c>
      <c r="G13" s="109" t="str">
        <f>[1]SETUP!C10</f>
        <v>State</v>
      </c>
      <c r="H13" s="36" t="s">
        <v>18</v>
      </c>
      <c r="I13" s="36" t="s">
        <v>17</v>
      </c>
      <c r="J13" s="39">
        <f>'[1]PEER GROUP'!J42</f>
        <v>0.99999899999999997</v>
      </c>
      <c r="K13" s="39">
        <f>'[1]PEER GROUP'!K42</f>
        <v>0.99999899999999997</v>
      </c>
      <c r="L13" s="91">
        <f>'[1]PEER GROUP'!L42</f>
        <v>999</v>
      </c>
      <c r="M13" s="131"/>
      <c r="N13" s="133"/>
      <c r="O13" s="131"/>
      <c r="P13" s="132"/>
      <c r="Q13" s="132"/>
      <c r="R13" s="132">
        <f>COUNTIF(R6:R6,"&lt;&gt;---")</f>
        <v>1</v>
      </c>
      <c r="S13" s="133"/>
      <c r="T13" s="161">
        <v>0</v>
      </c>
      <c r="U13" s="39">
        <v>0</v>
      </c>
      <c r="V13" s="39">
        <v>0</v>
      </c>
      <c r="W13" s="40">
        <f>SUM(V13:V13)</f>
        <v>0</v>
      </c>
      <c r="X13" s="134"/>
      <c r="Y13" s="140"/>
      <c r="Z13" s="162">
        <f>A13+0.99</f>
        <v>100.99</v>
      </c>
      <c r="AA13" s="65">
        <f>T11</f>
        <v>0</v>
      </c>
      <c r="AB13" s="65">
        <f>T10</f>
        <v>0</v>
      </c>
      <c r="AC13" s="65">
        <f>T9</f>
        <v>0</v>
      </c>
      <c r="AD13" s="65">
        <f>T8</f>
        <v>0</v>
      </c>
      <c r="AE13" s="65">
        <f>W11</f>
        <v>0</v>
      </c>
      <c r="AF13" s="65">
        <f>W10</f>
        <v>0</v>
      </c>
      <c r="AG13" s="65">
        <f>W9</f>
        <v>0</v>
      </c>
      <c r="AH13" s="65">
        <f>W8</f>
        <v>0</v>
      </c>
      <c r="AI13" s="163"/>
    </row>
    <row r="14" spans="1:35" x14ac:dyDescent="0.3">
      <c r="B14" s="128" t="s">
        <v>32</v>
      </c>
      <c r="C14" s="103"/>
      <c r="D14" s="103"/>
      <c r="E14" s="103"/>
      <c r="F14" s="103"/>
      <c r="G14" s="103"/>
      <c r="H14" s="103"/>
      <c r="I14" s="104"/>
      <c r="J14" s="104" t="str">
        <f>IFERROR(IF(J13&lt;J11,"&lt;25",IF(J13&lt;=J10,25+25*(J13-J11)/(J10-J11),IF(J13&lt;=J9,50+25*(J13-J10)/(J9-J10),IF(J13&lt;=J8,75+15*(J13-J9)/(J8-J9),IF(J13/J8&lt;1.005,90,"&gt;90 (+"&amp;TEXT(J13/J8-1,"0%")&amp;")"))))),"---")</f>
        <v>&lt;25</v>
      </c>
      <c r="K14" s="104" t="str">
        <f>IFERROR(IF(K13&lt;K11,"&lt;25",IF(K13&lt;=K10,25+25*(K13-K11)/(K10-K11),IF(K13&lt;=K9,50+25*(K13-K10)/(K9-K10),IF(K13&lt;=K8,75+15*(K13-K9)/(K8-K9),IF(K13/K8&lt;1.005,90,"&gt;90 (+"&amp;TEXT(K13/K8-1,"0%")&amp;")"))))),"---")</f>
        <v>&lt;25</v>
      </c>
      <c r="L14" s="105" t="str">
        <f>IFERROR(IF(L13&lt;L11,"&lt;25",IF(L13&lt;=L10,25+25*(L13-L11)/(L10-L11),IF(L13&lt;=L9,50+25*(L13-L10)/(L9-L10),IF(L13&lt;=L8,75+15*(L13-L9)/(L8-L9),IF(L13/L8&lt;1.005,90,"&gt;90 (+"&amp;TEXT(L13/L8-1,"0%")&amp;")"))))),"---")</f>
        <v>&gt;90 (+99800%)</v>
      </c>
      <c r="M14" s="99"/>
      <c r="N14" s="100"/>
      <c r="O14" s="99"/>
      <c r="P14" s="101"/>
      <c r="Q14" s="101"/>
      <c r="R14" s="101"/>
      <c r="S14" s="100"/>
      <c r="T14" s="102" t="str">
        <f>IFERROR(IF(T13&lt;T11,"&lt;25",IF(T13&lt;=T10,25+25*(T13-T11)/(T10-T11),IF(T13&lt;=T9,50+25*(T13-T10)/(T9-T10),IF(T13&lt;=T8,75+15*(T13-T9)/(T8-T9),IF(T13/T8&lt;1.005,90,"&gt;90 (+"&amp;TEXT(T13/T8-1,"0%")&amp;")"))))),"---")</f>
        <v>---</v>
      </c>
      <c r="U14" s="103"/>
      <c r="V14" s="103"/>
      <c r="W14" s="105" t="str">
        <f>IFERROR(IF(W13&lt;W11,"&lt;25",IF(W13&lt;=W10,25+25*(W13-W11)/(W10-W11),IF(W13&lt;=W9,50+25*(W13-W10)/(W9-W10),IF(W13&lt;=W8,75+15*(W13-W9)/(W8-W9),IF(W13/W8&lt;1.005,90,"&gt;90 (+"&amp;TEXT(W13/W8-1,"0%")&amp;")"))))),"---")</f>
        <v>---</v>
      </c>
      <c r="X14" s="44"/>
      <c r="Z14" s="107"/>
      <c r="AA14" s="110"/>
      <c r="AB14" s="110"/>
      <c r="AC14" s="110"/>
      <c r="AD14" s="110"/>
      <c r="AE14" s="110"/>
      <c r="AF14" s="110"/>
      <c r="AG14" s="110"/>
      <c r="AH14" s="110"/>
      <c r="AI14" s="111"/>
    </row>
  </sheetData>
  <autoFilter ref="A5:AJ5" xr:uid="{474D6C73-1F09-435D-B15B-666702D29536}"/>
  <mergeCells count="8">
    <mergeCell ref="AA12:AD12"/>
    <mergeCell ref="AE12:AH12"/>
    <mergeCell ref="B4:L4"/>
    <mergeCell ref="O4:R4"/>
    <mergeCell ref="T4:W4"/>
    <mergeCell ref="Z4:AB4"/>
    <mergeCell ref="AC4:AI4"/>
    <mergeCell ref="B7:W7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8" sqref="D18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86" t="s">
        <v>34</v>
      </c>
      <c r="D5" s="186"/>
      <c r="E5" s="186"/>
      <c r="F5" s="186"/>
      <c r="G5" s="186"/>
      <c r="H5" s="186"/>
      <c r="I5" s="186"/>
      <c r="J5" s="186"/>
      <c r="K5" s="186"/>
    </row>
    <row r="6" spans="1:15" ht="25.5" customHeight="1" x14ac:dyDescent="0.3">
      <c r="C6" s="187" t="s">
        <v>68</v>
      </c>
      <c r="D6" s="187" t="s">
        <v>35</v>
      </c>
      <c r="E6" s="188" t="s">
        <v>36</v>
      </c>
      <c r="F6" s="188" t="s">
        <v>57</v>
      </c>
      <c r="G6" s="189" t="s">
        <v>37</v>
      </c>
      <c r="H6" s="188"/>
      <c r="I6" s="188"/>
      <c r="J6" s="188"/>
      <c r="K6" s="188" t="s">
        <v>38</v>
      </c>
    </row>
    <row r="7" spans="1:15" ht="25.5" customHeight="1" x14ac:dyDescent="0.3">
      <c r="C7" s="187"/>
      <c r="D7" s="187" t="s">
        <v>39</v>
      </c>
      <c r="E7" s="188" t="s">
        <v>39</v>
      </c>
      <c r="F7" s="188"/>
      <c r="G7" s="29" t="s">
        <v>40</v>
      </c>
      <c r="H7" s="29" t="s">
        <v>41</v>
      </c>
      <c r="I7" s="29" t="s">
        <v>42</v>
      </c>
      <c r="J7" s="29" t="s">
        <v>43</v>
      </c>
      <c r="K7" s="188"/>
    </row>
    <row r="8" spans="1:15" ht="30.75" customHeight="1" x14ac:dyDescent="0.3">
      <c r="A8" s="12">
        <v>100</v>
      </c>
      <c r="B8" s="12">
        <f>A8+0.99</f>
        <v>100.99</v>
      </c>
      <c r="C8" s="185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 t="str">
        <f>INDEX('Form 990 - Position Title'!X:X,MATCH('Summary Table'!A8,'Form 990 - Position Title'!A:A,0))</f>
        <v>---</v>
      </c>
      <c r="F8" s="190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5"/>
      <c r="D9" s="30" t="s">
        <v>44</v>
      </c>
      <c r="E9" s="31" t="str">
        <f>INDEX('Form 990 - Position Title'!Z:Z,MATCH('Summary Table'!A9,'Form 990 - Position Title'!A:A,0))</f>
        <v>---</v>
      </c>
      <c r="F9" s="190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5"/>
      <c r="D10" s="30" t="s">
        <v>45</v>
      </c>
      <c r="E10" s="31" t="str">
        <f>INDEX('Form 990 - Position Title'!AD:AD,MATCH('Summary Table'!A10,'Form 990 - Position Title'!A:A,0))</f>
        <v>---</v>
      </c>
      <c r="F10" s="190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2024-07-12T12:11:20Z</dcterms:modified>
</cp:coreProperties>
</file>