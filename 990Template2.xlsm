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8" documentId="8_{75624B65-669A-4702-A0DF-84E7D7AE42D3}" xr6:coauthVersionLast="47" xr6:coauthVersionMax="47" xr10:uidLastSave="{096F3AF2-1C1F-4FD6-8893-4B9543D1B829}"/>
  <bookViews>
    <workbookView xWindow="-110" yWindow="-110" windowWidth="19420" windowHeight="10420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Title'!$B$1:$AD$14</definedName>
    <definedName name="_xlnm.Print_Area" localSheetId="3">'Form 990PF - Position Title'!$B$1:$W$14</definedName>
    <definedName name="_xlnm.Print_Area" localSheetId="1">'PEER GROUP'!$B$2:$N$14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" i="2" l="1"/>
  <c r="B1" i="6"/>
  <c r="H9" i="1"/>
  <c r="L6" i="6"/>
  <c r="R6" i="6"/>
  <c r="AI6" i="6" s="1"/>
  <c r="AC6" i="6"/>
  <c r="AD6" i="6"/>
  <c r="AE6" i="6"/>
  <c r="AF6" i="6"/>
  <c r="AG6" i="6"/>
  <c r="AH6" i="6"/>
  <c r="G6" i="6"/>
  <c r="F6" i="6"/>
  <c r="E6" i="6"/>
  <c r="S6" i="6" s="1"/>
  <c r="V6" i="6" s="1"/>
  <c r="D6" i="6"/>
  <c r="C6" i="6"/>
  <c r="B6" i="6"/>
  <c r="W13" i="6"/>
  <c r="L13" i="6"/>
  <c r="K13" i="6"/>
  <c r="J13" i="6"/>
  <c r="G13" i="6"/>
  <c r="F13" i="6"/>
  <c r="A13" i="6"/>
  <c r="Z13" i="6" s="1"/>
  <c r="S1" i="6"/>
  <c r="B4" i="6" s="1"/>
  <c r="B13" i="6"/>
  <c r="U6" i="6" l="1"/>
  <c r="T6" i="6"/>
  <c r="R13" i="6"/>
  <c r="W6" i="6" l="1"/>
  <c r="N12" i="1" l="1"/>
  <c r="N11" i="1"/>
  <c r="N10" i="1"/>
  <c r="N9" i="1"/>
  <c r="M6" i="2"/>
  <c r="G6" i="2"/>
  <c r="F6" i="2"/>
  <c r="E6" i="2"/>
  <c r="D6" i="2"/>
  <c r="C6" i="2"/>
  <c r="B6" i="2"/>
  <c r="W1" i="2" l="1"/>
  <c r="M6" i="1" l="1"/>
  <c r="L6" i="1"/>
  <c r="K6" i="1"/>
  <c r="K6" i="2" l="1"/>
  <c r="K6" i="6"/>
  <c r="J6" i="2"/>
  <c r="J6" i="6"/>
  <c r="M10" i="1"/>
  <c r="L6" i="2"/>
  <c r="G13" i="2"/>
  <c r="F13" i="2"/>
  <c r="B1" i="2"/>
  <c r="J14" i="1"/>
  <c r="I14" i="1"/>
  <c r="H14" i="1"/>
  <c r="J12" i="1"/>
  <c r="J10" i="1"/>
  <c r="J9" i="1"/>
  <c r="I12" i="1"/>
  <c r="I10" i="1"/>
  <c r="I9" i="1"/>
  <c r="H12" i="1"/>
  <c r="H10" i="1"/>
  <c r="N14" i="1"/>
  <c r="G14" i="1"/>
  <c r="F14" i="1"/>
  <c r="B2" i="1"/>
  <c r="M13" i="2" l="1"/>
  <c r="M14" i="1"/>
  <c r="K14" i="1"/>
  <c r="L14" i="1"/>
  <c r="K13" i="2" l="1"/>
  <c r="J13" i="2"/>
  <c r="L13" i="2"/>
  <c r="M12" i="1"/>
  <c r="M11" i="1"/>
  <c r="M9" i="1"/>
  <c r="L12" i="1"/>
  <c r="L11" i="1"/>
  <c r="L10" i="1"/>
  <c r="L9" i="1"/>
  <c r="J11" i="1"/>
  <c r="I11" i="1"/>
  <c r="H11" i="1"/>
  <c r="C8" i="4"/>
  <c r="B13" i="2"/>
  <c r="C1" i="4"/>
  <c r="B10" i="4" l="1"/>
  <c r="B9" i="4"/>
  <c r="B8" i="4"/>
  <c r="AG13" i="2"/>
  <c r="B4" i="2" l="1"/>
  <c r="Z13" i="2"/>
  <c r="AS6" i="2"/>
  <c r="AR6" i="2"/>
  <c r="AQ6" i="2"/>
  <c r="AO6" i="2"/>
  <c r="AN6" i="2"/>
  <c r="R6" i="2"/>
  <c r="V6" i="2" s="1"/>
  <c r="AT6" i="2" l="1"/>
  <c r="AD13" i="2"/>
  <c r="AP6" i="2"/>
  <c r="W6" i="2"/>
  <c r="K11" i="1"/>
  <c r="K12" i="1"/>
  <c r="K10" i="1"/>
  <c r="K9" i="1"/>
  <c r="B14" i="1"/>
  <c r="AC6" i="2" l="1"/>
  <c r="AA6" i="2"/>
  <c r="Y6" i="2"/>
  <c r="X6" i="2"/>
  <c r="AB6" i="2"/>
  <c r="V13" i="2"/>
  <c r="F8" i="4" s="1"/>
  <c r="Z6" i="2" l="1"/>
  <c r="L11" i="6" l="1"/>
  <c r="L9" i="6"/>
  <c r="L8" i="6"/>
  <c r="L10" i="6"/>
  <c r="AD6" i="2"/>
  <c r="K10" i="6" l="1"/>
  <c r="K9" i="6"/>
  <c r="K8" i="6"/>
  <c r="K11" i="6"/>
  <c r="K14" i="6" s="1"/>
  <c r="L14" i="6"/>
  <c r="M8" i="2" l="1"/>
  <c r="M11" i="2"/>
  <c r="M9" i="2"/>
  <c r="M10" i="2"/>
  <c r="K10" i="2"/>
  <c r="K11" i="2"/>
  <c r="K9" i="2"/>
  <c r="K8" i="2"/>
  <c r="L10" i="2"/>
  <c r="L8" i="2"/>
  <c r="L9" i="2"/>
  <c r="L11" i="2"/>
  <c r="L14" i="2" s="1"/>
  <c r="J8" i="2"/>
  <c r="J9" i="2"/>
  <c r="J11" i="2"/>
  <c r="J14" i="2" s="1"/>
  <c r="J10" i="2"/>
  <c r="J10" i="6"/>
  <c r="J9" i="6"/>
  <c r="J11" i="6"/>
  <c r="J8" i="6"/>
  <c r="M14" i="2" l="1"/>
  <c r="X11" i="2"/>
  <c r="X9" i="2"/>
  <c r="AJ13" i="2" s="1"/>
  <c r="I8" i="4" s="1"/>
  <c r="X8" i="2"/>
  <c r="AK13" i="2" s="1"/>
  <c r="J8" i="4" s="1"/>
  <c r="X10" i="2"/>
  <c r="AI13" i="2" s="1"/>
  <c r="H8" i="4" s="1"/>
  <c r="Y9" i="2"/>
  <c r="Y8" i="2"/>
  <c r="Y10" i="2"/>
  <c r="Y11" i="2"/>
  <c r="U8" i="6"/>
  <c r="U10" i="6"/>
  <c r="U9" i="6"/>
  <c r="U11" i="6"/>
  <c r="AB9" i="2"/>
  <c r="AB8" i="2"/>
  <c r="AB10" i="2"/>
  <c r="AB11" i="2"/>
  <c r="J14" i="6"/>
  <c r="K14" i="2"/>
  <c r="V11" i="6"/>
  <c r="V8" i="6"/>
  <c r="V9" i="6"/>
  <c r="V10" i="6"/>
  <c r="AC9" i="2"/>
  <c r="AC8" i="2"/>
  <c r="AC10" i="2"/>
  <c r="AC11" i="2"/>
  <c r="T10" i="6"/>
  <c r="AB13" i="6" s="1"/>
  <c r="T9" i="6"/>
  <c r="AC13" i="6" s="1"/>
  <c r="T8" i="6"/>
  <c r="AD13" i="6" s="1"/>
  <c r="T11" i="6"/>
  <c r="AA9" i="2"/>
  <c r="AA8" i="2"/>
  <c r="AA10" i="2"/>
  <c r="AA11" i="2"/>
  <c r="W9" i="6" l="1"/>
  <c r="AG13" i="6" s="1"/>
  <c r="W10" i="6"/>
  <c r="AF13" i="6" s="1"/>
  <c r="W8" i="6"/>
  <c r="AH13" i="6" s="1"/>
  <c r="W11" i="6"/>
  <c r="X14" i="2"/>
  <c r="E8" i="4" s="1"/>
  <c r="K8" i="4" s="1"/>
  <c r="AH13" i="2"/>
  <c r="G8" i="4" s="1"/>
  <c r="Z11" i="2"/>
  <c r="Z9" i="2"/>
  <c r="AN13" i="2" s="1"/>
  <c r="I9" i="4" s="1"/>
  <c r="Z10" i="2"/>
  <c r="AM13" i="2" s="1"/>
  <c r="H9" i="4" s="1"/>
  <c r="Z8" i="2"/>
  <c r="AO13" i="2" s="1"/>
  <c r="J9" i="4" s="1"/>
  <c r="T14" i="6"/>
  <c r="AA13" i="6"/>
  <c r="AE13" i="6" l="1"/>
  <c r="W14" i="6"/>
  <c r="AL13" i="2"/>
  <c r="G9" i="4" s="1"/>
  <c r="Z14" i="2"/>
  <c r="E9" i="4" s="1"/>
  <c r="AD9" i="2"/>
  <c r="AR13" i="2" s="1"/>
  <c r="I10" i="4" s="1"/>
  <c r="AD11" i="2"/>
  <c r="AD10" i="2"/>
  <c r="AQ13" i="2" s="1"/>
  <c r="H10" i="4" s="1"/>
  <c r="AD8" i="2"/>
  <c r="AS13" i="2" s="1"/>
  <c r="J10" i="4" s="1"/>
  <c r="K9" i="4" l="1"/>
  <c r="AD14" i="2"/>
  <c r="E10" i="4" s="1"/>
  <c r="AP13" i="2"/>
  <c r="G10" i="4" s="1"/>
  <c r="K10" i="4" l="1"/>
</calcChain>
</file>

<file path=xl/sharedStrings.xml><?xml version="1.0" encoding="utf-8"?>
<sst xmlns="http://schemas.openxmlformats.org/spreadsheetml/2006/main" count="163" uniqueCount="73">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</sst>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1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3" fontId="8" fillId="0" borderId="12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164" fontId="8" fillId="8" borderId="3" xfId="0" applyNumberFormat="1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4" fillId="0" borderId="0" xfId="0" applyNumberFormat="1" applyFont="1"/>
    <xf numFmtId="0" fontId="4" fillId="0" borderId="1" xfId="0" applyNumberFormat="1" applyFont="1" applyBorder="1"/>
    <xf numFmtId="0" fontId="9" fillId="6" borderId="2" xfId="0" applyNumberFormat="1" applyFont="1" applyFill="1" applyBorder="1" applyAlignment="1">
      <alignment horizontal="left"/>
    </xf>
    <xf numFmtId="0" fontId="8" fillId="0" borderId="4" xfId="0" applyNumberFormat="1" applyFont="1" applyBorder="1" applyAlignment="1">
      <alignment horizontal="left" vertical="center"/>
    </xf>
    <xf numFmtId="0" fontId="8" fillId="0" borderId="12" xfId="0" applyNumberFormat="1" applyFont="1" applyBorder="1" applyAlignment="1">
      <alignment horizontal="left" vertical="center"/>
    </xf>
    <xf numFmtId="0" fontId="8" fillId="2" borderId="12" xfId="0" applyNumberFormat="1" applyFont="1" applyFill="1" applyBorder="1" applyAlignment="1">
      <alignment horizontal="left" vertical="center"/>
    </xf>
    <xf numFmtId="0" fontId="8" fillId="0" borderId="0" xfId="0" applyNumberFormat="1" applyFont="1" applyBorder="1"/>
    <xf numFmtId="0" fontId="9" fillId="5" borderId="4" xfId="0" applyNumberFormat="1" applyFont="1" applyFill="1" applyBorder="1" applyAlignment="1">
      <alignment horizontal="left" vertical="center"/>
    </xf>
    <xf numFmtId="0" fontId="8" fillId="0" borderId="4" xfId="0" applyNumberFormat="1" applyFont="1" applyBorder="1"/>
    <xf numFmtId="0" fontId="10" fillId="0" borderId="4" xfId="0" applyNumberFormat="1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tabSelected="1" workbookViewId="0">
      <selection activeCell="D22" sqref="D22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15"/>
  <sheetViews>
    <sheetView showGridLines="0" topLeftCell="A2" zoomScale="80" zoomScaleNormal="80" workbookViewId="0">
      <selection activeCell="C19" sqref="C19"/>
    </sheetView>
  </sheetViews>
  <sheetFormatPr defaultColWidth="9.1796875" defaultRowHeight="13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1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14" t="s">
        <v>11</v>
      </c>
    </row>
    <row r="6" spans="1:15" ht="30" customHeight="1" x14ac:dyDescent="0.3">
      <c r="A6" s="113">
        <v>1</v>
      </c>
      <c r="B6" s="130" t="s">
        <v>67</v>
      </c>
      <c r="C6" s="83"/>
      <c r="D6" s="78">
        <v>44651</v>
      </c>
      <c r="E6" s="78">
        <v>44561</v>
      </c>
      <c r="F6" s="83"/>
      <c r="G6" s="83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15">
        <v>1</v>
      </c>
      <c r="O6" s="114"/>
    </row>
    <row r="7" spans="1:15" ht="30" customHeight="1" x14ac:dyDescent="0.3">
      <c r="B7" s="107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1"/>
    </row>
    <row r="8" spans="1:15" ht="30" customHeight="1" x14ac:dyDescent="0.3">
      <c r="B8" s="174" t="s">
        <v>12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6"/>
    </row>
    <row r="9" spans="1:15" ht="30" customHeight="1" x14ac:dyDescent="0.3">
      <c r="B9" s="118" t="s">
        <v>13</v>
      </c>
      <c r="C9" s="83"/>
      <c r="D9" s="83"/>
      <c r="E9" s="83"/>
      <c r="F9" s="83"/>
      <c r="G9" s="83"/>
      <c r="H9" s="67">
        <f>PERCENTILE($H$6:$H$6,0.9)</f>
        <v>77362594</v>
      </c>
      <c r="I9" s="67">
        <f>PERCENTILE($I$6:$I$6,0.9)</f>
        <v>45450752</v>
      </c>
      <c r="J9" s="67">
        <f>PERCENTILE($J$6:$J$6,0.9)</f>
        <v>40354963</v>
      </c>
      <c r="K9" s="67">
        <f>PERCENTILE($K$6:$K$6,0.9)</f>
        <v>77.362594000000001</v>
      </c>
      <c r="L9" s="67">
        <f>PERCENTILE($L$6:$L$6,0.9)</f>
        <v>45.450752000000001</v>
      </c>
      <c r="M9" s="67">
        <f>PERCENTILE($M$6:$M$6,0.9)</f>
        <v>40.354962999999998</v>
      </c>
      <c r="N9" s="115">
        <f>IFERROR(PERCENTILE($N$6:$N$6,0.9),"---")</f>
        <v>1</v>
      </c>
    </row>
    <row r="10" spans="1:15" ht="30" customHeight="1" x14ac:dyDescent="0.3">
      <c r="B10" s="117" t="s">
        <v>14</v>
      </c>
      <c r="C10" s="90"/>
      <c r="D10" s="90"/>
      <c r="E10" s="90"/>
      <c r="F10" s="90"/>
      <c r="G10" s="90"/>
      <c r="H10" s="70">
        <f>PERCENTILE($H$6:$H$6,0.75)</f>
        <v>77362594</v>
      </c>
      <c r="I10" s="70">
        <f>PERCENTILE($I$6:$I$6,0.75)</f>
        <v>45450752</v>
      </c>
      <c r="J10" s="70">
        <f>PERCENTILE($J$6:$J$6,0.75)</f>
        <v>40354963</v>
      </c>
      <c r="K10" s="70">
        <f>PERCENTILE($K$6:$K$6,0.75)</f>
        <v>77.362594000000001</v>
      </c>
      <c r="L10" s="70">
        <f>PERCENTILE($L$6:$L$6,0.75)</f>
        <v>45.450752000000001</v>
      </c>
      <c r="M10" s="70">
        <f>PERCENTILE($M$6:$M$6,0.75)</f>
        <v>40.354962999999998</v>
      </c>
      <c r="N10" s="116">
        <f>IFERROR(PERCENTILE($N$6:$N$6,0.75),"---")</f>
        <v>1</v>
      </c>
    </row>
    <row r="11" spans="1:15" ht="30" customHeight="1" x14ac:dyDescent="0.3">
      <c r="B11" s="119" t="s">
        <v>15</v>
      </c>
      <c r="C11" s="85"/>
      <c r="D11" s="85"/>
      <c r="E11" s="85"/>
      <c r="F11" s="85"/>
      <c r="G11" s="85"/>
      <c r="H11" s="86">
        <f t="shared" ref="H11:M11" si="0">MEDIAN(H6:H6)</f>
        <v>77362594</v>
      </c>
      <c r="I11" s="86">
        <f t="shared" si="0"/>
        <v>45450752</v>
      </c>
      <c r="J11" s="86">
        <f t="shared" si="0"/>
        <v>40354963</v>
      </c>
      <c r="K11" s="86">
        <f t="shared" si="0"/>
        <v>77.362594000000001</v>
      </c>
      <c r="L11" s="86">
        <f t="shared" si="0"/>
        <v>45.450752000000001</v>
      </c>
      <c r="M11" s="86">
        <f t="shared" si="0"/>
        <v>40.354962999999998</v>
      </c>
      <c r="N11" s="120">
        <f>IFERROR(MEDIAN(N6:N6),"---")</f>
        <v>1</v>
      </c>
    </row>
    <row r="12" spans="1:15" ht="30" customHeight="1" x14ac:dyDescent="0.3">
      <c r="B12" s="117" t="s">
        <v>16</v>
      </c>
      <c r="C12" s="90"/>
      <c r="D12" s="90"/>
      <c r="E12" s="90"/>
      <c r="F12" s="90"/>
      <c r="G12" s="90"/>
      <c r="H12" s="70">
        <f>PERCENTILE($H$6:$H$6,0.25)</f>
        <v>77362594</v>
      </c>
      <c r="I12" s="70">
        <f>PERCENTILE($I$6:$I$6,0.25)</f>
        <v>45450752</v>
      </c>
      <c r="J12" s="70">
        <f>PERCENTILE($J$6:$J$6,0.25)</f>
        <v>40354963</v>
      </c>
      <c r="K12" s="70">
        <f>PERCENTILE($K$6:$K$6,0.25)</f>
        <v>77.362594000000001</v>
      </c>
      <c r="L12" s="70">
        <f>PERCENTILE($L$6:$L$6,0.25)</f>
        <v>45.450752000000001</v>
      </c>
      <c r="M12" s="70">
        <f>PERCENTILE($M$6:$M$6,0.25)</f>
        <v>40.354962999999998</v>
      </c>
      <c r="N12" s="116">
        <f>IFERROR(PERCENTILE($N$6:$N$6,0.25),"---")</f>
        <v>1</v>
      </c>
    </row>
    <row r="13" spans="1:15" ht="30" customHeight="1" x14ac:dyDescent="0.3">
      <c r="N13" s="12"/>
    </row>
    <row r="14" spans="1:15" ht="30" customHeight="1" x14ac:dyDescent="0.3">
      <c r="A14" s="74">
        <v>100</v>
      </c>
      <c r="B14" s="35" t="str">
        <f>B2</f>
        <v>NFP Organization XYZ</v>
      </c>
      <c r="C14" s="36"/>
      <c r="D14" s="36"/>
      <c r="E14" s="36"/>
      <c r="F14" s="36" t="str">
        <f>SETUP!C9</f>
        <v>Cambridge</v>
      </c>
      <c r="G14" s="109" t="str">
        <f>SETUP!C10</f>
        <v>Massachusetts</v>
      </c>
      <c r="H14" s="39">
        <f>SETUP!C11</f>
        <v>999999</v>
      </c>
      <c r="I14" s="39">
        <f>SETUP!C13</f>
        <v>999999</v>
      </c>
      <c r="J14" s="39">
        <f>SETUP!C12</f>
        <v>999999</v>
      </c>
      <c r="K14" s="39">
        <f>H14/1000000</f>
        <v>0.99999899999999997</v>
      </c>
      <c r="L14" s="39">
        <f>I14/1000000</f>
        <v>0.99999899999999997</v>
      </c>
      <c r="M14" s="39">
        <f>J14/1000000</f>
        <v>0.99999899999999997</v>
      </c>
      <c r="N14" s="91">
        <f>SETUP!C14</f>
        <v>50</v>
      </c>
    </row>
    <row r="15" spans="1:15" ht="30" customHeight="1" x14ac:dyDescent="0.3"/>
  </sheetData>
  <autoFilter ref="A5:O5" xr:uid="{0BB2107F-3F47-4C6C-A971-3D6217FC4528}"/>
  <mergeCells count="1">
    <mergeCell ref="B8:N8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4"/>
  <sheetViews>
    <sheetView showGridLines="0" zoomScale="80" zoomScaleNormal="85" zoomScaleSheetLayoutView="85" workbookViewId="0">
      <selection activeCell="E23" sqref="E23"/>
    </sheetView>
  </sheetViews>
  <sheetFormatPr defaultColWidth="9.1796875" defaultRowHeight="13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70" bestFit="1" customWidth="1"/>
    <col min="9" max="9" width="31.54296875" style="170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H1" s="164"/>
      <c r="I1" s="164"/>
      <c r="J1" s="14"/>
      <c r="U1" s="179" t="s">
        <v>47</v>
      </c>
      <c r="V1" s="179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65"/>
      <c r="I2" s="165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H3" s="164"/>
      <c r="I3" s="164"/>
      <c r="AF3" s="15"/>
    </row>
    <row r="4" spans="1:46" s="19" customFormat="1" ht="15" customHeight="1" x14ac:dyDescent="0.35">
      <c r="B4" s="182" t="str">
        <f>"Peer Group Data ($000) - Effective: "&amp;TEXT(W1,"mmmm d, Yyyy")</f>
        <v>Peer Group Data ($000) - Effective: January 1, 2024</v>
      </c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75"/>
      <c r="O4" s="75"/>
      <c r="P4" s="183" t="s">
        <v>28</v>
      </c>
      <c r="Q4" s="183"/>
      <c r="R4" s="183"/>
      <c r="S4" s="183"/>
      <c r="T4" s="183"/>
      <c r="U4" s="183"/>
      <c r="V4" s="183"/>
      <c r="W4" s="76"/>
      <c r="X4" s="177"/>
      <c r="Y4" s="177"/>
      <c r="Z4" s="177"/>
      <c r="AA4" s="177"/>
      <c r="AB4" s="177"/>
      <c r="AC4" s="177"/>
      <c r="AD4" s="177"/>
      <c r="AE4" s="41" t="s">
        <v>11</v>
      </c>
      <c r="AF4" s="20"/>
      <c r="AG4" s="181" t="s">
        <v>30</v>
      </c>
      <c r="AH4" s="181"/>
      <c r="AI4" s="181"/>
      <c r="AJ4" s="181"/>
      <c r="AK4" s="181"/>
      <c r="AL4" s="181"/>
      <c r="AM4" s="181"/>
      <c r="AN4" s="180" t="s">
        <v>31</v>
      </c>
      <c r="AO4" s="180"/>
      <c r="AP4" s="180"/>
      <c r="AQ4" s="180"/>
      <c r="AR4" s="180"/>
      <c r="AS4" s="180"/>
      <c r="AT4" s="180"/>
    </row>
    <row r="5" spans="1:46" ht="36" customHeight="1" x14ac:dyDescent="0.3">
      <c r="A5" s="73" t="s">
        <v>1</v>
      </c>
      <c r="B5" s="124" t="s">
        <v>2</v>
      </c>
      <c r="C5" s="124" t="s">
        <v>3</v>
      </c>
      <c r="D5" s="124" t="s">
        <v>4</v>
      </c>
      <c r="E5" s="124" t="s">
        <v>5</v>
      </c>
      <c r="F5" s="124" t="s">
        <v>6</v>
      </c>
      <c r="G5" s="124" t="s">
        <v>7</v>
      </c>
      <c r="H5" s="166" t="s">
        <v>18</v>
      </c>
      <c r="I5" s="166" t="s">
        <v>17</v>
      </c>
      <c r="J5" s="126" t="s">
        <v>8</v>
      </c>
      <c r="K5" s="126" t="s">
        <v>64</v>
      </c>
      <c r="L5" s="126" t="s">
        <v>9</v>
      </c>
      <c r="M5" s="12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27" t="s">
        <v>21</v>
      </c>
      <c r="Y5" s="127" t="s">
        <v>22</v>
      </c>
      <c r="Z5" s="127" t="s">
        <v>60</v>
      </c>
      <c r="AA5" s="127" t="s">
        <v>23</v>
      </c>
      <c r="AB5" s="127" t="s">
        <v>62</v>
      </c>
      <c r="AC5" s="127" t="s">
        <v>26</v>
      </c>
      <c r="AD5" s="12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2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67"/>
      <c r="I6" s="167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0">
        <f>INDEX('PEER GROUP'!N:N,MATCH($A6,'PEER GROUP'!$A:$A,0))</f>
        <v>1</v>
      </c>
      <c r="N6" s="108"/>
      <c r="O6" s="84"/>
      <c r="P6" s="108"/>
      <c r="Q6" s="81"/>
      <c r="R6" s="81">
        <f t="shared" ref="R6" si="0">SUM(P6:Q6)</f>
        <v>0</v>
      </c>
      <c r="S6" s="81"/>
      <c r="T6" s="81"/>
      <c r="U6" s="81"/>
      <c r="V6" s="81">
        <f t="shared" ref="V6" si="1">SUM(R6:U6)</f>
        <v>0</v>
      </c>
      <c r="W6" s="106">
        <f t="shared" ref="W6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" si="3">P6*$W6</f>
        <v>0</v>
      </c>
      <c r="Y6" s="67">
        <f t="shared" ref="Y6" si="4">Q6*$W6</f>
        <v>0</v>
      </c>
      <c r="Z6" s="67">
        <f t="shared" ref="Z6" si="5">SUM(X6:Y6)</f>
        <v>0</v>
      </c>
      <c r="AA6" s="67">
        <f t="shared" ref="AA6" si="6">S6*$W6</f>
        <v>0</v>
      </c>
      <c r="AB6" s="67">
        <f t="shared" ref="AB6" si="7">T6*$W6</f>
        <v>0</v>
      </c>
      <c r="AC6" s="67">
        <f t="shared" ref="AC6" si="8">U6*$W6</f>
        <v>0</v>
      </c>
      <c r="AD6" s="68">
        <f t="shared" ref="AD6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" si="10">IFERROR(P6/AG6-1,"---")</f>
        <v>---</v>
      </c>
      <c r="AO6" s="67" t="str">
        <f t="shared" ref="AO6" si="11">IFERROR(Q6/AH6-1,"---")</f>
        <v>---</v>
      </c>
      <c r="AP6" s="67" t="str">
        <f t="shared" ref="AP6" si="12">IFERROR(R6/AI6-1,"---")</f>
        <v>---</v>
      </c>
      <c r="AQ6" s="67" t="str">
        <f t="shared" ref="AQ6" si="13">IFERROR(S6/AJ6-1,"---")</f>
        <v>---</v>
      </c>
      <c r="AR6" s="67" t="str">
        <f t="shared" ref="AR6" si="14">IFERROR(T6/AK6-1,"---")</f>
        <v>---</v>
      </c>
      <c r="AS6" s="67" t="str">
        <f t="shared" ref="AS6" si="15">IFERROR(U6/AL6-1,"---")</f>
        <v>---</v>
      </c>
      <c r="AT6" s="68" t="str">
        <f t="shared" ref="AT6" si="16">IFERROR(V6/AM6-1,"---")</f>
        <v>---</v>
      </c>
    </row>
    <row r="7" spans="1:46" ht="30" customHeight="1" x14ac:dyDescent="0.3">
      <c r="B7" s="177" t="s">
        <v>12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43"/>
      <c r="AF7" s="23"/>
      <c r="AG7" s="52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53"/>
    </row>
    <row r="8" spans="1:46" ht="30" customHeight="1" x14ac:dyDescent="0.3">
      <c r="B8" s="118" t="s">
        <v>13</v>
      </c>
      <c r="C8" s="83"/>
      <c r="D8" s="83"/>
      <c r="E8" s="83"/>
      <c r="F8" s="83"/>
      <c r="G8" s="83"/>
      <c r="H8" s="167"/>
      <c r="I8" s="167"/>
      <c r="J8" s="67">
        <f>PERCENTILE($J$6:$J$6,0.9)</f>
        <v>77.362594000000001</v>
      </c>
      <c r="K8" s="67">
        <f>PERCENTILE($K$6:$K$6,0.9)</f>
        <v>45.450752000000001</v>
      </c>
      <c r="L8" s="67">
        <f>PERCENTILE($L$6:$L$6,0.9)</f>
        <v>40.354962999999998</v>
      </c>
      <c r="M8" s="80">
        <f>PERCENTILE($M$6:$M$6,0.9)</f>
        <v>1</v>
      </c>
      <c r="N8" s="92"/>
      <c r="O8" s="93"/>
      <c r="P8" s="92"/>
      <c r="Q8" s="84"/>
      <c r="R8" s="84"/>
      <c r="S8" s="84"/>
      <c r="T8" s="84"/>
      <c r="U8" s="84"/>
      <c r="V8" s="84"/>
      <c r="W8" s="93"/>
      <c r="X8" s="67">
        <f t="shared" ref="X8:AD8" si="17">PERCENTILE(X6:X6,0.9)</f>
        <v>0</v>
      </c>
      <c r="Y8" s="67">
        <f t="shared" si="17"/>
        <v>0</v>
      </c>
      <c r="Z8" s="67">
        <f t="shared" si="17"/>
        <v>0</v>
      </c>
      <c r="AA8" s="67">
        <f t="shared" si="17"/>
        <v>0</v>
      </c>
      <c r="AB8" s="67">
        <f t="shared" si="17"/>
        <v>0</v>
      </c>
      <c r="AC8" s="67">
        <f t="shared" si="17"/>
        <v>0</v>
      </c>
      <c r="AD8" s="68">
        <f t="shared" si="17"/>
        <v>0</v>
      </c>
      <c r="AE8" s="45"/>
      <c r="AF8" s="24"/>
      <c r="AG8" s="5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55"/>
    </row>
    <row r="9" spans="1:46" ht="30" customHeight="1" x14ac:dyDescent="0.3">
      <c r="B9" s="117" t="s">
        <v>14</v>
      </c>
      <c r="C9" s="90"/>
      <c r="D9" s="90"/>
      <c r="E9" s="90"/>
      <c r="F9" s="90"/>
      <c r="G9" s="90"/>
      <c r="H9" s="168"/>
      <c r="I9" s="168"/>
      <c r="J9" s="70">
        <f>PERCENTILE($J$6:$J$6,0.75)</f>
        <v>77.362594000000001</v>
      </c>
      <c r="K9" s="70">
        <f>PERCENTILE($K$6:$K$6,0.75)</f>
        <v>45.450752000000001</v>
      </c>
      <c r="L9" s="70">
        <f>PERCENTILE($L$6:$L$6,0.75)</f>
        <v>40.354962999999998</v>
      </c>
      <c r="M9" s="82">
        <f>PERCENTILE($M$6:$M$6,0.75)</f>
        <v>1</v>
      </c>
      <c r="N9" s="94"/>
      <c r="O9" s="95"/>
      <c r="P9" s="94"/>
      <c r="Q9" s="88"/>
      <c r="R9" s="88"/>
      <c r="S9" s="88"/>
      <c r="T9" s="88"/>
      <c r="U9" s="88"/>
      <c r="V9" s="88"/>
      <c r="W9" s="95"/>
      <c r="X9" s="70">
        <f t="shared" ref="X9:AD9" si="18">PERCENTILE(X6:X6,0.75)</f>
        <v>0</v>
      </c>
      <c r="Y9" s="70">
        <f t="shared" si="18"/>
        <v>0</v>
      </c>
      <c r="Z9" s="70">
        <f t="shared" si="18"/>
        <v>0</v>
      </c>
      <c r="AA9" s="70">
        <f t="shared" si="18"/>
        <v>0</v>
      </c>
      <c r="AB9" s="70">
        <f t="shared" si="18"/>
        <v>0</v>
      </c>
      <c r="AC9" s="70">
        <f t="shared" si="18"/>
        <v>0</v>
      </c>
      <c r="AD9" s="71">
        <f t="shared" si="18"/>
        <v>0</v>
      </c>
      <c r="AE9" s="46"/>
      <c r="AF9" s="24"/>
      <c r="AG9" s="5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55"/>
    </row>
    <row r="10" spans="1:46" ht="30" customHeight="1" x14ac:dyDescent="0.3">
      <c r="B10" s="119" t="s">
        <v>15</v>
      </c>
      <c r="C10" s="85"/>
      <c r="D10" s="85"/>
      <c r="E10" s="85"/>
      <c r="F10" s="85"/>
      <c r="G10" s="85"/>
      <c r="H10" s="169"/>
      <c r="I10" s="169"/>
      <c r="J10" s="86">
        <f>MEDIAN(J6:J6)</f>
        <v>77.362594000000001</v>
      </c>
      <c r="K10" s="86">
        <f>MEDIAN(K6:K6)</f>
        <v>45.450752000000001</v>
      </c>
      <c r="L10" s="86">
        <f>MEDIAN(L6:L6)</f>
        <v>40.354962999999998</v>
      </c>
      <c r="M10" s="87">
        <f>MEDIAN(M6:M6)</f>
        <v>1</v>
      </c>
      <c r="N10" s="94"/>
      <c r="O10" s="95"/>
      <c r="P10" s="94"/>
      <c r="Q10" s="88"/>
      <c r="R10" s="88"/>
      <c r="S10" s="88"/>
      <c r="T10" s="88"/>
      <c r="U10" s="88"/>
      <c r="V10" s="88"/>
      <c r="W10" s="95"/>
      <c r="X10" s="86">
        <f t="shared" ref="X10:AD10" si="19">MEDIAN(X6:X6)</f>
        <v>0</v>
      </c>
      <c r="Y10" s="86">
        <f t="shared" si="19"/>
        <v>0</v>
      </c>
      <c r="Z10" s="86">
        <f t="shared" si="19"/>
        <v>0</v>
      </c>
      <c r="AA10" s="86">
        <f t="shared" si="19"/>
        <v>0</v>
      </c>
      <c r="AB10" s="86">
        <f t="shared" si="19"/>
        <v>0</v>
      </c>
      <c r="AC10" s="86">
        <f t="shared" si="19"/>
        <v>0</v>
      </c>
      <c r="AD10" s="89">
        <f t="shared" si="19"/>
        <v>0</v>
      </c>
      <c r="AE10" s="47"/>
      <c r="AF10" s="24"/>
      <c r="AG10" s="5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55"/>
    </row>
    <row r="11" spans="1:46" ht="30" customHeight="1" x14ac:dyDescent="0.3">
      <c r="B11" s="117" t="s">
        <v>16</v>
      </c>
      <c r="C11" s="90"/>
      <c r="D11" s="90"/>
      <c r="E11" s="90"/>
      <c r="F11" s="90"/>
      <c r="G11" s="90"/>
      <c r="H11" s="168"/>
      <c r="I11" s="168"/>
      <c r="J11" s="70">
        <f>PERCENTILE($J$6:$J$6,0.25)</f>
        <v>77.362594000000001</v>
      </c>
      <c r="K11" s="70">
        <f>PERCENTILE($K$6:$K$6,0.25)</f>
        <v>45.450752000000001</v>
      </c>
      <c r="L11" s="70">
        <f>PERCENTILE($L$6:$L$6,0.25)</f>
        <v>40.354962999999998</v>
      </c>
      <c r="M11" s="82">
        <f>PERCENTILE($M$6:$M$6,0.25)</f>
        <v>1</v>
      </c>
      <c r="N11" s="94"/>
      <c r="O11" s="95"/>
      <c r="P11" s="94"/>
      <c r="Q11" s="88"/>
      <c r="R11" s="88"/>
      <c r="S11" s="88"/>
      <c r="T11" s="88"/>
      <c r="U11" s="88"/>
      <c r="V11" s="88"/>
      <c r="W11" s="95"/>
      <c r="X11" s="70">
        <f t="shared" ref="X11:AD11" si="20">PERCENTILE(X6:X6,0.25)</f>
        <v>0</v>
      </c>
      <c r="Y11" s="70">
        <f t="shared" si="20"/>
        <v>0</v>
      </c>
      <c r="Z11" s="70">
        <f t="shared" si="20"/>
        <v>0</v>
      </c>
      <c r="AA11" s="70">
        <f t="shared" si="20"/>
        <v>0</v>
      </c>
      <c r="AB11" s="70">
        <f t="shared" si="20"/>
        <v>0</v>
      </c>
      <c r="AC11" s="70">
        <f t="shared" si="20"/>
        <v>0</v>
      </c>
      <c r="AD11" s="71">
        <f t="shared" si="20"/>
        <v>0</v>
      </c>
      <c r="AE11" s="46"/>
      <c r="AF11" s="24"/>
      <c r="AG11" s="56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57"/>
    </row>
    <row r="12" spans="1:46" ht="30" customHeight="1" x14ac:dyDescent="0.3">
      <c r="N12" s="96"/>
      <c r="O12" s="98"/>
      <c r="P12" s="96"/>
      <c r="Q12" s="97"/>
      <c r="R12" s="97"/>
      <c r="S12" s="97"/>
      <c r="T12" s="97"/>
      <c r="U12" s="97"/>
      <c r="V12" s="97"/>
      <c r="W12" s="98"/>
      <c r="AE12" s="48"/>
      <c r="AG12" s="58"/>
      <c r="AH12" s="178" t="s">
        <v>21</v>
      </c>
      <c r="AI12" s="178"/>
      <c r="AJ12" s="178"/>
      <c r="AK12" s="178"/>
      <c r="AL12" s="178" t="s">
        <v>24</v>
      </c>
      <c r="AM12" s="178"/>
      <c r="AN12" s="178"/>
      <c r="AO12" s="178"/>
      <c r="AP12" s="178" t="s">
        <v>27</v>
      </c>
      <c r="AQ12" s="178"/>
      <c r="AR12" s="178"/>
      <c r="AS12" s="178"/>
      <c r="AT12" s="59"/>
    </row>
    <row r="13" spans="1:46" ht="30" customHeight="1" x14ac:dyDescent="0.3">
      <c r="B13" s="35" t="str">
        <f>$B$1</f>
        <v>NFP Organization XYZ</v>
      </c>
      <c r="C13" s="36"/>
      <c r="D13" s="36"/>
      <c r="E13" s="36"/>
      <c r="F13" s="37" t="str">
        <f>SETUP!C9</f>
        <v>Cambridge</v>
      </c>
      <c r="G13" s="38" t="str">
        <f>SETUP!C10</f>
        <v>Massachusetts</v>
      </c>
      <c r="H13" s="171" t="s">
        <v>18</v>
      </c>
      <c r="I13" s="171" t="s">
        <v>17</v>
      </c>
      <c r="J13" s="39">
        <f>'PEER GROUP'!K14</f>
        <v>0.99999899999999997</v>
      </c>
      <c r="K13" s="39">
        <f>'PEER GROUP'!L14</f>
        <v>0.99999899999999997</v>
      </c>
      <c r="L13" s="39">
        <f>'PEER GROUP'!M14</f>
        <v>0.99999899999999997</v>
      </c>
      <c r="M13" s="91">
        <f>'PEER GROUP'!N14</f>
        <v>50</v>
      </c>
      <c r="N13" s="121"/>
      <c r="O13" s="123"/>
      <c r="P13" s="121"/>
      <c r="Q13" s="122"/>
      <c r="R13" s="122"/>
      <c r="S13" s="122"/>
      <c r="T13" s="122"/>
      <c r="U13" s="122"/>
      <c r="V13" s="122">
        <f>COUNTIF(V6:V6,"&lt;&gt;---")</f>
        <v>1</v>
      </c>
      <c r="W13" s="123"/>
      <c r="X13" s="39">
        <v>0</v>
      </c>
      <c r="Y13" s="39">
        <v>0</v>
      </c>
      <c r="Z13" s="39">
        <f>SUM(X13:Y13)</f>
        <v>0</v>
      </c>
      <c r="AA13" s="39">
        <v>0</v>
      </c>
      <c r="AB13" s="39">
        <v>0</v>
      </c>
      <c r="AC13" s="39">
        <v>0</v>
      </c>
      <c r="AD13" s="40">
        <f>SUM(Z13:AC13)</f>
        <v>0</v>
      </c>
      <c r="AE13" s="43"/>
      <c r="AF13" s="23"/>
      <c r="AG13" s="60">
        <f>A14+0.99</f>
        <v>100.99</v>
      </c>
      <c r="AH13" s="65">
        <f>X11</f>
        <v>0</v>
      </c>
      <c r="AI13" s="65">
        <f>X10</f>
        <v>0</v>
      </c>
      <c r="AJ13" s="65">
        <f>X9</f>
        <v>0</v>
      </c>
      <c r="AK13" s="65">
        <f>X8</f>
        <v>0</v>
      </c>
      <c r="AL13" s="65">
        <f>Z11</f>
        <v>0</v>
      </c>
      <c r="AM13" s="65">
        <f>Z10</f>
        <v>0</v>
      </c>
      <c r="AN13" s="65">
        <f>Z9</f>
        <v>0</v>
      </c>
      <c r="AO13" s="65">
        <f>Z8</f>
        <v>0</v>
      </c>
      <c r="AP13" s="65">
        <f>AD11</f>
        <v>0</v>
      </c>
      <c r="AQ13" s="65">
        <f>AD10</f>
        <v>0</v>
      </c>
      <c r="AR13" s="65">
        <f>AD9</f>
        <v>0</v>
      </c>
      <c r="AS13" s="65">
        <f>AD8</f>
        <v>0</v>
      </c>
      <c r="AT13" s="61"/>
    </row>
    <row r="14" spans="1:46" ht="30" customHeight="1" x14ac:dyDescent="0.3">
      <c r="A14" s="74">
        <f>'PEER GROUP'!A14</f>
        <v>100</v>
      </c>
      <c r="B14" s="128" t="s">
        <v>32</v>
      </c>
      <c r="C14" s="103"/>
      <c r="D14" s="103"/>
      <c r="E14" s="103"/>
      <c r="F14" s="103"/>
      <c r="G14" s="103"/>
      <c r="H14" s="172"/>
      <c r="I14" s="173"/>
      <c r="J14" s="104" t="str">
        <f>IFERROR(IF(J13&lt;J11,"&lt;25",IF(J13&lt;=J10,25+25*(J13-J11)/(J10-J11),IF(J13&lt;=J9,50+25*(J13-J10)/(J9-J10),IF(J13&lt;=J8,75+15*(J13-J9)/(J8-J9),IF(J13/J8&lt;1.005,90,"&gt;90 (+"&amp;TEXT(J13/J8-1,"0%")&amp;")"))))),"---")</f>
        <v>&lt;25</v>
      </c>
      <c r="K14" s="104" t="str">
        <f>IFERROR(IF(K13&lt;K11,"&lt;25",IF(K13&lt;=K10,25+25*(K13-K11)/(K10-K11),IF(K13&lt;=K9,50+25*(K13-K10)/(K9-K10),IF(K13&lt;=K8,75+15*(K13-K9)/(K8-K9),IF(K13/K8&lt;1.005,90,"&gt;90 (+"&amp;TEXT(K13/K8-1,"0%")&amp;")"))))),"---")</f>
        <v>&lt;25</v>
      </c>
      <c r="L14" s="104" t="str">
        <f>IFERROR(IF(L13&lt;L11,"&lt;25",IF(L13&lt;=L10,25+25*(L13-L11)/(L10-L11),IF(L13&lt;=L9,50+25*(L13-L10)/(L9-L10),IF(L13&lt;=L8,75+15*(L13-L9)/(L8-L9),IF(L13/L8&lt;1.005,90,"&gt;90 (+"&amp;TEXT(L13/L8-1,"0%")&amp;")"))))),"---")</f>
        <v>&lt;25</v>
      </c>
      <c r="M14" s="105" t="str">
        <f>IFERROR(IF(M13&lt;M11,"&lt;25",IF(M13&lt;=M10,25+25*(M13-M11)/(M10-M11),IF(M13&lt;=M9,50+25*(M13-M10)/(M9-M10),IF(M13&lt;=M8,75+15*(M13-M9)/(M8-M9),IF(M13/M8&lt;1.005,90,"&gt;90 (+"&amp;TEXT(M13/M8-1,"0%")&amp;")"))))),"---")</f>
        <v>&gt;90 (+4900%)</v>
      </c>
      <c r="N14" s="99"/>
      <c r="O14" s="100"/>
      <c r="P14" s="99"/>
      <c r="Q14" s="101"/>
      <c r="R14" s="101"/>
      <c r="S14" s="101"/>
      <c r="T14" s="101"/>
      <c r="U14" s="101"/>
      <c r="V14" s="101"/>
      <c r="W14" s="100"/>
      <c r="X14" s="102" t="str">
        <f>IFERROR(IF(X13&lt;X11,"&lt;25",IF(X13&lt;=X10,25+25*(X13-X11)/(X10-X11),IF(X13&lt;=X9,50+25*(X13-X10)/(X9-X10),IF(X13&lt;=X8,75+15*(X13-X9)/(X8-X9),IF(X13/X8&lt;1.005,90,"&gt;90 (+"&amp;TEXT(X13/X8-1,"0%")&amp;")"))))),"---")</f>
        <v>---</v>
      </c>
      <c r="Y14" s="103"/>
      <c r="Z14" s="104" t="str">
        <f>IFERROR(IF(Z13&lt;Z11,"&lt;25",IF(Z13&lt;=Z10,25+25*(Z13-Z11)/(Z10-Z11),IF(Z13&lt;=Z9,50+25*(Z13-Z10)/(Z9-Z10),IF(Z13&lt;=Z8,75+15*(Z13-Z9)/(Z8-Z9),IF(Z13/Z8&lt;1.005,90,"&gt;90 (+"&amp;TEXT(Z13/Z8-1,"0%")&amp;")"))))),"---")</f>
        <v>---</v>
      </c>
      <c r="AA14" s="103"/>
      <c r="AB14" s="103"/>
      <c r="AC14" s="103"/>
      <c r="AD14" s="105" t="str">
        <f>IFERROR(IF(AD13&lt;AD11,"&lt;25",IF(AD13&lt;=AD10,25+25*(AD13-AD11)/(AD10-AD11),IF(AD13&lt;=AD9,50+25*(AD13-AD10)/(AD9-AD10),IF(AD13&lt;=AD8,75+15*(AD13-AD9)/(AD8-AD9),IF(AD13/AD8&lt;1.005,90,"&gt;90 (+"&amp;TEXT(AD13/AD8-1,"0%")&amp;")"))))),"---")</f>
        <v>---</v>
      </c>
      <c r="AE14" s="44"/>
      <c r="AG14" s="62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4"/>
    </row>
  </sheetData>
  <autoFilter ref="A5:AT5" xr:uid="{474D6C73-1F09-435D-B15B-666702D29536}"/>
  <mergeCells count="10">
    <mergeCell ref="B7:AD7"/>
    <mergeCell ref="AH12:AK12"/>
    <mergeCell ref="AL12:AO12"/>
    <mergeCell ref="U1:V1"/>
    <mergeCell ref="AP12:AS1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4"/>
  <sheetViews>
    <sheetView showGridLines="0" topLeftCell="A8" zoomScale="90" zoomScaleNormal="90" zoomScaleSheetLayoutView="85" workbookViewId="0">
      <selection activeCell="A6" sqref="A6"/>
    </sheetView>
  </sheetViews>
  <sheetFormatPr defaultColWidth="9.1796875" defaultRowHeight="13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35"/>
      <c r="S1" s="72">
        <f>DataEffDate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2" t="str">
        <f>"Peer Group Data ($000) - Effective: "&amp;TEXT(S1,"mmmm d, Yyyy")</f>
        <v>Peer Group Data ($000) - Effective: January 1, 2024</v>
      </c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75" t="s">
        <v>19</v>
      </c>
      <c r="N4" s="75" t="s">
        <v>20</v>
      </c>
      <c r="O4" s="183" t="s">
        <v>28</v>
      </c>
      <c r="P4" s="183"/>
      <c r="Q4" s="183"/>
      <c r="R4" s="183"/>
      <c r="S4" s="76"/>
      <c r="T4" s="177"/>
      <c r="U4" s="177"/>
      <c r="V4" s="177"/>
      <c r="W4" s="177"/>
      <c r="X4" s="136" t="s">
        <v>11</v>
      </c>
      <c r="Y4" s="137"/>
      <c r="Z4" s="181" t="s">
        <v>30</v>
      </c>
      <c r="AA4" s="181"/>
      <c r="AB4" s="181"/>
      <c r="AC4" s="184" t="s">
        <v>31</v>
      </c>
      <c r="AD4" s="184"/>
      <c r="AE4" s="184"/>
      <c r="AF4" s="184"/>
      <c r="AG4" s="184"/>
      <c r="AH4" s="184"/>
      <c r="AI4" s="184"/>
    </row>
    <row r="5" spans="1:35" ht="36" customHeight="1" x14ac:dyDescent="0.3">
      <c r="A5" s="113" t="s">
        <v>1</v>
      </c>
      <c r="B5" s="124" t="s">
        <v>2</v>
      </c>
      <c r="C5" s="124" t="s">
        <v>3</v>
      </c>
      <c r="D5" s="124" t="s">
        <v>4</v>
      </c>
      <c r="E5" s="124" t="s">
        <v>5</v>
      </c>
      <c r="F5" s="124" t="s">
        <v>6</v>
      </c>
      <c r="G5" s="124" t="s">
        <v>7</v>
      </c>
      <c r="H5" s="125" t="s">
        <v>18</v>
      </c>
      <c r="I5" s="125" t="s">
        <v>17</v>
      </c>
      <c r="J5" s="126" t="s">
        <v>8</v>
      </c>
      <c r="K5" s="126" t="s">
        <v>69</v>
      </c>
      <c r="L5" s="126" t="s">
        <v>10</v>
      </c>
      <c r="M5" s="75"/>
      <c r="N5" s="75"/>
      <c r="O5" s="77" t="s">
        <v>70</v>
      </c>
      <c r="P5" s="77" t="s">
        <v>71</v>
      </c>
      <c r="Q5" s="77" t="s">
        <v>72</v>
      </c>
      <c r="R5" s="77" t="s">
        <v>27</v>
      </c>
      <c r="S5" s="76" t="s">
        <v>29</v>
      </c>
      <c r="T5" s="127" t="s">
        <v>70</v>
      </c>
      <c r="U5" s="127" t="s">
        <v>71</v>
      </c>
      <c r="V5" s="127" t="s">
        <v>72</v>
      </c>
      <c r="W5" s="127" t="s">
        <v>45</v>
      </c>
      <c r="X5" s="136"/>
      <c r="Y5" s="137"/>
      <c r="Z5" s="50" t="s">
        <v>21</v>
      </c>
      <c r="AA5" s="50" t="s">
        <v>26</v>
      </c>
      <c r="AB5" s="50" t="s">
        <v>27</v>
      </c>
      <c r="AC5" s="138" t="s">
        <v>21</v>
      </c>
      <c r="AD5" s="138" t="s">
        <v>22</v>
      </c>
      <c r="AE5" s="138" t="s">
        <v>24</v>
      </c>
      <c r="AF5" s="138" t="s">
        <v>23</v>
      </c>
      <c r="AG5" s="138" t="s">
        <v>25</v>
      </c>
      <c r="AH5" s="138" t="s">
        <v>26</v>
      </c>
      <c r="AI5" s="138" t="s">
        <v>27</v>
      </c>
    </row>
    <row r="6" spans="1:35" ht="30" customHeight="1" x14ac:dyDescent="0.3">
      <c r="A6" s="113">
        <v>1</v>
      </c>
      <c r="B6" s="12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67"/>
      <c r="I6" s="167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0">
        <f>INDEX('PEER GROUP'!N:N,MATCH($A6,'PEER GROUP'!$A:$A,0))</f>
        <v>1</v>
      </c>
      <c r="M6" s="108"/>
      <c r="N6" s="84"/>
      <c r="O6" s="108"/>
      <c r="P6" s="81"/>
      <c r="Q6" s="81"/>
      <c r="R6" s="81">
        <f>SUM(O6:Q6)</f>
        <v>0</v>
      </c>
      <c r="S6" s="106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39"/>
      <c r="Z6" s="66"/>
      <c r="AA6" s="67"/>
      <c r="AB6" s="67"/>
      <c r="AC6" s="67" t="str">
        <f t="shared" ref="AC6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" si="2">IFERROR(R6/AB6-1,"---")</f>
        <v>---</v>
      </c>
    </row>
    <row r="7" spans="1:35" ht="30" customHeight="1" x14ac:dyDescent="0.3">
      <c r="B7" s="174" t="s">
        <v>12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6"/>
      <c r="X7" s="134"/>
      <c r="Y7" s="140"/>
      <c r="Z7" s="141"/>
      <c r="AA7" s="140"/>
      <c r="AB7" s="140"/>
      <c r="AC7" s="140"/>
      <c r="AD7" s="140"/>
      <c r="AE7" s="140"/>
      <c r="AF7" s="140"/>
      <c r="AG7" s="140"/>
      <c r="AH7" s="140"/>
      <c r="AI7" s="142"/>
    </row>
    <row r="8" spans="1:35" ht="30" customHeight="1" x14ac:dyDescent="0.3">
      <c r="B8" s="118" t="s">
        <v>13</v>
      </c>
      <c r="C8" s="83"/>
      <c r="D8" s="83"/>
      <c r="E8" s="83"/>
      <c r="F8" s="83"/>
      <c r="G8" s="83"/>
      <c r="H8" s="143"/>
      <c r="I8" s="143"/>
      <c r="J8" s="67">
        <f>PERCENTILE($J$6:$J$6,0.9)</f>
        <v>77.362594000000001</v>
      </c>
      <c r="K8" s="67">
        <f>PERCENTILE($K$6:$K$6,0.9)</f>
        <v>45.450752000000001</v>
      </c>
      <c r="L8" s="80">
        <f>PERCENTILE($L$6:$L$6,0.9)</f>
        <v>1</v>
      </c>
      <c r="M8" s="92"/>
      <c r="N8" s="84"/>
      <c r="O8" s="92"/>
      <c r="P8" s="84"/>
      <c r="Q8" s="84"/>
      <c r="R8" s="84"/>
      <c r="S8" s="84"/>
      <c r="T8" s="66">
        <f>PERCENTILE(T6:T6,0.9)</f>
        <v>0</v>
      </c>
      <c r="U8" s="67">
        <f>PERCENTILE(U6:U6,0.9)</f>
        <v>0</v>
      </c>
      <c r="V8" s="67">
        <f>PERCENTILE(V6:V6,0.9)</f>
        <v>0</v>
      </c>
      <c r="W8" s="68">
        <f>PERCENTILE(W6:W6,0.9)</f>
        <v>0</v>
      </c>
      <c r="X8" s="45"/>
      <c r="Y8" s="144"/>
      <c r="Z8" s="145"/>
      <c r="AA8" s="144"/>
      <c r="AB8" s="144"/>
      <c r="AC8" s="144"/>
      <c r="AD8" s="144"/>
      <c r="AE8" s="144"/>
      <c r="AF8" s="144"/>
      <c r="AG8" s="144"/>
      <c r="AH8" s="144"/>
      <c r="AI8" s="146"/>
    </row>
    <row r="9" spans="1:35" ht="30" customHeight="1" x14ac:dyDescent="0.3">
      <c r="B9" s="117" t="s">
        <v>14</v>
      </c>
      <c r="C9" s="90"/>
      <c r="D9" s="90"/>
      <c r="E9" s="90"/>
      <c r="F9" s="90"/>
      <c r="G9" s="90"/>
      <c r="H9" s="147"/>
      <c r="I9" s="147"/>
      <c r="J9" s="70">
        <f>PERCENTILE($J$6:$J$6,0.75)</f>
        <v>77.362594000000001</v>
      </c>
      <c r="K9" s="70">
        <f>PERCENTILE($K$6:$K$6,0.75)</f>
        <v>45.450752000000001</v>
      </c>
      <c r="L9" s="82">
        <f>PERCENTILE($L$6:$L$6,0.75)</f>
        <v>1</v>
      </c>
      <c r="M9" s="94"/>
      <c r="N9" s="88"/>
      <c r="O9" s="94"/>
      <c r="P9" s="88"/>
      <c r="Q9" s="88"/>
      <c r="R9" s="88"/>
      <c r="S9" s="88"/>
      <c r="T9" s="69">
        <f>PERCENTILE(T6:T6,0.75)</f>
        <v>0</v>
      </c>
      <c r="U9" s="70">
        <f>PERCENTILE(U6:U6,0.75)</f>
        <v>0</v>
      </c>
      <c r="V9" s="70">
        <f>PERCENTILE(V6:V6,0.75)</f>
        <v>0</v>
      </c>
      <c r="W9" s="71">
        <f>PERCENTILE(W6:W6,0.75)</f>
        <v>0</v>
      </c>
      <c r="X9" s="46"/>
      <c r="Y9" s="144"/>
      <c r="Z9" s="145"/>
      <c r="AA9" s="144"/>
      <c r="AB9" s="144"/>
      <c r="AC9" s="144"/>
      <c r="AD9" s="144"/>
      <c r="AE9" s="144"/>
      <c r="AF9" s="144"/>
      <c r="AG9" s="144"/>
      <c r="AH9" s="144"/>
      <c r="AI9" s="146"/>
    </row>
    <row r="10" spans="1:35" ht="30" customHeight="1" x14ac:dyDescent="0.3">
      <c r="B10" s="119" t="s">
        <v>15</v>
      </c>
      <c r="C10" s="85"/>
      <c r="D10" s="85"/>
      <c r="E10" s="85"/>
      <c r="F10" s="85"/>
      <c r="G10" s="85"/>
      <c r="H10" s="148"/>
      <c r="I10" s="148"/>
      <c r="J10" s="86">
        <f>MEDIAN(J6:J6)</f>
        <v>77.362594000000001</v>
      </c>
      <c r="K10" s="86">
        <f>MEDIAN(K6:K6)</f>
        <v>45.450752000000001</v>
      </c>
      <c r="L10" s="87">
        <f>MEDIAN(L6:L6)</f>
        <v>1</v>
      </c>
      <c r="M10" s="94"/>
      <c r="N10" s="88"/>
      <c r="O10" s="94"/>
      <c r="P10" s="88"/>
      <c r="Q10" s="88"/>
      <c r="R10" s="88"/>
      <c r="S10" s="88"/>
      <c r="T10" s="149">
        <f>MEDIAN(T6:T6)</f>
        <v>0</v>
      </c>
      <c r="U10" s="86">
        <f>MEDIAN(U6:U6)</f>
        <v>0</v>
      </c>
      <c r="V10" s="86">
        <f>MEDIAN(V6:V6)</f>
        <v>0</v>
      </c>
      <c r="W10" s="89">
        <f>MEDIAN(W6:W6)</f>
        <v>0</v>
      </c>
      <c r="X10" s="47"/>
      <c r="Y10" s="144"/>
      <c r="Z10" s="145"/>
      <c r="AA10" s="144"/>
      <c r="AB10" s="144"/>
      <c r="AC10" s="144"/>
      <c r="AD10" s="144"/>
      <c r="AE10" s="144"/>
      <c r="AF10" s="144"/>
      <c r="AG10" s="144"/>
      <c r="AH10" s="144"/>
      <c r="AI10" s="146"/>
    </row>
    <row r="11" spans="1:35" ht="30" customHeight="1" x14ac:dyDescent="0.3">
      <c r="B11" s="117" t="s">
        <v>16</v>
      </c>
      <c r="C11" s="150"/>
      <c r="D11" s="150"/>
      <c r="E11" s="150"/>
      <c r="F11" s="150"/>
      <c r="G11" s="150"/>
      <c r="H11" s="151"/>
      <c r="I11" s="151"/>
      <c r="J11" s="139">
        <f>PERCENTILE($J$6:$J$6,0.25)</f>
        <v>77.362594000000001</v>
      </c>
      <c r="K11" s="139">
        <f>PERCENTILE($K$6:$K$6,0.25)</f>
        <v>45.450752000000001</v>
      </c>
      <c r="L11" s="144">
        <f>PERCENTILE($L$6:$L$6,0.25)</f>
        <v>1</v>
      </c>
      <c r="M11" s="94"/>
      <c r="N11" s="95"/>
      <c r="O11" s="152"/>
      <c r="P11" s="152"/>
      <c r="Q11" s="152"/>
      <c r="R11" s="152"/>
      <c r="S11" s="152"/>
      <c r="T11" s="69">
        <f>PERCENTILE(T6:T6,0.25)</f>
        <v>0</v>
      </c>
      <c r="U11" s="139">
        <f>PERCENTILE(U6:U6,0.25)</f>
        <v>0</v>
      </c>
      <c r="V11" s="139">
        <f>PERCENTILE(V6:V6,0.25)</f>
        <v>0</v>
      </c>
      <c r="W11" s="139">
        <f>PERCENTILE(W6:W6,0.25)</f>
        <v>0</v>
      </c>
      <c r="X11" s="46"/>
      <c r="Y11" s="144"/>
      <c r="Z11" s="153"/>
      <c r="AA11" s="154"/>
      <c r="AB11" s="154"/>
      <c r="AC11" s="154"/>
      <c r="AD11" s="154"/>
      <c r="AE11" s="154"/>
      <c r="AF11" s="154"/>
      <c r="AG11" s="154"/>
      <c r="AH11" s="154"/>
      <c r="AI11" s="155"/>
    </row>
    <row r="12" spans="1:35" ht="30" customHeight="1" x14ac:dyDescent="0.3">
      <c r="B12" s="156"/>
      <c r="C12" s="103"/>
      <c r="D12" s="103"/>
      <c r="E12" s="103"/>
      <c r="F12" s="103"/>
      <c r="G12" s="103"/>
      <c r="H12" s="103"/>
      <c r="I12" s="103"/>
      <c r="J12" s="103"/>
      <c r="K12" s="103"/>
      <c r="L12" s="157"/>
      <c r="M12" s="158"/>
      <c r="N12" s="158"/>
      <c r="O12" s="99"/>
      <c r="P12" s="101"/>
      <c r="Q12" s="101"/>
      <c r="R12" s="101"/>
      <c r="S12" s="101"/>
      <c r="T12" s="103"/>
      <c r="U12" s="103"/>
      <c r="V12" s="103"/>
      <c r="W12" s="157"/>
      <c r="X12" s="48"/>
      <c r="Z12" s="159"/>
      <c r="AA12" s="178" t="s">
        <v>24</v>
      </c>
      <c r="AB12" s="178"/>
      <c r="AC12" s="178"/>
      <c r="AD12" s="178"/>
      <c r="AE12" s="178" t="s">
        <v>27</v>
      </c>
      <c r="AF12" s="178"/>
      <c r="AG12" s="178"/>
      <c r="AH12" s="178"/>
      <c r="AI12" s="160"/>
    </row>
    <row r="13" spans="1:35" ht="30" customHeight="1" x14ac:dyDescent="0.3">
      <c r="A13" s="112">
        <f>'[1]PEER GROUP'!$A$42</f>
        <v>100</v>
      </c>
      <c r="B13" s="35" t="str">
        <f>$B$1</f>
        <v>NFP Organization XYZ</v>
      </c>
      <c r="C13" s="36"/>
      <c r="D13" s="36"/>
      <c r="E13" s="36"/>
      <c r="F13" s="36" t="str">
        <f>[1]SETUP!C9</f>
        <v>City</v>
      </c>
      <c r="G13" s="109" t="str">
        <f>[1]SETUP!C10</f>
        <v>State</v>
      </c>
      <c r="H13" s="36" t="s">
        <v>18</v>
      </c>
      <c r="I13" s="36" t="s">
        <v>17</v>
      </c>
      <c r="J13" s="39">
        <f>'[1]PEER GROUP'!J42</f>
        <v>0.99999899999999997</v>
      </c>
      <c r="K13" s="39">
        <f>'[1]PEER GROUP'!K42</f>
        <v>0.99999899999999997</v>
      </c>
      <c r="L13" s="91">
        <f>'[1]PEER GROUP'!L42</f>
        <v>999</v>
      </c>
      <c r="M13" s="131"/>
      <c r="N13" s="133"/>
      <c r="O13" s="131"/>
      <c r="P13" s="132"/>
      <c r="Q13" s="132"/>
      <c r="R13" s="132">
        <f>COUNTIF(R6:R6,"&lt;&gt;---")</f>
        <v>1</v>
      </c>
      <c r="S13" s="133"/>
      <c r="T13" s="161">
        <v>0</v>
      </c>
      <c r="U13" s="39">
        <v>0</v>
      </c>
      <c r="V13" s="39">
        <v>0</v>
      </c>
      <c r="W13" s="40">
        <f>SUM(V13:V13)</f>
        <v>0</v>
      </c>
      <c r="X13" s="134"/>
      <c r="Y13" s="140"/>
      <c r="Z13" s="162">
        <f>A13+0.99</f>
        <v>100.99</v>
      </c>
      <c r="AA13" s="65">
        <f>T11</f>
        <v>0</v>
      </c>
      <c r="AB13" s="65">
        <f>T10</f>
        <v>0</v>
      </c>
      <c r="AC13" s="65">
        <f>T9</f>
        <v>0</v>
      </c>
      <c r="AD13" s="65">
        <f>T8</f>
        <v>0</v>
      </c>
      <c r="AE13" s="65">
        <f>W11</f>
        <v>0</v>
      </c>
      <c r="AF13" s="65">
        <f>W10</f>
        <v>0</v>
      </c>
      <c r="AG13" s="65">
        <f>W9</f>
        <v>0</v>
      </c>
      <c r="AH13" s="65">
        <f>W8</f>
        <v>0</v>
      </c>
      <c r="AI13" s="163"/>
    </row>
    <row r="14" spans="1:35" x14ac:dyDescent="0.3">
      <c r="B14" s="128" t="s">
        <v>32</v>
      </c>
      <c r="C14" s="103"/>
      <c r="D14" s="103"/>
      <c r="E14" s="103"/>
      <c r="F14" s="103"/>
      <c r="G14" s="103"/>
      <c r="H14" s="103"/>
      <c r="I14" s="104"/>
      <c r="J14" s="104" t="str">
        <f>IFERROR(IF(J13&lt;J11,"&lt;25",IF(J13&lt;=J10,25+25*(J13-J11)/(J10-J11),IF(J13&lt;=J9,50+25*(J13-J10)/(J9-J10),IF(J13&lt;=J8,75+15*(J13-J9)/(J8-J9),IF(J13/J8&lt;1.005,90,"&gt;90 (+"&amp;TEXT(J13/J8-1,"0%")&amp;")"))))),"---")</f>
        <v>&lt;25</v>
      </c>
      <c r="K14" s="104" t="str">
        <f>IFERROR(IF(K13&lt;K11,"&lt;25",IF(K13&lt;=K10,25+25*(K13-K11)/(K10-K11),IF(K13&lt;=K9,50+25*(K13-K10)/(K9-K10),IF(K13&lt;=K8,75+15*(K13-K9)/(K8-K9),IF(K13/K8&lt;1.005,90,"&gt;90 (+"&amp;TEXT(K13/K8-1,"0%")&amp;")"))))),"---")</f>
        <v>&lt;25</v>
      </c>
      <c r="L14" s="105" t="str">
        <f>IFERROR(IF(L13&lt;L11,"&lt;25",IF(L13&lt;=L10,25+25*(L13-L11)/(L10-L11),IF(L13&lt;=L9,50+25*(L13-L10)/(L9-L10),IF(L13&lt;=L8,75+15*(L13-L9)/(L8-L9),IF(L13/L8&lt;1.005,90,"&gt;90 (+"&amp;TEXT(L13/L8-1,"0%")&amp;")"))))),"---")</f>
        <v>&gt;90 (+99800%)</v>
      </c>
      <c r="M14" s="99"/>
      <c r="N14" s="100"/>
      <c r="O14" s="99"/>
      <c r="P14" s="101"/>
      <c r="Q14" s="101"/>
      <c r="R14" s="101"/>
      <c r="S14" s="100"/>
      <c r="T14" s="102" t="str">
        <f>IFERROR(IF(T13&lt;T11,"&lt;25",IF(T13&lt;=T10,25+25*(T13-T11)/(T10-T11),IF(T13&lt;=T9,50+25*(T13-T10)/(T9-T10),IF(T13&lt;=T8,75+15*(T13-T9)/(T8-T9),IF(T13/T8&lt;1.005,90,"&gt;90 (+"&amp;TEXT(T13/T8-1,"0%")&amp;")"))))),"---")</f>
        <v>---</v>
      </c>
      <c r="U14" s="103"/>
      <c r="V14" s="103"/>
      <c r="W14" s="105" t="str">
        <f>IFERROR(IF(W13&lt;W11,"&lt;25",IF(W13&lt;=W10,25+25*(W13-W11)/(W10-W11),IF(W13&lt;=W9,50+25*(W13-W10)/(W9-W10),IF(W13&lt;=W8,75+15*(W13-W9)/(W8-W9),IF(W13/W8&lt;1.005,90,"&gt;90 (+"&amp;TEXT(W13/W8-1,"0%")&amp;")"))))),"---")</f>
        <v>---</v>
      </c>
      <c r="X14" s="44"/>
      <c r="Z14" s="107"/>
      <c r="AA14" s="110"/>
      <c r="AB14" s="110"/>
      <c r="AC14" s="110"/>
      <c r="AD14" s="110"/>
      <c r="AE14" s="110"/>
      <c r="AF14" s="110"/>
      <c r="AG14" s="110"/>
      <c r="AH14" s="110"/>
      <c r="AI14" s="111"/>
    </row>
  </sheetData>
  <autoFilter ref="A5:AJ5" xr:uid="{474D6C73-1F09-435D-B15B-666702D29536}"/>
  <mergeCells count="8">
    <mergeCell ref="AA12:AD12"/>
    <mergeCell ref="AE12:AH12"/>
    <mergeCell ref="B4:L4"/>
    <mergeCell ref="O4:R4"/>
    <mergeCell ref="T4:W4"/>
    <mergeCell ref="Z4:AB4"/>
    <mergeCell ref="AC4:AI4"/>
    <mergeCell ref="B7:W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C12" sqref="C12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86" t="s">
        <v>34</v>
      </c>
      <c r="D5" s="186"/>
      <c r="E5" s="186"/>
      <c r="F5" s="186"/>
      <c r="G5" s="186"/>
      <c r="H5" s="186"/>
      <c r="I5" s="186"/>
      <c r="J5" s="186"/>
      <c r="K5" s="186"/>
    </row>
    <row r="6" spans="1:15" ht="25.5" customHeight="1" x14ac:dyDescent="0.3">
      <c r="C6" s="187" t="s">
        <v>68</v>
      </c>
      <c r="D6" s="187" t="s">
        <v>35</v>
      </c>
      <c r="E6" s="188" t="s">
        <v>36</v>
      </c>
      <c r="F6" s="188" t="s">
        <v>57</v>
      </c>
      <c r="G6" s="189" t="s">
        <v>37</v>
      </c>
      <c r="H6" s="188"/>
      <c r="I6" s="188"/>
      <c r="J6" s="188"/>
      <c r="K6" s="188" t="s">
        <v>38</v>
      </c>
    </row>
    <row r="7" spans="1:15" ht="25.5" customHeight="1" x14ac:dyDescent="0.3">
      <c r="C7" s="187"/>
      <c r="D7" s="187" t="s">
        <v>39</v>
      </c>
      <c r="E7" s="188" t="s">
        <v>39</v>
      </c>
      <c r="F7" s="188"/>
      <c r="G7" s="29" t="s">
        <v>40</v>
      </c>
      <c r="H7" s="29" t="s">
        <v>41</v>
      </c>
      <c r="I7" s="29" t="s">
        <v>42</v>
      </c>
      <c r="J7" s="29" t="s">
        <v>43</v>
      </c>
      <c r="K7" s="188"/>
    </row>
    <row r="8" spans="1:15" ht="30.75" customHeight="1" x14ac:dyDescent="0.3">
      <c r="A8" s="12">
        <v>100</v>
      </c>
      <c r="B8" s="12">
        <f>A8+0.99</f>
        <v>100.99</v>
      </c>
      <c r="C8" s="185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 t="str">
        <f>INDEX('Form 990 - Position Title'!X:X,MATCH('Summary Table'!A8,'Form 990 - Position Title'!A:A,0))</f>
        <v>---</v>
      </c>
      <c r="F8" s="190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5"/>
      <c r="D9" s="30" t="s">
        <v>44</v>
      </c>
      <c r="E9" s="31" t="str">
        <f>INDEX('Form 990 - Position Title'!Z:Z,MATCH('Summary Table'!A9,'Form 990 - Position Title'!A:A,0))</f>
        <v>---</v>
      </c>
      <c r="F9" s="190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5"/>
      <c r="D10" s="30" t="s">
        <v>45</v>
      </c>
      <c r="E10" s="31" t="str">
        <f>INDEX('Form 990 - Position Title'!AD:AD,MATCH('Summary Table'!A10,'Form 990 - Position Title'!A:A,0))</f>
        <v>---</v>
      </c>
      <c r="F10" s="190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2024-07-12T12:43:14Z</dcterms:modified>
</cp:coreProperties>
</file>